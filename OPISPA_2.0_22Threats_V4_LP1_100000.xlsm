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Ex1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charts/chartEx2.xml" ContentType="application/vnd.ms-office.chartex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Ex3.xml" ContentType="application/vnd.ms-office.chartex+xml"/>
  <Override PartName="/xl/charts/style7.xml" ContentType="application/vnd.ms-office.chartstyle+xml"/>
  <Override PartName="/xl/charts/colors7.xml" ContentType="application/vnd.ms-office.chartcolorstyle+xml"/>
  <Override PartName="/xl/charts/chartEx4.xml" ContentType="application/vnd.ms-office.chartex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Ex5.xml" ContentType="application/vnd.ms-office.chartex+xml"/>
  <Override PartName="/xl/charts/style9.xml" ContentType="application/vnd.ms-office.chartstyle+xml"/>
  <Override PartName="/xl/charts/colors9.xml" ContentType="application/vnd.ms-office.chartcolorstyle+xml"/>
  <Override PartName="/xl/charts/chartEx6.xml" ContentType="application/vnd.ms-office.chartex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Ex7.xml" ContentType="application/vnd.ms-office.chartex+xml"/>
  <Override PartName="/xl/charts/style11.xml" ContentType="application/vnd.ms-office.chartstyle+xml"/>
  <Override PartName="/xl/charts/colors11.xml" ContentType="application/vnd.ms-office.chartcolorstyle+xml"/>
  <Override PartName="/xl/charts/chartEx8.xml" ContentType="application/vnd.ms-office.chartex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harts/chartEx9.xml" ContentType="application/vnd.ms-office.chartex+xml"/>
  <Override PartName="/xl/charts/style13.xml" ContentType="application/vnd.ms-office.chartstyle+xml"/>
  <Override PartName="/xl/charts/colors13.xml" ContentType="application/vnd.ms-office.chartcolorstyle+xml"/>
  <Override PartName="/xl/charts/chartEx10.xml" ContentType="application/vnd.ms-office.chartex+xml"/>
  <Override PartName="/xl/charts/style14.xml" ContentType="application/vnd.ms-office.chartstyle+xml"/>
  <Override PartName="/xl/charts/colors14.xml" ContentType="application/vnd.ms-office.chartcolorstyle+xml"/>
  <Override PartName="/xl/drawings/drawing10.xml" ContentType="application/vnd.openxmlformats-officedocument.drawing+xml"/>
  <Override PartName="/xl/charts/chartEx11.xml" ContentType="application/vnd.ms-office.chartex+xml"/>
  <Override PartName="/xl/charts/style15.xml" ContentType="application/vnd.ms-office.chartstyle+xml"/>
  <Override PartName="/xl/charts/colors15.xml" ContentType="application/vnd.ms-office.chartcolorstyle+xml"/>
  <Override PartName="/xl/charts/chartEx12.xml" ContentType="application/vnd.ms-office.chartex+xml"/>
  <Override PartName="/xl/charts/style16.xml" ContentType="application/vnd.ms-office.chartstyle+xml"/>
  <Override PartName="/xl/charts/colors1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ropbox\Security_Cost_Makale\Analitik_Calismalar\Analitik Studies V2\"/>
    </mc:Choice>
  </mc:AlternateContent>
  <bookViews>
    <workbookView xWindow="0" yWindow="0" windowWidth="23040" windowHeight="9396" tabRatio="806" firstSheet="6" activeTab="10"/>
  </bookViews>
  <sheets>
    <sheet name="Start &amp; About-HowTo" sheetId="17" r:id="rId1"/>
    <sheet name="Threats" sheetId="11" r:id="rId2"/>
    <sheet name="AHP Settings" sheetId="15" r:id="rId3"/>
    <sheet name="AHP Likelihood Calculation" sheetId="14" r:id="rId4"/>
    <sheet name="AHP Severity Calculation" sheetId="3" r:id="rId5"/>
    <sheet name="Precautions" sheetId="29" r:id="rId6"/>
    <sheet name="LP Optimization 1" sheetId="4" r:id="rId7"/>
    <sheet name="Sheet1" sheetId="32" r:id="rId8"/>
    <sheet name="Summary 1" sheetId="7" r:id="rId9"/>
    <sheet name="Threats Visualizations 1" sheetId="18" r:id="rId10"/>
    <sheet name="Precaution Visualizations 1" sheetId="19" r:id="rId11"/>
    <sheet name="LP Optimization 2" sheetId="24" r:id="rId12"/>
    <sheet name="Summary 2" sheetId="21" r:id="rId13"/>
    <sheet name="Threats Visualizations 2" sheetId="30" r:id="rId14"/>
    <sheet name="Precaution Visualizations 2" sheetId="31" r:id="rId15"/>
    <sheet name="Sheet2" sheetId="26" r:id="rId16"/>
    <sheet name="Constraints for Sample Case" sheetId="27" r:id="rId17"/>
    <sheet name="Visualization 1" sheetId="22" r:id="rId18"/>
    <sheet name="Visualization 2" sheetId="23" r:id="rId19"/>
    <sheet name="Threat-Model-For-Case-Study" sheetId="1" r:id="rId20"/>
    <sheet name="Precautions for the Case Study" sheetId="12" r:id="rId21"/>
    <sheet name="__Solver__" sheetId="5" state="hidden" r:id="rId22"/>
  </sheets>
  <definedNames>
    <definedName name="_xlchart.v1.0" hidden="1">'Threats Visualizations 1'!$A$2:$B$23</definedName>
    <definedName name="_xlchart.v1.1" hidden="1">'Threats Visualizations 1'!$D$1</definedName>
    <definedName name="_xlchart.v1.10" hidden="1">'Threats Visualizations 1'!$D$2:$D$23</definedName>
    <definedName name="_xlchart.v1.11" hidden="1">'Precaution Visualizations 1'!$A$2:$A$33</definedName>
    <definedName name="_xlchart.v1.12" hidden="1">'Precaution Visualizations 1'!$B$1</definedName>
    <definedName name="_xlchart.v1.13" hidden="1">'Precaution Visualizations 1'!$B$2:$B$33</definedName>
    <definedName name="_xlchart.v1.14" hidden="1">'Precaution Visualizations 1'!$C$1</definedName>
    <definedName name="_xlchart.v1.15" hidden="1">'Precaution Visualizations 1'!$C$2:$C$33</definedName>
    <definedName name="_xlchart.v1.16" hidden="1">'Precaution Visualizations 1'!$A$2:$A$33</definedName>
    <definedName name="_xlchart.v1.17" hidden="1">'Precaution Visualizations 1'!$B$1</definedName>
    <definedName name="_xlchart.v1.18" hidden="1">'Precaution Visualizations 1'!$B$2:$B$33</definedName>
    <definedName name="_xlchart.v1.19" hidden="1">'Precaution Visualizations 1'!$C$1</definedName>
    <definedName name="_xlchart.v1.2" hidden="1">'Threats Visualizations 1'!$D$2:$D$23</definedName>
    <definedName name="_xlchart.v1.20" hidden="1">'Precaution Visualizations 1'!$C$2:$C$33</definedName>
    <definedName name="_xlchart.v1.21" hidden="1">'Precaution Visualizations 1'!$A$2:$A$33</definedName>
    <definedName name="_xlchart.v1.22" hidden="1">'Precaution Visualizations 1'!$C$1</definedName>
    <definedName name="_xlchart.v1.23" hidden="1">'Precaution Visualizations 1'!$C$2:$C$33</definedName>
    <definedName name="_xlchart.v1.24" hidden="1">'Threats Visualizations 2'!$A$2:$B$23</definedName>
    <definedName name="_xlchart.v1.25" hidden="1">'Threats Visualizations 2'!$D$1</definedName>
    <definedName name="_xlchart.v1.26" hidden="1">'Threats Visualizations 2'!$D$2:$D$23</definedName>
    <definedName name="_xlchart.v1.27" hidden="1">'Threats Visualizations 2'!$A$2:$B$23</definedName>
    <definedName name="_xlchart.v1.28" hidden="1">'Threats Visualizations 2'!$C$1</definedName>
    <definedName name="_xlchart.v1.29" hidden="1">'Threats Visualizations 2'!$C$2:$C$23</definedName>
    <definedName name="_xlchart.v1.3" hidden="1">'Threats Visualizations 1'!$A$2:$B$23</definedName>
    <definedName name="_xlchart.v1.30" hidden="1">'Threats Visualizations 2'!$D$1</definedName>
    <definedName name="_xlchart.v1.31" hidden="1">'Threats Visualizations 2'!$D$2:$D$23</definedName>
    <definedName name="_xlchart.v1.32" hidden="1">'Precaution Visualizations 2'!$A$2:$A$33</definedName>
    <definedName name="_xlchart.v1.33" hidden="1">'Precaution Visualizations 2'!$B$1</definedName>
    <definedName name="_xlchart.v1.34" hidden="1">'Precaution Visualizations 2'!$B$2:$B$33</definedName>
    <definedName name="_xlchart.v1.35" hidden="1">'Precaution Visualizations 2'!$C$1</definedName>
    <definedName name="_xlchart.v1.36" hidden="1">'Precaution Visualizations 2'!$C$2:$C$33</definedName>
    <definedName name="_xlchart.v1.37" hidden="1">'Precaution Visualizations 2'!$A$2:$A$33</definedName>
    <definedName name="_xlchart.v1.38" hidden="1">'Precaution Visualizations 2'!$B$1</definedName>
    <definedName name="_xlchart.v1.39" hidden="1">'Precaution Visualizations 2'!$B$2:$B$33</definedName>
    <definedName name="_xlchart.v1.4" hidden="1">'Threats Visualizations 1'!$D$1</definedName>
    <definedName name="_xlchart.v1.40" hidden="1">'Precaution Visualizations 2'!$C$1</definedName>
    <definedName name="_xlchart.v1.41" hidden="1">'Precaution Visualizations 2'!$C$2:$C$33</definedName>
    <definedName name="_xlchart.v1.42" hidden="1">'Threats Visualizations 1'!$A$2:$B$23</definedName>
    <definedName name="_xlchart.v1.43" hidden="1">'Threats Visualizations 1'!$D$1</definedName>
    <definedName name="_xlchart.v1.44" hidden="1">'Threats Visualizations 1'!$D$2:$D$23</definedName>
    <definedName name="_xlchart.v1.45" hidden="1">'Threats Visualizations 1'!$A$2:$B$23</definedName>
    <definedName name="_xlchart.v1.46" hidden="1">'Threats Visualizations 1'!$C$1</definedName>
    <definedName name="_xlchart.v1.47" hidden="1">'Threats Visualizations 1'!$C$2:$C$23</definedName>
    <definedName name="_xlchart.v1.48" hidden="1">'Threats Visualizations 1'!$D$1</definedName>
    <definedName name="_xlchart.v1.49" hidden="1">'Threats Visualizations 1'!$D$2:$D$23</definedName>
    <definedName name="_xlchart.v1.5" hidden="1">'Threats Visualizations 1'!$D$2:$D$23</definedName>
    <definedName name="_xlchart.v1.50" hidden="1">'Precaution Visualizations 1'!$A$2:$A$33</definedName>
    <definedName name="_xlchart.v1.51" hidden="1">'Precaution Visualizations 1'!$B$1</definedName>
    <definedName name="_xlchart.v1.52" hidden="1">'Precaution Visualizations 1'!$B$2:$B$33</definedName>
    <definedName name="_xlchart.v1.53" hidden="1">'Precaution Visualizations 1'!$C$1</definedName>
    <definedName name="_xlchart.v1.54" hidden="1">'Precaution Visualizations 1'!$C$2:$C$33</definedName>
    <definedName name="_xlchart.v1.55" hidden="1">'Precaution Visualizations 1'!$A$2:$A$33</definedName>
    <definedName name="_xlchart.v1.56" hidden="1">'Precaution Visualizations 1'!$B$1</definedName>
    <definedName name="_xlchart.v1.57" hidden="1">'Precaution Visualizations 1'!$B$2:$B$33</definedName>
    <definedName name="_xlchart.v1.58" hidden="1">'Precaution Visualizations 1'!$C$1</definedName>
    <definedName name="_xlchart.v1.59" hidden="1">'Precaution Visualizations 1'!$C$2:$C$33</definedName>
    <definedName name="_xlchart.v1.6" hidden="1">'Threats Visualizations 1'!$A$2:$B$23</definedName>
    <definedName name="_xlchart.v1.7" hidden="1">'Threats Visualizations 1'!$C$1</definedName>
    <definedName name="_xlchart.v1.8" hidden="1">'Threats Visualizations 1'!$C$2:$C$23</definedName>
    <definedName name="_xlchart.v1.9" hidden="1">'Threats Visualizations 1'!$D$1</definedName>
    <definedName name="_xlcn.WorksheetConnection_Sheet2A2B241" hidden="1">'Summary 1'!$C$2:$D$23</definedName>
    <definedName name="coin_cuttype" localSheetId="6" hidden="1">1</definedName>
    <definedName name="coin_cuttype" localSheetId="11" hidden="1">1</definedName>
    <definedName name="coin_dualtol" localSheetId="6" hidden="1">0.0000001</definedName>
    <definedName name="coin_dualtol" localSheetId="11" hidden="1">0.0000001</definedName>
    <definedName name="coin_heurs" localSheetId="6" hidden="1">1</definedName>
    <definedName name="coin_heurs" localSheetId="11" hidden="1">1</definedName>
    <definedName name="coin_integerpresolve" localSheetId="6" hidden="1">1</definedName>
    <definedName name="coin_integerpresolve" localSheetId="11" hidden="1">1</definedName>
    <definedName name="coin_presolve1" localSheetId="6" hidden="1">1</definedName>
    <definedName name="coin_presolve1" localSheetId="11" hidden="1">1</definedName>
    <definedName name="coin_primaltol" localSheetId="6" hidden="1">0.0000001</definedName>
    <definedName name="coin_primaltol" localSheetId="11" hidden="1">0.0000001</definedName>
    <definedName name="grb_async_callbacks" localSheetId="6" hidden="1">1</definedName>
    <definedName name="grb_async_callbacks" localSheetId="11" hidden="1">1</definedName>
    <definedName name="grb_bariter" localSheetId="6" hidden="1">1E+100</definedName>
    <definedName name="grb_bariter" localSheetId="11" hidden="1">1E+100</definedName>
    <definedName name="grb_bartol" localSheetId="6" hidden="1">0.00000001</definedName>
    <definedName name="grb_bartol" localSheetId="11" hidden="1">0.00000001</definedName>
    <definedName name="grb_crossover" localSheetId="6" hidden="1">-1</definedName>
    <definedName name="grb_crossover" localSheetId="11" hidden="1">-1</definedName>
    <definedName name="grb_cut_passes" localSheetId="6" hidden="1">-1</definedName>
    <definedName name="grb_cut_passes" localSheetId="11" hidden="1">-1</definedName>
    <definedName name="grb_cutoff" localSheetId="6" hidden="1">1E+100</definedName>
    <definedName name="grb_cutoff" localSheetId="11" hidden="1">1E+100</definedName>
    <definedName name="grb_cuts" localSheetId="6" hidden="1">-1</definedName>
    <definedName name="grb_cuts" localSheetId="11" hidden="1">-1</definedName>
    <definedName name="grb_focus" localSheetId="6" hidden="1">0</definedName>
    <definedName name="grb_focus" localSheetId="11" hidden="1">0</definedName>
    <definedName name="grb_heur" localSheetId="6" hidden="1">0.05</definedName>
    <definedName name="grb_heur" localSheetId="11" hidden="1">0.05</definedName>
    <definedName name="grb_improv" localSheetId="6" hidden="1">1E+100</definedName>
    <definedName name="grb_improv" localSheetId="11" hidden="1">1E+100</definedName>
    <definedName name="grb_improv_start_gap" localSheetId="6" hidden="1">0</definedName>
    <definedName name="grb_improv_start_gap" localSheetId="11" hidden="1">0</definedName>
    <definedName name="grb_infeas" localSheetId="6" hidden="1">0.000001</definedName>
    <definedName name="grb_infeas" localSheetId="11" hidden="1">0.000001</definedName>
    <definedName name="grb_inttol" localSheetId="6" hidden="1">0.00001</definedName>
    <definedName name="grb_inttol" localSheetId="11" hidden="1">0.00001</definedName>
    <definedName name="grb_method" localSheetId="6" hidden="1">1</definedName>
    <definedName name="grb_method" localSheetId="11" hidden="1">1</definedName>
    <definedName name="grb_nodefilestart" localSheetId="6" hidden="1">1E+100</definedName>
    <definedName name="grb_nodefilestart" localSheetId="11" hidden="1">1E+100</definedName>
    <definedName name="grb_optimal" localSheetId="6" hidden="1">0.000001</definedName>
    <definedName name="grb_optimal" localSheetId="11" hidden="1">0.000001</definedName>
    <definedName name="grb_order" localSheetId="6" hidden="1">-1</definedName>
    <definedName name="grb_order" localSheetId="11" hidden="1">-1</definedName>
    <definedName name="grb_pre_passes" localSheetId="6" hidden="1">-1</definedName>
    <definedName name="grb_pre_passes" localSheetId="11" hidden="1">-1</definedName>
    <definedName name="grb_presolve" localSheetId="6" hidden="1">-1</definedName>
    <definedName name="grb_presolve" localSheetId="11" hidden="1">-1</definedName>
    <definedName name="grb_pricing" localSheetId="6" hidden="1">-1</definedName>
    <definedName name="grb_pricing" localSheetId="11" hidden="1">-1</definedName>
    <definedName name="grb_psdtol" localSheetId="6" hidden="1">0.000001</definedName>
    <definedName name="grb_psdtol" localSheetId="11" hidden="1">0.000001</definedName>
    <definedName name="grb_qcptol" localSheetId="6" hidden="1">0.000001</definedName>
    <definedName name="grb_qcptol" localSheetId="11" hidden="1">0.000001</definedName>
    <definedName name="grb_relmip" localSheetId="6" hidden="1">0.0001</definedName>
    <definedName name="grb_relmip" localSheetId="11" hidden="1">0.0001</definedName>
    <definedName name="grb_scaleflag" localSheetId="6" hidden="1">1</definedName>
    <definedName name="grb_scaleflag" localSheetId="11" hidden="1">1</definedName>
    <definedName name="grb_seed" localSheetId="6" hidden="1">0</definedName>
    <definedName name="grb_seed" localSheetId="11" hidden="1">0</definedName>
    <definedName name="grb_submip" localSheetId="6" hidden="1">500</definedName>
    <definedName name="grb_submip" localSheetId="11" hidden="1">500</definedName>
    <definedName name="grb_symmetry" localSheetId="6" hidden="1">-1</definedName>
    <definedName name="grb_symmetry" localSheetId="11" hidden="1">-1</definedName>
    <definedName name="grb_threads" localSheetId="6" hidden="1">0</definedName>
    <definedName name="grb_threads" localSheetId="11" hidden="1">0</definedName>
    <definedName name="grb_var" localSheetId="6" hidden="1">-1</definedName>
    <definedName name="grb_var" localSheetId="11" hidden="1">-1</definedName>
    <definedName name="gurobi_qp" localSheetId="6" hidden="1">2</definedName>
    <definedName name="gurobi_qp" localSheetId="11" hidden="1">2</definedName>
    <definedName name="LSGRGeng_RelaxBounds" localSheetId="6" hidden="1">0</definedName>
    <definedName name="LSGRGeng_RelaxBounds" localSheetId="11" hidden="1">0</definedName>
    <definedName name="param_extinc" localSheetId="11" hidden="1">0.5</definedName>
    <definedName name="param_iisbnd" localSheetId="11" hidden="1">0</definedName>
    <definedName name="param_nsfeas" localSheetId="11" hidden="1">0</definedName>
    <definedName name="solver_acc" localSheetId="6" hidden="1">0.001</definedName>
    <definedName name="solver_acc" localSheetId="11" hidden="1">0.001</definedName>
    <definedName name="solver_adj" localSheetId="6" hidden="1">'LP Optimization 1'!$L$2:$L$23,'LP Optimization 1'!$T$2:$T$23,'LP Optimization 1'!$AB$2:$AB$23</definedName>
    <definedName name="solver_adj" localSheetId="11" hidden="1">'LP Optimization 2'!$L$2:$L$23,'LP Optimization 2'!$T$2:$T$23,'LP Optimization 2'!$AB$2:$AB$23</definedName>
    <definedName name="solver_adj_ob" localSheetId="6" hidden="1">1</definedName>
    <definedName name="solver_adj_ob" localSheetId="11" hidden="1">1</definedName>
    <definedName name="solver_adj_ob1" localSheetId="6" hidden="1">1</definedName>
    <definedName name="solver_adj_ob1" localSheetId="11" hidden="1">1</definedName>
    <definedName name="solver_adj_ob2" localSheetId="6" hidden="1">1</definedName>
    <definedName name="solver_adj_ob2" localSheetId="11" hidden="1">1</definedName>
    <definedName name="solver_ars" localSheetId="6" hidden="1">1</definedName>
    <definedName name="solver_ars" localSheetId="11" hidden="1">1</definedName>
    <definedName name="solver_bigm" localSheetId="6" hidden="1">1000000</definedName>
    <definedName name="solver_bigm" localSheetId="11" hidden="1">1000000</definedName>
    <definedName name="solver_bnd" localSheetId="6" hidden="1">1</definedName>
    <definedName name="solver_bnd" localSheetId="11" hidden="1">1</definedName>
    <definedName name="solver_cct" localSheetId="6" hidden="1">20</definedName>
    <definedName name="solver_cgt" localSheetId="6" hidden="1">1</definedName>
    <definedName name="solver_cha" localSheetId="6" hidden="1">0</definedName>
    <definedName name="solver_cha" localSheetId="11" hidden="1">0</definedName>
    <definedName name="solver_chc1" localSheetId="6" hidden="1">0</definedName>
    <definedName name="solver_chc1" localSheetId="11" hidden="1">0</definedName>
    <definedName name="solver_chc10" localSheetId="6" hidden="1">0</definedName>
    <definedName name="solver_chc10" localSheetId="11" hidden="1">0</definedName>
    <definedName name="solver_chc100" localSheetId="6" hidden="1">0</definedName>
    <definedName name="solver_chc101" localSheetId="6" hidden="1">0</definedName>
    <definedName name="solver_chc102" localSheetId="6" hidden="1">0</definedName>
    <definedName name="solver_chc103" localSheetId="6" hidden="1">0</definedName>
    <definedName name="solver_chc104" localSheetId="6" hidden="1">0</definedName>
    <definedName name="solver_chc105" localSheetId="6" hidden="1">0</definedName>
    <definedName name="solver_chc106" localSheetId="6" hidden="1">0</definedName>
    <definedName name="solver_chc107" localSheetId="6" hidden="1">0</definedName>
    <definedName name="solver_chc108" localSheetId="6" hidden="1">0</definedName>
    <definedName name="solver_chc109" localSheetId="6" hidden="1">0</definedName>
    <definedName name="solver_chc11" localSheetId="6" hidden="1">0</definedName>
    <definedName name="solver_chc11" localSheetId="11" hidden="1">0</definedName>
    <definedName name="solver_chc110" localSheetId="6" hidden="1">0</definedName>
    <definedName name="solver_chc111" localSheetId="6" hidden="1">0</definedName>
    <definedName name="solver_chc112" localSheetId="6" hidden="1">0</definedName>
    <definedName name="solver_chc113" localSheetId="6" hidden="1">0</definedName>
    <definedName name="solver_chc114" localSheetId="6" hidden="1">0</definedName>
    <definedName name="solver_chc115" localSheetId="6" hidden="1">0</definedName>
    <definedName name="solver_chc116" localSheetId="6" hidden="1">0</definedName>
    <definedName name="solver_chc117" localSheetId="6" hidden="1">0</definedName>
    <definedName name="solver_chc118" localSheetId="6" hidden="1">0</definedName>
    <definedName name="solver_chc119" localSheetId="6" hidden="1">0</definedName>
    <definedName name="solver_chc12" localSheetId="6" hidden="1">0</definedName>
    <definedName name="solver_chc12" localSheetId="11" hidden="1">0</definedName>
    <definedName name="solver_chc120" localSheetId="6" hidden="1">0</definedName>
    <definedName name="solver_chc121" localSheetId="6" hidden="1">0</definedName>
    <definedName name="solver_chc122" localSheetId="6" hidden="1">0</definedName>
    <definedName name="solver_chc123" localSheetId="6" hidden="1">0</definedName>
    <definedName name="solver_chc124" localSheetId="6" hidden="1">0</definedName>
    <definedName name="solver_chc125" localSheetId="6" hidden="1">0</definedName>
    <definedName name="solver_chc126" localSheetId="6" hidden="1">0</definedName>
    <definedName name="solver_chc127" localSheetId="6" hidden="1">0</definedName>
    <definedName name="solver_chc128" localSheetId="6" hidden="1">0</definedName>
    <definedName name="solver_chc129" localSheetId="6" hidden="1">0</definedName>
    <definedName name="solver_chc13" localSheetId="6" hidden="1">0</definedName>
    <definedName name="solver_chc13" localSheetId="11" hidden="1">0</definedName>
    <definedName name="solver_chc130" localSheetId="6" hidden="1">0</definedName>
    <definedName name="solver_chc131" localSheetId="6" hidden="1">0</definedName>
    <definedName name="solver_chc132" localSheetId="6" hidden="1">0</definedName>
    <definedName name="solver_chc133" localSheetId="6" hidden="1">0</definedName>
    <definedName name="solver_chc134" localSheetId="6" hidden="1">0</definedName>
    <definedName name="solver_chc135" localSheetId="6" hidden="1">0</definedName>
    <definedName name="solver_chc136" localSheetId="6" hidden="1">0</definedName>
    <definedName name="solver_chc137" localSheetId="6" hidden="1">0</definedName>
    <definedName name="solver_chc138" localSheetId="6" hidden="1">0</definedName>
    <definedName name="solver_chc139" localSheetId="6" hidden="1">0</definedName>
    <definedName name="solver_chc14" localSheetId="6" hidden="1">0</definedName>
    <definedName name="solver_chc14" localSheetId="11" hidden="1">0</definedName>
    <definedName name="solver_chc140" localSheetId="6" hidden="1">0</definedName>
    <definedName name="solver_chc141" localSheetId="6" hidden="1">0</definedName>
    <definedName name="solver_chc142" localSheetId="6" hidden="1">0</definedName>
    <definedName name="solver_chc143" localSheetId="6" hidden="1">0</definedName>
    <definedName name="solver_chc144" localSheetId="6" hidden="1">0</definedName>
    <definedName name="solver_chc145" localSheetId="6" hidden="1">0</definedName>
    <definedName name="solver_chc146" localSheetId="6" hidden="1">0</definedName>
    <definedName name="solver_chc147" localSheetId="6" hidden="1">0</definedName>
    <definedName name="solver_chc148" localSheetId="6" hidden="1">0</definedName>
    <definedName name="solver_chc149" localSheetId="6" hidden="1">0</definedName>
    <definedName name="solver_chc15" localSheetId="6" hidden="1">0</definedName>
    <definedName name="solver_chc15" localSheetId="11" hidden="1">0</definedName>
    <definedName name="solver_chc150" localSheetId="6" hidden="1">0</definedName>
    <definedName name="solver_chc151" localSheetId="6" hidden="1">0</definedName>
    <definedName name="solver_chc152" localSheetId="6" hidden="1">0</definedName>
    <definedName name="solver_chc153" localSheetId="6" hidden="1">0</definedName>
    <definedName name="solver_chc154" localSheetId="6" hidden="1">0</definedName>
    <definedName name="solver_chc155" localSheetId="6" hidden="1">0</definedName>
    <definedName name="solver_chc156" localSheetId="6" hidden="1">0</definedName>
    <definedName name="solver_chc157" localSheetId="6" hidden="1">0</definedName>
    <definedName name="solver_chc158" localSheetId="6" hidden="1">0</definedName>
    <definedName name="solver_chc159" localSheetId="6" hidden="1">0</definedName>
    <definedName name="solver_chc16" localSheetId="6" hidden="1">0</definedName>
    <definedName name="solver_chc16" localSheetId="11" hidden="1">0</definedName>
    <definedName name="solver_chc160" localSheetId="6" hidden="1">0</definedName>
    <definedName name="solver_chc161" localSheetId="6" hidden="1">0</definedName>
    <definedName name="solver_chc162" localSheetId="6" hidden="1">0</definedName>
    <definedName name="solver_chc163" localSheetId="6" hidden="1">0</definedName>
    <definedName name="solver_chc164" localSheetId="6" hidden="1">0</definedName>
    <definedName name="solver_chc165" localSheetId="6" hidden="1">0</definedName>
    <definedName name="solver_chc166" localSheetId="6" hidden="1">0</definedName>
    <definedName name="solver_chc167" localSheetId="6" hidden="1">0</definedName>
    <definedName name="solver_chc168" localSheetId="6" hidden="1">0</definedName>
    <definedName name="solver_chc169" localSheetId="6" hidden="1">0</definedName>
    <definedName name="solver_chc17" localSheetId="6" hidden="1">0</definedName>
    <definedName name="solver_chc17" localSheetId="11" hidden="1">0</definedName>
    <definedName name="solver_chc170" localSheetId="6" hidden="1">0</definedName>
    <definedName name="solver_chc171" localSheetId="6" hidden="1">0</definedName>
    <definedName name="solver_chc172" localSheetId="6" hidden="1">0</definedName>
    <definedName name="solver_chc173" localSheetId="6" hidden="1">0</definedName>
    <definedName name="solver_chc174" localSheetId="6" hidden="1">0</definedName>
    <definedName name="solver_chc175" localSheetId="6" hidden="1">0</definedName>
    <definedName name="solver_chc176" localSheetId="6" hidden="1">0</definedName>
    <definedName name="solver_chc177" localSheetId="6" hidden="1">0</definedName>
    <definedName name="solver_chc178" localSheetId="6" hidden="1">0</definedName>
    <definedName name="solver_chc179" localSheetId="6" hidden="1">0</definedName>
    <definedName name="solver_chc18" localSheetId="6" hidden="1">0</definedName>
    <definedName name="solver_chc18" localSheetId="11" hidden="1">0</definedName>
    <definedName name="solver_chc180" localSheetId="6" hidden="1">0</definedName>
    <definedName name="solver_chc181" localSheetId="6" hidden="1">0</definedName>
    <definedName name="solver_chc182" localSheetId="6" hidden="1">0</definedName>
    <definedName name="solver_chc183" localSheetId="6" hidden="1">0</definedName>
    <definedName name="solver_chc184" localSheetId="6" hidden="1">0</definedName>
    <definedName name="solver_chc185" localSheetId="6" hidden="1">0</definedName>
    <definedName name="solver_chc186" localSheetId="6" hidden="1">0</definedName>
    <definedName name="solver_chc187" localSheetId="6" hidden="1">0</definedName>
    <definedName name="solver_chc188" localSheetId="6" hidden="1">0</definedName>
    <definedName name="solver_chc189" localSheetId="6" hidden="1">0</definedName>
    <definedName name="solver_chc19" localSheetId="6" hidden="1">0</definedName>
    <definedName name="solver_chc19" localSheetId="11" hidden="1">0</definedName>
    <definedName name="solver_chc190" localSheetId="6" hidden="1">0</definedName>
    <definedName name="solver_chc191" localSheetId="6" hidden="1">0</definedName>
    <definedName name="solver_chc192" localSheetId="6" hidden="1">0</definedName>
    <definedName name="solver_chc193" localSheetId="6" hidden="1">0</definedName>
    <definedName name="solver_chc194" localSheetId="6" hidden="1">0</definedName>
    <definedName name="solver_chc195" localSheetId="6" hidden="1">0</definedName>
    <definedName name="solver_chc196" localSheetId="6" hidden="1">0</definedName>
    <definedName name="solver_chc197" localSheetId="6" hidden="1">0</definedName>
    <definedName name="solver_chc198" localSheetId="6" hidden="1">0</definedName>
    <definedName name="solver_chc199" localSheetId="6" hidden="1">0</definedName>
    <definedName name="solver_chc2" localSheetId="6" hidden="1">0</definedName>
    <definedName name="solver_chc2" localSheetId="11" hidden="1">0</definedName>
    <definedName name="solver_chc20" localSheetId="6" hidden="1">0</definedName>
    <definedName name="solver_chc20" localSheetId="11" hidden="1">0</definedName>
    <definedName name="solver_chc200" localSheetId="6" hidden="1">0</definedName>
    <definedName name="solver_chc201" localSheetId="6" hidden="1">0</definedName>
    <definedName name="solver_chc202" localSheetId="6" hidden="1">0</definedName>
    <definedName name="solver_chc203" localSheetId="6" hidden="1">0</definedName>
    <definedName name="solver_chc204" localSheetId="6" hidden="1">0</definedName>
    <definedName name="solver_chc205" localSheetId="6" hidden="1">0</definedName>
    <definedName name="solver_chc206" localSheetId="6" hidden="1">0</definedName>
    <definedName name="solver_chc207" localSheetId="6" hidden="1">0</definedName>
    <definedName name="solver_chc208" localSheetId="6" hidden="1">0</definedName>
    <definedName name="solver_chc209" localSheetId="6" hidden="1">0</definedName>
    <definedName name="solver_chc21" localSheetId="6" hidden="1">0</definedName>
    <definedName name="solver_chc21" localSheetId="11" hidden="1">0</definedName>
    <definedName name="solver_chc210" localSheetId="6" hidden="1">0</definedName>
    <definedName name="solver_chc211" localSheetId="6" hidden="1">0</definedName>
    <definedName name="solver_chc22" localSheetId="6" hidden="1">0</definedName>
    <definedName name="solver_chc22" localSheetId="11" hidden="1">0</definedName>
    <definedName name="solver_chc23" localSheetId="6" hidden="1">0</definedName>
    <definedName name="solver_chc23" localSheetId="11" hidden="1">0</definedName>
    <definedName name="solver_chc24" localSheetId="6" hidden="1">0</definedName>
    <definedName name="solver_chc24" localSheetId="11" hidden="1">0</definedName>
    <definedName name="solver_chc25" localSheetId="6" hidden="1">0</definedName>
    <definedName name="solver_chc25" localSheetId="11" hidden="1">0</definedName>
    <definedName name="solver_chc26" localSheetId="6" hidden="1">0</definedName>
    <definedName name="solver_chc26" localSheetId="11" hidden="1">0</definedName>
    <definedName name="solver_chc27" localSheetId="6" hidden="1">0</definedName>
    <definedName name="solver_chc27" localSheetId="11" hidden="1">0</definedName>
    <definedName name="solver_chc28" localSheetId="6" hidden="1">0</definedName>
    <definedName name="solver_chc28" localSheetId="11" hidden="1">0</definedName>
    <definedName name="solver_chc29" localSheetId="6" hidden="1">0</definedName>
    <definedName name="solver_chc29" localSheetId="11" hidden="1">0</definedName>
    <definedName name="solver_chc3" localSheetId="6" hidden="1">0</definedName>
    <definedName name="solver_chc3" localSheetId="11" hidden="1">0</definedName>
    <definedName name="solver_chc30" localSheetId="6" hidden="1">0</definedName>
    <definedName name="solver_chc30" localSheetId="11" hidden="1">0</definedName>
    <definedName name="solver_chc31" localSheetId="6" hidden="1">0</definedName>
    <definedName name="solver_chc31" localSheetId="11" hidden="1">0</definedName>
    <definedName name="solver_chc32" localSheetId="6" hidden="1">0</definedName>
    <definedName name="solver_chc32" localSheetId="11" hidden="1">0</definedName>
    <definedName name="solver_chc33" localSheetId="6" hidden="1">0</definedName>
    <definedName name="solver_chc33" localSheetId="11" hidden="1">0</definedName>
    <definedName name="solver_chc34" localSheetId="6" hidden="1">0</definedName>
    <definedName name="solver_chc34" localSheetId="11" hidden="1">0</definedName>
    <definedName name="solver_chc35" localSheetId="6" hidden="1">0</definedName>
    <definedName name="solver_chc35" localSheetId="11" hidden="1">0</definedName>
    <definedName name="solver_chc36" localSheetId="6" hidden="1">0</definedName>
    <definedName name="solver_chc36" localSheetId="11" hidden="1">0</definedName>
    <definedName name="solver_chc37" localSheetId="6" hidden="1">0</definedName>
    <definedName name="solver_chc37" localSheetId="11" hidden="1">0</definedName>
    <definedName name="solver_chc38" localSheetId="6" hidden="1">0</definedName>
    <definedName name="solver_chc38" localSheetId="11" hidden="1">0</definedName>
    <definedName name="solver_chc39" localSheetId="6" hidden="1">0</definedName>
    <definedName name="solver_chc39" localSheetId="11" hidden="1">0</definedName>
    <definedName name="solver_chc4" localSheetId="6" hidden="1">0</definedName>
    <definedName name="solver_chc4" localSheetId="11" hidden="1">0</definedName>
    <definedName name="solver_chc40" localSheetId="6" hidden="1">0</definedName>
    <definedName name="solver_chc40" localSheetId="11" hidden="1">0</definedName>
    <definedName name="solver_chc41" localSheetId="6" hidden="1">0</definedName>
    <definedName name="solver_chc41" localSheetId="11" hidden="1">0</definedName>
    <definedName name="solver_chc42" localSheetId="6" hidden="1">0</definedName>
    <definedName name="solver_chc42" localSheetId="11" hidden="1">0</definedName>
    <definedName name="solver_chc43" localSheetId="6" hidden="1">0</definedName>
    <definedName name="solver_chc43" localSheetId="11" hidden="1">0</definedName>
    <definedName name="solver_chc44" localSheetId="6" hidden="1">0</definedName>
    <definedName name="solver_chc44" localSheetId="11" hidden="1">0</definedName>
    <definedName name="solver_chc45" localSheetId="6" hidden="1">0</definedName>
    <definedName name="solver_chc45" localSheetId="11" hidden="1">0</definedName>
    <definedName name="solver_chc46" localSheetId="6" hidden="1">0</definedName>
    <definedName name="solver_chc46" localSheetId="11" hidden="1">0</definedName>
    <definedName name="solver_chc47" localSheetId="6" hidden="1">0</definedName>
    <definedName name="solver_chc47" localSheetId="11" hidden="1">0</definedName>
    <definedName name="solver_chc48" localSheetId="6" hidden="1">0</definedName>
    <definedName name="solver_chc48" localSheetId="11" hidden="1">0</definedName>
    <definedName name="solver_chc49" localSheetId="6" hidden="1">0</definedName>
    <definedName name="solver_chc49" localSheetId="11" hidden="1">0</definedName>
    <definedName name="solver_chc5" localSheetId="6" hidden="1">0</definedName>
    <definedName name="solver_chc5" localSheetId="11" hidden="1">0</definedName>
    <definedName name="solver_chc50" localSheetId="6" hidden="1">0</definedName>
    <definedName name="solver_chc50" localSheetId="11" hidden="1">0</definedName>
    <definedName name="solver_chc51" localSheetId="6" hidden="1">0</definedName>
    <definedName name="solver_chc51" localSheetId="11" hidden="1">0</definedName>
    <definedName name="solver_chc52" localSheetId="6" hidden="1">0</definedName>
    <definedName name="solver_chc52" localSheetId="11" hidden="1">0</definedName>
    <definedName name="solver_chc53" localSheetId="6" hidden="1">0</definedName>
    <definedName name="solver_chc53" localSheetId="11" hidden="1">0</definedName>
    <definedName name="solver_chc54" localSheetId="6" hidden="1">0</definedName>
    <definedName name="solver_chc54" localSheetId="11" hidden="1">0</definedName>
    <definedName name="solver_chc55" localSheetId="6" hidden="1">0</definedName>
    <definedName name="solver_chc55" localSheetId="11" hidden="1">0</definedName>
    <definedName name="solver_chc56" localSheetId="6" hidden="1">0</definedName>
    <definedName name="solver_chc56" localSheetId="11" hidden="1">0</definedName>
    <definedName name="solver_chc57" localSheetId="6" hidden="1">0</definedName>
    <definedName name="solver_chc57" localSheetId="11" hidden="1">0</definedName>
    <definedName name="solver_chc58" localSheetId="6" hidden="1">0</definedName>
    <definedName name="solver_chc58" localSheetId="11" hidden="1">0</definedName>
    <definedName name="solver_chc59" localSheetId="6" hidden="1">0</definedName>
    <definedName name="solver_chc59" localSheetId="11" hidden="1">0</definedName>
    <definedName name="solver_chc6" localSheetId="6" hidden="1">0</definedName>
    <definedName name="solver_chc6" localSheetId="11" hidden="1">0</definedName>
    <definedName name="solver_chc60" localSheetId="6" hidden="1">0</definedName>
    <definedName name="solver_chc60" localSheetId="11" hidden="1">0</definedName>
    <definedName name="solver_chc61" localSheetId="6" hidden="1">0</definedName>
    <definedName name="solver_chc61" localSheetId="11" hidden="1">0</definedName>
    <definedName name="solver_chc62" localSheetId="6" hidden="1">0</definedName>
    <definedName name="solver_chc62" localSheetId="11" hidden="1">0</definedName>
    <definedName name="solver_chc63" localSheetId="6" hidden="1">0</definedName>
    <definedName name="solver_chc63" localSheetId="11" hidden="1">0</definedName>
    <definedName name="solver_chc64" localSheetId="6" hidden="1">0</definedName>
    <definedName name="solver_chc64" localSheetId="11" hidden="1">0</definedName>
    <definedName name="solver_chc65" localSheetId="6" hidden="1">0</definedName>
    <definedName name="solver_chc65" localSheetId="11" hidden="1">0</definedName>
    <definedName name="solver_chc66" localSheetId="6" hidden="1">0</definedName>
    <definedName name="solver_chc66" localSheetId="11" hidden="1">0</definedName>
    <definedName name="solver_chc67" localSheetId="6" hidden="1">0</definedName>
    <definedName name="solver_chc67" localSheetId="11" hidden="1">0</definedName>
    <definedName name="solver_chc68" localSheetId="6" hidden="1">0</definedName>
    <definedName name="solver_chc68" localSheetId="11" hidden="1">0</definedName>
    <definedName name="solver_chc69" localSheetId="6" hidden="1">0</definedName>
    <definedName name="solver_chc69" localSheetId="11" hidden="1">0</definedName>
    <definedName name="solver_chc7" localSheetId="6" hidden="1">0</definedName>
    <definedName name="solver_chc7" localSheetId="11" hidden="1">0</definedName>
    <definedName name="solver_chc70" localSheetId="6" hidden="1">0</definedName>
    <definedName name="solver_chc70" localSheetId="11" hidden="1">0</definedName>
    <definedName name="solver_chc71" localSheetId="6" hidden="1">0</definedName>
    <definedName name="solver_chc71" localSheetId="11" hidden="1">0</definedName>
    <definedName name="solver_chc72" localSheetId="6" hidden="1">0</definedName>
    <definedName name="solver_chc72" localSheetId="11" hidden="1">0</definedName>
    <definedName name="solver_chc73" localSheetId="6" hidden="1">0</definedName>
    <definedName name="solver_chc73" localSheetId="11" hidden="1">0</definedName>
    <definedName name="solver_chc74" localSheetId="6" hidden="1">0</definedName>
    <definedName name="solver_chc74" localSheetId="11" hidden="1">0</definedName>
    <definedName name="solver_chc75" localSheetId="6" hidden="1">0</definedName>
    <definedName name="solver_chc75" localSheetId="11" hidden="1">0</definedName>
    <definedName name="solver_chc76" localSheetId="6" hidden="1">0</definedName>
    <definedName name="solver_chc76" localSheetId="11" hidden="1">0</definedName>
    <definedName name="solver_chc77" localSheetId="6" hidden="1">0</definedName>
    <definedName name="solver_chc77" localSheetId="11" hidden="1">0</definedName>
    <definedName name="solver_chc78" localSheetId="6" hidden="1">0</definedName>
    <definedName name="solver_chc78" localSheetId="11" hidden="1">0</definedName>
    <definedName name="solver_chc79" localSheetId="6" hidden="1">0</definedName>
    <definedName name="solver_chc79" localSheetId="11" hidden="1">0</definedName>
    <definedName name="solver_chc8" localSheetId="6" hidden="1">0</definedName>
    <definedName name="solver_chc8" localSheetId="11" hidden="1">0</definedName>
    <definedName name="solver_chc80" localSheetId="6" hidden="1">0</definedName>
    <definedName name="solver_chc80" localSheetId="11" hidden="1">0</definedName>
    <definedName name="solver_chc81" localSheetId="6" hidden="1">0</definedName>
    <definedName name="solver_chc81" localSheetId="11" hidden="1">0</definedName>
    <definedName name="solver_chc82" localSheetId="6" hidden="1">0</definedName>
    <definedName name="solver_chc82" localSheetId="11" hidden="1">0</definedName>
    <definedName name="solver_chc83" localSheetId="6" hidden="1">0</definedName>
    <definedName name="solver_chc83" localSheetId="11" hidden="1">0</definedName>
    <definedName name="solver_chc84" localSheetId="6" hidden="1">0</definedName>
    <definedName name="solver_chc84" localSheetId="11" hidden="1">0</definedName>
    <definedName name="solver_chc85" localSheetId="6" hidden="1">0</definedName>
    <definedName name="solver_chc85" localSheetId="11" hidden="1">0</definedName>
    <definedName name="solver_chc86" localSheetId="6" hidden="1">0</definedName>
    <definedName name="solver_chc86" localSheetId="11" hidden="1">0</definedName>
    <definedName name="solver_chc87" localSheetId="6" hidden="1">0</definedName>
    <definedName name="solver_chc87" localSheetId="11" hidden="1">0</definedName>
    <definedName name="solver_chc88" localSheetId="6" hidden="1">0</definedName>
    <definedName name="solver_chc88" localSheetId="11" hidden="1">0</definedName>
    <definedName name="solver_chc89" localSheetId="6" hidden="1">0</definedName>
    <definedName name="solver_chc89" localSheetId="11" hidden="1">0</definedName>
    <definedName name="solver_chc9" localSheetId="6" hidden="1">0</definedName>
    <definedName name="solver_chc9" localSheetId="11" hidden="1">0</definedName>
    <definedName name="solver_chc90" localSheetId="6" hidden="1">0</definedName>
    <definedName name="solver_chc90" localSheetId="11" hidden="1">0</definedName>
    <definedName name="solver_chc91" localSheetId="6" hidden="1">0</definedName>
    <definedName name="solver_chc91" localSheetId="11" hidden="1">0</definedName>
    <definedName name="solver_chc92" localSheetId="6" hidden="1">0</definedName>
    <definedName name="solver_chc92" localSheetId="11" hidden="1">0</definedName>
    <definedName name="solver_chc93" localSheetId="6" hidden="1">0</definedName>
    <definedName name="solver_chc94" localSheetId="6" hidden="1">0</definedName>
    <definedName name="solver_chc95" localSheetId="6" hidden="1">0</definedName>
    <definedName name="solver_chc96" localSheetId="6" hidden="1">0</definedName>
    <definedName name="solver_chc97" localSheetId="6" hidden="1">0</definedName>
    <definedName name="solver_chc98" localSheetId="6" hidden="1">0</definedName>
    <definedName name="solver_chc99" localSheetId="6" hidden="1">0</definedName>
    <definedName name="solver_chn" localSheetId="6" hidden="1">4</definedName>
    <definedName name="solver_chn" localSheetId="11" hidden="1">4</definedName>
    <definedName name="solver_chp1" localSheetId="6" hidden="1">0</definedName>
    <definedName name="solver_chp1" localSheetId="11" hidden="1">0</definedName>
    <definedName name="solver_chp10" localSheetId="6" hidden="1">0</definedName>
    <definedName name="solver_chp10" localSheetId="11" hidden="1">0</definedName>
    <definedName name="solver_chp100" localSheetId="6" hidden="1">0</definedName>
    <definedName name="solver_chp101" localSheetId="6" hidden="1">0</definedName>
    <definedName name="solver_chp102" localSheetId="6" hidden="1">0</definedName>
    <definedName name="solver_chp103" localSheetId="6" hidden="1">0</definedName>
    <definedName name="solver_chp104" localSheetId="6" hidden="1">0</definedName>
    <definedName name="solver_chp105" localSheetId="6" hidden="1">0</definedName>
    <definedName name="solver_chp106" localSheetId="6" hidden="1">0</definedName>
    <definedName name="solver_chp107" localSheetId="6" hidden="1">0</definedName>
    <definedName name="solver_chp108" localSheetId="6" hidden="1">0</definedName>
    <definedName name="solver_chp109" localSheetId="6" hidden="1">0</definedName>
    <definedName name="solver_chp11" localSheetId="6" hidden="1">0</definedName>
    <definedName name="solver_chp11" localSheetId="11" hidden="1">0</definedName>
    <definedName name="solver_chp110" localSheetId="6" hidden="1">0</definedName>
    <definedName name="solver_chp111" localSheetId="6" hidden="1">0</definedName>
    <definedName name="solver_chp112" localSheetId="6" hidden="1">0</definedName>
    <definedName name="solver_chp113" localSheetId="6" hidden="1">0</definedName>
    <definedName name="solver_chp114" localSheetId="6" hidden="1">0</definedName>
    <definedName name="solver_chp115" localSheetId="6" hidden="1">0</definedName>
    <definedName name="solver_chp116" localSheetId="6" hidden="1">0</definedName>
    <definedName name="solver_chp117" localSheetId="6" hidden="1">0</definedName>
    <definedName name="solver_chp118" localSheetId="6" hidden="1">0</definedName>
    <definedName name="solver_chp119" localSheetId="6" hidden="1">0</definedName>
    <definedName name="solver_chp12" localSheetId="6" hidden="1">0</definedName>
    <definedName name="solver_chp12" localSheetId="11" hidden="1">0</definedName>
    <definedName name="solver_chp120" localSheetId="6" hidden="1">0</definedName>
    <definedName name="solver_chp121" localSheetId="6" hidden="1">0</definedName>
    <definedName name="solver_chp122" localSheetId="6" hidden="1">0</definedName>
    <definedName name="solver_chp123" localSheetId="6" hidden="1">0</definedName>
    <definedName name="solver_chp124" localSheetId="6" hidden="1">0</definedName>
    <definedName name="solver_chp125" localSheetId="6" hidden="1">0</definedName>
    <definedName name="solver_chp126" localSheetId="6" hidden="1">0</definedName>
    <definedName name="solver_chp127" localSheetId="6" hidden="1">0</definedName>
    <definedName name="solver_chp128" localSheetId="6" hidden="1">0</definedName>
    <definedName name="solver_chp129" localSheetId="6" hidden="1">0</definedName>
    <definedName name="solver_chp13" localSheetId="6" hidden="1">0</definedName>
    <definedName name="solver_chp13" localSheetId="11" hidden="1">0</definedName>
    <definedName name="solver_chp130" localSheetId="6" hidden="1">0</definedName>
    <definedName name="solver_chp131" localSheetId="6" hidden="1">0</definedName>
    <definedName name="solver_chp132" localSheetId="6" hidden="1">0</definedName>
    <definedName name="solver_chp133" localSheetId="6" hidden="1">0</definedName>
    <definedName name="solver_chp134" localSheetId="6" hidden="1">0</definedName>
    <definedName name="solver_chp135" localSheetId="6" hidden="1">0</definedName>
    <definedName name="solver_chp136" localSheetId="6" hidden="1">0</definedName>
    <definedName name="solver_chp137" localSheetId="6" hidden="1">0</definedName>
    <definedName name="solver_chp138" localSheetId="6" hidden="1">0</definedName>
    <definedName name="solver_chp139" localSheetId="6" hidden="1">0</definedName>
    <definedName name="solver_chp14" localSheetId="6" hidden="1">0</definedName>
    <definedName name="solver_chp14" localSheetId="11" hidden="1">0</definedName>
    <definedName name="solver_chp140" localSheetId="6" hidden="1">0</definedName>
    <definedName name="solver_chp141" localSheetId="6" hidden="1">0</definedName>
    <definedName name="solver_chp142" localSheetId="6" hidden="1">0</definedName>
    <definedName name="solver_chp143" localSheetId="6" hidden="1">0</definedName>
    <definedName name="solver_chp144" localSheetId="6" hidden="1">0</definedName>
    <definedName name="solver_chp145" localSheetId="6" hidden="1">0</definedName>
    <definedName name="solver_chp146" localSheetId="6" hidden="1">0</definedName>
    <definedName name="solver_chp147" localSheetId="6" hidden="1">0</definedName>
    <definedName name="solver_chp148" localSheetId="6" hidden="1">0</definedName>
    <definedName name="solver_chp149" localSheetId="6" hidden="1">0</definedName>
    <definedName name="solver_chp15" localSheetId="6" hidden="1">0</definedName>
    <definedName name="solver_chp15" localSheetId="11" hidden="1">0</definedName>
    <definedName name="solver_chp150" localSheetId="6" hidden="1">0</definedName>
    <definedName name="solver_chp151" localSheetId="6" hidden="1">0</definedName>
    <definedName name="solver_chp152" localSheetId="6" hidden="1">0</definedName>
    <definedName name="solver_chp153" localSheetId="6" hidden="1">0</definedName>
    <definedName name="solver_chp154" localSheetId="6" hidden="1">0</definedName>
    <definedName name="solver_chp155" localSheetId="6" hidden="1">0</definedName>
    <definedName name="solver_chp156" localSheetId="6" hidden="1">0</definedName>
    <definedName name="solver_chp157" localSheetId="6" hidden="1">0</definedName>
    <definedName name="solver_chp158" localSheetId="6" hidden="1">0</definedName>
    <definedName name="solver_chp159" localSheetId="6" hidden="1">0</definedName>
    <definedName name="solver_chp16" localSheetId="6" hidden="1">0</definedName>
    <definedName name="solver_chp16" localSheetId="11" hidden="1">0</definedName>
    <definedName name="solver_chp160" localSheetId="6" hidden="1">0</definedName>
    <definedName name="solver_chp161" localSheetId="6" hidden="1">0</definedName>
    <definedName name="solver_chp162" localSheetId="6" hidden="1">0</definedName>
    <definedName name="solver_chp163" localSheetId="6" hidden="1">0</definedName>
    <definedName name="solver_chp164" localSheetId="6" hidden="1">0</definedName>
    <definedName name="solver_chp165" localSheetId="6" hidden="1">0</definedName>
    <definedName name="solver_chp166" localSheetId="6" hidden="1">0</definedName>
    <definedName name="solver_chp167" localSheetId="6" hidden="1">0</definedName>
    <definedName name="solver_chp168" localSheetId="6" hidden="1">0</definedName>
    <definedName name="solver_chp169" localSheetId="6" hidden="1">0</definedName>
    <definedName name="solver_chp17" localSheetId="6" hidden="1">0</definedName>
    <definedName name="solver_chp17" localSheetId="11" hidden="1">0</definedName>
    <definedName name="solver_chp170" localSheetId="6" hidden="1">0</definedName>
    <definedName name="solver_chp171" localSheetId="6" hidden="1">0</definedName>
    <definedName name="solver_chp172" localSheetId="6" hidden="1">0</definedName>
    <definedName name="solver_chp173" localSheetId="6" hidden="1">0</definedName>
    <definedName name="solver_chp174" localSheetId="6" hidden="1">0</definedName>
    <definedName name="solver_chp175" localSheetId="6" hidden="1">0</definedName>
    <definedName name="solver_chp176" localSheetId="6" hidden="1">0</definedName>
    <definedName name="solver_chp177" localSheetId="6" hidden="1">0</definedName>
    <definedName name="solver_chp178" localSheetId="6" hidden="1">0</definedName>
    <definedName name="solver_chp179" localSheetId="6" hidden="1">0</definedName>
    <definedName name="solver_chp18" localSheetId="6" hidden="1">0</definedName>
    <definedName name="solver_chp18" localSheetId="11" hidden="1">0</definedName>
    <definedName name="solver_chp180" localSheetId="6" hidden="1">0</definedName>
    <definedName name="solver_chp181" localSheetId="6" hidden="1">0</definedName>
    <definedName name="solver_chp182" localSheetId="6" hidden="1">0</definedName>
    <definedName name="solver_chp183" localSheetId="6" hidden="1">0</definedName>
    <definedName name="solver_chp184" localSheetId="6" hidden="1">0</definedName>
    <definedName name="solver_chp185" localSheetId="6" hidden="1">0</definedName>
    <definedName name="solver_chp186" localSheetId="6" hidden="1">0</definedName>
    <definedName name="solver_chp187" localSheetId="6" hidden="1">0</definedName>
    <definedName name="solver_chp188" localSheetId="6" hidden="1">0</definedName>
    <definedName name="solver_chp189" localSheetId="6" hidden="1">0</definedName>
    <definedName name="solver_chp19" localSheetId="6" hidden="1">0</definedName>
    <definedName name="solver_chp19" localSheetId="11" hidden="1">0</definedName>
    <definedName name="solver_chp190" localSheetId="6" hidden="1">0</definedName>
    <definedName name="solver_chp191" localSheetId="6" hidden="1">0</definedName>
    <definedName name="solver_chp192" localSheetId="6" hidden="1">0</definedName>
    <definedName name="solver_chp193" localSheetId="6" hidden="1">0</definedName>
    <definedName name="solver_chp194" localSheetId="6" hidden="1">0</definedName>
    <definedName name="solver_chp195" localSheetId="6" hidden="1">0</definedName>
    <definedName name="solver_chp196" localSheetId="6" hidden="1">0</definedName>
    <definedName name="solver_chp197" localSheetId="6" hidden="1">0</definedName>
    <definedName name="solver_chp198" localSheetId="6" hidden="1">0</definedName>
    <definedName name="solver_chp199" localSheetId="6" hidden="1">0</definedName>
    <definedName name="solver_chp2" localSheetId="6" hidden="1">0</definedName>
    <definedName name="solver_chp2" localSheetId="11" hidden="1">0</definedName>
    <definedName name="solver_chp20" localSheetId="6" hidden="1">0</definedName>
    <definedName name="solver_chp20" localSheetId="11" hidden="1">0</definedName>
    <definedName name="solver_chp200" localSheetId="6" hidden="1">0</definedName>
    <definedName name="solver_chp201" localSheetId="6" hidden="1">0</definedName>
    <definedName name="solver_chp202" localSheetId="6" hidden="1">0</definedName>
    <definedName name="solver_chp203" localSheetId="6" hidden="1">0</definedName>
    <definedName name="solver_chp204" localSheetId="6" hidden="1">0</definedName>
    <definedName name="solver_chp205" localSheetId="6" hidden="1">0</definedName>
    <definedName name="solver_chp206" localSheetId="6" hidden="1">0</definedName>
    <definedName name="solver_chp207" localSheetId="6" hidden="1">0</definedName>
    <definedName name="solver_chp208" localSheetId="6" hidden="1">0</definedName>
    <definedName name="solver_chp209" localSheetId="6" hidden="1">0</definedName>
    <definedName name="solver_chp21" localSheetId="6" hidden="1">0</definedName>
    <definedName name="solver_chp21" localSheetId="11" hidden="1">0</definedName>
    <definedName name="solver_chp210" localSheetId="6" hidden="1">0</definedName>
    <definedName name="solver_chp211" localSheetId="6" hidden="1">0</definedName>
    <definedName name="solver_chp22" localSheetId="6" hidden="1">0</definedName>
    <definedName name="solver_chp22" localSheetId="11" hidden="1">0</definedName>
    <definedName name="solver_chp23" localSheetId="6" hidden="1">0</definedName>
    <definedName name="solver_chp23" localSheetId="11" hidden="1">0</definedName>
    <definedName name="solver_chp24" localSheetId="6" hidden="1">0</definedName>
    <definedName name="solver_chp24" localSheetId="11" hidden="1">0</definedName>
    <definedName name="solver_chp25" localSheetId="6" hidden="1">0</definedName>
    <definedName name="solver_chp25" localSheetId="11" hidden="1">0</definedName>
    <definedName name="solver_chp26" localSheetId="6" hidden="1">0</definedName>
    <definedName name="solver_chp26" localSheetId="11" hidden="1">0</definedName>
    <definedName name="solver_chp27" localSheetId="6" hidden="1">0</definedName>
    <definedName name="solver_chp27" localSheetId="11" hidden="1">0</definedName>
    <definedName name="solver_chp28" localSheetId="6" hidden="1">0</definedName>
    <definedName name="solver_chp28" localSheetId="11" hidden="1">0</definedName>
    <definedName name="solver_chp29" localSheetId="6" hidden="1">0</definedName>
    <definedName name="solver_chp29" localSheetId="11" hidden="1">0</definedName>
    <definedName name="solver_chp3" localSheetId="6" hidden="1">0</definedName>
    <definedName name="solver_chp3" localSheetId="11" hidden="1">0</definedName>
    <definedName name="solver_chp30" localSheetId="6" hidden="1">0</definedName>
    <definedName name="solver_chp30" localSheetId="11" hidden="1">0</definedName>
    <definedName name="solver_chp31" localSheetId="6" hidden="1">0</definedName>
    <definedName name="solver_chp31" localSheetId="11" hidden="1">0</definedName>
    <definedName name="solver_chp32" localSheetId="6" hidden="1">0</definedName>
    <definedName name="solver_chp32" localSheetId="11" hidden="1">0</definedName>
    <definedName name="solver_chp33" localSheetId="6" hidden="1">0</definedName>
    <definedName name="solver_chp33" localSheetId="11" hidden="1">0</definedName>
    <definedName name="solver_chp34" localSheetId="6" hidden="1">0</definedName>
    <definedName name="solver_chp34" localSheetId="11" hidden="1">0</definedName>
    <definedName name="solver_chp35" localSheetId="6" hidden="1">0</definedName>
    <definedName name="solver_chp35" localSheetId="11" hidden="1">0</definedName>
    <definedName name="solver_chp36" localSheetId="6" hidden="1">0</definedName>
    <definedName name="solver_chp36" localSheetId="11" hidden="1">0</definedName>
    <definedName name="solver_chp37" localSheetId="6" hidden="1">0</definedName>
    <definedName name="solver_chp37" localSheetId="11" hidden="1">0</definedName>
    <definedName name="solver_chp38" localSheetId="6" hidden="1">0</definedName>
    <definedName name="solver_chp38" localSheetId="11" hidden="1">0</definedName>
    <definedName name="solver_chp39" localSheetId="6" hidden="1">0</definedName>
    <definedName name="solver_chp39" localSheetId="11" hidden="1">0</definedName>
    <definedName name="solver_chp4" localSheetId="6" hidden="1">0</definedName>
    <definedName name="solver_chp4" localSheetId="11" hidden="1">0</definedName>
    <definedName name="solver_chp40" localSheetId="6" hidden="1">0</definedName>
    <definedName name="solver_chp40" localSheetId="11" hidden="1">0</definedName>
    <definedName name="solver_chp41" localSheetId="6" hidden="1">0</definedName>
    <definedName name="solver_chp41" localSheetId="11" hidden="1">0</definedName>
    <definedName name="solver_chp42" localSheetId="6" hidden="1">0</definedName>
    <definedName name="solver_chp42" localSheetId="11" hidden="1">0</definedName>
    <definedName name="solver_chp43" localSheetId="6" hidden="1">0</definedName>
    <definedName name="solver_chp43" localSheetId="11" hidden="1">0</definedName>
    <definedName name="solver_chp44" localSheetId="6" hidden="1">0</definedName>
    <definedName name="solver_chp44" localSheetId="11" hidden="1">0</definedName>
    <definedName name="solver_chp45" localSheetId="6" hidden="1">0</definedName>
    <definedName name="solver_chp45" localSheetId="11" hidden="1">0</definedName>
    <definedName name="solver_chp46" localSheetId="6" hidden="1">0</definedName>
    <definedName name="solver_chp46" localSheetId="11" hidden="1">0</definedName>
    <definedName name="solver_chp47" localSheetId="6" hidden="1">0</definedName>
    <definedName name="solver_chp47" localSheetId="11" hidden="1">0</definedName>
    <definedName name="solver_chp48" localSheetId="6" hidden="1">0</definedName>
    <definedName name="solver_chp48" localSheetId="11" hidden="1">0</definedName>
    <definedName name="solver_chp49" localSheetId="6" hidden="1">0</definedName>
    <definedName name="solver_chp49" localSheetId="11" hidden="1">0</definedName>
    <definedName name="solver_chp5" localSheetId="6" hidden="1">0</definedName>
    <definedName name="solver_chp5" localSheetId="11" hidden="1">0</definedName>
    <definedName name="solver_chp50" localSheetId="6" hidden="1">0</definedName>
    <definedName name="solver_chp50" localSheetId="11" hidden="1">0</definedName>
    <definedName name="solver_chp51" localSheetId="6" hidden="1">0</definedName>
    <definedName name="solver_chp51" localSheetId="11" hidden="1">0</definedName>
    <definedName name="solver_chp52" localSheetId="6" hidden="1">0</definedName>
    <definedName name="solver_chp52" localSheetId="11" hidden="1">0</definedName>
    <definedName name="solver_chp53" localSheetId="6" hidden="1">0</definedName>
    <definedName name="solver_chp53" localSheetId="11" hidden="1">0</definedName>
    <definedName name="solver_chp54" localSheetId="6" hidden="1">0</definedName>
    <definedName name="solver_chp54" localSheetId="11" hidden="1">0</definedName>
    <definedName name="solver_chp55" localSheetId="6" hidden="1">0</definedName>
    <definedName name="solver_chp55" localSheetId="11" hidden="1">0</definedName>
    <definedName name="solver_chp56" localSheetId="6" hidden="1">0</definedName>
    <definedName name="solver_chp56" localSheetId="11" hidden="1">0</definedName>
    <definedName name="solver_chp57" localSheetId="6" hidden="1">0</definedName>
    <definedName name="solver_chp57" localSheetId="11" hidden="1">0</definedName>
    <definedName name="solver_chp58" localSheetId="6" hidden="1">0</definedName>
    <definedName name="solver_chp58" localSheetId="11" hidden="1">0</definedName>
    <definedName name="solver_chp59" localSheetId="6" hidden="1">0</definedName>
    <definedName name="solver_chp59" localSheetId="11" hidden="1">0</definedName>
    <definedName name="solver_chp6" localSheetId="6" hidden="1">0</definedName>
    <definedName name="solver_chp6" localSheetId="11" hidden="1">0</definedName>
    <definedName name="solver_chp60" localSheetId="6" hidden="1">0</definedName>
    <definedName name="solver_chp60" localSheetId="11" hidden="1">0</definedName>
    <definedName name="solver_chp61" localSheetId="6" hidden="1">0</definedName>
    <definedName name="solver_chp61" localSheetId="11" hidden="1">0</definedName>
    <definedName name="solver_chp62" localSheetId="6" hidden="1">0</definedName>
    <definedName name="solver_chp62" localSheetId="11" hidden="1">0</definedName>
    <definedName name="solver_chp63" localSheetId="6" hidden="1">0</definedName>
    <definedName name="solver_chp63" localSheetId="11" hidden="1">0</definedName>
    <definedName name="solver_chp64" localSheetId="6" hidden="1">0</definedName>
    <definedName name="solver_chp64" localSheetId="11" hidden="1">0</definedName>
    <definedName name="solver_chp65" localSheetId="6" hidden="1">0</definedName>
    <definedName name="solver_chp65" localSheetId="11" hidden="1">0</definedName>
    <definedName name="solver_chp66" localSheetId="6" hidden="1">0</definedName>
    <definedName name="solver_chp66" localSheetId="11" hidden="1">0</definedName>
    <definedName name="solver_chp67" localSheetId="6" hidden="1">0</definedName>
    <definedName name="solver_chp67" localSheetId="11" hidden="1">0</definedName>
    <definedName name="solver_chp68" localSheetId="6" hidden="1">0</definedName>
    <definedName name="solver_chp68" localSheetId="11" hidden="1">0</definedName>
    <definedName name="solver_chp69" localSheetId="6" hidden="1">0</definedName>
    <definedName name="solver_chp69" localSheetId="11" hidden="1">0</definedName>
    <definedName name="solver_chp7" localSheetId="6" hidden="1">0</definedName>
    <definedName name="solver_chp7" localSheetId="11" hidden="1">0</definedName>
    <definedName name="solver_chp70" localSheetId="6" hidden="1">0</definedName>
    <definedName name="solver_chp70" localSheetId="11" hidden="1">0</definedName>
    <definedName name="solver_chp71" localSheetId="6" hidden="1">0</definedName>
    <definedName name="solver_chp71" localSheetId="11" hidden="1">0</definedName>
    <definedName name="solver_chp72" localSheetId="6" hidden="1">0</definedName>
    <definedName name="solver_chp72" localSheetId="11" hidden="1">0</definedName>
    <definedName name="solver_chp73" localSheetId="6" hidden="1">0</definedName>
    <definedName name="solver_chp73" localSheetId="11" hidden="1">0</definedName>
    <definedName name="solver_chp74" localSheetId="6" hidden="1">0</definedName>
    <definedName name="solver_chp74" localSheetId="11" hidden="1">0</definedName>
    <definedName name="solver_chp75" localSheetId="6" hidden="1">0</definedName>
    <definedName name="solver_chp75" localSheetId="11" hidden="1">0</definedName>
    <definedName name="solver_chp76" localSheetId="6" hidden="1">0</definedName>
    <definedName name="solver_chp76" localSheetId="11" hidden="1">0</definedName>
    <definedName name="solver_chp77" localSheetId="6" hidden="1">0</definedName>
    <definedName name="solver_chp77" localSheetId="11" hidden="1">0</definedName>
    <definedName name="solver_chp78" localSheetId="6" hidden="1">0</definedName>
    <definedName name="solver_chp78" localSheetId="11" hidden="1">0</definedName>
    <definedName name="solver_chp79" localSheetId="6" hidden="1">0</definedName>
    <definedName name="solver_chp79" localSheetId="11" hidden="1">0</definedName>
    <definedName name="solver_chp8" localSheetId="6" hidden="1">0</definedName>
    <definedName name="solver_chp8" localSheetId="11" hidden="1">0</definedName>
    <definedName name="solver_chp80" localSheetId="6" hidden="1">0</definedName>
    <definedName name="solver_chp80" localSheetId="11" hidden="1">0</definedName>
    <definedName name="solver_chp81" localSheetId="6" hidden="1">0</definedName>
    <definedName name="solver_chp81" localSheetId="11" hidden="1">0</definedName>
    <definedName name="solver_chp82" localSheetId="6" hidden="1">0</definedName>
    <definedName name="solver_chp82" localSheetId="11" hidden="1">0</definedName>
    <definedName name="solver_chp83" localSheetId="6" hidden="1">0</definedName>
    <definedName name="solver_chp83" localSheetId="11" hidden="1">0</definedName>
    <definedName name="solver_chp84" localSheetId="6" hidden="1">0</definedName>
    <definedName name="solver_chp84" localSheetId="11" hidden="1">0</definedName>
    <definedName name="solver_chp85" localSheetId="6" hidden="1">0</definedName>
    <definedName name="solver_chp85" localSheetId="11" hidden="1">0</definedName>
    <definedName name="solver_chp86" localSheetId="6" hidden="1">0</definedName>
    <definedName name="solver_chp86" localSheetId="11" hidden="1">0</definedName>
    <definedName name="solver_chp87" localSheetId="6" hidden="1">0</definedName>
    <definedName name="solver_chp87" localSheetId="11" hidden="1">0</definedName>
    <definedName name="solver_chp88" localSheetId="6" hidden="1">0</definedName>
    <definedName name="solver_chp88" localSheetId="11" hidden="1">0</definedName>
    <definedName name="solver_chp89" localSheetId="6" hidden="1">0</definedName>
    <definedName name="solver_chp89" localSheetId="11" hidden="1">0</definedName>
    <definedName name="solver_chp9" localSheetId="6" hidden="1">0</definedName>
    <definedName name="solver_chp9" localSheetId="11" hidden="1">0</definedName>
    <definedName name="solver_chp90" localSheetId="6" hidden="1">0</definedName>
    <definedName name="solver_chp90" localSheetId="11" hidden="1">0</definedName>
    <definedName name="solver_chp91" localSheetId="6" hidden="1">0</definedName>
    <definedName name="solver_chp91" localSheetId="11" hidden="1">0</definedName>
    <definedName name="solver_chp92" localSheetId="6" hidden="1">0</definedName>
    <definedName name="solver_chp92" localSheetId="11" hidden="1">0</definedName>
    <definedName name="solver_chp93" localSheetId="6" hidden="1">0</definedName>
    <definedName name="solver_chp94" localSheetId="6" hidden="1">0</definedName>
    <definedName name="solver_chp95" localSheetId="6" hidden="1">0</definedName>
    <definedName name="solver_chp96" localSheetId="6" hidden="1">0</definedName>
    <definedName name="solver_chp97" localSheetId="6" hidden="1">0</definedName>
    <definedName name="solver_chp98" localSheetId="6" hidden="1">0</definedName>
    <definedName name="solver_chp99" localSheetId="6" hidden="1">0</definedName>
    <definedName name="solver_cht" localSheetId="6" hidden="1">0</definedName>
    <definedName name="solver_cht" localSheetId="11" hidden="1">0</definedName>
    <definedName name="solver_cir1" localSheetId="6" hidden="1">1</definedName>
    <definedName name="solver_cir1" localSheetId="11" hidden="1">1</definedName>
    <definedName name="solver_cir10" localSheetId="6" hidden="1">1</definedName>
    <definedName name="solver_cir10" localSheetId="11" hidden="1">1</definedName>
    <definedName name="solver_cir100" localSheetId="6" hidden="1">1</definedName>
    <definedName name="solver_cir101" localSheetId="6" hidden="1">1</definedName>
    <definedName name="solver_cir102" localSheetId="6" hidden="1">1</definedName>
    <definedName name="solver_cir103" localSheetId="6" hidden="1">1</definedName>
    <definedName name="solver_cir104" localSheetId="6" hidden="1">1</definedName>
    <definedName name="solver_cir105" localSheetId="6" hidden="1">1</definedName>
    <definedName name="solver_cir106" localSheetId="6" hidden="1">1</definedName>
    <definedName name="solver_cir107" localSheetId="6" hidden="1">1</definedName>
    <definedName name="solver_cir108" localSheetId="6" hidden="1">1</definedName>
    <definedName name="solver_cir109" localSheetId="6" hidden="1">1</definedName>
    <definedName name="solver_cir11" localSheetId="6" hidden="1">1</definedName>
    <definedName name="solver_cir11" localSheetId="11" hidden="1">1</definedName>
    <definedName name="solver_cir110" localSheetId="6" hidden="1">1</definedName>
    <definedName name="solver_cir111" localSheetId="6" hidden="1">1</definedName>
    <definedName name="solver_cir112" localSheetId="6" hidden="1">1</definedName>
    <definedName name="solver_cir113" localSheetId="6" hidden="1">1</definedName>
    <definedName name="solver_cir114" localSheetId="6" hidden="1">1</definedName>
    <definedName name="solver_cir115" localSheetId="6" hidden="1">1</definedName>
    <definedName name="solver_cir116" localSheetId="6" hidden="1">1</definedName>
    <definedName name="solver_cir117" localSheetId="6" hidden="1">1</definedName>
    <definedName name="solver_cir118" localSheetId="6" hidden="1">1</definedName>
    <definedName name="solver_cir119" localSheetId="6" hidden="1">1</definedName>
    <definedName name="solver_cir12" localSheetId="6" hidden="1">1</definedName>
    <definedName name="solver_cir12" localSheetId="11" hidden="1">1</definedName>
    <definedName name="solver_cir120" localSheetId="6" hidden="1">1</definedName>
    <definedName name="solver_cir121" localSheetId="6" hidden="1">1</definedName>
    <definedName name="solver_cir122" localSheetId="6" hidden="1">1</definedName>
    <definedName name="solver_cir123" localSheetId="6" hidden="1">1</definedName>
    <definedName name="solver_cir124" localSheetId="6" hidden="1">1</definedName>
    <definedName name="solver_cir125" localSheetId="6" hidden="1">1</definedName>
    <definedName name="solver_cir126" localSheetId="6" hidden="1">1</definedName>
    <definedName name="solver_cir127" localSheetId="6" hidden="1">1</definedName>
    <definedName name="solver_cir128" localSheetId="6" hidden="1">1</definedName>
    <definedName name="solver_cir129" localSheetId="6" hidden="1">1</definedName>
    <definedName name="solver_cir13" localSheetId="6" hidden="1">1</definedName>
    <definedName name="solver_cir13" localSheetId="11" hidden="1">1</definedName>
    <definedName name="solver_cir130" localSheetId="6" hidden="1">1</definedName>
    <definedName name="solver_cir131" localSheetId="6" hidden="1">1</definedName>
    <definedName name="solver_cir132" localSheetId="6" hidden="1">1</definedName>
    <definedName name="solver_cir133" localSheetId="6" hidden="1">1</definedName>
    <definedName name="solver_cir134" localSheetId="6" hidden="1">1</definedName>
    <definedName name="solver_cir135" localSheetId="6" hidden="1">1</definedName>
    <definedName name="solver_cir136" localSheetId="6" hidden="1">1</definedName>
    <definedName name="solver_cir137" localSheetId="6" hidden="1">1</definedName>
    <definedName name="solver_cir138" localSheetId="6" hidden="1">1</definedName>
    <definedName name="solver_cir139" localSheetId="6" hidden="1">1</definedName>
    <definedName name="solver_cir14" localSheetId="6" hidden="1">1</definedName>
    <definedName name="solver_cir14" localSheetId="11" hidden="1">1</definedName>
    <definedName name="solver_cir140" localSheetId="6" hidden="1">1</definedName>
    <definedName name="solver_cir141" localSheetId="6" hidden="1">1</definedName>
    <definedName name="solver_cir142" localSheetId="6" hidden="1">1</definedName>
    <definedName name="solver_cir143" localSheetId="6" hidden="1">1</definedName>
    <definedName name="solver_cir144" localSheetId="6" hidden="1">1</definedName>
    <definedName name="solver_cir145" localSheetId="6" hidden="1">1</definedName>
    <definedName name="solver_cir146" localSheetId="6" hidden="1">1</definedName>
    <definedName name="solver_cir147" localSheetId="6" hidden="1">1</definedName>
    <definedName name="solver_cir148" localSheetId="6" hidden="1">1</definedName>
    <definedName name="solver_cir149" localSheetId="6" hidden="1">1</definedName>
    <definedName name="solver_cir15" localSheetId="6" hidden="1">1</definedName>
    <definedName name="solver_cir15" localSheetId="11" hidden="1">1</definedName>
    <definedName name="solver_cir150" localSheetId="6" hidden="1">1</definedName>
    <definedName name="solver_cir151" localSheetId="6" hidden="1">1</definedName>
    <definedName name="solver_cir152" localSheetId="6" hidden="1">1</definedName>
    <definedName name="solver_cir153" localSheetId="6" hidden="1">1</definedName>
    <definedName name="solver_cir154" localSheetId="6" hidden="1">1</definedName>
    <definedName name="solver_cir155" localSheetId="6" hidden="1">1</definedName>
    <definedName name="solver_cir156" localSheetId="6" hidden="1">1</definedName>
    <definedName name="solver_cir157" localSheetId="6" hidden="1">1</definedName>
    <definedName name="solver_cir158" localSheetId="6" hidden="1">1</definedName>
    <definedName name="solver_cir159" localSheetId="6" hidden="1">1</definedName>
    <definedName name="solver_cir16" localSheetId="6" hidden="1">1</definedName>
    <definedName name="solver_cir16" localSheetId="11" hidden="1">1</definedName>
    <definedName name="solver_cir160" localSheetId="6" hidden="1">1</definedName>
    <definedName name="solver_cir161" localSheetId="6" hidden="1">1</definedName>
    <definedName name="solver_cir162" localSheetId="6" hidden="1">1</definedName>
    <definedName name="solver_cir163" localSheetId="6" hidden="1">1</definedName>
    <definedName name="solver_cir164" localSheetId="6" hidden="1">1</definedName>
    <definedName name="solver_cir165" localSheetId="6" hidden="1">1</definedName>
    <definedName name="solver_cir166" localSheetId="6" hidden="1">1</definedName>
    <definedName name="solver_cir167" localSheetId="6" hidden="1">1</definedName>
    <definedName name="solver_cir168" localSheetId="6" hidden="1">1</definedName>
    <definedName name="solver_cir169" localSheetId="6" hidden="1">1</definedName>
    <definedName name="solver_cir17" localSheetId="6" hidden="1">1</definedName>
    <definedName name="solver_cir17" localSheetId="11" hidden="1">1</definedName>
    <definedName name="solver_cir170" localSheetId="6" hidden="1">1</definedName>
    <definedName name="solver_cir171" localSheetId="6" hidden="1">1</definedName>
    <definedName name="solver_cir172" localSheetId="6" hidden="1">1</definedName>
    <definedName name="solver_cir173" localSheetId="6" hidden="1">1</definedName>
    <definedName name="solver_cir174" localSheetId="6" hidden="1">1</definedName>
    <definedName name="solver_cir175" localSheetId="6" hidden="1">1</definedName>
    <definedName name="solver_cir176" localSheetId="6" hidden="1">1</definedName>
    <definedName name="solver_cir177" localSheetId="6" hidden="1">1</definedName>
    <definedName name="solver_cir178" localSheetId="6" hidden="1">1</definedName>
    <definedName name="solver_cir179" localSheetId="6" hidden="1">1</definedName>
    <definedName name="solver_cir18" localSheetId="6" hidden="1">1</definedName>
    <definedName name="solver_cir18" localSheetId="11" hidden="1">1</definedName>
    <definedName name="solver_cir180" localSheetId="6" hidden="1">1</definedName>
    <definedName name="solver_cir181" localSheetId="6" hidden="1">1</definedName>
    <definedName name="solver_cir182" localSheetId="6" hidden="1">1</definedName>
    <definedName name="solver_cir183" localSheetId="6" hidden="1">1</definedName>
    <definedName name="solver_cir184" localSheetId="6" hidden="1">1</definedName>
    <definedName name="solver_cir185" localSheetId="6" hidden="1">1</definedName>
    <definedName name="solver_cir186" localSheetId="6" hidden="1">1</definedName>
    <definedName name="solver_cir187" localSheetId="6" hidden="1">1</definedName>
    <definedName name="solver_cir188" localSheetId="6" hidden="1">1</definedName>
    <definedName name="solver_cir189" localSheetId="6" hidden="1">1</definedName>
    <definedName name="solver_cir19" localSheetId="6" hidden="1">1</definedName>
    <definedName name="solver_cir19" localSheetId="11" hidden="1">1</definedName>
    <definedName name="solver_cir190" localSheetId="6" hidden="1">1</definedName>
    <definedName name="solver_cir191" localSheetId="6" hidden="1">1</definedName>
    <definedName name="solver_cir192" localSheetId="6" hidden="1">1</definedName>
    <definedName name="solver_cir193" localSheetId="6" hidden="1">1</definedName>
    <definedName name="solver_cir194" localSheetId="6" hidden="1">1</definedName>
    <definedName name="solver_cir195" localSheetId="6" hidden="1">1</definedName>
    <definedName name="solver_cir196" localSheetId="6" hidden="1">1</definedName>
    <definedName name="solver_cir197" localSheetId="6" hidden="1">1</definedName>
    <definedName name="solver_cir198" localSheetId="6" hidden="1">1</definedName>
    <definedName name="solver_cir199" localSheetId="6" hidden="1">1</definedName>
    <definedName name="solver_cir2" localSheetId="6" hidden="1">1</definedName>
    <definedName name="solver_cir2" localSheetId="11" hidden="1">1</definedName>
    <definedName name="solver_cir20" localSheetId="6" hidden="1">1</definedName>
    <definedName name="solver_cir20" localSheetId="11" hidden="1">1</definedName>
    <definedName name="solver_cir200" localSheetId="6" hidden="1">1</definedName>
    <definedName name="solver_cir201" localSheetId="6" hidden="1">1</definedName>
    <definedName name="solver_cir202" localSheetId="6" hidden="1">1</definedName>
    <definedName name="solver_cir203" localSheetId="6" hidden="1">1</definedName>
    <definedName name="solver_cir204" localSheetId="6" hidden="1">1</definedName>
    <definedName name="solver_cir205" localSheetId="6" hidden="1">1</definedName>
    <definedName name="solver_cir206" localSheetId="6" hidden="1">1</definedName>
    <definedName name="solver_cir207" localSheetId="6" hidden="1">1</definedName>
    <definedName name="solver_cir208" localSheetId="6" hidden="1">1</definedName>
    <definedName name="solver_cir209" localSheetId="6" hidden="1">1</definedName>
    <definedName name="solver_cir21" localSheetId="6" hidden="1">1</definedName>
    <definedName name="solver_cir21" localSheetId="11" hidden="1">1</definedName>
    <definedName name="solver_cir210" localSheetId="6" hidden="1">1</definedName>
    <definedName name="solver_cir211" localSheetId="6" hidden="1">1</definedName>
    <definedName name="solver_cir22" localSheetId="6" hidden="1">1</definedName>
    <definedName name="solver_cir22" localSheetId="11" hidden="1">1</definedName>
    <definedName name="solver_cir23" localSheetId="6" hidden="1">1</definedName>
    <definedName name="solver_cir23" localSheetId="11" hidden="1">1</definedName>
    <definedName name="solver_cir24" localSheetId="6" hidden="1">1</definedName>
    <definedName name="solver_cir24" localSheetId="11" hidden="1">1</definedName>
    <definedName name="solver_cir25" localSheetId="6" hidden="1">1</definedName>
    <definedName name="solver_cir25" localSheetId="11" hidden="1">1</definedName>
    <definedName name="solver_cir26" localSheetId="6" hidden="1">1</definedName>
    <definedName name="solver_cir26" localSheetId="11" hidden="1">1</definedName>
    <definedName name="solver_cir27" localSheetId="6" hidden="1">1</definedName>
    <definedName name="solver_cir27" localSheetId="11" hidden="1">1</definedName>
    <definedName name="solver_cir28" localSheetId="6" hidden="1">1</definedName>
    <definedName name="solver_cir28" localSheetId="11" hidden="1">1</definedName>
    <definedName name="solver_cir29" localSheetId="6" hidden="1">1</definedName>
    <definedName name="solver_cir29" localSheetId="11" hidden="1">1</definedName>
    <definedName name="solver_cir3" localSheetId="6" hidden="1">1</definedName>
    <definedName name="solver_cir3" localSheetId="11" hidden="1">1</definedName>
    <definedName name="solver_cir30" localSheetId="6" hidden="1">1</definedName>
    <definedName name="solver_cir30" localSheetId="11" hidden="1">1</definedName>
    <definedName name="solver_cir31" localSheetId="6" hidden="1">1</definedName>
    <definedName name="solver_cir31" localSheetId="11" hidden="1">1</definedName>
    <definedName name="solver_cir32" localSheetId="6" hidden="1">1</definedName>
    <definedName name="solver_cir32" localSheetId="11" hidden="1">1</definedName>
    <definedName name="solver_cir33" localSheetId="6" hidden="1">1</definedName>
    <definedName name="solver_cir33" localSheetId="11" hidden="1">1</definedName>
    <definedName name="solver_cir34" localSheetId="6" hidden="1">1</definedName>
    <definedName name="solver_cir34" localSheetId="11" hidden="1">1</definedName>
    <definedName name="solver_cir35" localSheetId="6" hidden="1">1</definedName>
    <definedName name="solver_cir35" localSheetId="11" hidden="1">1</definedName>
    <definedName name="solver_cir36" localSheetId="6" hidden="1">1</definedName>
    <definedName name="solver_cir36" localSheetId="11" hidden="1">1</definedName>
    <definedName name="solver_cir37" localSheetId="6" hidden="1">1</definedName>
    <definedName name="solver_cir37" localSheetId="11" hidden="1">1</definedName>
    <definedName name="solver_cir38" localSheetId="6" hidden="1">1</definedName>
    <definedName name="solver_cir38" localSheetId="11" hidden="1">1</definedName>
    <definedName name="solver_cir39" localSheetId="6" hidden="1">1</definedName>
    <definedName name="solver_cir39" localSheetId="11" hidden="1">1</definedName>
    <definedName name="solver_cir4" localSheetId="6" hidden="1">1</definedName>
    <definedName name="solver_cir4" localSheetId="11" hidden="1">1</definedName>
    <definedName name="solver_cir40" localSheetId="6" hidden="1">1</definedName>
    <definedName name="solver_cir40" localSheetId="11" hidden="1">1</definedName>
    <definedName name="solver_cir41" localSheetId="6" hidden="1">1</definedName>
    <definedName name="solver_cir41" localSheetId="11" hidden="1">1</definedName>
    <definedName name="solver_cir42" localSheetId="6" hidden="1">1</definedName>
    <definedName name="solver_cir42" localSheetId="11" hidden="1">1</definedName>
    <definedName name="solver_cir43" localSheetId="6" hidden="1">1</definedName>
    <definedName name="solver_cir43" localSheetId="11" hidden="1">1</definedName>
    <definedName name="solver_cir44" localSheetId="6" hidden="1">1</definedName>
    <definedName name="solver_cir44" localSheetId="11" hidden="1">1</definedName>
    <definedName name="solver_cir45" localSheetId="6" hidden="1">1</definedName>
    <definedName name="solver_cir45" localSheetId="11" hidden="1">1</definedName>
    <definedName name="solver_cir46" localSheetId="6" hidden="1">1</definedName>
    <definedName name="solver_cir46" localSheetId="11" hidden="1">1</definedName>
    <definedName name="solver_cir47" localSheetId="6" hidden="1">1</definedName>
    <definedName name="solver_cir47" localSheetId="11" hidden="1">1</definedName>
    <definedName name="solver_cir48" localSheetId="6" hidden="1">1</definedName>
    <definedName name="solver_cir48" localSheetId="11" hidden="1">1</definedName>
    <definedName name="solver_cir49" localSheetId="6" hidden="1">1</definedName>
    <definedName name="solver_cir49" localSheetId="11" hidden="1">1</definedName>
    <definedName name="solver_cir5" localSheetId="6" hidden="1">1</definedName>
    <definedName name="solver_cir5" localSheetId="11" hidden="1">1</definedName>
    <definedName name="solver_cir50" localSheetId="6" hidden="1">1</definedName>
    <definedName name="solver_cir50" localSheetId="11" hidden="1">1</definedName>
    <definedName name="solver_cir51" localSheetId="6" hidden="1">1</definedName>
    <definedName name="solver_cir51" localSheetId="11" hidden="1">1</definedName>
    <definedName name="solver_cir52" localSheetId="6" hidden="1">1</definedName>
    <definedName name="solver_cir52" localSheetId="11" hidden="1">1</definedName>
    <definedName name="solver_cir53" localSheetId="6" hidden="1">1</definedName>
    <definedName name="solver_cir53" localSheetId="11" hidden="1">1</definedName>
    <definedName name="solver_cir54" localSheetId="6" hidden="1">1</definedName>
    <definedName name="solver_cir54" localSheetId="11" hidden="1">1</definedName>
    <definedName name="solver_cir55" localSheetId="6" hidden="1">1</definedName>
    <definedName name="solver_cir55" localSheetId="11" hidden="1">1</definedName>
    <definedName name="solver_cir56" localSheetId="6" hidden="1">1</definedName>
    <definedName name="solver_cir56" localSheetId="11" hidden="1">1</definedName>
    <definedName name="solver_cir57" localSheetId="6" hidden="1">1</definedName>
    <definedName name="solver_cir57" localSheetId="11" hidden="1">1</definedName>
    <definedName name="solver_cir58" localSheetId="6" hidden="1">1</definedName>
    <definedName name="solver_cir58" localSheetId="11" hidden="1">1</definedName>
    <definedName name="solver_cir59" localSheetId="6" hidden="1">1</definedName>
    <definedName name="solver_cir59" localSheetId="11" hidden="1">1</definedName>
    <definedName name="solver_cir6" localSheetId="6" hidden="1">1</definedName>
    <definedName name="solver_cir6" localSheetId="11" hidden="1">1</definedName>
    <definedName name="solver_cir60" localSheetId="6" hidden="1">1</definedName>
    <definedName name="solver_cir60" localSheetId="11" hidden="1">1</definedName>
    <definedName name="solver_cir61" localSheetId="6" hidden="1">1</definedName>
    <definedName name="solver_cir61" localSheetId="11" hidden="1">1</definedName>
    <definedName name="solver_cir62" localSheetId="6" hidden="1">1</definedName>
    <definedName name="solver_cir62" localSheetId="11" hidden="1">1</definedName>
    <definedName name="solver_cir63" localSheetId="6" hidden="1">1</definedName>
    <definedName name="solver_cir63" localSheetId="11" hidden="1">1</definedName>
    <definedName name="solver_cir64" localSheetId="6" hidden="1">1</definedName>
    <definedName name="solver_cir64" localSheetId="11" hidden="1">1</definedName>
    <definedName name="solver_cir65" localSheetId="6" hidden="1">1</definedName>
    <definedName name="solver_cir65" localSheetId="11" hidden="1">1</definedName>
    <definedName name="solver_cir66" localSheetId="6" hidden="1">1</definedName>
    <definedName name="solver_cir66" localSheetId="11" hidden="1">1</definedName>
    <definedName name="solver_cir67" localSheetId="6" hidden="1">1</definedName>
    <definedName name="solver_cir67" localSheetId="11" hidden="1">1</definedName>
    <definedName name="solver_cir68" localSheetId="6" hidden="1">1</definedName>
    <definedName name="solver_cir68" localSheetId="11" hidden="1">1</definedName>
    <definedName name="solver_cir69" localSheetId="6" hidden="1">1</definedName>
    <definedName name="solver_cir69" localSheetId="11" hidden="1">1</definedName>
    <definedName name="solver_cir7" localSheetId="6" hidden="1">1</definedName>
    <definedName name="solver_cir7" localSheetId="11" hidden="1">1</definedName>
    <definedName name="solver_cir70" localSheetId="6" hidden="1">1</definedName>
    <definedName name="solver_cir70" localSheetId="11" hidden="1">1</definedName>
    <definedName name="solver_cir71" localSheetId="6" hidden="1">1</definedName>
    <definedName name="solver_cir71" localSheetId="11" hidden="1">1</definedName>
    <definedName name="solver_cir72" localSheetId="6" hidden="1">1</definedName>
    <definedName name="solver_cir72" localSheetId="11" hidden="1">1</definedName>
    <definedName name="solver_cir73" localSheetId="6" hidden="1">1</definedName>
    <definedName name="solver_cir73" localSheetId="11" hidden="1">1</definedName>
    <definedName name="solver_cir74" localSheetId="6" hidden="1">1</definedName>
    <definedName name="solver_cir74" localSheetId="11" hidden="1">1</definedName>
    <definedName name="solver_cir75" localSheetId="6" hidden="1">1</definedName>
    <definedName name="solver_cir75" localSheetId="11" hidden="1">1</definedName>
    <definedName name="solver_cir76" localSheetId="6" hidden="1">1</definedName>
    <definedName name="solver_cir76" localSheetId="11" hidden="1">1</definedName>
    <definedName name="solver_cir77" localSheetId="6" hidden="1">1</definedName>
    <definedName name="solver_cir77" localSheetId="11" hidden="1">1</definedName>
    <definedName name="solver_cir78" localSheetId="6" hidden="1">1</definedName>
    <definedName name="solver_cir78" localSheetId="11" hidden="1">1</definedName>
    <definedName name="solver_cir79" localSheetId="6" hidden="1">1</definedName>
    <definedName name="solver_cir79" localSheetId="11" hidden="1">1</definedName>
    <definedName name="solver_cir8" localSheetId="6" hidden="1">1</definedName>
    <definedName name="solver_cir8" localSheetId="11" hidden="1">1</definedName>
    <definedName name="solver_cir80" localSheetId="6" hidden="1">1</definedName>
    <definedName name="solver_cir80" localSheetId="11" hidden="1">1</definedName>
    <definedName name="solver_cir81" localSheetId="6" hidden="1">1</definedName>
    <definedName name="solver_cir81" localSheetId="11" hidden="1">1</definedName>
    <definedName name="solver_cir82" localSheetId="6" hidden="1">1</definedName>
    <definedName name="solver_cir82" localSheetId="11" hidden="1">1</definedName>
    <definedName name="solver_cir83" localSheetId="6" hidden="1">1</definedName>
    <definedName name="solver_cir83" localSheetId="11" hidden="1">1</definedName>
    <definedName name="solver_cir84" localSheetId="6" hidden="1">1</definedName>
    <definedName name="solver_cir84" localSheetId="11" hidden="1">1</definedName>
    <definedName name="solver_cir85" localSheetId="6" hidden="1">1</definedName>
    <definedName name="solver_cir85" localSheetId="11" hidden="1">1</definedName>
    <definedName name="solver_cir86" localSheetId="6" hidden="1">1</definedName>
    <definedName name="solver_cir86" localSheetId="11" hidden="1">1</definedName>
    <definedName name="solver_cir87" localSheetId="6" hidden="1">1</definedName>
    <definedName name="solver_cir87" localSheetId="11" hidden="1">1</definedName>
    <definedName name="solver_cir88" localSheetId="6" hidden="1">1</definedName>
    <definedName name="solver_cir88" localSheetId="11" hidden="1">1</definedName>
    <definedName name="solver_cir89" localSheetId="6" hidden="1">1</definedName>
    <definedName name="solver_cir89" localSheetId="11" hidden="1">1</definedName>
    <definedName name="solver_cir9" localSheetId="6" hidden="1">1</definedName>
    <definedName name="solver_cir9" localSheetId="11" hidden="1">1</definedName>
    <definedName name="solver_cir90" localSheetId="6" hidden="1">1</definedName>
    <definedName name="solver_cir90" localSheetId="11" hidden="1">1</definedName>
    <definedName name="solver_cir91" localSheetId="6" hidden="1">1</definedName>
    <definedName name="solver_cir91" localSheetId="11" hidden="1">1</definedName>
    <definedName name="solver_cir92" localSheetId="6" hidden="1">1</definedName>
    <definedName name="solver_cir92" localSheetId="11" hidden="1">1</definedName>
    <definedName name="solver_cir93" localSheetId="6" hidden="1">1</definedName>
    <definedName name="solver_cir94" localSheetId="6" hidden="1">1</definedName>
    <definedName name="solver_cir95" localSheetId="6" hidden="1">1</definedName>
    <definedName name="solver_cir96" localSheetId="6" hidden="1">1</definedName>
    <definedName name="solver_cir97" localSheetId="6" hidden="1">1</definedName>
    <definedName name="solver_cir98" localSheetId="6" hidden="1">1</definedName>
    <definedName name="solver_cir99" localSheetId="6" hidden="1">1</definedName>
    <definedName name="solver_con1" localSheetId="6" hidden="1">" "</definedName>
    <definedName name="solver_con1" localSheetId="11" hidden="1">" "</definedName>
    <definedName name="solver_con10" localSheetId="6" hidden="1">" "</definedName>
    <definedName name="solver_con10" localSheetId="11" hidden="1">" "</definedName>
    <definedName name="solver_con100" localSheetId="6" hidden="1">" "</definedName>
    <definedName name="solver_con101" localSheetId="6" hidden="1">" "</definedName>
    <definedName name="solver_con102" localSheetId="6" hidden="1">" "</definedName>
    <definedName name="solver_con103" localSheetId="6" hidden="1">" "</definedName>
    <definedName name="solver_con104" localSheetId="6" hidden="1">" "</definedName>
    <definedName name="solver_con105" localSheetId="6" hidden="1">" "</definedName>
    <definedName name="solver_con106" localSheetId="6" hidden="1">" "</definedName>
    <definedName name="solver_con107" localSheetId="6" hidden="1">" "</definedName>
    <definedName name="solver_con108" localSheetId="6" hidden="1">" "</definedName>
    <definedName name="solver_con109" localSheetId="6" hidden="1">" "</definedName>
    <definedName name="solver_con11" localSheetId="6" hidden="1">" "</definedName>
    <definedName name="solver_con11" localSheetId="11" hidden="1">" "</definedName>
    <definedName name="solver_con110" localSheetId="6" hidden="1">" "</definedName>
    <definedName name="solver_con111" localSheetId="6" hidden="1">" "</definedName>
    <definedName name="solver_con112" localSheetId="6" hidden="1">" "</definedName>
    <definedName name="solver_con113" localSheetId="6" hidden="1">" "</definedName>
    <definedName name="solver_con114" localSheetId="6" hidden="1">" "</definedName>
    <definedName name="solver_con115" localSheetId="6" hidden="1">" "</definedName>
    <definedName name="solver_con116" localSheetId="6" hidden="1">" "</definedName>
    <definedName name="solver_con117" localSheetId="6" hidden="1">" "</definedName>
    <definedName name="solver_con118" localSheetId="6" hidden="1">" "</definedName>
    <definedName name="solver_con119" localSheetId="6" hidden="1">" "</definedName>
    <definedName name="solver_con12" localSheetId="6" hidden="1">" "</definedName>
    <definedName name="solver_con12" localSheetId="11" hidden="1">" "</definedName>
    <definedName name="solver_con120" localSheetId="6" hidden="1">" "</definedName>
    <definedName name="solver_con121" localSheetId="6" hidden="1">" "</definedName>
    <definedName name="solver_con122" localSheetId="6" hidden="1">" "</definedName>
    <definedName name="solver_con123" localSheetId="6" hidden="1">" "</definedName>
    <definedName name="solver_con124" localSheetId="6" hidden="1">" "</definedName>
    <definedName name="solver_con125" localSheetId="6" hidden="1">" "</definedName>
    <definedName name="solver_con126" localSheetId="6" hidden="1">" "</definedName>
    <definedName name="solver_con127" localSheetId="6" hidden="1">" "</definedName>
    <definedName name="solver_con128" localSheetId="6" hidden="1">" "</definedName>
    <definedName name="solver_con129" localSheetId="6" hidden="1">" "</definedName>
    <definedName name="solver_con13" localSheetId="6" hidden="1">" "</definedName>
    <definedName name="solver_con13" localSheetId="11" hidden="1">" "</definedName>
    <definedName name="solver_con130" localSheetId="6" hidden="1">" "</definedName>
    <definedName name="solver_con131" localSheetId="6" hidden="1">" "</definedName>
    <definedName name="solver_con132" localSheetId="6" hidden="1">" "</definedName>
    <definedName name="solver_con133" localSheetId="6" hidden="1">" "</definedName>
    <definedName name="solver_con134" localSheetId="6" hidden="1">" "</definedName>
    <definedName name="solver_con135" localSheetId="6" hidden="1">" "</definedName>
    <definedName name="solver_con136" localSheetId="6" hidden="1">" "</definedName>
    <definedName name="solver_con137" localSheetId="6" hidden="1">" "</definedName>
    <definedName name="solver_con138" localSheetId="6" hidden="1">" "</definedName>
    <definedName name="solver_con139" localSheetId="6" hidden="1">" "</definedName>
    <definedName name="solver_con14" localSheetId="6" hidden="1">" "</definedName>
    <definedName name="solver_con14" localSheetId="11" hidden="1">" "</definedName>
    <definedName name="solver_con140" localSheetId="6" hidden="1">" "</definedName>
    <definedName name="solver_con141" localSheetId="6" hidden="1">" "</definedName>
    <definedName name="solver_con142" localSheetId="6" hidden="1">" "</definedName>
    <definedName name="solver_con143" localSheetId="6" hidden="1">" "</definedName>
    <definedName name="solver_con144" localSheetId="6" hidden="1">" "</definedName>
    <definedName name="solver_con145" localSheetId="6" hidden="1">" "</definedName>
    <definedName name="solver_con146" localSheetId="6" hidden="1">" "</definedName>
    <definedName name="solver_con147" localSheetId="6" hidden="1">" "</definedName>
    <definedName name="solver_con148" localSheetId="6" hidden="1">" "</definedName>
    <definedName name="solver_con149" localSheetId="6" hidden="1">" "</definedName>
    <definedName name="solver_con15" localSheetId="6" hidden="1">" "</definedName>
    <definedName name="solver_con15" localSheetId="11" hidden="1">" "</definedName>
    <definedName name="solver_con150" localSheetId="6" hidden="1">" "</definedName>
    <definedName name="solver_con151" localSheetId="6" hidden="1">" "</definedName>
    <definedName name="solver_con152" localSheetId="6" hidden="1">" "</definedName>
    <definedName name="solver_con153" localSheetId="6" hidden="1">" "</definedName>
    <definedName name="solver_con154" localSheetId="6" hidden="1">" "</definedName>
    <definedName name="solver_con155" localSheetId="6" hidden="1">" "</definedName>
    <definedName name="solver_con156" localSheetId="6" hidden="1">" "</definedName>
    <definedName name="solver_con157" localSheetId="6" hidden="1">" "</definedName>
    <definedName name="solver_con158" localSheetId="6" hidden="1">" "</definedName>
    <definedName name="solver_con159" localSheetId="6" hidden="1">" "</definedName>
    <definedName name="solver_con16" localSheetId="6" hidden="1">" "</definedName>
    <definedName name="solver_con16" localSheetId="11" hidden="1">" "</definedName>
    <definedName name="solver_con160" localSheetId="6" hidden="1">" "</definedName>
    <definedName name="solver_con161" localSheetId="6" hidden="1">" "</definedName>
    <definedName name="solver_con162" localSheetId="6" hidden="1">" "</definedName>
    <definedName name="solver_con163" localSheetId="6" hidden="1">" "</definedName>
    <definedName name="solver_con164" localSheetId="6" hidden="1">" "</definedName>
    <definedName name="solver_con165" localSheetId="6" hidden="1">" "</definedName>
    <definedName name="solver_con166" localSheetId="6" hidden="1">" "</definedName>
    <definedName name="solver_con167" localSheetId="6" hidden="1">" "</definedName>
    <definedName name="solver_con168" localSheetId="6" hidden="1">" "</definedName>
    <definedName name="solver_con169" localSheetId="6" hidden="1">" "</definedName>
    <definedName name="solver_con17" localSheetId="6" hidden="1">" "</definedName>
    <definedName name="solver_con17" localSheetId="11" hidden="1">" "</definedName>
    <definedName name="solver_con170" localSheetId="6" hidden="1">" "</definedName>
    <definedName name="solver_con171" localSheetId="6" hidden="1">" "</definedName>
    <definedName name="solver_con172" localSheetId="6" hidden="1">" "</definedName>
    <definedName name="solver_con173" localSheetId="6" hidden="1">" "</definedName>
    <definedName name="solver_con174" localSheetId="6" hidden="1">" "</definedName>
    <definedName name="solver_con175" localSheetId="6" hidden="1">" "</definedName>
    <definedName name="solver_con176" localSheetId="6" hidden="1">" "</definedName>
    <definedName name="solver_con177" localSheetId="6" hidden="1">" "</definedName>
    <definedName name="solver_con178" localSheetId="6" hidden="1">" "</definedName>
    <definedName name="solver_con179" localSheetId="6" hidden="1">" "</definedName>
    <definedName name="solver_con18" localSheetId="6" hidden="1">" "</definedName>
    <definedName name="solver_con18" localSheetId="11" hidden="1">" "</definedName>
    <definedName name="solver_con180" localSheetId="6" hidden="1">" "</definedName>
    <definedName name="solver_con181" localSheetId="6" hidden="1">" "</definedName>
    <definedName name="solver_con182" localSheetId="6" hidden="1">" "</definedName>
    <definedName name="solver_con183" localSheetId="6" hidden="1">" "</definedName>
    <definedName name="solver_con184" localSheetId="6" hidden="1">" "</definedName>
    <definedName name="solver_con185" localSheetId="6" hidden="1">" "</definedName>
    <definedName name="solver_con186" localSheetId="6" hidden="1">" "</definedName>
    <definedName name="solver_con187" localSheetId="6" hidden="1">" "</definedName>
    <definedName name="solver_con188" localSheetId="6" hidden="1">" "</definedName>
    <definedName name="solver_con189" localSheetId="6" hidden="1">" "</definedName>
    <definedName name="solver_con19" localSheetId="6" hidden="1">" "</definedName>
    <definedName name="solver_con19" localSheetId="11" hidden="1">" "</definedName>
    <definedName name="solver_con190" localSheetId="6" hidden="1">" "</definedName>
    <definedName name="solver_con191" localSheetId="6" hidden="1">" "</definedName>
    <definedName name="solver_con192" localSheetId="6" hidden="1">" "</definedName>
    <definedName name="solver_con193" localSheetId="6" hidden="1">" "</definedName>
    <definedName name="solver_con194" localSheetId="6" hidden="1">" "</definedName>
    <definedName name="solver_con195" localSheetId="6" hidden="1">" "</definedName>
    <definedName name="solver_con196" localSheetId="6" hidden="1">" "</definedName>
    <definedName name="solver_con197" localSheetId="6" hidden="1">" "</definedName>
    <definedName name="solver_con198" localSheetId="6" hidden="1">" "</definedName>
    <definedName name="solver_con199" localSheetId="6" hidden="1">" "</definedName>
    <definedName name="solver_con2" localSheetId="6" hidden="1">" "</definedName>
    <definedName name="solver_con2" localSheetId="11" hidden="1">" "</definedName>
    <definedName name="solver_con20" localSheetId="6" hidden="1">" "</definedName>
    <definedName name="solver_con20" localSheetId="11" hidden="1">" "</definedName>
    <definedName name="solver_con200" localSheetId="6" hidden="1">" "</definedName>
    <definedName name="solver_con201" localSheetId="6" hidden="1">" "</definedName>
    <definedName name="solver_con202" localSheetId="6" hidden="1">" "</definedName>
    <definedName name="solver_con203" localSheetId="6" hidden="1">" "</definedName>
    <definedName name="solver_con204" localSheetId="6" hidden="1">" "</definedName>
    <definedName name="solver_con205" localSheetId="6" hidden="1">" "</definedName>
    <definedName name="solver_con206" localSheetId="6" hidden="1">" "</definedName>
    <definedName name="solver_con207" localSheetId="6" hidden="1">" "</definedName>
    <definedName name="solver_con208" localSheetId="6" hidden="1">" "</definedName>
    <definedName name="solver_con209" localSheetId="6" hidden="1">" "</definedName>
    <definedName name="solver_con21" localSheetId="6" hidden="1">" "</definedName>
    <definedName name="solver_con21" localSheetId="11" hidden="1">" "</definedName>
    <definedName name="solver_con210" localSheetId="6" hidden="1">" "</definedName>
    <definedName name="solver_con211" localSheetId="6" hidden="1">" "</definedName>
    <definedName name="solver_con22" localSheetId="6" hidden="1">" "</definedName>
    <definedName name="solver_con22" localSheetId="11" hidden="1">" "</definedName>
    <definedName name="solver_con23" localSheetId="6" hidden="1">" "</definedName>
    <definedName name="solver_con23" localSheetId="11" hidden="1">" "</definedName>
    <definedName name="solver_con24" localSheetId="6" hidden="1">" "</definedName>
    <definedName name="solver_con24" localSheetId="11" hidden="1">" "</definedName>
    <definedName name="solver_con25" localSheetId="6" hidden="1">" "</definedName>
    <definedName name="solver_con25" localSheetId="11" hidden="1">" "</definedName>
    <definedName name="solver_con26" localSheetId="6" hidden="1">" "</definedName>
    <definedName name="solver_con26" localSheetId="11" hidden="1">" "</definedName>
    <definedName name="solver_con27" localSheetId="6" hidden="1">" "</definedName>
    <definedName name="solver_con27" localSheetId="11" hidden="1">" "</definedName>
    <definedName name="solver_con28" localSheetId="6" hidden="1">" "</definedName>
    <definedName name="solver_con28" localSheetId="11" hidden="1">" "</definedName>
    <definedName name="solver_con29" localSheetId="6" hidden="1">" "</definedName>
    <definedName name="solver_con29" localSheetId="11" hidden="1">" "</definedName>
    <definedName name="solver_con3" localSheetId="6" hidden="1">" "</definedName>
    <definedName name="solver_con3" localSheetId="11" hidden="1">" "</definedName>
    <definedName name="solver_con30" localSheetId="6" hidden="1">" "</definedName>
    <definedName name="solver_con30" localSheetId="11" hidden="1">" "</definedName>
    <definedName name="solver_con31" localSheetId="6" hidden="1">" "</definedName>
    <definedName name="solver_con31" localSheetId="11" hidden="1">" "</definedName>
    <definedName name="solver_con32" localSheetId="6" hidden="1">" "</definedName>
    <definedName name="solver_con32" localSheetId="11" hidden="1">" "</definedName>
    <definedName name="solver_con33" localSheetId="6" hidden="1">" "</definedName>
    <definedName name="solver_con33" localSheetId="11" hidden="1">" "</definedName>
    <definedName name="solver_con34" localSheetId="6" hidden="1">" "</definedName>
    <definedName name="solver_con34" localSheetId="11" hidden="1">" "</definedName>
    <definedName name="solver_con35" localSheetId="6" hidden="1">" "</definedName>
    <definedName name="solver_con35" localSheetId="11" hidden="1">" "</definedName>
    <definedName name="solver_con36" localSheetId="6" hidden="1">" "</definedName>
    <definedName name="solver_con36" localSheetId="11" hidden="1">" "</definedName>
    <definedName name="solver_con37" localSheetId="6" hidden="1">" "</definedName>
    <definedName name="solver_con37" localSheetId="11" hidden="1">" "</definedName>
    <definedName name="solver_con38" localSheetId="6" hidden="1">" "</definedName>
    <definedName name="solver_con38" localSheetId="11" hidden="1">" "</definedName>
    <definedName name="solver_con39" localSheetId="6" hidden="1">" "</definedName>
    <definedName name="solver_con39" localSheetId="11" hidden="1">" "</definedName>
    <definedName name="solver_con4" localSheetId="6" hidden="1">" "</definedName>
    <definedName name="solver_con4" localSheetId="11" hidden="1">" "</definedName>
    <definedName name="solver_con40" localSheetId="6" hidden="1">" "</definedName>
    <definedName name="solver_con40" localSheetId="11" hidden="1">" "</definedName>
    <definedName name="solver_con41" localSheetId="6" hidden="1">" "</definedName>
    <definedName name="solver_con41" localSheetId="11" hidden="1">" "</definedName>
    <definedName name="solver_con42" localSheetId="6" hidden="1">" "</definedName>
    <definedName name="solver_con42" localSheetId="11" hidden="1">" "</definedName>
    <definedName name="solver_con43" localSheetId="6" hidden="1">" "</definedName>
    <definedName name="solver_con43" localSheetId="11" hidden="1">" "</definedName>
    <definedName name="solver_con44" localSheetId="6" hidden="1">" "</definedName>
    <definedName name="solver_con44" localSheetId="11" hidden="1">" "</definedName>
    <definedName name="solver_con45" localSheetId="6" hidden="1">" "</definedName>
    <definedName name="solver_con45" localSheetId="11" hidden="1">" "</definedName>
    <definedName name="solver_con46" localSheetId="6" hidden="1">" "</definedName>
    <definedName name="solver_con46" localSheetId="11" hidden="1">" "</definedName>
    <definedName name="solver_con47" localSheetId="6" hidden="1">" "</definedName>
    <definedName name="solver_con47" localSheetId="11" hidden="1">" "</definedName>
    <definedName name="solver_con48" localSheetId="6" hidden="1">" "</definedName>
    <definedName name="solver_con48" localSheetId="11" hidden="1">" "</definedName>
    <definedName name="solver_con49" localSheetId="6" hidden="1">" "</definedName>
    <definedName name="solver_con49" localSheetId="11" hidden="1">" "</definedName>
    <definedName name="solver_con5" localSheetId="6" hidden="1">" "</definedName>
    <definedName name="solver_con5" localSheetId="11" hidden="1">" "</definedName>
    <definedName name="solver_con50" localSheetId="6" hidden="1">" "</definedName>
    <definedName name="solver_con50" localSheetId="11" hidden="1">" "</definedName>
    <definedName name="solver_con51" localSheetId="6" hidden="1">" "</definedName>
    <definedName name="solver_con51" localSheetId="11" hidden="1">" "</definedName>
    <definedName name="solver_con52" localSheetId="6" hidden="1">" "</definedName>
    <definedName name="solver_con52" localSheetId="11" hidden="1">" "</definedName>
    <definedName name="solver_con53" localSheetId="6" hidden="1">" "</definedName>
    <definedName name="solver_con53" localSheetId="11" hidden="1">" "</definedName>
    <definedName name="solver_con54" localSheetId="6" hidden="1">" "</definedName>
    <definedName name="solver_con54" localSheetId="11" hidden="1">" "</definedName>
    <definedName name="solver_con55" localSheetId="6" hidden="1">" "</definedName>
    <definedName name="solver_con55" localSheetId="11" hidden="1">" "</definedName>
    <definedName name="solver_con56" localSheetId="6" hidden="1">" "</definedName>
    <definedName name="solver_con56" localSheetId="11" hidden="1">" "</definedName>
    <definedName name="solver_con57" localSheetId="6" hidden="1">" "</definedName>
    <definedName name="solver_con57" localSheetId="11" hidden="1">" "</definedName>
    <definedName name="solver_con58" localSheetId="6" hidden="1">" "</definedName>
    <definedName name="solver_con58" localSheetId="11" hidden="1">" "</definedName>
    <definedName name="solver_con59" localSheetId="6" hidden="1">" "</definedName>
    <definedName name="solver_con59" localSheetId="11" hidden="1">" "</definedName>
    <definedName name="solver_con6" localSheetId="6" hidden="1">" "</definedName>
    <definedName name="solver_con6" localSheetId="11" hidden="1">" "</definedName>
    <definedName name="solver_con60" localSheetId="6" hidden="1">" "</definedName>
    <definedName name="solver_con60" localSheetId="11" hidden="1">" "</definedName>
    <definedName name="solver_con61" localSheetId="6" hidden="1">" "</definedName>
    <definedName name="solver_con61" localSheetId="11" hidden="1">" "</definedName>
    <definedName name="solver_con62" localSheetId="6" hidden="1">" "</definedName>
    <definedName name="solver_con62" localSheetId="11" hidden="1">" "</definedName>
    <definedName name="solver_con63" localSheetId="6" hidden="1">" "</definedName>
    <definedName name="solver_con63" localSheetId="11" hidden="1">" "</definedName>
    <definedName name="solver_con64" localSheetId="6" hidden="1">" "</definedName>
    <definedName name="solver_con64" localSheetId="11" hidden="1">" "</definedName>
    <definedName name="solver_con65" localSheetId="6" hidden="1">" "</definedName>
    <definedName name="solver_con65" localSheetId="11" hidden="1">" "</definedName>
    <definedName name="solver_con66" localSheetId="6" hidden="1">" "</definedName>
    <definedName name="solver_con66" localSheetId="11" hidden="1">" "</definedName>
    <definedName name="solver_con67" localSheetId="6" hidden="1">" "</definedName>
    <definedName name="solver_con67" localSheetId="11" hidden="1">" "</definedName>
    <definedName name="solver_con68" localSheetId="6" hidden="1">" "</definedName>
    <definedName name="solver_con68" localSheetId="11" hidden="1">" "</definedName>
    <definedName name="solver_con69" localSheetId="6" hidden="1">" "</definedName>
    <definedName name="solver_con69" localSheetId="11" hidden="1">" "</definedName>
    <definedName name="solver_con7" localSheetId="6" hidden="1">" "</definedName>
    <definedName name="solver_con7" localSheetId="11" hidden="1">" "</definedName>
    <definedName name="solver_con70" localSheetId="6" hidden="1">" "</definedName>
    <definedName name="solver_con70" localSheetId="11" hidden="1">" "</definedName>
    <definedName name="solver_con71" localSheetId="6" hidden="1">" "</definedName>
    <definedName name="solver_con71" localSheetId="11" hidden="1">" "</definedName>
    <definedName name="solver_con72" localSheetId="6" hidden="1">" "</definedName>
    <definedName name="solver_con72" localSheetId="11" hidden="1">" "</definedName>
    <definedName name="solver_con73" localSheetId="6" hidden="1">" "</definedName>
    <definedName name="solver_con73" localSheetId="11" hidden="1">" "</definedName>
    <definedName name="solver_con74" localSheetId="6" hidden="1">" "</definedName>
    <definedName name="solver_con74" localSheetId="11" hidden="1">" "</definedName>
    <definedName name="solver_con75" localSheetId="6" hidden="1">" "</definedName>
    <definedName name="solver_con75" localSheetId="11" hidden="1">" "</definedName>
    <definedName name="solver_con76" localSheetId="6" hidden="1">" "</definedName>
    <definedName name="solver_con76" localSheetId="11" hidden="1">" "</definedName>
    <definedName name="solver_con77" localSheetId="6" hidden="1">" "</definedName>
    <definedName name="solver_con77" localSheetId="11" hidden="1">" "</definedName>
    <definedName name="solver_con78" localSheetId="6" hidden="1">" "</definedName>
    <definedName name="solver_con78" localSheetId="11" hidden="1">" "</definedName>
    <definedName name="solver_con79" localSheetId="6" hidden="1">" "</definedName>
    <definedName name="solver_con79" localSheetId="11" hidden="1">" "</definedName>
    <definedName name="solver_con8" localSheetId="6" hidden="1">" "</definedName>
    <definedName name="solver_con8" localSheetId="11" hidden="1">" "</definedName>
    <definedName name="solver_con80" localSheetId="6" hidden="1">" "</definedName>
    <definedName name="solver_con80" localSheetId="11" hidden="1">" "</definedName>
    <definedName name="solver_con81" localSheetId="6" hidden="1">" "</definedName>
    <definedName name="solver_con81" localSheetId="11" hidden="1">" "</definedName>
    <definedName name="solver_con82" localSheetId="6" hidden="1">" "</definedName>
    <definedName name="solver_con82" localSheetId="11" hidden="1">" "</definedName>
    <definedName name="solver_con83" localSheetId="6" hidden="1">" "</definedName>
    <definedName name="solver_con83" localSheetId="11" hidden="1">" "</definedName>
    <definedName name="solver_con84" localSheetId="6" hidden="1">" "</definedName>
    <definedName name="solver_con84" localSheetId="11" hidden="1">" "</definedName>
    <definedName name="solver_con85" localSheetId="6" hidden="1">" "</definedName>
    <definedName name="solver_con85" localSheetId="11" hidden="1">" "</definedName>
    <definedName name="solver_con86" localSheetId="6" hidden="1">" "</definedName>
    <definedName name="solver_con86" localSheetId="11" hidden="1">" "</definedName>
    <definedName name="solver_con87" localSheetId="6" hidden="1">" "</definedName>
    <definedName name="solver_con87" localSheetId="11" hidden="1">" "</definedName>
    <definedName name="solver_con88" localSheetId="6" hidden="1">" "</definedName>
    <definedName name="solver_con88" localSheetId="11" hidden="1">" "</definedName>
    <definedName name="solver_con89" localSheetId="6" hidden="1">" "</definedName>
    <definedName name="solver_con89" localSheetId="11" hidden="1">" "</definedName>
    <definedName name="solver_con9" localSheetId="6" hidden="1">" "</definedName>
    <definedName name="solver_con9" localSheetId="11" hidden="1">" "</definedName>
    <definedName name="solver_con90" localSheetId="6" hidden="1">" "</definedName>
    <definedName name="solver_con90" localSheetId="11" hidden="1">" "</definedName>
    <definedName name="solver_con91" localSheetId="6" hidden="1">" "</definedName>
    <definedName name="solver_con91" localSheetId="11" hidden="1">" "</definedName>
    <definedName name="solver_con92" localSheetId="6" hidden="1">" "</definedName>
    <definedName name="solver_con92" localSheetId="11" hidden="1">" "</definedName>
    <definedName name="solver_con93" localSheetId="6" hidden="1">" "</definedName>
    <definedName name="solver_con94" localSheetId="6" hidden="1">" "</definedName>
    <definedName name="solver_con95" localSheetId="6" hidden="1">" "</definedName>
    <definedName name="solver_con96" localSheetId="6" hidden="1">" "</definedName>
    <definedName name="solver_con97" localSheetId="6" hidden="1">" "</definedName>
    <definedName name="solver_con98" localSheetId="6" hidden="1">" "</definedName>
    <definedName name="solver_con99" localSheetId="6" hidden="1">" "</definedName>
    <definedName name="solver_corr" hidden="1">1</definedName>
    <definedName name="solver_ctp1" hidden="1">0</definedName>
    <definedName name="solver_ctp2" hidden="1">0</definedName>
    <definedName name="solver_cvg" localSheetId="6" hidden="1">0.001</definedName>
    <definedName name="solver_cvg" localSheetId="11" hidden="1">0.001</definedName>
    <definedName name="solver_dia" localSheetId="6" hidden="1">5</definedName>
    <definedName name="solver_dia" localSheetId="11" hidden="1">1</definedName>
    <definedName name="solver_dia" localSheetId="13" hidden="1">5</definedName>
    <definedName name="solver_dimcalc" localSheetId="6" hidden="1">0</definedName>
    <definedName name="solver_dimcalc" localSheetId="11" hidden="1">0</definedName>
    <definedName name="solver_disp" hidden="1">0</definedName>
    <definedName name="solver_drv" localSheetId="6" hidden="1">1</definedName>
    <definedName name="solver_drv" localSheetId="11" hidden="1">1</definedName>
    <definedName name="solver_dua" localSheetId="6" hidden="1">2</definedName>
    <definedName name="solver_eng" localSheetId="6" hidden="1">1</definedName>
    <definedName name="solver_eng" localSheetId="11" hidden="1">1</definedName>
    <definedName name="solver_eng" localSheetId="18" hidden="1">1</definedName>
    <definedName name="solver_est" localSheetId="6" hidden="1">1</definedName>
    <definedName name="solver_est" localSheetId="11" hidden="1">1</definedName>
    <definedName name="solver_eval" hidden="1">0</definedName>
    <definedName name="solver_fea" localSheetId="6" hidden="1">0.000001</definedName>
    <definedName name="solver_fea" localSheetId="11" hidden="1">0.000001</definedName>
    <definedName name="solver_fns" localSheetId="6" hidden="1">0</definedName>
    <definedName name="solver_fns" localSheetId="11" hidden="1">0</definedName>
    <definedName name="solver_gap" localSheetId="6" hidden="1">0.0000001</definedName>
    <definedName name="solver_gap" localSheetId="11" hidden="1">0.0000001</definedName>
    <definedName name="solver_gct" localSheetId="6" hidden="1">20</definedName>
    <definedName name="solver_glb" localSheetId="6" hidden="1">-1E+30</definedName>
    <definedName name="solver_glb" localSheetId="11" hidden="1">-1E+30</definedName>
    <definedName name="solver_gop" localSheetId="6" hidden="1">1</definedName>
    <definedName name="solver_gub" localSheetId="6" hidden="1">1E+30</definedName>
    <definedName name="solver_gub" localSheetId="11" hidden="1">1E+30</definedName>
    <definedName name="solver_iao" localSheetId="6" hidden="1">0</definedName>
    <definedName name="solver_iao" localSheetId="11" hidden="1">0</definedName>
    <definedName name="solver_ibd" localSheetId="6" hidden="1">0</definedName>
    <definedName name="solver_inc" localSheetId="6" hidden="1">0</definedName>
    <definedName name="solver_inc" localSheetId="11" hidden="1">0</definedName>
    <definedName name="solver_int" localSheetId="6" hidden="1">1</definedName>
    <definedName name="solver_int" localSheetId="11" hidden="1">2</definedName>
    <definedName name="solver_int" localSheetId="13" hidden="1">0</definedName>
    <definedName name="solver_ipd" localSheetId="6" hidden="1">3</definedName>
    <definedName name="solver_ipd" localSheetId="11" hidden="1">3</definedName>
    <definedName name="solver_ipi" localSheetId="6" hidden="1">1</definedName>
    <definedName name="solver_ipi" localSheetId="11" hidden="1">1</definedName>
    <definedName name="solver_ips" localSheetId="6" hidden="1">0.99</definedName>
    <definedName name="solver_ips" localSheetId="11" hidden="1">0.99</definedName>
    <definedName name="solver_irs" localSheetId="6" hidden="1">0</definedName>
    <definedName name="solver_irs" localSheetId="11" hidden="1">0</definedName>
    <definedName name="solver_ism" localSheetId="6" hidden="1">0</definedName>
    <definedName name="solver_ism" localSheetId="11" hidden="1">0</definedName>
    <definedName name="solver_itr" localSheetId="6" hidden="1">10000</definedName>
    <definedName name="solver_itr" localSheetId="11" hidden="1">10000</definedName>
    <definedName name="solver_lcens" hidden="1">-1E+30</definedName>
    <definedName name="solver_lcut" hidden="1">-1E+30</definedName>
    <definedName name="solver_legacy" localSheetId="6" hidden="1">1</definedName>
    <definedName name="solver_legacy" localSheetId="11" hidden="1">1</definedName>
    <definedName name="solver_lhs_ob1" localSheetId="6" hidden="1">0</definedName>
    <definedName name="solver_lhs_ob1" localSheetId="11" hidden="1">0</definedName>
    <definedName name="solver_lhs_ob10" localSheetId="6" hidden="1">0</definedName>
    <definedName name="solver_lhs_ob10" localSheetId="11" hidden="1">0</definedName>
    <definedName name="solver_lhs_ob100" localSheetId="6" hidden="1">0</definedName>
    <definedName name="solver_lhs_ob101" localSheetId="6" hidden="1">0</definedName>
    <definedName name="solver_lhs_ob102" localSheetId="6" hidden="1">0</definedName>
    <definedName name="solver_lhs_ob103" localSheetId="6" hidden="1">0</definedName>
    <definedName name="solver_lhs_ob104" localSheetId="6" hidden="1">0</definedName>
    <definedName name="solver_lhs_ob105" localSheetId="6" hidden="1">0</definedName>
    <definedName name="solver_lhs_ob106" localSheetId="6" hidden="1">0</definedName>
    <definedName name="solver_lhs_ob107" localSheetId="6" hidden="1">0</definedName>
    <definedName name="solver_lhs_ob108" localSheetId="6" hidden="1">0</definedName>
    <definedName name="solver_lhs_ob109" localSheetId="6" hidden="1">0</definedName>
    <definedName name="solver_lhs_ob11" localSheetId="6" hidden="1">0</definedName>
    <definedName name="solver_lhs_ob11" localSheetId="11" hidden="1">0</definedName>
    <definedName name="solver_lhs_ob110" localSheetId="6" hidden="1">0</definedName>
    <definedName name="solver_lhs_ob111" localSheetId="6" hidden="1">0</definedName>
    <definedName name="solver_lhs_ob112" localSheetId="6" hidden="1">0</definedName>
    <definedName name="solver_lhs_ob113" localSheetId="6" hidden="1">0</definedName>
    <definedName name="solver_lhs_ob114" localSheetId="6" hidden="1">0</definedName>
    <definedName name="solver_lhs_ob115" localSheetId="6" hidden="1">0</definedName>
    <definedName name="solver_lhs_ob116" localSheetId="6" hidden="1">0</definedName>
    <definedName name="solver_lhs_ob117" localSheetId="6" hidden="1">0</definedName>
    <definedName name="solver_lhs_ob118" localSheetId="6" hidden="1">0</definedName>
    <definedName name="solver_lhs_ob119" localSheetId="6" hidden="1">0</definedName>
    <definedName name="solver_lhs_ob12" localSheetId="6" hidden="1">0</definedName>
    <definedName name="solver_lhs_ob12" localSheetId="11" hidden="1">0</definedName>
    <definedName name="solver_lhs_ob120" localSheetId="6" hidden="1">0</definedName>
    <definedName name="solver_lhs_ob121" localSheetId="6" hidden="1">0</definedName>
    <definedName name="solver_lhs_ob122" localSheetId="6" hidden="1">0</definedName>
    <definedName name="solver_lhs_ob123" localSheetId="6" hidden="1">0</definedName>
    <definedName name="solver_lhs_ob124" localSheetId="6" hidden="1">0</definedName>
    <definedName name="solver_lhs_ob125" localSheetId="6" hidden="1">0</definedName>
    <definedName name="solver_lhs_ob126" localSheetId="6" hidden="1">0</definedName>
    <definedName name="solver_lhs_ob127" localSheetId="6" hidden="1">0</definedName>
    <definedName name="solver_lhs_ob128" localSheetId="6" hidden="1">0</definedName>
    <definedName name="solver_lhs_ob129" localSheetId="6" hidden="1">0</definedName>
    <definedName name="solver_lhs_ob13" localSheetId="6" hidden="1">0</definedName>
    <definedName name="solver_lhs_ob13" localSheetId="11" hidden="1">0</definedName>
    <definedName name="solver_lhs_ob130" localSheetId="6" hidden="1">0</definedName>
    <definedName name="solver_lhs_ob131" localSheetId="6" hidden="1">0</definedName>
    <definedName name="solver_lhs_ob132" localSheetId="6" hidden="1">0</definedName>
    <definedName name="solver_lhs_ob133" localSheetId="6" hidden="1">0</definedName>
    <definedName name="solver_lhs_ob134" localSheetId="6" hidden="1">0</definedName>
    <definedName name="solver_lhs_ob135" localSheetId="6" hidden="1">0</definedName>
    <definedName name="solver_lhs_ob136" localSheetId="6" hidden="1">0</definedName>
    <definedName name="solver_lhs_ob137" localSheetId="6" hidden="1">0</definedName>
    <definedName name="solver_lhs_ob138" localSheetId="6" hidden="1">0</definedName>
    <definedName name="solver_lhs_ob139" localSheetId="6" hidden="1">0</definedName>
    <definedName name="solver_lhs_ob14" localSheetId="6" hidden="1">0</definedName>
    <definedName name="solver_lhs_ob14" localSheetId="11" hidden="1">0</definedName>
    <definedName name="solver_lhs_ob140" localSheetId="6" hidden="1">0</definedName>
    <definedName name="solver_lhs_ob141" localSheetId="6" hidden="1">0</definedName>
    <definedName name="solver_lhs_ob142" localSheetId="6" hidden="1">0</definedName>
    <definedName name="solver_lhs_ob143" localSheetId="6" hidden="1">0</definedName>
    <definedName name="solver_lhs_ob144" localSheetId="6" hidden="1">0</definedName>
    <definedName name="solver_lhs_ob145" localSheetId="6" hidden="1">0</definedName>
    <definedName name="solver_lhs_ob146" localSheetId="6" hidden="1">0</definedName>
    <definedName name="solver_lhs_ob147" localSheetId="6" hidden="1">0</definedName>
    <definedName name="solver_lhs_ob148" localSheetId="6" hidden="1">0</definedName>
    <definedName name="solver_lhs_ob149" localSheetId="6" hidden="1">0</definedName>
    <definedName name="solver_lhs_ob15" localSheetId="6" hidden="1">0</definedName>
    <definedName name="solver_lhs_ob15" localSheetId="11" hidden="1">0</definedName>
    <definedName name="solver_lhs_ob150" localSheetId="6" hidden="1">0</definedName>
    <definedName name="solver_lhs_ob151" localSheetId="6" hidden="1">0</definedName>
    <definedName name="solver_lhs_ob152" localSheetId="6" hidden="1">0</definedName>
    <definedName name="solver_lhs_ob153" localSheetId="6" hidden="1">0</definedName>
    <definedName name="solver_lhs_ob154" localSheetId="6" hidden="1">0</definedName>
    <definedName name="solver_lhs_ob155" localSheetId="6" hidden="1">0</definedName>
    <definedName name="solver_lhs_ob156" localSheetId="6" hidden="1">0</definedName>
    <definedName name="solver_lhs_ob157" localSheetId="6" hidden="1">0</definedName>
    <definedName name="solver_lhs_ob158" localSheetId="6" hidden="1">0</definedName>
    <definedName name="solver_lhs_ob159" localSheetId="6" hidden="1">0</definedName>
    <definedName name="solver_lhs_ob16" localSheetId="6" hidden="1">0</definedName>
    <definedName name="solver_lhs_ob16" localSheetId="11" hidden="1">0</definedName>
    <definedName name="solver_lhs_ob160" localSheetId="6" hidden="1">0</definedName>
    <definedName name="solver_lhs_ob161" localSheetId="6" hidden="1">0</definedName>
    <definedName name="solver_lhs_ob162" localSheetId="6" hidden="1">0</definedName>
    <definedName name="solver_lhs_ob163" localSheetId="6" hidden="1">0</definedName>
    <definedName name="solver_lhs_ob164" localSheetId="6" hidden="1">0</definedName>
    <definedName name="solver_lhs_ob165" localSheetId="6" hidden="1">0</definedName>
    <definedName name="solver_lhs_ob166" localSheetId="6" hidden="1">0</definedName>
    <definedName name="solver_lhs_ob167" localSheetId="6" hidden="1">0</definedName>
    <definedName name="solver_lhs_ob168" localSheetId="6" hidden="1">0</definedName>
    <definedName name="solver_lhs_ob169" localSheetId="6" hidden="1">0</definedName>
    <definedName name="solver_lhs_ob17" localSheetId="6" hidden="1">0</definedName>
    <definedName name="solver_lhs_ob17" localSheetId="11" hidden="1">0</definedName>
    <definedName name="solver_lhs_ob170" localSheetId="6" hidden="1">0</definedName>
    <definedName name="solver_lhs_ob171" localSheetId="6" hidden="1">0</definedName>
    <definedName name="solver_lhs_ob172" localSheetId="6" hidden="1">0</definedName>
    <definedName name="solver_lhs_ob173" localSheetId="6" hidden="1">0</definedName>
    <definedName name="solver_lhs_ob174" localSheetId="6" hidden="1">0</definedName>
    <definedName name="solver_lhs_ob175" localSheetId="6" hidden="1">0</definedName>
    <definedName name="solver_lhs_ob176" localSheetId="6" hidden="1">0</definedName>
    <definedName name="solver_lhs_ob177" localSheetId="6" hidden="1">0</definedName>
    <definedName name="solver_lhs_ob178" localSheetId="6" hidden="1">0</definedName>
    <definedName name="solver_lhs_ob179" localSheetId="6" hidden="1">0</definedName>
    <definedName name="solver_lhs_ob18" localSheetId="6" hidden="1">0</definedName>
    <definedName name="solver_lhs_ob18" localSheetId="11" hidden="1">0</definedName>
    <definedName name="solver_lhs_ob180" localSheetId="6" hidden="1">0</definedName>
    <definedName name="solver_lhs_ob181" localSheetId="6" hidden="1">0</definedName>
    <definedName name="solver_lhs_ob182" localSheetId="6" hidden="1">0</definedName>
    <definedName name="solver_lhs_ob183" localSheetId="6" hidden="1">0</definedName>
    <definedName name="solver_lhs_ob184" localSheetId="6" hidden="1">0</definedName>
    <definedName name="solver_lhs_ob185" localSheetId="6" hidden="1">0</definedName>
    <definedName name="solver_lhs_ob186" localSheetId="6" hidden="1">0</definedName>
    <definedName name="solver_lhs_ob187" localSheetId="6" hidden="1">0</definedName>
    <definedName name="solver_lhs_ob188" localSheetId="6" hidden="1">0</definedName>
    <definedName name="solver_lhs_ob189" localSheetId="6" hidden="1">0</definedName>
    <definedName name="solver_lhs_ob19" localSheetId="6" hidden="1">0</definedName>
    <definedName name="solver_lhs_ob19" localSheetId="11" hidden="1">0</definedName>
    <definedName name="solver_lhs_ob190" localSheetId="6" hidden="1">0</definedName>
    <definedName name="solver_lhs_ob191" localSheetId="6" hidden="1">0</definedName>
    <definedName name="solver_lhs_ob192" localSheetId="6" hidden="1">0</definedName>
    <definedName name="solver_lhs_ob193" localSheetId="6" hidden="1">0</definedName>
    <definedName name="solver_lhs_ob194" localSheetId="6" hidden="1">0</definedName>
    <definedName name="solver_lhs_ob195" localSheetId="6" hidden="1">0</definedName>
    <definedName name="solver_lhs_ob196" localSheetId="6" hidden="1">0</definedName>
    <definedName name="solver_lhs_ob197" localSheetId="6" hidden="1">0</definedName>
    <definedName name="solver_lhs_ob198" localSheetId="6" hidden="1">0</definedName>
    <definedName name="solver_lhs_ob199" localSheetId="6" hidden="1">0</definedName>
    <definedName name="solver_lhs_ob2" localSheetId="6" hidden="1">0</definedName>
    <definedName name="solver_lhs_ob2" localSheetId="11" hidden="1">0</definedName>
    <definedName name="solver_lhs_ob20" localSheetId="6" hidden="1">0</definedName>
    <definedName name="solver_lhs_ob20" localSheetId="11" hidden="1">0</definedName>
    <definedName name="solver_lhs_ob200" localSheetId="6" hidden="1">0</definedName>
    <definedName name="solver_lhs_ob201" localSheetId="6" hidden="1">0</definedName>
    <definedName name="solver_lhs_ob202" localSheetId="6" hidden="1">0</definedName>
    <definedName name="solver_lhs_ob203" localSheetId="6" hidden="1">0</definedName>
    <definedName name="solver_lhs_ob204" localSheetId="6" hidden="1">0</definedName>
    <definedName name="solver_lhs_ob205" localSheetId="6" hidden="1">0</definedName>
    <definedName name="solver_lhs_ob206" localSheetId="6" hidden="1">0</definedName>
    <definedName name="solver_lhs_ob207" localSheetId="6" hidden="1">0</definedName>
    <definedName name="solver_lhs_ob208" localSheetId="6" hidden="1">0</definedName>
    <definedName name="solver_lhs_ob209" localSheetId="6" hidden="1">0</definedName>
    <definedName name="solver_lhs_ob21" localSheetId="6" hidden="1">0</definedName>
    <definedName name="solver_lhs_ob21" localSheetId="11" hidden="1">0</definedName>
    <definedName name="solver_lhs_ob210" localSheetId="6" hidden="1">0</definedName>
    <definedName name="solver_lhs_ob211" localSheetId="6" hidden="1">0</definedName>
    <definedName name="solver_lhs_ob22" localSheetId="6" hidden="1">0</definedName>
    <definedName name="solver_lhs_ob22" localSheetId="11" hidden="1">0</definedName>
    <definedName name="solver_lhs_ob23" localSheetId="6" hidden="1">0</definedName>
    <definedName name="solver_lhs_ob23" localSheetId="11" hidden="1">0</definedName>
    <definedName name="solver_lhs_ob24" localSheetId="6" hidden="1">0</definedName>
    <definedName name="solver_lhs_ob24" localSheetId="11" hidden="1">0</definedName>
    <definedName name="solver_lhs_ob25" localSheetId="6" hidden="1">0</definedName>
    <definedName name="solver_lhs_ob25" localSheetId="11" hidden="1">0</definedName>
    <definedName name="solver_lhs_ob26" localSheetId="6" hidden="1">0</definedName>
    <definedName name="solver_lhs_ob26" localSheetId="11" hidden="1">0</definedName>
    <definedName name="solver_lhs_ob27" localSheetId="6" hidden="1">0</definedName>
    <definedName name="solver_lhs_ob27" localSheetId="11" hidden="1">0</definedName>
    <definedName name="solver_lhs_ob28" localSheetId="6" hidden="1">0</definedName>
    <definedName name="solver_lhs_ob28" localSheetId="11" hidden="1">0</definedName>
    <definedName name="solver_lhs_ob29" localSheetId="6" hidden="1">0</definedName>
    <definedName name="solver_lhs_ob29" localSheetId="11" hidden="1">0</definedName>
    <definedName name="solver_lhs_ob3" localSheetId="6" hidden="1">0</definedName>
    <definedName name="solver_lhs_ob3" localSheetId="11" hidden="1">0</definedName>
    <definedName name="solver_lhs_ob30" localSheetId="6" hidden="1">0</definedName>
    <definedName name="solver_lhs_ob30" localSheetId="11" hidden="1">0</definedName>
    <definedName name="solver_lhs_ob31" localSheetId="6" hidden="1">0</definedName>
    <definedName name="solver_lhs_ob31" localSheetId="11" hidden="1">0</definedName>
    <definedName name="solver_lhs_ob32" localSheetId="6" hidden="1">0</definedName>
    <definedName name="solver_lhs_ob32" localSheetId="11" hidden="1">0</definedName>
    <definedName name="solver_lhs_ob33" localSheetId="6" hidden="1">0</definedName>
    <definedName name="solver_lhs_ob33" localSheetId="11" hidden="1">0</definedName>
    <definedName name="solver_lhs_ob34" localSheetId="6" hidden="1">0</definedName>
    <definedName name="solver_lhs_ob34" localSheetId="11" hidden="1">0</definedName>
    <definedName name="solver_lhs_ob35" localSheetId="6" hidden="1">0</definedName>
    <definedName name="solver_lhs_ob35" localSheetId="11" hidden="1">0</definedName>
    <definedName name="solver_lhs_ob36" localSheetId="6" hidden="1">0</definedName>
    <definedName name="solver_lhs_ob36" localSheetId="11" hidden="1">0</definedName>
    <definedName name="solver_lhs_ob37" localSheetId="6" hidden="1">0</definedName>
    <definedName name="solver_lhs_ob37" localSheetId="11" hidden="1">0</definedName>
    <definedName name="solver_lhs_ob38" localSheetId="6" hidden="1">0</definedName>
    <definedName name="solver_lhs_ob38" localSheetId="11" hidden="1">0</definedName>
    <definedName name="solver_lhs_ob39" localSheetId="6" hidden="1">0</definedName>
    <definedName name="solver_lhs_ob39" localSheetId="11" hidden="1">0</definedName>
    <definedName name="solver_lhs_ob4" localSheetId="6" hidden="1">0</definedName>
    <definedName name="solver_lhs_ob4" localSheetId="11" hidden="1">0</definedName>
    <definedName name="solver_lhs_ob40" localSheetId="6" hidden="1">0</definedName>
    <definedName name="solver_lhs_ob40" localSheetId="11" hidden="1">0</definedName>
    <definedName name="solver_lhs_ob41" localSheetId="6" hidden="1">0</definedName>
    <definedName name="solver_lhs_ob41" localSheetId="11" hidden="1">0</definedName>
    <definedName name="solver_lhs_ob42" localSheetId="6" hidden="1">0</definedName>
    <definedName name="solver_lhs_ob42" localSheetId="11" hidden="1">0</definedName>
    <definedName name="solver_lhs_ob43" localSheetId="6" hidden="1">0</definedName>
    <definedName name="solver_lhs_ob43" localSheetId="11" hidden="1">0</definedName>
    <definedName name="solver_lhs_ob44" localSheetId="6" hidden="1">0</definedName>
    <definedName name="solver_lhs_ob44" localSheetId="11" hidden="1">0</definedName>
    <definedName name="solver_lhs_ob45" localSheetId="6" hidden="1">0</definedName>
    <definedName name="solver_lhs_ob45" localSheetId="11" hidden="1">0</definedName>
    <definedName name="solver_lhs_ob46" localSheetId="6" hidden="1">0</definedName>
    <definedName name="solver_lhs_ob46" localSheetId="11" hidden="1">0</definedName>
    <definedName name="solver_lhs_ob47" localSheetId="6" hidden="1">0</definedName>
    <definedName name="solver_lhs_ob47" localSheetId="11" hidden="1">0</definedName>
    <definedName name="solver_lhs_ob48" localSheetId="6" hidden="1">0</definedName>
    <definedName name="solver_lhs_ob48" localSheetId="11" hidden="1">0</definedName>
    <definedName name="solver_lhs_ob49" localSheetId="6" hidden="1">0</definedName>
    <definedName name="solver_lhs_ob49" localSheetId="11" hidden="1">0</definedName>
    <definedName name="solver_lhs_ob5" localSheetId="6" hidden="1">0</definedName>
    <definedName name="solver_lhs_ob5" localSheetId="11" hidden="1">0</definedName>
    <definedName name="solver_lhs_ob50" localSheetId="6" hidden="1">0</definedName>
    <definedName name="solver_lhs_ob50" localSheetId="11" hidden="1">0</definedName>
    <definedName name="solver_lhs_ob51" localSheetId="6" hidden="1">0</definedName>
    <definedName name="solver_lhs_ob51" localSheetId="11" hidden="1">0</definedName>
    <definedName name="solver_lhs_ob52" localSheetId="6" hidden="1">0</definedName>
    <definedName name="solver_lhs_ob52" localSheetId="11" hidden="1">0</definedName>
    <definedName name="solver_lhs_ob53" localSheetId="6" hidden="1">0</definedName>
    <definedName name="solver_lhs_ob53" localSheetId="11" hidden="1">0</definedName>
    <definedName name="solver_lhs_ob54" localSheetId="6" hidden="1">0</definedName>
    <definedName name="solver_lhs_ob54" localSheetId="11" hidden="1">0</definedName>
    <definedName name="solver_lhs_ob55" localSheetId="6" hidden="1">0</definedName>
    <definedName name="solver_lhs_ob55" localSheetId="11" hidden="1">0</definedName>
    <definedName name="solver_lhs_ob56" localSheetId="6" hidden="1">0</definedName>
    <definedName name="solver_lhs_ob56" localSheetId="11" hidden="1">0</definedName>
    <definedName name="solver_lhs_ob57" localSheetId="6" hidden="1">0</definedName>
    <definedName name="solver_lhs_ob57" localSheetId="11" hidden="1">0</definedName>
    <definedName name="solver_lhs_ob58" localSheetId="6" hidden="1">0</definedName>
    <definedName name="solver_lhs_ob58" localSheetId="11" hidden="1">0</definedName>
    <definedName name="solver_lhs_ob59" localSheetId="6" hidden="1">0</definedName>
    <definedName name="solver_lhs_ob59" localSheetId="11" hidden="1">0</definedName>
    <definedName name="solver_lhs_ob6" localSheetId="6" hidden="1">0</definedName>
    <definedName name="solver_lhs_ob6" localSheetId="11" hidden="1">0</definedName>
    <definedName name="solver_lhs_ob60" localSheetId="6" hidden="1">0</definedName>
    <definedName name="solver_lhs_ob60" localSheetId="11" hidden="1">0</definedName>
    <definedName name="solver_lhs_ob61" localSheetId="6" hidden="1">0</definedName>
    <definedName name="solver_lhs_ob61" localSheetId="11" hidden="1">0</definedName>
    <definedName name="solver_lhs_ob62" localSheetId="6" hidden="1">0</definedName>
    <definedName name="solver_lhs_ob62" localSheetId="11" hidden="1">0</definedName>
    <definedName name="solver_lhs_ob63" localSheetId="6" hidden="1">0</definedName>
    <definedName name="solver_lhs_ob63" localSheetId="11" hidden="1">0</definedName>
    <definedName name="solver_lhs_ob64" localSheetId="6" hidden="1">0</definedName>
    <definedName name="solver_lhs_ob64" localSheetId="11" hidden="1">0</definedName>
    <definedName name="solver_lhs_ob65" localSheetId="6" hidden="1">0</definedName>
    <definedName name="solver_lhs_ob65" localSheetId="11" hidden="1">0</definedName>
    <definedName name="solver_lhs_ob66" localSheetId="6" hidden="1">0</definedName>
    <definedName name="solver_lhs_ob66" localSheetId="11" hidden="1">0</definedName>
    <definedName name="solver_lhs_ob67" localSheetId="6" hidden="1">0</definedName>
    <definedName name="solver_lhs_ob67" localSheetId="11" hidden="1">0</definedName>
    <definedName name="solver_lhs_ob68" localSheetId="6" hidden="1">0</definedName>
    <definedName name="solver_lhs_ob68" localSheetId="11" hidden="1">0</definedName>
    <definedName name="solver_lhs_ob69" localSheetId="6" hidden="1">0</definedName>
    <definedName name="solver_lhs_ob69" localSheetId="11" hidden="1">0</definedName>
    <definedName name="solver_lhs_ob7" localSheetId="6" hidden="1">0</definedName>
    <definedName name="solver_lhs_ob7" localSheetId="11" hidden="1">0</definedName>
    <definedName name="solver_lhs_ob70" localSheetId="6" hidden="1">0</definedName>
    <definedName name="solver_lhs_ob70" localSheetId="11" hidden="1">0</definedName>
    <definedName name="solver_lhs_ob71" localSheetId="6" hidden="1">0</definedName>
    <definedName name="solver_lhs_ob71" localSheetId="11" hidden="1">0</definedName>
    <definedName name="solver_lhs_ob72" localSheetId="6" hidden="1">0</definedName>
    <definedName name="solver_lhs_ob72" localSheetId="11" hidden="1">0</definedName>
    <definedName name="solver_lhs_ob73" localSheetId="6" hidden="1">0</definedName>
    <definedName name="solver_lhs_ob73" localSheetId="11" hidden="1">0</definedName>
    <definedName name="solver_lhs_ob74" localSheetId="6" hidden="1">0</definedName>
    <definedName name="solver_lhs_ob74" localSheetId="11" hidden="1">0</definedName>
    <definedName name="solver_lhs_ob75" localSheetId="6" hidden="1">0</definedName>
    <definedName name="solver_lhs_ob75" localSheetId="11" hidden="1">0</definedName>
    <definedName name="solver_lhs_ob76" localSheetId="6" hidden="1">0</definedName>
    <definedName name="solver_lhs_ob76" localSheetId="11" hidden="1">0</definedName>
    <definedName name="solver_lhs_ob77" localSheetId="6" hidden="1">0</definedName>
    <definedName name="solver_lhs_ob77" localSheetId="11" hidden="1">0</definedName>
    <definedName name="solver_lhs_ob78" localSheetId="6" hidden="1">0</definedName>
    <definedName name="solver_lhs_ob78" localSheetId="11" hidden="1">0</definedName>
    <definedName name="solver_lhs_ob79" localSheetId="6" hidden="1">0</definedName>
    <definedName name="solver_lhs_ob79" localSheetId="11" hidden="1">0</definedName>
    <definedName name="solver_lhs_ob8" localSheetId="6" hidden="1">0</definedName>
    <definedName name="solver_lhs_ob8" localSheetId="11" hidden="1">0</definedName>
    <definedName name="solver_lhs_ob80" localSheetId="6" hidden="1">0</definedName>
    <definedName name="solver_lhs_ob80" localSheetId="11" hidden="1">0</definedName>
    <definedName name="solver_lhs_ob81" localSheetId="6" hidden="1">0</definedName>
    <definedName name="solver_lhs_ob81" localSheetId="11" hidden="1">0</definedName>
    <definedName name="solver_lhs_ob82" localSheetId="6" hidden="1">0</definedName>
    <definedName name="solver_lhs_ob82" localSheetId="11" hidden="1">0</definedName>
    <definedName name="solver_lhs_ob83" localSheetId="6" hidden="1">0</definedName>
    <definedName name="solver_lhs_ob83" localSheetId="11" hidden="1">0</definedName>
    <definedName name="solver_lhs_ob84" localSheetId="6" hidden="1">0</definedName>
    <definedName name="solver_lhs_ob84" localSheetId="11" hidden="1">0</definedName>
    <definedName name="solver_lhs_ob85" localSheetId="6" hidden="1">0</definedName>
    <definedName name="solver_lhs_ob85" localSheetId="11" hidden="1">0</definedName>
    <definedName name="solver_lhs_ob86" localSheetId="6" hidden="1">0</definedName>
    <definedName name="solver_lhs_ob86" localSheetId="11" hidden="1">0</definedName>
    <definedName name="solver_lhs_ob87" localSheetId="6" hidden="1">0</definedName>
    <definedName name="solver_lhs_ob87" localSheetId="11" hidden="1">0</definedName>
    <definedName name="solver_lhs_ob88" localSheetId="6" hidden="1">0</definedName>
    <definedName name="solver_lhs_ob88" localSheetId="11" hidden="1">0</definedName>
    <definedName name="solver_lhs_ob89" localSheetId="6" hidden="1">0</definedName>
    <definedName name="solver_lhs_ob89" localSheetId="11" hidden="1">0</definedName>
    <definedName name="solver_lhs_ob9" localSheetId="6" hidden="1">0</definedName>
    <definedName name="solver_lhs_ob9" localSheetId="11" hidden="1">0</definedName>
    <definedName name="solver_lhs_ob90" localSheetId="6" hidden="1">0</definedName>
    <definedName name="solver_lhs_ob90" localSheetId="11" hidden="1">0</definedName>
    <definedName name="solver_lhs_ob91" localSheetId="6" hidden="1">0</definedName>
    <definedName name="solver_lhs_ob91" localSheetId="11" hidden="1">0</definedName>
    <definedName name="solver_lhs_ob92" localSheetId="6" hidden="1">0</definedName>
    <definedName name="solver_lhs_ob92" localSheetId="11" hidden="1">0</definedName>
    <definedName name="solver_lhs_ob93" localSheetId="6" hidden="1">0</definedName>
    <definedName name="solver_lhs_ob94" localSheetId="6" hidden="1">0</definedName>
    <definedName name="solver_lhs_ob95" localSheetId="6" hidden="1">0</definedName>
    <definedName name="solver_lhs_ob96" localSheetId="6" hidden="1">0</definedName>
    <definedName name="solver_lhs_ob97" localSheetId="6" hidden="1">0</definedName>
    <definedName name="solver_lhs_ob98" localSheetId="6" hidden="1">0</definedName>
    <definedName name="solver_lhs_ob99" localSheetId="6" hidden="1">0</definedName>
    <definedName name="solver_lhs1" localSheetId="6" hidden="1">'LP Optimization 1'!$L$2</definedName>
    <definedName name="solver_lhs1" localSheetId="11" hidden="1">'LP Optimization 2'!$L$2</definedName>
    <definedName name="solver_lhs10" localSheetId="6" hidden="1">'LP Optimization 1'!$T$4</definedName>
    <definedName name="solver_lhs10" localSheetId="11" hidden="1">'LP Optimization 2'!$T$4</definedName>
    <definedName name="solver_lhs100" localSheetId="6" hidden="1">'LP Optimization 1'!$L$13</definedName>
    <definedName name="solver_lhs101" localSheetId="6" hidden="1">'LP Optimization 1'!$L$13</definedName>
    <definedName name="solver_lhs102" localSheetId="6" hidden="1">'LP Optimization 1'!$M$13</definedName>
    <definedName name="solver_lhs103" localSheetId="6" hidden="1">'LP Optimization 1'!$T$13</definedName>
    <definedName name="solver_lhs104" localSheetId="6" hidden="1">'LP Optimization 1'!$T$13</definedName>
    <definedName name="solver_lhs105" localSheetId="6" hidden="1">'LP Optimization 1'!$U$13</definedName>
    <definedName name="solver_lhs106" localSheetId="6" hidden="1">'LP Optimization 1'!$AB$13</definedName>
    <definedName name="solver_lhs107" localSheetId="6" hidden="1">'LP Optimization 1'!$AB$13</definedName>
    <definedName name="solver_lhs108" localSheetId="6" hidden="1">'LP Optimization 1'!$AC$13</definedName>
    <definedName name="solver_lhs109" localSheetId="6" hidden="1">'LP Optimization 1'!$L$14</definedName>
    <definedName name="solver_lhs11" localSheetId="6" hidden="1">'LP Optimization 1'!$AB$4</definedName>
    <definedName name="solver_lhs11" localSheetId="11" hidden="1">'LP Optimization 2'!$AB$4</definedName>
    <definedName name="solver_lhs110" localSheetId="6" hidden="1">'LP Optimization 1'!$L$14</definedName>
    <definedName name="solver_lhs111" localSheetId="6" hidden="1">'LP Optimization 1'!$M$14</definedName>
    <definedName name="solver_lhs112" localSheetId="6" hidden="1">'LP Optimization 1'!$T$14</definedName>
    <definedName name="solver_lhs113" localSheetId="6" hidden="1">'LP Optimization 1'!$T$14</definedName>
    <definedName name="solver_lhs114" localSheetId="6" hidden="1">'LP Optimization 1'!$U$14</definedName>
    <definedName name="solver_lhs115" localSheetId="6" hidden="1">'LP Optimization 1'!$AB$14</definedName>
    <definedName name="solver_lhs116" localSheetId="6" hidden="1">'LP Optimization 1'!$AB$14</definedName>
    <definedName name="solver_lhs117" localSheetId="6" hidden="1">'LP Optimization 1'!$AC$14</definedName>
    <definedName name="solver_lhs118" localSheetId="6" hidden="1">'LP Optimization 1'!$L$15</definedName>
    <definedName name="solver_lhs119" localSheetId="6" hidden="1">'LP Optimization 1'!$L$15</definedName>
    <definedName name="solver_lhs12" localSheetId="6" hidden="1">'LP Optimization 1'!$L$5</definedName>
    <definedName name="solver_lhs12" localSheetId="11" hidden="1">'LP Optimization 2'!$L$5</definedName>
    <definedName name="solver_lhs120" localSheetId="6" hidden="1">'LP Optimization 1'!$M$15</definedName>
    <definedName name="solver_lhs121" localSheetId="6" hidden="1">'LP Optimization 1'!$T$15</definedName>
    <definedName name="solver_lhs122" localSheetId="6" hidden="1">'LP Optimization 1'!$T$15</definedName>
    <definedName name="solver_lhs123" localSheetId="6" hidden="1">'LP Optimization 1'!$U$15</definedName>
    <definedName name="solver_lhs124" localSheetId="6" hidden="1">'LP Optimization 1'!$AB$15</definedName>
    <definedName name="solver_lhs125" localSheetId="6" hidden="1">'LP Optimization 1'!$AB$15</definedName>
    <definedName name="solver_lhs126" localSheetId="6" hidden="1">'LP Optimization 1'!$AC$15</definedName>
    <definedName name="solver_lhs127" localSheetId="6" hidden="1">'LP Optimization 1'!$L$16</definedName>
    <definedName name="solver_lhs128" localSheetId="6" hidden="1">'LP Optimization 1'!$L$16</definedName>
    <definedName name="solver_lhs129" localSheetId="6" hidden="1">'LP Optimization 1'!$M$16</definedName>
    <definedName name="solver_lhs13" localSheetId="6" hidden="1">'LP Optimization 1'!$L$5</definedName>
    <definedName name="solver_lhs13" localSheetId="11" hidden="1">'LP Optimization 2'!$L$5</definedName>
    <definedName name="solver_lhs130" localSheetId="6" hidden="1">'LP Optimization 1'!$T$16</definedName>
    <definedName name="solver_lhs131" localSheetId="6" hidden="1">'LP Optimization 1'!$T$16</definedName>
    <definedName name="solver_lhs132" localSheetId="6" hidden="1">'LP Optimization 1'!$U$16</definedName>
    <definedName name="solver_lhs133" localSheetId="6" hidden="1">'LP Optimization 1'!$AB$16</definedName>
    <definedName name="solver_lhs134" localSheetId="6" hidden="1">'LP Optimization 1'!$AB$16</definedName>
    <definedName name="solver_lhs135" localSheetId="6" hidden="1">'LP Optimization 1'!$AC$16</definedName>
    <definedName name="solver_lhs136" localSheetId="6" hidden="1">'LP Optimization 1'!$L$17</definedName>
    <definedName name="solver_lhs137" localSheetId="6" hidden="1">'LP Optimization 1'!$L$17</definedName>
    <definedName name="solver_lhs138" localSheetId="6" hidden="1">'LP Optimization 1'!$M$17</definedName>
    <definedName name="solver_lhs139" localSheetId="6" hidden="1">'LP Optimization 1'!$T$17</definedName>
    <definedName name="solver_lhs14" localSheetId="6" hidden="1">'LP Optimization 1'!$U$5</definedName>
    <definedName name="solver_lhs14" localSheetId="11" hidden="1">'LP Optimization 2'!$U$5</definedName>
    <definedName name="solver_lhs140" localSheetId="6" hidden="1">'LP Optimization 1'!$T$17</definedName>
    <definedName name="solver_lhs141" localSheetId="6" hidden="1">'LP Optimization 1'!$U$17</definedName>
    <definedName name="solver_lhs142" localSheetId="6" hidden="1">'LP Optimization 1'!$AB$17</definedName>
    <definedName name="solver_lhs143" localSheetId="6" hidden="1">'LP Optimization 1'!$AB$17</definedName>
    <definedName name="solver_lhs144" localSheetId="6" hidden="1">'LP Optimization 1'!$AC$17</definedName>
    <definedName name="solver_lhs145" localSheetId="6" hidden="1">'LP Optimization 1'!$L$18</definedName>
    <definedName name="solver_lhs146" localSheetId="6" hidden="1">'LP Optimization 1'!$L$18</definedName>
    <definedName name="solver_lhs147" localSheetId="6" hidden="1">'LP Optimization 1'!$M$18</definedName>
    <definedName name="solver_lhs148" localSheetId="6" hidden="1">'LP Optimization 1'!$T$18</definedName>
    <definedName name="solver_lhs149" localSheetId="6" hidden="1">'LP Optimization 1'!$T$18</definedName>
    <definedName name="solver_lhs15" localSheetId="6" hidden="1">'LP Optimization 1'!$AB$5</definedName>
    <definedName name="solver_lhs15" localSheetId="11" hidden="1">'LP Optimization 2'!$AB$5</definedName>
    <definedName name="solver_lhs150" localSheetId="6" hidden="1">'LP Optimization 1'!$U$18</definedName>
    <definedName name="solver_lhs151" localSheetId="6" hidden="1">'LP Optimization 1'!$AB$18</definedName>
    <definedName name="solver_lhs152" localSheetId="6" hidden="1">'LP Optimization 1'!$AB$18</definedName>
    <definedName name="solver_lhs153" localSheetId="6" hidden="1">'LP Optimization 1'!$AC$18</definedName>
    <definedName name="solver_lhs154" localSheetId="6" hidden="1">'LP Optimization 1'!$L$19</definedName>
    <definedName name="solver_lhs155" localSheetId="6" hidden="1">'LP Optimization 1'!$L$19</definedName>
    <definedName name="solver_lhs156" localSheetId="6" hidden="1">'LP Optimization 1'!$M$19</definedName>
    <definedName name="solver_lhs157" localSheetId="6" hidden="1">'LP Optimization 1'!$T$19</definedName>
    <definedName name="solver_lhs158" localSheetId="6" hidden="1">'LP Optimization 1'!$T$19</definedName>
    <definedName name="solver_lhs159" localSheetId="6" hidden="1">'LP Optimization 1'!$U$19</definedName>
    <definedName name="solver_lhs16" localSheetId="6" hidden="1">'LP Optimization 1'!$L$6</definedName>
    <definedName name="solver_lhs16" localSheetId="11" hidden="1">'LP Optimization 2'!$L$6</definedName>
    <definedName name="solver_lhs160" localSheetId="6" hidden="1">'LP Optimization 1'!$AB$19</definedName>
    <definedName name="solver_lhs161" localSheetId="6" hidden="1">'LP Optimization 1'!$AB$19</definedName>
    <definedName name="solver_lhs162" localSheetId="6" hidden="1">'LP Optimization 1'!$AC$19</definedName>
    <definedName name="solver_lhs163" localSheetId="6" hidden="1">'LP Optimization 1'!$L$20</definedName>
    <definedName name="solver_lhs164" localSheetId="6" hidden="1">'LP Optimization 1'!$L$20</definedName>
    <definedName name="solver_lhs165" localSheetId="6" hidden="1">'LP Optimization 1'!$M$20</definedName>
    <definedName name="solver_lhs166" localSheetId="6" hidden="1">'LP Optimization 1'!$T$20</definedName>
    <definedName name="solver_lhs167" localSheetId="6" hidden="1">'LP Optimization 1'!$T$20</definedName>
    <definedName name="solver_lhs168" localSheetId="6" hidden="1">'LP Optimization 1'!$U$20</definedName>
    <definedName name="solver_lhs169" localSheetId="6" hidden="1">'LP Optimization 1'!$AB$20</definedName>
    <definedName name="solver_lhs17" localSheetId="6" hidden="1">'LP Optimization 1'!$L$6</definedName>
    <definedName name="solver_lhs17" localSheetId="11" hidden="1">'LP Optimization 2'!$L$6</definedName>
    <definedName name="solver_lhs170" localSheetId="6" hidden="1">'LP Optimization 1'!$AB$20</definedName>
    <definedName name="solver_lhs171" localSheetId="6" hidden="1">'LP Optimization 1'!$AC$20</definedName>
    <definedName name="solver_lhs172" localSheetId="6" hidden="1">'LP Optimization 1'!$L$21</definedName>
    <definedName name="solver_lhs173" localSheetId="6" hidden="1">'LP Optimization 1'!$L$21</definedName>
    <definedName name="solver_lhs174" localSheetId="6" hidden="1">'LP Optimization 1'!$M$21</definedName>
    <definedName name="solver_lhs175" localSheetId="6" hidden="1">'LP Optimization 1'!$T$21</definedName>
    <definedName name="solver_lhs176" localSheetId="6" hidden="1">'LP Optimization 1'!$T$21</definedName>
    <definedName name="solver_lhs177" localSheetId="6" hidden="1">'LP Optimization 1'!$U$21</definedName>
    <definedName name="solver_lhs178" localSheetId="6" hidden="1">'LP Optimization 1'!$AB$21</definedName>
    <definedName name="solver_lhs179" localSheetId="6" hidden="1">'LP Optimization 1'!$AB$21</definedName>
    <definedName name="solver_lhs18" localSheetId="6" hidden="1">'LP Optimization 1'!$T$6</definedName>
    <definedName name="solver_lhs18" localSheetId="11" hidden="1">'LP Optimization 2'!$T$6</definedName>
    <definedName name="solver_lhs180" localSheetId="6" hidden="1">'LP Optimization 1'!$AC$21</definedName>
    <definedName name="solver_lhs181" localSheetId="6" hidden="1">'LP Optimization 1'!$L$22</definedName>
    <definedName name="solver_lhs182" localSheetId="6" hidden="1">'LP Optimization 1'!$L$22</definedName>
    <definedName name="solver_lhs183" localSheetId="6" hidden="1">'LP Optimization 1'!$M$22</definedName>
    <definedName name="solver_lhs184" localSheetId="6" hidden="1">'LP Optimization 1'!$T$22</definedName>
    <definedName name="solver_lhs185" localSheetId="6" hidden="1">'LP Optimization 1'!$T$22</definedName>
    <definedName name="solver_lhs186" localSheetId="6" hidden="1">'LP Optimization 1'!$U$22</definedName>
    <definedName name="solver_lhs187" localSheetId="6" hidden="1">'LP Optimization 1'!$AB$22</definedName>
    <definedName name="solver_lhs188" localSheetId="6" hidden="1">'LP Optimization 1'!$AB$22</definedName>
    <definedName name="solver_lhs189" localSheetId="6" hidden="1">'LP Optimization 1'!$AC$22</definedName>
    <definedName name="solver_lhs19" localSheetId="6" hidden="1">'LP Optimization 1'!$T$6</definedName>
    <definedName name="solver_lhs19" localSheetId="11" hidden="1">'LP Optimization 2'!$T$6</definedName>
    <definedName name="solver_lhs190" localSheetId="6" hidden="1">'LP Optimization 1'!$L$23</definedName>
    <definedName name="solver_lhs191" localSheetId="6" hidden="1">'LP Optimization 1'!$L$23</definedName>
    <definedName name="solver_lhs192" localSheetId="6" hidden="1">'LP Optimization 1'!$M$23</definedName>
    <definedName name="solver_lhs193" localSheetId="6" hidden="1">'LP Optimization 1'!$T$23</definedName>
    <definedName name="solver_lhs194" localSheetId="6" hidden="1">'LP Optimization 1'!$T$23</definedName>
    <definedName name="solver_lhs195" localSheetId="6" hidden="1">'LP Optimization 1'!$U$23</definedName>
    <definedName name="solver_lhs196" localSheetId="6" hidden="1">'LP Optimization 1'!$AB$23</definedName>
    <definedName name="solver_lhs197" localSheetId="6" hidden="1">'LP Optimization 1'!$AB$23</definedName>
    <definedName name="solver_lhs198" localSheetId="6" hidden="1">'LP Optimization 1'!$AC$23</definedName>
    <definedName name="solver_lhs199" localSheetId="6" hidden="1">'LP Optimization 1'!$L$24</definedName>
    <definedName name="solver_lhs2" localSheetId="6" hidden="1">'LP Optimization 1'!$L$2</definedName>
    <definedName name="solver_lhs2" localSheetId="11" hidden="1">'LP Optimization 2'!$L$2</definedName>
    <definedName name="solver_lhs20" localSheetId="6" hidden="1">'LP Optimization 1'!$AB$6</definedName>
    <definedName name="solver_lhs20" localSheetId="11" hidden="1">'LP Optimization 2'!$AB$6</definedName>
    <definedName name="solver_lhs200" localSheetId="6" hidden="1">'LP Optimization 1'!$L$24</definedName>
    <definedName name="solver_lhs201" localSheetId="6" hidden="1">'LP Optimization 1'!$M$24</definedName>
    <definedName name="solver_lhs202" localSheetId="6" hidden="1">'LP Optimization 1'!$T$24</definedName>
    <definedName name="solver_lhs203" localSheetId="6" hidden="1">'LP Optimization 1'!$T$24</definedName>
    <definedName name="solver_lhs204" localSheetId="6" hidden="1">'LP Optimization 1'!$U$24</definedName>
    <definedName name="solver_lhs205" localSheetId="6" hidden="1">'LP Optimization 1'!$AB$24</definedName>
    <definedName name="solver_lhs206" localSheetId="6" hidden="1">'LP Optimization 1'!$AB$24</definedName>
    <definedName name="solver_lhs207" localSheetId="6" hidden="1">'LP Optimization 1'!$AC$24</definedName>
    <definedName name="solver_lhs208" localSheetId="6" hidden="1">'LP Optimization 1'!$D$28</definedName>
    <definedName name="solver_lhs209" localSheetId="6" hidden="1">'LP Optimization 1'!$L$2:$L$23</definedName>
    <definedName name="solver_lhs21" localSheetId="6" hidden="1">'LP Optimization 1'!$AB$6</definedName>
    <definedName name="solver_lhs21" localSheetId="11" hidden="1">'LP Optimization 2'!$AB$6</definedName>
    <definedName name="solver_lhs210" localSheetId="6" hidden="1">'LP Optimization 1'!$T$2:$T$23</definedName>
    <definedName name="solver_lhs211" localSheetId="6" hidden="1">'LP Optimization 1'!$AB$2:$AB$23</definedName>
    <definedName name="solver_lhs22" localSheetId="6" hidden="1">'LP Optimization 1'!$AB$6</definedName>
    <definedName name="solver_lhs22" localSheetId="11" hidden="1">'LP Optimization 2'!$AB$6</definedName>
    <definedName name="solver_lhs23" localSheetId="6" hidden="1">'LP Optimization 1'!$L$7</definedName>
    <definedName name="solver_lhs23" localSheetId="11" hidden="1">'LP Optimization 2'!$L$7</definedName>
    <definedName name="solver_lhs24" localSheetId="6" hidden="1">'LP Optimization 1'!$L$7</definedName>
    <definedName name="solver_lhs24" localSheetId="11" hidden="1">'LP Optimization 2'!$L$7</definedName>
    <definedName name="solver_lhs25" localSheetId="6" hidden="1">'LP Optimization 1'!$T$7</definedName>
    <definedName name="solver_lhs25" localSheetId="11" hidden="1">'LP Optimization 2'!$T$7</definedName>
    <definedName name="solver_lhs26" localSheetId="6" hidden="1">'LP Optimization 1'!$T$7</definedName>
    <definedName name="solver_lhs26" localSheetId="11" hidden="1">'LP Optimization 2'!$T$7</definedName>
    <definedName name="solver_lhs27" localSheetId="6" hidden="1">'LP Optimization 1'!$AB$7</definedName>
    <definedName name="solver_lhs27" localSheetId="11" hidden="1">'LP Optimization 2'!$AB$7</definedName>
    <definedName name="solver_lhs28" localSheetId="6" hidden="1">'LP Optimization 1'!$L$8</definedName>
    <definedName name="solver_lhs28" localSheetId="11" hidden="1">'LP Optimization 2'!$L$8</definedName>
    <definedName name="solver_lhs29" localSheetId="6" hidden="1">'LP Optimization 1'!$T$8</definedName>
    <definedName name="solver_lhs29" localSheetId="11" hidden="1">'LP Optimization 2'!$T$8</definedName>
    <definedName name="solver_lhs3" localSheetId="6" hidden="1">'LP Optimization 1'!$T$2</definedName>
    <definedName name="solver_lhs3" localSheetId="11" hidden="1">'LP Optimization 2'!$T$2</definedName>
    <definedName name="solver_lhs30" localSheetId="6" hidden="1">'LP Optimization 1'!$AB$8</definedName>
    <definedName name="solver_lhs30" localSheetId="11" hidden="1">'LP Optimization 2'!$AB$8</definedName>
    <definedName name="solver_lhs31" localSheetId="6" hidden="1">'LP Optimization 1'!$L$9</definedName>
    <definedName name="solver_lhs31" localSheetId="11" hidden="1">'LP Optimization 2'!$L$9</definedName>
    <definedName name="solver_lhs32" localSheetId="6" hidden="1">'LP Optimization 1'!$T$9</definedName>
    <definedName name="solver_lhs32" localSheetId="11" hidden="1">'LP Optimization 2'!$T$9</definedName>
    <definedName name="solver_lhs33" localSheetId="6" hidden="1">'LP Optimization 1'!$AB$9</definedName>
    <definedName name="solver_lhs33" localSheetId="11" hidden="1">'LP Optimization 2'!$AB$9</definedName>
    <definedName name="solver_lhs34" localSheetId="6" hidden="1">'LP Optimization 1'!$L$10</definedName>
    <definedName name="solver_lhs34" localSheetId="11" hidden="1">'LP Optimization 2'!$L$10</definedName>
    <definedName name="solver_lhs35" localSheetId="6" hidden="1">'LP Optimization 1'!$T$10</definedName>
    <definedName name="solver_lhs35" localSheetId="11" hidden="1">'LP Optimization 2'!$T$10</definedName>
    <definedName name="solver_lhs36" localSheetId="6" hidden="1">'LP Optimization 1'!$AC$10</definedName>
    <definedName name="solver_lhs36" localSheetId="11" hidden="1">'LP Optimization 2'!$AC$10</definedName>
    <definedName name="solver_lhs37" localSheetId="6" hidden="1">'LP Optimization 1'!$M$11</definedName>
    <definedName name="solver_lhs37" localSheetId="11" hidden="1">'LP Optimization 2'!$M$11</definedName>
    <definedName name="solver_lhs38" localSheetId="6" hidden="1">'LP Optimization 1'!$T$11</definedName>
    <definedName name="solver_lhs38" localSheetId="11" hidden="1">'LP Optimization 2'!$T$11</definedName>
    <definedName name="solver_lhs39" localSheetId="6" hidden="1">'LP Optimization 1'!$AB$11</definedName>
    <definedName name="solver_lhs39" localSheetId="11" hidden="1">'LP Optimization 2'!$AB$11</definedName>
    <definedName name="solver_lhs4" localSheetId="6" hidden="1">'LP Optimization 1'!$AB$2</definedName>
    <definedName name="solver_lhs4" localSheetId="11" hidden="1">'LP Optimization 2'!$AB$2</definedName>
    <definedName name="solver_lhs40" localSheetId="6" hidden="1">'LP Optimization 1'!$L$12</definedName>
    <definedName name="solver_lhs40" localSheetId="11" hidden="1">'LP Optimization 2'!$L$12</definedName>
    <definedName name="solver_lhs41" localSheetId="6" hidden="1">'LP Optimization 1'!$L$12</definedName>
    <definedName name="solver_lhs41" localSheetId="11" hidden="1">'LP Optimization 2'!$L$12</definedName>
    <definedName name="solver_lhs42" localSheetId="6" hidden="1">'LP Optimization 1'!$T$12</definedName>
    <definedName name="solver_lhs42" localSheetId="11" hidden="1">'LP Optimization 2'!$T$12</definedName>
    <definedName name="solver_lhs43" localSheetId="6" hidden="1">'LP Optimization 1'!$T$12</definedName>
    <definedName name="solver_lhs43" localSheetId="11" hidden="1">'LP Optimization 2'!$T$12</definedName>
    <definedName name="solver_lhs44" localSheetId="6" hidden="1">'LP Optimization 1'!$AB$12</definedName>
    <definedName name="solver_lhs44" localSheetId="11" hidden="1">'LP Optimization 2'!$AB$12</definedName>
    <definedName name="solver_lhs45" localSheetId="6" hidden="1">'LP Optimization 1'!$L$13</definedName>
    <definedName name="solver_lhs45" localSheetId="11" hidden="1">'LP Optimization 2'!$L$13</definedName>
    <definedName name="solver_lhs46" localSheetId="6" hidden="1">'LP Optimization 1'!$T$13</definedName>
    <definedName name="solver_lhs46" localSheetId="11" hidden="1">'LP Optimization 2'!$T$13</definedName>
    <definedName name="solver_lhs47" localSheetId="6" hidden="1">'LP Optimization 1'!$AB$13</definedName>
    <definedName name="solver_lhs47" localSheetId="11" hidden="1">'LP Optimization 2'!$AB$13</definedName>
    <definedName name="solver_lhs48" localSheetId="6" hidden="1">'LP Optimization 1'!$L$14</definedName>
    <definedName name="solver_lhs48" localSheetId="11" hidden="1">'LP Optimization 2'!$L$14</definedName>
    <definedName name="solver_lhs49" localSheetId="6" hidden="1">'LP Optimization 1'!$T$14</definedName>
    <definedName name="solver_lhs49" localSheetId="11" hidden="1">'LP Optimization 2'!$T$14</definedName>
    <definedName name="solver_lhs5" localSheetId="6" hidden="1">'LP Optimization 1'!$T$3</definedName>
    <definedName name="solver_lhs5" localSheetId="11" hidden="1">'LP Optimization 2'!$T$3</definedName>
    <definedName name="solver_lhs50" localSheetId="6" hidden="1">'LP Optimization 1'!$AB$14</definedName>
    <definedName name="solver_lhs50" localSheetId="11" hidden="1">'LP Optimization 2'!$AB$14</definedName>
    <definedName name="solver_lhs51" localSheetId="6" hidden="1">'LP Optimization 1'!$L$15</definedName>
    <definedName name="solver_lhs51" localSheetId="11" hidden="1">'LP Optimization 2'!$L$15</definedName>
    <definedName name="solver_lhs52" localSheetId="6" hidden="1">'LP Optimization 1'!$L$15</definedName>
    <definedName name="solver_lhs52" localSheetId="11" hidden="1">'LP Optimization 2'!$L$15</definedName>
    <definedName name="solver_lhs53" localSheetId="6" hidden="1">'LP Optimization 1'!$T$15</definedName>
    <definedName name="solver_lhs53" localSheetId="11" hidden="1">'LP Optimization 2'!$T$15</definedName>
    <definedName name="solver_lhs54" localSheetId="6" hidden="1">'LP Optimization 1'!$T$15</definedName>
    <definedName name="solver_lhs54" localSheetId="11" hidden="1">'LP Optimization 2'!$T$15</definedName>
    <definedName name="solver_lhs55" localSheetId="6" hidden="1">'LP Optimization 1'!$AB$15</definedName>
    <definedName name="solver_lhs55" localSheetId="11" hidden="1">'LP Optimization 2'!$AB$15</definedName>
    <definedName name="solver_lhs56" localSheetId="6" hidden="1">'LP Optimization 1'!$L$16</definedName>
    <definedName name="solver_lhs56" localSheetId="11" hidden="1">'LP Optimization 2'!$L$16</definedName>
    <definedName name="solver_lhs57" localSheetId="6" hidden="1">'LP Optimization 1'!$T$16</definedName>
    <definedName name="solver_lhs57" localSheetId="11" hidden="1">'LP Optimization 2'!$T$16</definedName>
    <definedName name="solver_lhs58" localSheetId="6" hidden="1">'LP Optimization 1'!$AB$16</definedName>
    <definedName name="solver_lhs58" localSheetId="11" hidden="1">'LP Optimization 2'!$AB$16</definedName>
    <definedName name="solver_lhs59" localSheetId="6" hidden="1">'LP Optimization 1'!$L$17</definedName>
    <definedName name="solver_lhs59" localSheetId="11" hidden="1">'LP Optimization 2'!$L$17</definedName>
    <definedName name="solver_lhs6" localSheetId="6" hidden="1">'LP Optimization 1'!$AB$3</definedName>
    <definedName name="solver_lhs6" localSheetId="11" hidden="1">'LP Optimization 2'!$AB$3</definedName>
    <definedName name="solver_lhs60" localSheetId="6" hidden="1">'LP Optimization 1'!$T$17</definedName>
    <definedName name="solver_lhs60" localSheetId="11" hidden="1">'LP Optimization 2'!$T$17</definedName>
    <definedName name="solver_lhs61" localSheetId="6" hidden="1">'LP Optimization 1'!$T$17</definedName>
    <definedName name="solver_lhs61" localSheetId="11" hidden="1">'LP Optimization 2'!$T$17</definedName>
    <definedName name="solver_lhs62" localSheetId="6" hidden="1">'LP Optimization 1'!$AB$17</definedName>
    <definedName name="solver_lhs62" localSheetId="11" hidden="1">'LP Optimization 2'!$AB$17</definedName>
    <definedName name="solver_lhs63" localSheetId="6" hidden="1">'LP Optimization 1'!$L$18</definedName>
    <definedName name="solver_lhs63" localSheetId="11" hidden="1">'LP Optimization 2'!$L$18</definedName>
    <definedName name="solver_lhs64" localSheetId="6" hidden="1">'LP Optimization 1'!$U$18</definedName>
    <definedName name="solver_lhs64" localSheetId="11" hidden="1">'LP Optimization 2'!$U$18</definedName>
    <definedName name="solver_lhs65" localSheetId="6" hidden="1">'LP Optimization 1'!$AB$18</definedName>
    <definedName name="solver_lhs65" localSheetId="11" hidden="1">'LP Optimization 2'!$AB$18</definedName>
    <definedName name="solver_lhs66" localSheetId="6" hidden="1">'LP Optimization 1'!$L$19</definedName>
    <definedName name="solver_lhs66" localSheetId="11" hidden="1">'LP Optimization 2'!$L$19</definedName>
    <definedName name="solver_lhs67" localSheetId="6" hidden="1">'LP Optimization 1'!$T$19</definedName>
    <definedName name="solver_lhs67" localSheetId="11" hidden="1">'LP Optimization 2'!$T$19</definedName>
    <definedName name="solver_lhs68" localSheetId="6" hidden="1">'LP Optimization 1'!$T$19</definedName>
    <definedName name="solver_lhs68" localSheetId="11" hidden="1">'LP Optimization 2'!$T$19</definedName>
    <definedName name="solver_lhs69" localSheetId="6" hidden="1">'LP Optimization 1'!$AC$19</definedName>
    <definedName name="solver_lhs69" localSheetId="11" hidden="1">'LP Optimization 2'!$AC$19</definedName>
    <definedName name="solver_lhs7" localSheetId="6" hidden="1">'LP Optimization 1'!$L$4</definedName>
    <definedName name="solver_lhs7" localSheetId="11" hidden="1">'LP Optimization 2'!$L$4</definedName>
    <definedName name="solver_lhs70" localSheetId="6" hidden="1">'LP Optimization 1'!$L$20</definedName>
    <definedName name="solver_lhs70" localSheetId="11" hidden="1">'LP Optimization 2'!$L$20</definedName>
    <definedName name="solver_lhs71" localSheetId="6" hidden="1">'LP Optimization 1'!$T$20</definedName>
    <definedName name="solver_lhs71" localSheetId="11" hidden="1">'LP Optimization 2'!$T$20</definedName>
    <definedName name="solver_lhs72" localSheetId="6" hidden="1">'LP Optimization 1'!$T$20</definedName>
    <definedName name="solver_lhs72" localSheetId="11" hidden="1">'LP Optimization 2'!$T$20</definedName>
    <definedName name="solver_lhs73" localSheetId="6" hidden="1">'LP Optimization 1'!$AB$20</definedName>
    <definedName name="solver_lhs73" localSheetId="11" hidden="1">'LP Optimization 2'!$AB$20</definedName>
    <definedName name="solver_lhs74" localSheetId="6" hidden="1">'LP Optimization 1'!$AB$20</definedName>
    <definedName name="solver_lhs74" localSheetId="11" hidden="1">'LP Optimization 2'!$AB$20</definedName>
    <definedName name="solver_lhs75" localSheetId="6" hidden="1">'LP Optimization 1'!$L$21</definedName>
    <definedName name="solver_lhs75" localSheetId="11" hidden="1">'LP Optimization 2'!$L$21</definedName>
    <definedName name="solver_lhs76" localSheetId="6" hidden="1">'LP Optimization 1'!$T$21</definedName>
    <definedName name="solver_lhs76" localSheetId="11" hidden="1">'LP Optimization 2'!$T$21</definedName>
    <definedName name="solver_lhs77" localSheetId="6" hidden="1">'LP Optimization 1'!$T$21</definedName>
    <definedName name="solver_lhs77" localSheetId="11" hidden="1">'LP Optimization 2'!$T$21</definedName>
    <definedName name="solver_lhs78" localSheetId="6" hidden="1">'LP Optimization 1'!$AB$21</definedName>
    <definedName name="solver_lhs78" localSheetId="11" hidden="1">'LP Optimization 2'!$AB$21</definedName>
    <definedName name="solver_lhs79" localSheetId="6" hidden="1">'LP Optimization 1'!$L$22</definedName>
    <definedName name="solver_lhs79" localSheetId="11" hidden="1">'LP Optimization 2'!$L$22</definedName>
    <definedName name="solver_lhs8" localSheetId="6" hidden="1">'LP Optimization 1'!$L$4</definedName>
    <definedName name="solver_lhs8" localSheetId="11" hidden="1">'LP Optimization 2'!$L$4</definedName>
    <definedName name="solver_lhs80" localSheetId="6" hidden="1">'LP Optimization 1'!$T$22</definedName>
    <definedName name="solver_lhs80" localSheetId="11" hidden="1">'LP Optimization 2'!$T$22</definedName>
    <definedName name="solver_lhs81" localSheetId="6" hidden="1">'LP Optimization 1'!$AB$22</definedName>
    <definedName name="solver_lhs81" localSheetId="11" hidden="1">'LP Optimization 2'!$AB$22</definedName>
    <definedName name="solver_lhs82" localSheetId="6" hidden="1">'LP Optimization 1'!$L$23</definedName>
    <definedName name="solver_lhs82" localSheetId="11" hidden="1">'LP Optimization 2'!$L$23</definedName>
    <definedName name="solver_lhs83" localSheetId="6" hidden="1">'LP Optimization 1'!$T$23</definedName>
    <definedName name="solver_lhs83" localSheetId="11" hidden="1">'LP Optimization 2'!$T$23</definedName>
    <definedName name="solver_lhs84" localSheetId="6" hidden="1">'LP Optimization 1'!$AB$23</definedName>
    <definedName name="solver_lhs84" localSheetId="11" hidden="1">'LP Optimization 2'!$AB$23</definedName>
    <definedName name="solver_lhs85" localSheetId="6" hidden="1">'LP Optimization 1'!$D$28</definedName>
    <definedName name="solver_lhs85" localSheetId="11" hidden="1">'LP Optimization 2'!$D$28</definedName>
    <definedName name="solver_lhs86" localSheetId="6" hidden="1">'LP Optimization 1'!$L$2:$L$23</definedName>
    <definedName name="solver_lhs86" localSheetId="11" hidden="1">'LP Optimization 2'!$L$2:$L$23</definedName>
    <definedName name="solver_lhs87" localSheetId="6" hidden="1">'LP Optimization 1'!$T$2:$T$23</definedName>
    <definedName name="solver_lhs87" localSheetId="11" hidden="1">'LP Optimization 2'!$T$2:$T$23</definedName>
    <definedName name="solver_lhs88" localSheetId="6" hidden="1">'LP Optimization 1'!$AB$2:$AB$23</definedName>
    <definedName name="solver_lhs88" localSheetId="11" hidden="1">'LP Optimization 2'!$AB$2:$AB$23</definedName>
    <definedName name="solver_lhs89" localSheetId="6" hidden="1">'LP Optimization 1'!$AB$11</definedName>
    <definedName name="solver_lhs89" localSheetId="11" hidden="1">'LP Optimization 2'!$D$28</definedName>
    <definedName name="solver_lhs9" localSheetId="6" hidden="1">'LP Optimization 1'!$L$4</definedName>
    <definedName name="solver_lhs9" localSheetId="11" hidden="1">'LP Optimization 2'!$L$4</definedName>
    <definedName name="solver_lhs90" localSheetId="6" hidden="1">'LP Optimization 1'!$AC$11</definedName>
    <definedName name="solver_lhs90" localSheetId="11" hidden="1">'LP Optimization 2'!$L$2:$L$23</definedName>
    <definedName name="solver_lhs91" localSheetId="6" hidden="1">'LP Optimization 1'!$L$12</definedName>
    <definedName name="solver_lhs91" localSheetId="11" hidden="1">'LP Optimization 2'!$T$2:$T$23</definedName>
    <definedName name="solver_lhs92" localSheetId="6" hidden="1">'LP Optimization 1'!$L$12</definedName>
    <definedName name="solver_lhs92" localSheetId="11" hidden="1">'LP Optimization 2'!$AB$2:$AB$23</definedName>
    <definedName name="solver_lhs93" localSheetId="6" hidden="1">'LP Optimization 1'!$M$12</definedName>
    <definedName name="solver_lhs94" localSheetId="6" hidden="1">'LP Optimization 1'!$T$12</definedName>
    <definedName name="solver_lhs95" localSheetId="6" hidden="1">'LP Optimization 1'!$T$12</definedName>
    <definedName name="solver_lhs96" localSheetId="6" hidden="1">'LP Optimization 1'!$U$12</definedName>
    <definedName name="solver_lhs97" localSheetId="6" hidden="1">'LP Optimization 1'!$AB$12</definedName>
    <definedName name="solver_lhs98" localSheetId="6" hidden="1">'LP Optimization 1'!$AB$12</definedName>
    <definedName name="solver_lhs99" localSheetId="6" hidden="1">'LP Optimization 1'!$AC$12</definedName>
    <definedName name="solver_lin" localSheetId="6" hidden="1">2</definedName>
    <definedName name="solver_lin" localSheetId="11" hidden="1">2</definedName>
    <definedName name="solver_loc" localSheetId="6" hidden="1">4</definedName>
    <definedName name="solver_loc" localSheetId="11" hidden="1">4</definedName>
    <definedName name="solver_log" localSheetId="6" hidden="1">0</definedName>
    <definedName name="solver_log" localSheetId="11" hidden="1">0</definedName>
    <definedName name="solver_lpp" localSheetId="6" hidden="1">0</definedName>
    <definedName name="solver_lpp" localSheetId="11" hidden="1">0</definedName>
    <definedName name="solver_lpt" localSheetId="6" hidden="1">0</definedName>
    <definedName name="solver_lpt" localSheetId="11" hidden="1">0</definedName>
    <definedName name="solver_lva" localSheetId="6" hidden="1">0</definedName>
    <definedName name="solver_lva" localSheetId="11" hidden="1">0</definedName>
    <definedName name="solver_mda" localSheetId="6" hidden="1">4</definedName>
    <definedName name="solver_mda" localSheetId="11" hidden="1">4</definedName>
    <definedName name="solver_mda" localSheetId="13" hidden="1">4</definedName>
    <definedName name="solver_mdlsearch" localSheetId="11" hidden="1">3</definedName>
    <definedName name="solver_met" localSheetId="6" hidden="1">1</definedName>
    <definedName name="solver_met" localSheetId="11" hidden="1">1</definedName>
    <definedName name="solver_mip" localSheetId="6" hidden="1">2147483647</definedName>
    <definedName name="solver_mip" localSheetId="11" hidden="1">2147483647</definedName>
    <definedName name="solver_mni" localSheetId="6" hidden="1">30</definedName>
    <definedName name="solver_mni" localSheetId="11" hidden="1">30</definedName>
    <definedName name="solver_mod" localSheetId="6" hidden="1">1</definedName>
    <definedName name="solver_mod" localSheetId="11" hidden="1">3</definedName>
    <definedName name="solver_mod" localSheetId="13" hidden="1">3</definedName>
    <definedName name="solver_mrt" localSheetId="6" hidden="1">0.075</definedName>
    <definedName name="solver_mrt" localSheetId="11" hidden="1">0.075</definedName>
    <definedName name="solver_msl" localSheetId="6" hidden="1">0</definedName>
    <definedName name="solver_msl" localSheetId="11" hidden="1">0</definedName>
    <definedName name="solver_neg" localSheetId="6" hidden="1">1</definedName>
    <definedName name="solver_neg" localSheetId="11" hidden="1">1</definedName>
    <definedName name="solver_neg" localSheetId="18" hidden="1">1</definedName>
    <definedName name="solver_nod" localSheetId="6" hidden="1">2147483647</definedName>
    <definedName name="solver_nod" localSheetId="11" hidden="1">2147483647</definedName>
    <definedName name="solver_nopt" localSheetId="6" hidden="1">1</definedName>
    <definedName name="solver_nopt" localSheetId="11" hidden="1">1</definedName>
    <definedName name="solver_nsim" hidden="1">1</definedName>
    <definedName name="solver_nsopt" localSheetId="6" hidden="1">-1</definedName>
    <definedName name="solver_nsopt" localSheetId="11" hidden="1">-1</definedName>
    <definedName name="solver_nssim" hidden="1">-1</definedName>
    <definedName name="solver_ntr" localSheetId="6" hidden="1">2</definedName>
    <definedName name="solver_ntr" localSheetId="11" hidden="1">2</definedName>
    <definedName name="solver_ntr" localSheetId="13" hidden="1">0</definedName>
    <definedName name="solver_ntri" hidden="1">1000</definedName>
    <definedName name="solver_num" localSheetId="6" hidden="1">88</definedName>
    <definedName name="solver_num" localSheetId="11" hidden="1">88</definedName>
    <definedName name="solver_num" localSheetId="13" hidden="1">0</definedName>
    <definedName name="solver_num" localSheetId="18" hidden="1">0</definedName>
    <definedName name="solver_nwt" localSheetId="6" hidden="1">1</definedName>
    <definedName name="solver_nwt" localSheetId="11" hidden="1">1</definedName>
    <definedName name="solver_ofx" localSheetId="6" hidden="1">0</definedName>
    <definedName name="solver_opt" localSheetId="6" hidden="1">'LP Optimization 1'!$G$25</definedName>
    <definedName name="solver_opt" localSheetId="11" hidden="1">'LP Optimization 2'!$J$28</definedName>
    <definedName name="solver_opt" localSheetId="18" hidden="1">'Visualization 2'!$B$2</definedName>
    <definedName name="solver_phr" localSheetId="6" hidden="1">0</definedName>
    <definedName name="solver_piv" localSheetId="6" hidden="1">0.000001</definedName>
    <definedName name="solver_pre" localSheetId="6" hidden="1">0.0000001</definedName>
    <definedName name="solver_pre" localSheetId="11" hidden="1">0.0000001</definedName>
    <definedName name="solver_pro" localSheetId="6" hidden="1">0</definedName>
    <definedName name="solver_psi" localSheetId="6" hidden="1">0</definedName>
    <definedName name="solver_psi" localSheetId="11" hidden="1">0</definedName>
    <definedName name="solver_rbv" localSheetId="6" hidden="1">1</definedName>
    <definedName name="solver_rbv" localSheetId="11" hidden="1">1</definedName>
    <definedName name="solver_rdp" localSheetId="6" hidden="1">1</definedName>
    <definedName name="solver_rdp" localSheetId="11" hidden="1">1</definedName>
    <definedName name="solver_reco1" localSheetId="6" hidden="1">0</definedName>
    <definedName name="solver_reco1" localSheetId="11" hidden="1">0</definedName>
    <definedName name="solver_reco10" localSheetId="6" hidden="1">0</definedName>
    <definedName name="solver_reco10" localSheetId="11" hidden="1">0</definedName>
    <definedName name="solver_reco100" localSheetId="6" hidden="1">0</definedName>
    <definedName name="solver_reco101" localSheetId="6" hidden="1">0</definedName>
    <definedName name="solver_reco102" localSheetId="6" hidden="1">0</definedName>
    <definedName name="solver_reco103" localSheetId="6" hidden="1">0</definedName>
    <definedName name="solver_reco104" localSheetId="6" hidden="1">0</definedName>
    <definedName name="solver_reco105" localSheetId="6" hidden="1">0</definedName>
    <definedName name="solver_reco106" localSheetId="6" hidden="1">0</definedName>
    <definedName name="solver_reco107" localSheetId="6" hidden="1">0</definedName>
    <definedName name="solver_reco108" localSheetId="6" hidden="1">0</definedName>
    <definedName name="solver_reco109" localSheetId="6" hidden="1">0</definedName>
    <definedName name="solver_reco11" localSheetId="6" hidden="1">0</definedName>
    <definedName name="solver_reco11" localSheetId="11" hidden="1">0</definedName>
    <definedName name="solver_reco110" localSheetId="6" hidden="1">0</definedName>
    <definedName name="solver_reco111" localSheetId="6" hidden="1">0</definedName>
    <definedName name="solver_reco112" localSheetId="6" hidden="1">0</definedName>
    <definedName name="solver_reco113" localSheetId="6" hidden="1">0</definedName>
    <definedName name="solver_reco114" localSheetId="6" hidden="1">0</definedName>
    <definedName name="solver_reco115" localSheetId="6" hidden="1">0</definedName>
    <definedName name="solver_reco116" localSheetId="6" hidden="1">0</definedName>
    <definedName name="solver_reco117" localSheetId="6" hidden="1">0</definedName>
    <definedName name="solver_reco118" localSheetId="6" hidden="1">0</definedName>
    <definedName name="solver_reco119" localSheetId="6" hidden="1">0</definedName>
    <definedName name="solver_reco12" localSheetId="6" hidden="1">0</definedName>
    <definedName name="solver_reco12" localSheetId="11" hidden="1">0</definedName>
    <definedName name="solver_reco120" localSheetId="6" hidden="1">0</definedName>
    <definedName name="solver_reco121" localSheetId="6" hidden="1">0</definedName>
    <definedName name="solver_reco122" localSheetId="6" hidden="1">0</definedName>
    <definedName name="solver_reco123" localSheetId="6" hidden="1">0</definedName>
    <definedName name="solver_reco124" localSheetId="6" hidden="1">0</definedName>
    <definedName name="solver_reco125" localSheetId="6" hidden="1">0</definedName>
    <definedName name="solver_reco126" localSheetId="6" hidden="1">0</definedName>
    <definedName name="solver_reco127" localSheetId="6" hidden="1">0</definedName>
    <definedName name="solver_reco128" localSheetId="6" hidden="1">0</definedName>
    <definedName name="solver_reco129" localSheetId="6" hidden="1">0</definedName>
    <definedName name="solver_reco13" localSheetId="6" hidden="1">0</definedName>
    <definedName name="solver_reco13" localSheetId="11" hidden="1">0</definedName>
    <definedName name="solver_reco130" localSheetId="6" hidden="1">0</definedName>
    <definedName name="solver_reco131" localSheetId="6" hidden="1">0</definedName>
    <definedName name="solver_reco132" localSheetId="6" hidden="1">0</definedName>
    <definedName name="solver_reco133" localSheetId="6" hidden="1">0</definedName>
    <definedName name="solver_reco134" localSheetId="6" hidden="1">0</definedName>
    <definedName name="solver_reco135" localSheetId="6" hidden="1">0</definedName>
    <definedName name="solver_reco136" localSheetId="6" hidden="1">0</definedName>
    <definedName name="solver_reco137" localSheetId="6" hidden="1">0</definedName>
    <definedName name="solver_reco138" localSheetId="6" hidden="1">0</definedName>
    <definedName name="solver_reco139" localSheetId="6" hidden="1">0</definedName>
    <definedName name="solver_reco14" localSheetId="6" hidden="1">0</definedName>
    <definedName name="solver_reco14" localSheetId="11" hidden="1">0</definedName>
    <definedName name="solver_reco140" localSheetId="6" hidden="1">0</definedName>
    <definedName name="solver_reco141" localSheetId="6" hidden="1">0</definedName>
    <definedName name="solver_reco142" localSheetId="6" hidden="1">0</definedName>
    <definedName name="solver_reco143" localSheetId="6" hidden="1">0</definedName>
    <definedName name="solver_reco144" localSheetId="6" hidden="1">0</definedName>
    <definedName name="solver_reco145" localSheetId="6" hidden="1">0</definedName>
    <definedName name="solver_reco146" localSheetId="6" hidden="1">0</definedName>
    <definedName name="solver_reco147" localSheetId="6" hidden="1">0</definedName>
    <definedName name="solver_reco148" localSheetId="6" hidden="1">0</definedName>
    <definedName name="solver_reco149" localSheetId="6" hidden="1">0</definedName>
    <definedName name="solver_reco15" localSheetId="6" hidden="1">0</definedName>
    <definedName name="solver_reco15" localSheetId="11" hidden="1">0</definedName>
    <definedName name="solver_reco150" localSheetId="6" hidden="1">0</definedName>
    <definedName name="solver_reco151" localSheetId="6" hidden="1">0</definedName>
    <definedName name="solver_reco152" localSheetId="6" hidden="1">0</definedName>
    <definedName name="solver_reco153" localSheetId="6" hidden="1">0</definedName>
    <definedName name="solver_reco154" localSheetId="6" hidden="1">0</definedName>
    <definedName name="solver_reco155" localSheetId="6" hidden="1">0</definedName>
    <definedName name="solver_reco156" localSheetId="6" hidden="1">0</definedName>
    <definedName name="solver_reco157" localSheetId="6" hidden="1">0</definedName>
    <definedName name="solver_reco158" localSheetId="6" hidden="1">0</definedName>
    <definedName name="solver_reco159" localSheetId="6" hidden="1">0</definedName>
    <definedName name="solver_reco16" localSheetId="6" hidden="1">0</definedName>
    <definedName name="solver_reco16" localSheetId="11" hidden="1">0</definedName>
    <definedName name="solver_reco160" localSheetId="6" hidden="1">0</definedName>
    <definedName name="solver_reco161" localSheetId="6" hidden="1">0</definedName>
    <definedName name="solver_reco162" localSheetId="6" hidden="1">0</definedName>
    <definedName name="solver_reco163" localSheetId="6" hidden="1">0</definedName>
    <definedName name="solver_reco164" localSheetId="6" hidden="1">0</definedName>
    <definedName name="solver_reco165" localSheetId="6" hidden="1">0</definedName>
    <definedName name="solver_reco166" localSheetId="6" hidden="1">0</definedName>
    <definedName name="solver_reco167" localSheetId="6" hidden="1">0</definedName>
    <definedName name="solver_reco168" localSheetId="6" hidden="1">0</definedName>
    <definedName name="solver_reco169" localSheetId="6" hidden="1">0</definedName>
    <definedName name="solver_reco17" localSheetId="6" hidden="1">0</definedName>
    <definedName name="solver_reco17" localSheetId="11" hidden="1">0</definedName>
    <definedName name="solver_reco170" localSheetId="6" hidden="1">0</definedName>
    <definedName name="solver_reco171" localSheetId="6" hidden="1">0</definedName>
    <definedName name="solver_reco172" localSheetId="6" hidden="1">0</definedName>
    <definedName name="solver_reco173" localSheetId="6" hidden="1">0</definedName>
    <definedName name="solver_reco174" localSheetId="6" hidden="1">0</definedName>
    <definedName name="solver_reco175" localSheetId="6" hidden="1">0</definedName>
    <definedName name="solver_reco176" localSheetId="6" hidden="1">0</definedName>
    <definedName name="solver_reco177" localSheetId="6" hidden="1">0</definedName>
    <definedName name="solver_reco178" localSheetId="6" hidden="1">0</definedName>
    <definedName name="solver_reco179" localSheetId="6" hidden="1">0</definedName>
    <definedName name="solver_reco18" localSheetId="6" hidden="1">0</definedName>
    <definedName name="solver_reco18" localSheetId="11" hidden="1">0</definedName>
    <definedName name="solver_reco180" localSheetId="6" hidden="1">0</definedName>
    <definedName name="solver_reco181" localSheetId="6" hidden="1">0</definedName>
    <definedName name="solver_reco182" localSheetId="6" hidden="1">0</definedName>
    <definedName name="solver_reco183" localSheetId="6" hidden="1">0</definedName>
    <definedName name="solver_reco184" localSheetId="6" hidden="1">0</definedName>
    <definedName name="solver_reco185" localSheetId="6" hidden="1">0</definedName>
    <definedName name="solver_reco186" localSheetId="6" hidden="1">0</definedName>
    <definedName name="solver_reco187" localSheetId="6" hidden="1">0</definedName>
    <definedName name="solver_reco188" localSheetId="6" hidden="1">0</definedName>
    <definedName name="solver_reco189" localSheetId="6" hidden="1">0</definedName>
    <definedName name="solver_reco19" localSheetId="6" hidden="1">0</definedName>
    <definedName name="solver_reco19" localSheetId="11" hidden="1">0</definedName>
    <definedName name="solver_reco190" localSheetId="6" hidden="1">0</definedName>
    <definedName name="solver_reco191" localSheetId="6" hidden="1">0</definedName>
    <definedName name="solver_reco192" localSheetId="6" hidden="1">0</definedName>
    <definedName name="solver_reco193" localSheetId="6" hidden="1">0</definedName>
    <definedName name="solver_reco194" localSheetId="6" hidden="1">0</definedName>
    <definedName name="solver_reco195" localSheetId="6" hidden="1">0</definedName>
    <definedName name="solver_reco196" localSheetId="6" hidden="1">0</definedName>
    <definedName name="solver_reco197" localSheetId="6" hidden="1">0</definedName>
    <definedName name="solver_reco198" localSheetId="6" hidden="1">0</definedName>
    <definedName name="solver_reco199" localSheetId="6" hidden="1">0</definedName>
    <definedName name="solver_reco2" localSheetId="6" hidden="1">0</definedName>
    <definedName name="solver_reco2" localSheetId="11" hidden="1">0</definedName>
    <definedName name="solver_reco20" localSheetId="6" hidden="1">0</definedName>
    <definedName name="solver_reco20" localSheetId="11" hidden="1">0</definedName>
    <definedName name="solver_reco200" localSheetId="6" hidden="1">0</definedName>
    <definedName name="solver_reco201" localSheetId="6" hidden="1">0</definedName>
    <definedName name="solver_reco202" localSheetId="6" hidden="1">0</definedName>
    <definedName name="solver_reco203" localSheetId="6" hidden="1">0</definedName>
    <definedName name="solver_reco204" localSheetId="6" hidden="1">0</definedName>
    <definedName name="solver_reco205" localSheetId="6" hidden="1">0</definedName>
    <definedName name="solver_reco206" localSheetId="6" hidden="1">0</definedName>
    <definedName name="solver_reco207" localSheetId="6" hidden="1">0</definedName>
    <definedName name="solver_reco208" localSheetId="6" hidden="1">0</definedName>
    <definedName name="solver_reco209" localSheetId="6" hidden="1">0</definedName>
    <definedName name="solver_reco21" localSheetId="6" hidden="1">0</definedName>
    <definedName name="solver_reco21" localSheetId="11" hidden="1">0</definedName>
    <definedName name="solver_reco210" localSheetId="6" hidden="1">0</definedName>
    <definedName name="solver_reco211" localSheetId="6" hidden="1">0</definedName>
    <definedName name="solver_reco22" localSheetId="6" hidden="1">0</definedName>
    <definedName name="solver_reco22" localSheetId="11" hidden="1">0</definedName>
    <definedName name="solver_reco23" localSheetId="6" hidden="1">0</definedName>
    <definedName name="solver_reco23" localSheetId="11" hidden="1">0</definedName>
    <definedName name="solver_reco24" localSheetId="6" hidden="1">0</definedName>
    <definedName name="solver_reco24" localSheetId="11" hidden="1">0</definedName>
    <definedName name="solver_reco25" localSheetId="6" hidden="1">0</definedName>
    <definedName name="solver_reco25" localSheetId="11" hidden="1">0</definedName>
    <definedName name="solver_reco26" localSheetId="6" hidden="1">0</definedName>
    <definedName name="solver_reco26" localSheetId="11" hidden="1">0</definedName>
    <definedName name="solver_reco27" localSheetId="6" hidden="1">0</definedName>
    <definedName name="solver_reco27" localSheetId="11" hidden="1">0</definedName>
    <definedName name="solver_reco28" localSheetId="6" hidden="1">0</definedName>
    <definedName name="solver_reco28" localSheetId="11" hidden="1">0</definedName>
    <definedName name="solver_reco29" localSheetId="6" hidden="1">0</definedName>
    <definedName name="solver_reco29" localSheetId="11" hidden="1">0</definedName>
    <definedName name="solver_reco3" localSheetId="6" hidden="1">0</definedName>
    <definedName name="solver_reco3" localSheetId="11" hidden="1">0</definedName>
    <definedName name="solver_reco30" localSheetId="6" hidden="1">0</definedName>
    <definedName name="solver_reco30" localSheetId="11" hidden="1">0</definedName>
    <definedName name="solver_reco31" localSheetId="6" hidden="1">0</definedName>
    <definedName name="solver_reco31" localSheetId="11" hidden="1">0</definedName>
    <definedName name="solver_reco32" localSheetId="6" hidden="1">0</definedName>
    <definedName name="solver_reco32" localSheetId="11" hidden="1">0</definedName>
    <definedName name="solver_reco33" localSheetId="6" hidden="1">0</definedName>
    <definedName name="solver_reco33" localSheetId="11" hidden="1">0</definedName>
    <definedName name="solver_reco34" localSheetId="6" hidden="1">0</definedName>
    <definedName name="solver_reco34" localSheetId="11" hidden="1">0</definedName>
    <definedName name="solver_reco35" localSheetId="6" hidden="1">0</definedName>
    <definedName name="solver_reco35" localSheetId="11" hidden="1">0</definedName>
    <definedName name="solver_reco36" localSheetId="6" hidden="1">0</definedName>
    <definedName name="solver_reco36" localSheetId="11" hidden="1">0</definedName>
    <definedName name="solver_reco37" localSheetId="6" hidden="1">0</definedName>
    <definedName name="solver_reco37" localSheetId="11" hidden="1">0</definedName>
    <definedName name="solver_reco38" localSheetId="6" hidden="1">0</definedName>
    <definedName name="solver_reco38" localSheetId="11" hidden="1">0</definedName>
    <definedName name="solver_reco39" localSheetId="6" hidden="1">0</definedName>
    <definedName name="solver_reco39" localSheetId="11" hidden="1">0</definedName>
    <definedName name="solver_reco4" localSheetId="6" hidden="1">0</definedName>
    <definedName name="solver_reco4" localSheetId="11" hidden="1">0</definedName>
    <definedName name="solver_reco40" localSheetId="6" hidden="1">0</definedName>
    <definedName name="solver_reco40" localSheetId="11" hidden="1">0</definedName>
    <definedName name="solver_reco41" localSheetId="6" hidden="1">0</definedName>
    <definedName name="solver_reco41" localSheetId="11" hidden="1">0</definedName>
    <definedName name="solver_reco42" localSheetId="6" hidden="1">0</definedName>
    <definedName name="solver_reco42" localSheetId="11" hidden="1">0</definedName>
    <definedName name="solver_reco43" localSheetId="6" hidden="1">0</definedName>
    <definedName name="solver_reco43" localSheetId="11" hidden="1">0</definedName>
    <definedName name="solver_reco44" localSheetId="6" hidden="1">0</definedName>
    <definedName name="solver_reco44" localSheetId="11" hidden="1">0</definedName>
    <definedName name="solver_reco45" localSheetId="6" hidden="1">0</definedName>
    <definedName name="solver_reco45" localSheetId="11" hidden="1">0</definedName>
    <definedName name="solver_reco46" localSheetId="6" hidden="1">0</definedName>
    <definedName name="solver_reco46" localSheetId="11" hidden="1">0</definedName>
    <definedName name="solver_reco47" localSheetId="6" hidden="1">0</definedName>
    <definedName name="solver_reco47" localSheetId="11" hidden="1">0</definedName>
    <definedName name="solver_reco48" localSheetId="6" hidden="1">0</definedName>
    <definedName name="solver_reco48" localSheetId="11" hidden="1">0</definedName>
    <definedName name="solver_reco49" localSheetId="6" hidden="1">0</definedName>
    <definedName name="solver_reco49" localSheetId="11" hidden="1">0</definedName>
    <definedName name="solver_reco5" localSheetId="6" hidden="1">0</definedName>
    <definedName name="solver_reco5" localSheetId="11" hidden="1">0</definedName>
    <definedName name="solver_reco50" localSheetId="6" hidden="1">0</definedName>
    <definedName name="solver_reco50" localSheetId="11" hidden="1">0</definedName>
    <definedName name="solver_reco51" localSheetId="6" hidden="1">0</definedName>
    <definedName name="solver_reco51" localSheetId="11" hidden="1">0</definedName>
    <definedName name="solver_reco52" localSheetId="6" hidden="1">0</definedName>
    <definedName name="solver_reco52" localSheetId="11" hidden="1">0</definedName>
    <definedName name="solver_reco53" localSheetId="6" hidden="1">0</definedName>
    <definedName name="solver_reco53" localSheetId="11" hidden="1">0</definedName>
    <definedName name="solver_reco54" localSheetId="6" hidden="1">0</definedName>
    <definedName name="solver_reco54" localSheetId="11" hidden="1">0</definedName>
    <definedName name="solver_reco55" localSheetId="6" hidden="1">0</definedName>
    <definedName name="solver_reco55" localSheetId="11" hidden="1">0</definedName>
    <definedName name="solver_reco56" localSheetId="6" hidden="1">0</definedName>
    <definedName name="solver_reco56" localSheetId="11" hidden="1">0</definedName>
    <definedName name="solver_reco57" localSheetId="6" hidden="1">0</definedName>
    <definedName name="solver_reco57" localSheetId="11" hidden="1">0</definedName>
    <definedName name="solver_reco58" localSheetId="6" hidden="1">0</definedName>
    <definedName name="solver_reco58" localSheetId="11" hidden="1">0</definedName>
    <definedName name="solver_reco59" localSheetId="6" hidden="1">0</definedName>
    <definedName name="solver_reco59" localSheetId="11" hidden="1">0</definedName>
    <definedName name="solver_reco6" localSheetId="6" hidden="1">0</definedName>
    <definedName name="solver_reco6" localSheetId="11" hidden="1">0</definedName>
    <definedName name="solver_reco60" localSheetId="6" hidden="1">0</definedName>
    <definedName name="solver_reco60" localSheetId="11" hidden="1">0</definedName>
    <definedName name="solver_reco61" localSheetId="6" hidden="1">0</definedName>
    <definedName name="solver_reco61" localSheetId="11" hidden="1">0</definedName>
    <definedName name="solver_reco62" localSheetId="6" hidden="1">0</definedName>
    <definedName name="solver_reco62" localSheetId="11" hidden="1">0</definedName>
    <definedName name="solver_reco63" localSheetId="6" hidden="1">0</definedName>
    <definedName name="solver_reco63" localSheetId="11" hidden="1">0</definedName>
    <definedName name="solver_reco64" localSheetId="6" hidden="1">0</definedName>
    <definedName name="solver_reco64" localSheetId="11" hidden="1">0</definedName>
    <definedName name="solver_reco65" localSheetId="6" hidden="1">0</definedName>
    <definedName name="solver_reco65" localSheetId="11" hidden="1">0</definedName>
    <definedName name="solver_reco66" localSheetId="6" hidden="1">0</definedName>
    <definedName name="solver_reco66" localSheetId="11" hidden="1">0</definedName>
    <definedName name="solver_reco67" localSheetId="6" hidden="1">0</definedName>
    <definedName name="solver_reco67" localSheetId="11" hidden="1">0</definedName>
    <definedName name="solver_reco68" localSheetId="6" hidden="1">0</definedName>
    <definedName name="solver_reco68" localSheetId="11" hidden="1">0</definedName>
    <definedName name="solver_reco69" localSheetId="6" hidden="1">0</definedName>
    <definedName name="solver_reco69" localSheetId="11" hidden="1">0</definedName>
    <definedName name="solver_reco7" localSheetId="6" hidden="1">0</definedName>
    <definedName name="solver_reco7" localSheetId="11" hidden="1">0</definedName>
    <definedName name="solver_reco70" localSheetId="6" hidden="1">0</definedName>
    <definedName name="solver_reco70" localSheetId="11" hidden="1">0</definedName>
    <definedName name="solver_reco71" localSheetId="6" hidden="1">0</definedName>
    <definedName name="solver_reco71" localSheetId="11" hidden="1">0</definedName>
    <definedName name="solver_reco72" localSheetId="6" hidden="1">0</definedName>
    <definedName name="solver_reco72" localSheetId="11" hidden="1">0</definedName>
    <definedName name="solver_reco73" localSheetId="6" hidden="1">0</definedName>
    <definedName name="solver_reco73" localSheetId="11" hidden="1">0</definedName>
    <definedName name="solver_reco74" localSheetId="6" hidden="1">0</definedName>
    <definedName name="solver_reco74" localSheetId="11" hidden="1">0</definedName>
    <definedName name="solver_reco75" localSheetId="6" hidden="1">0</definedName>
    <definedName name="solver_reco75" localSheetId="11" hidden="1">0</definedName>
    <definedName name="solver_reco76" localSheetId="6" hidden="1">0</definedName>
    <definedName name="solver_reco76" localSheetId="11" hidden="1">0</definedName>
    <definedName name="solver_reco77" localSheetId="6" hidden="1">0</definedName>
    <definedName name="solver_reco77" localSheetId="11" hidden="1">0</definedName>
    <definedName name="solver_reco78" localSheetId="6" hidden="1">0</definedName>
    <definedName name="solver_reco78" localSheetId="11" hidden="1">0</definedName>
    <definedName name="solver_reco79" localSheetId="6" hidden="1">0</definedName>
    <definedName name="solver_reco79" localSheetId="11" hidden="1">0</definedName>
    <definedName name="solver_reco8" localSheetId="6" hidden="1">0</definedName>
    <definedName name="solver_reco8" localSheetId="11" hidden="1">0</definedName>
    <definedName name="solver_reco80" localSheetId="6" hidden="1">0</definedName>
    <definedName name="solver_reco80" localSheetId="11" hidden="1">0</definedName>
    <definedName name="solver_reco81" localSheetId="6" hidden="1">0</definedName>
    <definedName name="solver_reco81" localSheetId="11" hidden="1">0</definedName>
    <definedName name="solver_reco82" localSheetId="6" hidden="1">0</definedName>
    <definedName name="solver_reco82" localSheetId="11" hidden="1">0</definedName>
    <definedName name="solver_reco83" localSheetId="6" hidden="1">0</definedName>
    <definedName name="solver_reco83" localSheetId="11" hidden="1">0</definedName>
    <definedName name="solver_reco84" localSheetId="6" hidden="1">0</definedName>
    <definedName name="solver_reco84" localSheetId="11" hidden="1">0</definedName>
    <definedName name="solver_reco85" localSheetId="6" hidden="1">0</definedName>
    <definedName name="solver_reco85" localSheetId="11" hidden="1">0</definedName>
    <definedName name="solver_reco86" localSheetId="6" hidden="1">0</definedName>
    <definedName name="solver_reco86" localSheetId="11" hidden="1">0</definedName>
    <definedName name="solver_reco87" localSheetId="6" hidden="1">0</definedName>
    <definedName name="solver_reco87" localSheetId="11" hidden="1">0</definedName>
    <definedName name="solver_reco88" localSheetId="6" hidden="1">0</definedName>
    <definedName name="solver_reco88" localSheetId="11" hidden="1">0</definedName>
    <definedName name="solver_reco89" localSheetId="6" hidden="1">0</definedName>
    <definedName name="solver_reco89" localSheetId="11" hidden="1">0</definedName>
    <definedName name="solver_reco9" localSheetId="6" hidden="1">0</definedName>
    <definedName name="solver_reco9" localSheetId="11" hidden="1">0</definedName>
    <definedName name="solver_reco90" localSheetId="6" hidden="1">0</definedName>
    <definedName name="solver_reco90" localSheetId="11" hidden="1">0</definedName>
    <definedName name="solver_reco91" localSheetId="6" hidden="1">0</definedName>
    <definedName name="solver_reco91" localSheetId="11" hidden="1">0</definedName>
    <definedName name="solver_reco92" localSheetId="6" hidden="1">0</definedName>
    <definedName name="solver_reco92" localSheetId="11" hidden="1">0</definedName>
    <definedName name="solver_reco93" localSheetId="6" hidden="1">0</definedName>
    <definedName name="solver_reco94" localSheetId="6" hidden="1">0</definedName>
    <definedName name="solver_reco95" localSheetId="6" hidden="1">0</definedName>
    <definedName name="solver_reco96" localSheetId="6" hidden="1">0</definedName>
    <definedName name="solver_reco97" localSheetId="6" hidden="1">0</definedName>
    <definedName name="solver_reco98" localSheetId="6" hidden="1">0</definedName>
    <definedName name="solver_reco99" localSheetId="6" hidden="1">0</definedName>
    <definedName name="solver_red" localSheetId="6" hidden="1">0.000001</definedName>
    <definedName name="solver_rel1" localSheetId="6" hidden="1">3</definedName>
    <definedName name="solver_rel1" localSheetId="11" hidden="1">3</definedName>
    <definedName name="solver_rel10" localSheetId="6" hidden="1">1</definedName>
    <definedName name="solver_rel10" localSheetId="11" hidden="1">1</definedName>
    <definedName name="solver_rel100" localSheetId="6" hidden="1">3</definedName>
    <definedName name="solver_rel101" localSheetId="6" hidden="1">1</definedName>
    <definedName name="solver_rel102" localSheetId="6" hidden="1">1</definedName>
    <definedName name="solver_rel103" localSheetId="6" hidden="1">3</definedName>
    <definedName name="solver_rel104" localSheetId="6" hidden="1">1</definedName>
    <definedName name="solver_rel105" localSheetId="6" hidden="1">1</definedName>
    <definedName name="solver_rel106" localSheetId="6" hidden="1">3</definedName>
    <definedName name="solver_rel107" localSheetId="6" hidden="1">1</definedName>
    <definedName name="solver_rel108" localSheetId="6" hidden="1">1</definedName>
    <definedName name="solver_rel109" localSheetId="6" hidden="1">3</definedName>
    <definedName name="solver_rel11" localSheetId="6" hidden="1">2</definedName>
    <definedName name="solver_rel11" localSheetId="11" hidden="1">2</definedName>
    <definedName name="solver_rel110" localSheetId="6" hidden="1">1</definedName>
    <definedName name="solver_rel111" localSheetId="6" hidden="1">1</definedName>
    <definedName name="solver_rel112" localSheetId="6" hidden="1">3</definedName>
    <definedName name="solver_rel113" localSheetId="6" hidden="1">1</definedName>
    <definedName name="solver_rel114" localSheetId="6" hidden="1">1</definedName>
    <definedName name="solver_rel115" localSheetId="6" hidden="1">3</definedName>
    <definedName name="solver_rel116" localSheetId="6" hidden="1">1</definedName>
    <definedName name="solver_rel117" localSheetId="6" hidden="1">1</definedName>
    <definedName name="solver_rel118" localSheetId="6" hidden="1">3</definedName>
    <definedName name="solver_rel119" localSheetId="6" hidden="1">1</definedName>
    <definedName name="solver_rel12" localSheetId="6" hidden="1">3</definedName>
    <definedName name="solver_rel12" localSheetId="11" hidden="1">3</definedName>
    <definedName name="solver_rel120" localSheetId="6" hidden="1">1</definedName>
    <definedName name="solver_rel121" localSheetId="6" hidden="1">3</definedName>
    <definedName name="solver_rel122" localSheetId="6" hidden="1">1</definedName>
    <definedName name="solver_rel123" localSheetId="6" hidden="1">1</definedName>
    <definedName name="solver_rel124" localSheetId="6" hidden="1">3</definedName>
    <definedName name="solver_rel125" localSheetId="6" hidden="1">1</definedName>
    <definedName name="solver_rel126" localSheetId="6" hidden="1">1</definedName>
    <definedName name="solver_rel127" localSheetId="6" hidden="1">3</definedName>
    <definedName name="solver_rel128" localSheetId="6" hidden="1">1</definedName>
    <definedName name="solver_rel129" localSheetId="6" hidden="1">1</definedName>
    <definedName name="solver_rel13" localSheetId="6" hidden="1">1</definedName>
    <definedName name="solver_rel13" localSheetId="11" hidden="1">1</definedName>
    <definedName name="solver_rel130" localSheetId="6" hidden="1">3</definedName>
    <definedName name="solver_rel131" localSheetId="6" hidden="1">1</definedName>
    <definedName name="solver_rel132" localSheetId="6" hidden="1">1</definedName>
    <definedName name="solver_rel133" localSheetId="6" hidden="1">3</definedName>
    <definedName name="solver_rel134" localSheetId="6" hidden="1">1</definedName>
    <definedName name="solver_rel135" localSheetId="6" hidden="1">1</definedName>
    <definedName name="solver_rel136" localSheetId="6" hidden="1">3</definedName>
    <definedName name="solver_rel137" localSheetId="6" hidden="1">1</definedName>
    <definedName name="solver_rel138" localSheetId="6" hidden="1">1</definedName>
    <definedName name="solver_rel139" localSheetId="6" hidden="1">3</definedName>
    <definedName name="solver_rel14" localSheetId="6" hidden="1">1</definedName>
    <definedName name="solver_rel14" localSheetId="11" hidden="1">1</definedName>
    <definedName name="solver_rel140" localSheetId="6" hidden="1">1</definedName>
    <definedName name="solver_rel141" localSheetId="6" hidden="1">1</definedName>
    <definedName name="solver_rel142" localSheetId="6" hidden="1">3</definedName>
    <definedName name="solver_rel143" localSheetId="6" hidden="1">1</definedName>
    <definedName name="solver_rel144" localSheetId="6" hidden="1">1</definedName>
    <definedName name="solver_rel145" localSheetId="6" hidden="1">3</definedName>
    <definedName name="solver_rel146" localSheetId="6" hidden="1">1</definedName>
    <definedName name="solver_rel147" localSheetId="6" hidden="1">1</definedName>
    <definedName name="solver_rel148" localSheetId="6" hidden="1">3</definedName>
    <definedName name="solver_rel149" localSheetId="6" hidden="1">1</definedName>
    <definedName name="solver_rel15" localSheetId="6" hidden="1">2</definedName>
    <definedName name="solver_rel15" localSheetId="11" hidden="1">2</definedName>
    <definedName name="solver_rel150" localSheetId="6" hidden="1">1</definedName>
    <definedName name="solver_rel151" localSheetId="6" hidden="1">3</definedName>
    <definedName name="solver_rel152" localSheetId="6" hidden="1">1</definedName>
    <definedName name="solver_rel153" localSheetId="6" hidden="1">1</definedName>
    <definedName name="solver_rel154" localSheetId="6" hidden="1">3</definedName>
    <definedName name="solver_rel155" localSheetId="6" hidden="1">1</definedName>
    <definedName name="solver_rel156" localSheetId="6" hidden="1">1</definedName>
    <definedName name="solver_rel157" localSheetId="6" hidden="1">3</definedName>
    <definedName name="solver_rel158" localSheetId="6" hidden="1">1</definedName>
    <definedName name="solver_rel159" localSheetId="6" hidden="1">1</definedName>
    <definedName name="solver_rel16" localSheetId="6" hidden="1">2</definedName>
    <definedName name="solver_rel16" localSheetId="11" hidden="1">2</definedName>
    <definedName name="solver_rel160" localSheetId="6" hidden="1">3</definedName>
    <definedName name="solver_rel161" localSheetId="6" hidden="1">1</definedName>
    <definedName name="solver_rel162" localSheetId="6" hidden="1">1</definedName>
    <definedName name="solver_rel163" localSheetId="6" hidden="1">3</definedName>
    <definedName name="solver_rel164" localSheetId="6" hidden="1">1</definedName>
    <definedName name="solver_rel165" localSheetId="6" hidden="1">1</definedName>
    <definedName name="solver_rel166" localSheetId="6" hidden="1">3</definedName>
    <definedName name="solver_rel167" localSheetId="6" hidden="1">1</definedName>
    <definedName name="solver_rel168" localSheetId="6" hidden="1">1</definedName>
    <definedName name="solver_rel169" localSheetId="6" hidden="1">3</definedName>
    <definedName name="solver_rel17" localSheetId="6" hidden="1">1</definedName>
    <definedName name="solver_rel17" localSheetId="11" hidden="1">1</definedName>
    <definedName name="solver_rel170" localSheetId="6" hidden="1">1</definedName>
    <definedName name="solver_rel171" localSheetId="6" hidden="1">1</definedName>
    <definedName name="solver_rel172" localSheetId="6" hidden="1">3</definedName>
    <definedName name="solver_rel173" localSheetId="6" hidden="1">1</definedName>
    <definedName name="solver_rel174" localSheetId="6" hidden="1">1</definedName>
    <definedName name="solver_rel175" localSheetId="6" hidden="1">3</definedName>
    <definedName name="solver_rel176" localSheetId="6" hidden="1">1</definedName>
    <definedName name="solver_rel177" localSheetId="6" hidden="1">1</definedName>
    <definedName name="solver_rel178" localSheetId="6" hidden="1">3</definedName>
    <definedName name="solver_rel179" localSheetId="6" hidden="1">1</definedName>
    <definedName name="solver_rel18" localSheetId="6" hidden="1">2</definedName>
    <definedName name="solver_rel18" localSheetId="11" hidden="1">2</definedName>
    <definedName name="solver_rel180" localSheetId="6" hidden="1">1</definedName>
    <definedName name="solver_rel181" localSheetId="6" hidden="1">3</definedName>
    <definedName name="solver_rel182" localSheetId="6" hidden="1">1</definedName>
    <definedName name="solver_rel183" localSheetId="6" hidden="1">1</definedName>
    <definedName name="solver_rel184" localSheetId="6" hidden="1">3</definedName>
    <definedName name="solver_rel185" localSheetId="6" hidden="1">1</definedName>
    <definedName name="solver_rel186" localSheetId="6" hidden="1">1</definedName>
    <definedName name="solver_rel187" localSheetId="6" hidden="1">3</definedName>
    <definedName name="solver_rel188" localSheetId="6" hidden="1">1</definedName>
    <definedName name="solver_rel189" localSheetId="6" hidden="1">1</definedName>
    <definedName name="solver_rel19" localSheetId="6" hidden="1">1</definedName>
    <definedName name="solver_rel19" localSheetId="11" hidden="1">1</definedName>
    <definedName name="solver_rel190" localSheetId="6" hidden="1">3</definedName>
    <definedName name="solver_rel191" localSheetId="6" hidden="1">1</definedName>
    <definedName name="solver_rel192" localSheetId="6" hidden="1">1</definedName>
    <definedName name="solver_rel193" localSheetId="6" hidden="1">3</definedName>
    <definedName name="solver_rel194" localSheetId="6" hidden="1">1</definedName>
    <definedName name="solver_rel195" localSheetId="6" hidden="1">1</definedName>
    <definedName name="solver_rel196" localSheetId="6" hidden="1">3</definedName>
    <definedName name="solver_rel197" localSheetId="6" hidden="1">1</definedName>
    <definedName name="solver_rel198" localSheetId="6" hidden="1">1</definedName>
    <definedName name="solver_rel199" localSheetId="6" hidden="1">3</definedName>
    <definedName name="solver_rel2" localSheetId="6" hidden="1">1</definedName>
    <definedName name="solver_rel2" localSheetId="11" hidden="1">1</definedName>
    <definedName name="solver_rel20" localSheetId="6" hidden="1">2</definedName>
    <definedName name="solver_rel20" localSheetId="11" hidden="1">2</definedName>
    <definedName name="solver_rel200" localSheetId="6" hidden="1">1</definedName>
    <definedName name="solver_rel201" localSheetId="6" hidden="1">1</definedName>
    <definedName name="solver_rel202" localSheetId="6" hidden="1">3</definedName>
    <definedName name="solver_rel203" localSheetId="6" hidden="1">1</definedName>
    <definedName name="solver_rel204" localSheetId="6" hidden="1">1</definedName>
    <definedName name="solver_rel205" localSheetId="6" hidden="1">3</definedName>
    <definedName name="solver_rel206" localSheetId="6" hidden="1">1</definedName>
    <definedName name="solver_rel207" localSheetId="6" hidden="1">1</definedName>
    <definedName name="solver_rel208" localSheetId="6" hidden="1">1</definedName>
    <definedName name="solver_rel209" localSheetId="6" hidden="1">4</definedName>
    <definedName name="solver_rel21" localSheetId="6" hidden="1">3</definedName>
    <definedName name="solver_rel21" localSheetId="11" hidden="1">3</definedName>
    <definedName name="solver_rel210" localSheetId="6" hidden="1">4</definedName>
    <definedName name="solver_rel211" localSheetId="6" hidden="1">4</definedName>
    <definedName name="solver_rel22" localSheetId="6" hidden="1">1</definedName>
    <definedName name="solver_rel22" localSheetId="11" hidden="1">1</definedName>
    <definedName name="solver_rel23" localSheetId="6" hidden="1">2</definedName>
    <definedName name="solver_rel23" localSheetId="11" hidden="1">2</definedName>
    <definedName name="solver_rel24" localSheetId="6" hidden="1">1</definedName>
    <definedName name="solver_rel24" localSheetId="11" hidden="1">1</definedName>
    <definedName name="solver_rel25" localSheetId="6" hidden="1">2</definedName>
    <definedName name="solver_rel25" localSheetId="11" hidden="1">2</definedName>
    <definedName name="solver_rel26" localSheetId="6" hidden="1">1</definedName>
    <definedName name="solver_rel26" localSheetId="11" hidden="1">1</definedName>
    <definedName name="solver_rel27" localSheetId="6" hidden="1">2</definedName>
    <definedName name="solver_rel27" localSheetId="11" hidden="1">2</definedName>
    <definedName name="solver_rel28" localSheetId="6" hidden="1">1</definedName>
    <definedName name="solver_rel28" localSheetId="11" hidden="1">1</definedName>
    <definedName name="solver_rel29" localSheetId="6" hidden="1">1</definedName>
    <definedName name="solver_rel29" localSheetId="11" hidden="1">1</definedName>
    <definedName name="solver_rel3" localSheetId="6" hidden="1">2</definedName>
    <definedName name="solver_rel3" localSheetId="11" hidden="1">2</definedName>
    <definedName name="solver_rel30" localSheetId="6" hidden="1">2</definedName>
    <definedName name="solver_rel30" localSheetId="11" hidden="1">2</definedName>
    <definedName name="solver_rel31" localSheetId="6" hidden="1">1</definedName>
    <definedName name="solver_rel31" localSheetId="11" hidden="1">1</definedName>
    <definedName name="solver_rel32" localSheetId="6" hidden="1">1</definedName>
    <definedName name="solver_rel32" localSheetId="11" hidden="1">1</definedName>
    <definedName name="solver_rel33" localSheetId="6" hidden="1">2</definedName>
    <definedName name="solver_rel33" localSheetId="11" hidden="1">2</definedName>
    <definedName name="solver_rel34" localSheetId="6" hidden="1">1</definedName>
    <definedName name="solver_rel34" localSheetId="11" hidden="1">1</definedName>
    <definedName name="solver_rel35" localSheetId="6" hidden="1">1</definedName>
    <definedName name="solver_rel35" localSheetId="11" hidden="1">1</definedName>
    <definedName name="solver_rel36" localSheetId="6" hidden="1">1</definedName>
    <definedName name="solver_rel36" localSheetId="11" hidden="1">1</definedName>
    <definedName name="solver_rel37" localSheetId="6" hidden="1">1</definedName>
    <definedName name="solver_rel37" localSheetId="11" hidden="1">1</definedName>
    <definedName name="solver_rel38" localSheetId="6" hidden="1">2</definedName>
    <definedName name="solver_rel38" localSheetId="11" hidden="1">2</definedName>
    <definedName name="solver_rel39" localSheetId="6" hidden="1">2</definedName>
    <definedName name="solver_rel39" localSheetId="11" hidden="1">2</definedName>
    <definedName name="solver_rel4" localSheetId="6" hidden="1">2</definedName>
    <definedName name="solver_rel4" localSheetId="11" hidden="1">2</definedName>
    <definedName name="solver_rel40" localSheetId="6" hidden="1">3</definedName>
    <definedName name="solver_rel40" localSheetId="11" hidden="1">3</definedName>
    <definedName name="solver_rel41" localSheetId="6" hidden="1">1</definedName>
    <definedName name="solver_rel41" localSheetId="11" hidden="1">1</definedName>
    <definedName name="solver_rel42" localSheetId="6" hidden="1">3</definedName>
    <definedName name="solver_rel42" localSheetId="11" hidden="1">3</definedName>
    <definedName name="solver_rel43" localSheetId="6" hidden="1">1</definedName>
    <definedName name="solver_rel43" localSheetId="11" hidden="1">1</definedName>
    <definedName name="solver_rel44" localSheetId="6" hidden="1">2</definedName>
    <definedName name="solver_rel44" localSheetId="11" hidden="1">2</definedName>
    <definedName name="solver_rel45" localSheetId="6" hidden="1">1</definedName>
    <definedName name="solver_rel45" localSheetId="11" hidden="1">1</definedName>
    <definedName name="solver_rel46" localSheetId="6" hidden="1">1</definedName>
    <definedName name="solver_rel46" localSheetId="11" hidden="1">1</definedName>
    <definedName name="solver_rel47" localSheetId="6" hidden="1">2</definedName>
    <definedName name="solver_rel47" localSheetId="11" hidden="1">2</definedName>
    <definedName name="solver_rel48" localSheetId="6" hidden="1">1</definedName>
    <definedName name="solver_rel48" localSheetId="11" hidden="1">1</definedName>
    <definedName name="solver_rel49" localSheetId="6" hidden="1">2</definedName>
    <definedName name="solver_rel49" localSheetId="11" hidden="1">2</definedName>
    <definedName name="solver_rel5" localSheetId="6" hidden="1">1</definedName>
    <definedName name="solver_rel5" localSheetId="11" hidden="1">1</definedName>
    <definedName name="solver_rel50" localSheetId="6" hidden="1">2</definedName>
    <definedName name="solver_rel50" localSheetId="11" hidden="1">2</definedName>
    <definedName name="solver_rel51" localSheetId="6" hidden="1">3</definedName>
    <definedName name="solver_rel51" localSheetId="11" hidden="1">3</definedName>
    <definedName name="solver_rel52" localSheetId="6" hidden="1">1</definedName>
    <definedName name="solver_rel52" localSheetId="11" hidden="1">1</definedName>
    <definedName name="solver_rel53" localSheetId="6" hidden="1">3</definedName>
    <definedName name="solver_rel53" localSheetId="11" hidden="1">3</definedName>
    <definedName name="solver_rel54" localSheetId="6" hidden="1">1</definedName>
    <definedName name="solver_rel54" localSheetId="11" hidden="1">1</definedName>
    <definedName name="solver_rel55" localSheetId="6" hidden="1">2</definedName>
    <definedName name="solver_rel55" localSheetId="11" hidden="1">2</definedName>
    <definedName name="solver_rel56" localSheetId="6" hidden="1">1</definedName>
    <definedName name="solver_rel56" localSheetId="11" hidden="1">1</definedName>
    <definedName name="solver_rel57" localSheetId="6" hidden="1">1</definedName>
    <definedName name="solver_rel57" localSheetId="11" hidden="1">1</definedName>
    <definedName name="solver_rel58" localSheetId="6" hidden="1">2</definedName>
    <definedName name="solver_rel58" localSheetId="11" hidden="1">2</definedName>
    <definedName name="solver_rel59" localSheetId="6" hidden="1">1</definedName>
    <definedName name="solver_rel59" localSheetId="11" hidden="1">1</definedName>
    <definedName name="solver_rel6" localSheetId="6" hidden="1">2</definedName>
    <definedName name="solver_rel6" localSheetId="11" hidden="1">2</definedName>
    <definedName name="solver_rel60" localSheetId="6" hidden="1">2</definedName>
    <definedName name="solver_rel60" localSheetId="11" hidden="1">2</definedName>
    <definedName name="solver_rel61" localSheetId="6" hidden="1">1</definedName>
    <definedName name="solver_rel61" localSheetId="11" hidden="1">1</definedName>
    <definedName name="solver_rel62" localSheetId="6" hidden="1">2</definedName>
    <definedName name="solver_rel62" localSheetId="11" hidden="1">2</definedName>
    <definedName name="solver_rel63" localSheetId="6" hidden="1">1</definedName>
    <definedName name="solver_rel63" localSheetId="11" hidden="1">1</definedName>
    <definedName name="solver_rel64" localSheetId="6" hidden="1">1</definedName>
    <definedName name="solver_rel64" localSheetId="11" hidden="1">1</definedName>
    <definedName name="solver_rel65" localSheetId="6" hidden="1">2</definedName>
    <definedName name="solver_rel65" localSheetId="11" hidden="1">2</definedName>
    <definedName name="solver_rel66" localSheetId="6" hidden="1">1</definedName>
    <definedName name="solver_rel66" localSheetId="11" hidden="1">1</definedName>
    <definedName name="solver_rel67" localSheetId="6" hidden="1">3</definedName>
    <definedName name="solver_rel67" localSheetId="11" hidden="1">3</definedName>
    <definedName name="solver_rel68" localSheetId="6" hidden="1">1</definedName>
    <definedName name="solver_rel68" localSheetId="11" hidden="1">1</definedName>
    <definedName name="solver_rel69" localSheetId="6" hidden="1">1</definedName>
    <definedName name="solver_rel69" localSheetId="11" hidden="1">1</definedName>
    <definedName name="solver_rel7" localSheetId="6" hidden="1">2</definedName>
    <definedName name="solver_rel7" localSheetId="11" hidden="1">2</definedName>
    <definedName name="solver_rel70" localSheetId="6" hidden="1">1</definedName>
    <definedName name="solver_rel70" localSheetId="11" hidden="1">1</definedName>
    <definedName name="solver_rel71" localSheetId="6" hidden="1">2</definedName>
    <definedName name="solver_rel71" localSheetId="11" hidden="1">2</definedName>
    <definedName name="solver_rel72" localSheetId="6" hidden="1">1</definedName>
    <definedName name="solver_rel72" localSheetId="11" hidden="1">1</definedName>
    <definedName name="solver_rel73" localSheetId="6" hidden="1">2</definedName>
    <definedName name="solver_rel73" localSheetId="11" hidden="1">2</definedName>
    <definedName name="solver_rel74" localSheetId="6" hidden="1">1</definedName>
    <definedName name="solver_rel74" localSheetId="11" hidden="1">1</definedName>
    <definedName name="solver_rel75" localSheetId="6" hidden="1">1</definedName>
    <definedName name="solver_rel75" localSheetId="11" hidden="1">1</definedName>
    <definedName name="solver_rel76" localSheetId="6" hidden="1">2</definedName>
    <definedName name="solver_rel76" localSheetId="11" hidden="1">2</definedName>
    <definedName name="solver_rel77" localSheetId="6" hidden="1">1</definedName>
    <definedName name="solver_rel77" localSheetId="11" hidden="1">1</definedName>
    <definedName name="solver_rel78" localSheetId="6" hidden="1">2</definedName>
    <definedName name="solver_rel78" localSheetId="11" hidden="1">2</definedName>
    <definedName name="solver_rel79" localSheetId="6" hidden="1">1</definedName>
    <definedName name="solver_rel79" localSheetId="11" hidden="1">1</definedName>
    <definedName name="solver_rel8" localSheetId="6" hidden="1">3</definedName>
    <definedName name="solver_rel8" localSheetId="11" hidden="1">3</definedName>
    <definedName name="solver_rel80" localSheetId="6" hidden="1">2</definedName>
    <definedName name="solver_rel80" localSheetId="11" hidden="1">2</definedName>
    <definedName name="solver_rel81" localSheetId="6" hidden="1">2</definedName>
    <definedName name="solver_rel81" localSheetId="11" hidden="1">2</definedName>
    <definedName name="solver_rel82" localSheetId="6" hidden="1">1</definedName>
    <definedName name="solver_rel82" localSheetId="11" hidden="1">1</definedName>
    <definedName name="solver_rel83" localSheetId="6" hidden="1">1</definedName>
    <definedName name="solver_rel83" localSheetId="11" hidden="1">1</definedName>
    <definedName name="solver_rel84" localSheetId="6" hidden="1">2</definedName>
    <definedName name="solver_rel84" localSheetId="11" hidden="1">2</definedName>
    <definedName name="solver_rel85" localSheetId="6" hidden="1">1</definedName>
    <definedName name="solver_rel85" localSheetId="11" hidden="1">3</definedName>
    <definedName name="solver_rel86" localSheetId="6" hidden="1">4</definedName>
    <definedName name="solver_rel86" localSheetId="11" hidden="1">4</definedName>
    <definedName name="solver_rel87" localSheetId="6" hidden="1">4</definedName>
    <definedName name="solver_rel87" localSheetId="11" hidden="1">4</definedName>
    <definedName name="solver_rel88" localSheetId="6" hidden="1">4</definedName>
    <definedName name="solver_rel88" localSheetId="11" hidden="1">4</definedName>
    <definedName name="solver_rel89" localSheetId="6" hidden="1">1</definedName>
    <definedName name="solver_rel89" localSheetId="11" hidden="1">3</definedName>
    <definedName name="solver_rel9" localSheetId="6" hidden="1">1</definedName>
    <definedName name="solver_rel9" localSheetId="11" hidden="1">1</definedName>
    <definedName name="solver_rel90" localSheetId="6" hidden="1">1</definedName>
    <definedName name="solver_rel90" localSheetId="11" hidden="1">4</definedName>
    <definedName name="solver_rel91" localSheetId="6" hidden="1">3</definedName>
    <definedName name="solver_rel91" localSheetId="11" hidden="1">4</definedName>
    <definedName name="solver_rel92" localSheetId="6" hidden="1">1</definedName>
    <definedName name="solver_rel92" localSheetId="11" hidden="1">4</definedName>
    <definedName name="solver_rel93" localSheetId="6" hidden="1">1</definedName>
    <definedName name="solver_rel94" localSheetId="6" hidden="1">3</definedName>
    <definedName name="solver_rel95" localSheetId="6" hidden="1">1</definedName>
    <definedName name="solver_rel96" localSheetId="6" hidden="1">1</definedName>
    <definedName name="solver_rel97" localSheetId="6" hidden="1">3</definedName>
    <definedName name="solver_rel98" localSheetId="6" hidden="1">1</definedName>
    <definedName name="solver_rel99" localSheetId="6" hidden="1">1</definedName>
    <definedName name="solver_rep" localSheetId="6" hidden="1">0</definedName>
    <definedName name="solver_rep" localSheetId="11" hidden="1">0</definedName>
    <definedName name="solver_res" localSheetId="6" hidden="1">0.05</definedName>
    <definedName name="solver_res" localSheetId="11" hidden="1">0.05</definedName>
    <definedName name="solver_rgen" hidden="1">1</definedName>
    <definedName name="solver_rhs1" localSheetId="6" hidden="1">'LP Optimization 1'!$N$2</definedName>
    <definedName name="solver_rhs1" localSheetId="11" hidden="1">'LP Optimization 2'!$N$2</definedName>
    <definedName name="solver_rhs10" localSheetId="6" hidden="1">'LP Optimization 1'!$W$4</definedName>
    <definedName name="solver_rhs10" localSheetId="11" hidden="1">'LP Optimization 2'!$W$4</definedName>
    <definedName name="solver_rhs100" localSheetId="6" hidden="1">'LP Optimization 1'!$N$13</definedName>
    <definedName name="solver_rhs101" localSheetId="6" hidden="1">'LP Optimization 1'!$O$13</definedName>
    <definedName name="solver_rhs102" localSheetId="6" hidden="1">'LP Optimization 1'!$P$13</definedName>
    <definedName name="solver_rhs103" localSheetId="6" hidden="1">'LP Optimization 1'!$V$13</definedName>
    <definedName name="solver_rhs104" localSheetId="6" hidden="1">'LP Optimization 1'!$W$13</definedName>
    <definedName name="solver_rhs105" localSheetId="6" hidden="1">'LP Optimization 1'!$X$13</definedName>
    <definedName name="solver_rhs106" localSheetId="6" hidden="1">'LP Optimization 1'!$AD$13</definedName>
    <definedName name="solver_rhs107" localSheetId="6" hidden="1">'LP Optimization 1'!$AE$13</definedName>
    <definedName name="solver_rhs108" localSheetId="6" hidden="1">'LP Optimization 1'!$AF$13</definedName>
    <definedName name="solver_rhs109" localSheetId="6" hidden="1">'LP Optimization 1'!$N$14</definedName>
    <definedName name="solver_rhs11" localSheetId="6" hidden="1">0</definedName>
    <definedName name="solver_rhs11" localSheetId="11" hidden="1">0</definedName>
    <definedName name="solver_rhs110" localSheetId="6" hidden="1">'LP Optimization 1'!$O$14</definedName>
    <definedName name="solver_rhs111" localSheetId="6" hidden="1">'LP Optimization 1'!$P$14</definedName>
    <definedName name="solver_rhs112" localSheetId="6" hidden="1">'LP Optimization 1'!$V$14</definedName>
    <definedName name="solver_rhs113" localSheetId="6" hidden="1">'LP Optimization 1'!$W$14</definedName>
    <definedName name="solver_rhs114" localSheetId="6" hidden="1">'LP Optimization 1'!$X$14</definedName>
    <definedName name="solver_rhs115" localSheetId="6" hidden="1">'LP Optimization 1'!$AD$14</definedName>
    <definedName name="solver_rhs116" localSheetId="6" hidden="1">'LP Optimization 1'!$AE$14</definedName>
    <definedName name="solver_rhs117" localSheetId="6" hidden="1">'LP Optimization 1'!$AF$14</definedName>
    <definedName name="solver_rhs118" localSheetId="6" hidden="1">'LP Optimization 1'!$N$15</definedName>
    <definedName name="solver_rhs119" localSheetId="6" hidden="1">'LP Optimization 1'!$O$15</definedName>
    <definedName name="solver_rhs12" localSheetId="6" hidden="1">'LP Optimization 1'!$N$5</definedName>
    <definedName name="solver_rhs12" localSheetId="11" hidden="1">'LP Optimization 2'!$N$5</definedName>
    <definedName name="solver_rhs120" localSheetId="6" hidden="1">'LP Optimization 1'!$P$15</definedName>
    <definedName name="solver_rhs121" localSheetId="6" hidden="1">'LP Optimization 1'!$V$15</definedName>
    <definedName name="solver_rhs122" localSheetId="6" hidden="1">'LP Optimization 1'!$W$15</definedName>
    <definedName name="solver_rhs123" localSheetId="6" hidden="1">'LP Optimization 1'!$X$15</definedName>
    <definedName name="solver_rhs124" localSheetId="6" hidden="1">'LP Optimization 1'!$AD$15</definedName>
    <definedName name="solver_rhs125" localSheetId="6" hidden="1">'LP Optimization 1'!$AE$15</definedName>
    <definedName name="solver_rhs126" localSheetId="6" hidden="1">'LP Optimization 1'!$AF$15</definedName>
    <definedName name="solver_rhs127" localSheetId="6" hidden="1">'LP Optimization 1'!$N$16</definedName>
    <definedName name="solver_rhs128" localSheetId="6" hidden="1">'LP Optimization 1'!$O$16</definedName>
    <definedName name="solver_rhs129" localSheetId="6" hidden="1">'LP Optimization 1'!$P$16</definedName>
    <definedName name="solver_rhs13" localSheetId="6" hidden="1">'LP Optimization 1'!$O$5</definedName>
    <definedName name="solver_rhs13" localSheetId="11" hidden="1">'LP Optimization 2'!$O$5</definedName>
    <definedName name="solver_rhs130" localSheetId="6" hidden="1">'LP Optimization 1'!$V$16</definedName>
    <definedName name="solver_rhs131" localSheetId="6" hidden="1">'LP Optimization 1'!$W$16</definedName>
    <definedName name="solver_rhs132" localSheetId="6" hidden="1">'LP Optimization 1'!$X$16</definedName>
    <definedName name="solver_rhs133" localSheetId="6" hidden="1">'LP Optimization 1'!$AD$16</definedName>
    <definedName name="solver_rhs134" localSheetId="6" hidden="1">'LP Optimization 1'!$AE$16</definedName>
    <definedName name="solver_rhs135" localSheetId="6" hidden="1">'LP Optimization 1'!$AF$16</definedName>
    <definedName name="solver_rhs136" localSheetId="6" hidden="1">'LP Optimization 1'!$N$17</definedName>
    <definedName name="solver_rhs137" localSheetId="6" hidden="1">'LP Optimization 1'!$O$17</definedName>
    <definedName name="solver_rhs138" localSheetId="6" hidden="1">'LP Optimization 1'!$P$17</definedName>
    <definedName name="solver_rhs139" localSheetId="6" hidden="1">'LP Optimization 1'!$V$17</definedName>
    <definedName name="solver_rhs14" localSheetId="6" hidden="1">'LP Optimization 1'!$X$5</definedName>
    <definedName name="solver_rhs14" localSheetId="11" hidden="1">'LP Optimization 2'!$X$5</definedName>
    <definedName name="solver_rhs140" localSheetId="6" hidden="1">'LP Optimization 1'!$W$17</definedName>
    <definedName name="solver_rhs141" localSheetId="6" hidden="1">'LP Optimization 1'!$X$17</definedName>
    <definedName name="solver_rhs142" localSheetId="6" hidden="1">'LP Optimization 1'!$AD$17</definedName>
    <definedName name="solver_rhs143" localSheetId="6" hidden="1">'LP Optimization 1'!$AE$17</definedName>
    <definedName name="solver_rhs144" localSheetId="6" hidden="1">'LP Optimization 1'!$AF$17</definedName>
    <definedName name="solver_rhs145" localSheetId="6" hidden="1">'LP Optimization 1'!$N$18</definedName>
    <definedName name="solver_rhs146" localSheetId="6" hidden="1">'LP Optimization 1'!$O$18</definedName>
    <definedName name="solver_rhs147" localSheetId="6" hidden="1">'LP Optimization 1'!$P$18</definedName>
    <definedName name="solver_rhs148" localSheetId="6" hidden="1">'LP Optimization 1'!$V$18</definedName>
    <definedName name="solver_rhs149" localSheetId="6" hidden="1">'LP Optimization 1'!$W$18</definedName>
    <definedName name="solver_rhs15" localSheetId="6" hidden="1">0</definedName>
    <definedName name="solver_rhs15" localSheetId="11" hidden="1">0</definedName>
    <definedName name="solver_rhs150" localSheetId="6" hidden="1">'LP Optimization 1'!$X$18</definedName>
    <definedName name="solver_rhs151" localSheetId="6" hidden="1">'LP Optimization 1'!$AD$18</definedName>
    <definedName name="solver_rhs152" localSheetId="6" hidden="1">'LP Optimization 1'!$AE$18</definedName>
    <definedName name="solver_rhs153" localSheetId="6" hidden="1">'LP Optimization 1'!$AF$18</definedName>
    <definedName name="solver_rhs154" localSheetId="6" hidden="1">'LP Optimization 1'!$N$19</definedName>
    <definedName name="solver_rhs155" localSheetId="6" hidden="1">'LP Optimization 1'!$O$19</definedName>
    <definedName name="solver_rhs156" localSheetId="6" hidden="1">'LP Optimization 1'!$P$19</definedName>
    <definedName name="solver_rhs157" localSheetId="6" hidden="1">'LP Optimization 1'!$V$19</definedName>
    <definedName name="solver_rhs158" localSheetId="6" hidden="1">'LP Optimization 1'!$W$19</definedName>
    <definedName name="solver_rhs159" localSheetId="6" hidden="1">'LP Optimization 1'!$X$19</definedName>
    <definedName name="solver_rhs16" localSheetId="6" hidden="1">1</definedName>
    <definedName name="solver_rhs16" localSheetId="11" hidden="1">1</definedName>
    <definedName name="solver_rhs160" localSheetId="6" hidden="1">'LP Optimization 1'!$AD$19</definedName>
    <definedName name="solver_rhs161" localSheetId="6" hidden="1">'LP Optimization 1'!$AE$19</definedName>
    <definedName name="solver_rhs162" localSheetId="6" hidden="1">'LP Optimization 1'!$AF$19</definedName>
    <definedName name="solver_rhs163" localSheetId="6" hidden="1">'LP Optimization 1'!$N$20</definedName>
    <definedName name="solver_rhs164" localSheetId="6" hidden="1">'LP Optimization 1'!$O$20</definedName>
    <definedName name="solver_rhs165" localSheetId="6" hidden="1">'LP Optimization 1'!$P$20</definedName>
    <definedName name="solver_rhs166" localSheetId="6" hidden="1">'LP Optimization 1'!$V$20</definedName>
    <definedName name="solver_rhs167" localSheetId="6" hidden="1">'LP Optimization 1'!$W$20</definedName>
    <definedName name="solver_rhs168" localSheetId="6" hidden="1">'LP Optimization 1'!$X$20</definedName>
    <definedName name="solver_rhs169" localSheetId="6" hidden="1">'LP Optimization 1'!$AD$20</definedName>
    <definedName name="solver_rhs17" localSheetId="6" hidden="1">'LP Optimization 1'!$O$6</definedName>
    <definedName name="solver_rhs17" localSheetId="11" hidden="1">'LP Optimization 2'!$O$6</definedName>
    <definedName name="solver_rhs170" localSheetId="6" hidden="1">'LP Optimization 1'!$AE$20</definedName>
    <definedName name="solver_rhs171" localSheetId="6" hidden="1">'LP Optimization 1'!$AF$20</definedName>
    <definedName name="solver_rhs172" localSheetId="6" hidden="1">'LP Optimization 1'!$N$21</definedName>
    <definedName name="solver_rhs173" localSheetId="6" hidden="1">'LP Optimization 1'!$O$21</definedName>
    <definedName name="solver_rhs174" localSheetId="6" hidden="1">'LP Optimization 1'!$P$21</definedName>
    <definedName name="solver_rhs175" localSheetId="6" hidden="1">'LP Optimization 1'!$V$21</definedName>
    <definedName name="solver_rhs176" localSheetId="6" hidden="1">'LP Optimization 1'!$W$21</definedName>
    <definedName name="solver_rhs177" localSheetId="6" hidden="1">'LP Optimization 1'!$X$21</definedName>
    <definedName name="solver_rhs178" localSheetId="6" hidden="1">'LP Optimization 1'!$AD$21</definedName>
    <definedName name="solver_rhs179" localSheetId="6" hidden="1">'LP Optimization 1'!$AE$21</definedName>
    <definedName name="solver_rhs18" localSheetId="6" hidden="1">1</definedName>
    <definedName name="solver_rhs18" localSheetId="11" hidden="1">1</definedName>
    <definedName name="solver_rhs180" localSheetId="6" hidden="1">'LP Optimization 1'!$AF$21</definedName>
    <definedName name="solver_rhs181" localSheetId="6" hidden="1">'LP Optimization 1'!$N$22</definedName>
    <definedName name="solver_rhs182" localSheetId="6" hidden="1">'LP Optimization 1'!$O$22</definedName>
    <definedName name="solver_rhs183" localSheetId="6" hidden="1">'LP Optimization 1'!$P$22</definedName>
    <definedName name="solver_rhs184" localSheetId="6" hidden="1">'LP Optimization 1'!$V$22</definedName>
    <definedName name="solver_rhs185" localSheetId="6" hidden="1">'LP Optimization 1'!$W$22</definedName>
    <definedName name="solver_rhs186" localSheetId="6" hidden="1">'LP Optimization 1'!$X$22</definedName>
    <definedName name="solver_rhs187" localSheetId="6" hidden="1">'LP Optimization 1'!$AD$22</definedName>
    <definedName name="solver_rhs188" localSheetId="6" hidden="1">'LP Optimization 1'!$AE$22</definedName>
    <definedName name="solver_rhs189" localSheetId="6" hidden="1">'LP Optimization 1'!$AF$22</definedName>
    <definedName name="solver_rhs19" localSheetId="6" hidden="1">'LP Optimization 1'!$W$6</definedName>
    <definedName name="solver_rhs19" localSheetId="11" hidden="1">'LP Optimization 2'!$W$6</definedName>
    <definedName name="solver_rhs190" localSheetId="6" hidden="1">'LP Optimization 1'!$N$23</definedName>
    <definedName name="solver_rhs191" localSheetId="6" hidden="1">'LP Optimization 1'!$O$23</definedName>
    <definedName name="solver_rhs192" localSheetId="6" hidden="1">'LP Optimization 1'!$P$23</definedName>
    <definedName name="solver_rhs193" localSheetId="6" hidden="1">'LP Optimization 1'!$V$23</definedName>
    <definedName name="solver_rhs194" localSheetId="6" hidden="1">'LP Optimization 1'!$W$23</definedName>
    <definedName name="solver_rhs195" localSheetId="6" hidden="1">'LP Optimization 1'!$X$23</definedName>
    <definedName name="solver_rhs196" localSheetId="6" hidden="1">'LP Optimization 1'!$AD$23</definedName>
    <definedName name="solver_rhs197" localSheetId="6" hidden="1">'LP Optimization 1'!$AE$23</definedName>
    <definedName name="solver_rhs198" localSheetId="6" hidden="1">'LP Optimization 1'!$AF$23</definedName>
    <definedName name="solver_rhs199" localSheetId="6" hidden="1">'LP Optimization 1'!$N$24</definedName>
    <definedName name="solver_rhs2" localSheetId="6" hidden="1">'LP Optimization 1'!$O$2</definedName>
    <definedName name="solver_rhs2" localSheetId="11" hidden="1">'LP Optimization 2'!$O$2</definedName>
    <definedName name="solver_rhs20" localSheetId="6" hidden="1">1</definedName>
    <definedName name="solver_rhs20" localSheetId="11" hidden="1">1</definedName>
    <definedName name="solver_rhs200" localSheetId="6" hidden="1">'LP Optimization 1'!$O$24</definedName>
    <definedName name="solver_rhs201" localSheetId="6" hidden="1">'LP Optimization 1'!$P$24</definedName>
    <definedName name="solver_rhs202" localSheetId="6" hidden="1">'LP Optimization 1'!$V$24</definedName>
    <definedName name="solver_rhs203" localSheetId="6" hidden="1">'LP Optimization 1'!$W$24</definedName>
    <definedName name="solver_rhs204" localSheetId="6" hidden="1">'LP Optimization 1'!$X$24</definedName>
    <definedName name="solver_rhs205" localSheetId="6" hidden="1">'LP Optimization 1'!$AD$24</definedName>
    <definedName name="solver_rhs206" localSheetId="6" hidden="1">'LP Optimization 1'!$AE$24</definedName>
    <definedName name="solver_rhs207" localSheetId="6" hidden="1">'LP Optimization 1'!$AF$24</definedName>
    <definedName name="solver_rhs208" localSheetId="6" hidden="1">'LP Optimization 1'!$B$28</definedName>
    <definedName name="solver_rhs21" localSheetId="6" hidden="1">'LP Optimization 1'!$AD$6</definedName>
    <definedName name="solver_rhs21" localSheetId="11" hidden="1">'LP Optimization 2'!$AD$6</definedName>
    <definedName name="solver_rhs22" localSheetId="6" hidden="1">'LP Optimization 1'!$AE$6</definedName>
    <definedName name="solver_rhs22" localSheetId="11" hidden="1">'LP Optimization 2'!$AE$6</definedName>
    <definedName name="solver_rhs23" localSheetId="6" hidden="1">1</definedName>
    <definedName name="solver_rhs23" localSheetId="11" hidden="1">1</definedName>
    <definedName name="solver_rhs24" localSheetId="6" hidden="1">'LP Optimization 1'!$O$7</definedName>
    <definedName name="solver_rhs24" localSheetId="11" hidden="1">'LP Optimization 2'!$O$7</definedName>
    <definedName name="solver_rhs25" localSheetId="6" hidden="1">1</definedName>
    <definedName name="solver_rhs25" localSheetId="11" hidden="1">1</definedName>
    <definedName name="solver_rhs26" localSheetId="6" hidden="1">'LP Optimization 1'!$W$7</definedName>
    <definedName name="solver_rhs26" localSheetId="11" hidden="1">'LP Optimization 2'!$W$7</definedName>
    <definedName name="solver_rhs27" localSheetId="6" hidden="1">0</definedName>
    <definedName name="solver_rhs27" localSheetId="11" hidden="1">0</definedName>
    <definedName name="solver_rhs28" localSheetId="6" hidden="1">'LP Optimization 1'!$O$8</definedName>
    <definedName name="solver_rhs28" localSheetId="11" hidden="1">'LP Optimization 2'!$O$8</definedName>
    <definedName name="solver_rhs29" localSheetId="6" hidden="1">'LP Optimization 1'!$W$8</definedName>
    <definedName name="solver_rhs29" localSheetId="11" hidden="1">'LP Optimization 2'!$W$8</definedName>
    <definedName name="solver_rhs3" localSheetId="6" hidden="1">0</definedName>
    <definedName name="solver_rhs3" localSheetId="11" hidden="1">0</definedName>
    <definedName name="solver_rhs30" localSheetId="6" hidden="1">0</definedName>
    <definedName name="solver_rhs30" localSheetId="11" hidden="1">0</definedName>
    <definedName name="solver_rhs31" localSheetId="6" hidden="1">'LP Optimization 1'!$O$9</definedName>
    <definedName name="solver_rhs31" localSheetId="11" hidden="1">'LP Optimization 2'!$O$9</definedName>
    <definedName name="solver_rhs32" localSheetId="6" hidden="1">'LP Optimization 1'!$W$9</definedName>
    <definedName name="solver_rhs32" localSheetId="11" hidden="1">'LP Optimization 2'!$W$9</definedName>
    <definedName name="solver_rhs33" localSheetId="6" hidden="1">0</definedName>
    <definedName name="solver_rhs33" localSheetId="11" hidden="1">0</definedName>
    <definedName name="solver_rhs34" localSheetId="6" hidden="1">'LP Optimization 1'!$O$10</definedName>
    <definedName name="solver_rhs34" localSheetId="11" hidden="1">'LP Optimization 2'!$O$10</definedName>
    <definedName name="solver_rhs35" localSheetId="6" hidden="1">'LP Optimization 1'!$W$10</definedName>
    <definedName name="solver_rhs35" localSheetId="11" hidden="1">'LP Optimization 2'!$W$10</definedName>
    <definedName name="solver_rhs36" localSheetId="6" hidden="1">'LP Optimization 1'!$AF$10</definedName>
    <definedName name="solver_rhs36" localSheetId="11" hidden="1">'LP Optimization 2'!$AF$10</definedName>
    <definedName name="solver_rhs37" localSheetId="6" hidden="1">'LP Optimization 1'!$P$11</definedName>
    <definedName name="solver_rhs37" localSheetId="11" hidden="1">'LP Optimization 2'!$P$11</definedName>
    <definedName name="solver_rhs38" localSheetId="6" hidden="1">0</definedName>
    <definedName name="solver_rhs38" localSheetId="11" hidden="1">0</definedName>
    <definedName name="solver_rhs39" localSheetId="6" hidden="1">0</definedName>
    <definedName name="solver_rhs39" localSheetId="11" hidden="1">0</definedName>
    <definedName name="solver_rhs4" localSheetId="6" hidden="1">0</definedName>
    <definedName name="solver_rhs4" localSheetId="11" hidden="1">0</definedName>
    <definedName name="solver_rhs40" localSheetId="6" hidden="1">'LP Optimization 1'!$N$12</definedName>
    <definedName name="solver_rhs40" localSheetId="11" hidden="1">'LP Optimization 2'!$N$12</definedName>
    <definedName name="solver_rhs41" localSheetId="6" hidden="1">'LP Optimization 1'!$O$12</definedName>
    <definedName name="solver_rhs41" localSheetId="11" hidden="1">'LP Optimization 2'!$O$12</definedName>
    <definedName name="solver_rhs42" localSheetId="6" hidden="1">'LP Optimization 1'!$V$12</definedName>
    <definedName name="solver_rhs42" localSheetId="11" hidden="1">'LP Optimization 2'!$V$12</definedName>
    <definedName name="solver_rhs43" localSheetId="6" hidden="1">'LP Optimization 1'!$W$12</definedName>
    <definedName name="solver_rhs43" localSheetId="11" hidden="1">'LP Optimization 2'!$W$12</definedName>
    <definedName name="solver_rhs44" localSheetId="6" hidden="1">0</definedName>
    <definedName name="solver_rhs44" localSheetId="11" hidden="1">0</definedName>
    <definedName name="solver_rhs45" localSheetId="6" hidden="1">'LP Optimization 1'!$O$13</definedName>
    <definedName name="solver_rhs45" localSheetId="11" hidden="1">'LP Optimization 2'!$O$13</definedName>
    <definedName name="solver_rhs46" localSheetId="6" hidden="1">'LP Optimization 1'!$W$13</definedName>
    <definedName name="solver_rhs46" localSheetId="11" hidden="1">'LP Optimization 2'!$W$13</definedName>
    <definedName name="solver_rhs47" localSheetId="6" hidden="1">0</definedName>
    <definedName name="solver_rhs47" localSheetId="11" hidden="1">0</definedName>
    <definedName name="solver_rhs48" localSheetId="6" hidden="1">'LP Optimization 1'!$O$14</definedName>
    <definedName name="solver_rhs48" localSheetId="11" hidden="1">'LP Optimization 2'!$O$14</definedName>
    <definedName name="solver_rhs49" localSheetId="6" hidden="1">0</definedName>
    <definedName name="solver_rhs49" localSheetId="11" hidden="1">0</definedName>
    <definedName name="solver_rhs5" localSheetId="6" hidden="1">'LP Optimization 1'!$W$3</definedName>
    <definedName name="solver_rhs5" localSheetId="11" hidden="1">'LP Optimization 2'!$W$3</definedName>
    <definedName name="solver_rhs50" localSheetId="6" hidden="1">0</definedName>
    <definedName name="solver_rhs50" localSheetId="11" hidden="1">0</definedName>
    <definedName name="solver_rhs51" localSheetId="6" hidden="1">'LP Optimization 1'!$N$15</definedName>
    <definedName name="solver_rhs51" localSheetId="11" hidden="1">'LP Optimization 2'!$N$15</definedName>
    <definedName name="solver_rhs52" localSheetId="6" hidden="1">'LP Optimization 1'!$O$15</definedName>
    <definedName name="solver_rhs52" localSheetId="11" hidden="1">'LP Optimization 2'!$O$15</definedName>
    <definedName name="solver_rhs53" localSheetId="6" hidden="1">'LP Optimization 1'!$V$15</definedName>
    <definedName name="solver_rhs53" localSheetId="11" hidden="1">'LP Optimization 2'!$V$15</definedName>
    <definedName name="solver_rhs54" localSheetId="6" hidden="1">'LP Optimization 1'!$W$15</definedName>
    <definedName name="solver_rhs54" localSheetId="11" hidden="1">'LP Optimization 2'!$W$15</definedName>
    <definedName name="solver_rhs55" localSheetId="6" hidden="1">0</definedName>
    <definedName name="solver_rhs55" localSheetId="11" hidden="1">0</definedName>
    <definedName name="solver_rhs56" localSheetId="6" hidden="1">'LP Optimization 1'!$O$16</definedName>
    <definedName name="solver_rhs56" localSheetId="11" hidden="1">'LP Optimization 2'!$O$16</definedName>
    <definedName name="solver_rhs57" localSheetId="6" hidden="1">'LP Optimization 1'!$W$16</definedName>
    <definedName name="solver_rhs57" localSheetId="11" hidden="1">'LP Optimization 2'!$W$16</definedName>
    <definedName name="solver_rhs58" localSheetId="6" hidden="1">0</definedName>
    <definedName name="solver_rhs58" localSheetId="11" hidden="1">0</definedName>
    <definedName name="solver_rhs59" localSheetId="6" hidden="1">'LP Optimization 1'!$O$17</definedName>
    <definedName name="solver_rhs59" localSheetId="11" hidden="1">'LP Optimization 2'!$O$17</definedName>
    <definedName name="solver_rhs6" localSheetId="6" hidden="1">0</definedName>
    <definedName name="solver_rhs6" localSheetId="11" hidden="1">0</definedName>
    <definedName name="solver_rhs60" localSheetId="6" hidden="1">1</definedName>
    <definedName name="solver_rhs60" localSheetId="11" hidden="1">1</definedName>
    <definedName name="solver_rhs61" localSheetId="6" hidden="1">'LP Optimization 1'!$W$17</definedName>
    <definedName name="solver_rhs61" localSheetId="11" hidden="1">'LP Optimization 2'!$W$17</definedName>
    <definedName name="solver_rhs62" localSheetId="6" hidden="1">0</definedName>
    <definedName name="solver_rhs62" localSheetId="11" hidden="1">0</definedName>
    <definedName name="solver_rhs63" localSheetId="6" hidden="1">'LP Optimization 1'!$O$18</definedName>
    <definedName name="solver_rhs63" localSheetId="11" hidden="1">'LP Optimization 2'!$O$18</definedName>
    <definedName name="solver_rhs64" localSheetId="6" hidden="1">'LP Optimization 1'!$X$18</definedName>
    <definedName name="solver_rhs64" localSheetId="11" hidden="1">'LP Optimization 2'!$X$18</definedName>
    <definedName name="solver_rhs65" localSheetId="6" hidden="1">0</definedName>
    <definedName name="solver_rhs65" localSheetId="11" hidden="1">0</definedName>
    <definedName name="solver_rhs66" localSheetId="6" hidden="1">'LP Optimization 1'!$O$19</definedName>
    <definedName name="solver_rhs66" localSheetId="11" hidden="1">'LP Optimization 2'!$O$19</definedName>
    <definedName name="solver_rhs67" localSheetId="6" hidden="1">'LP Optimization 1'!$V$19</definedName>
    <definedName name="solver_rhs67" localSheetId="11" hidden="1">'LP Optimization 2'!$V$19</definedName>
    <definedName name="solver_rhs68" localSheetId="6" hidden="1">'LP Optimization 1'!$W$19</definedName>
    <definedName name="solver_rhs68" localSheetId="11" hidden="1">'LP Optimization 2'!$W$19</definedName>
    <definedName name="solver_rhs69" localSheetId="6" hidden="1">'LP Optimization 1'!$AF$19</definedName>
    <definedName name="solver_rhs69" localSheetId="11" hidden="1">'LP Optimization 2'!$AF$19</definedName>
    <definedName name="solver_rhs7" localSheetId="6" hidden="1">1</definedName>
    <definedName name="solver_rhs7" localSheetId="11" hidden="1">1</definedName>
    <definedName name="solver_rhs70" localSheetId="6" hidden="1">'LP Optimization 1'!$O$20</definedName>
    <definedName name="solver_rhs70" localSheetId="11" hidden="1">'LP Optimization 2'!$O$20</definedName>
    <definedName name="solver_rhs71" localSheetId="6" hidden="1">1</definedName>
    <definedName name="solver_rhs71" localSheetId="11" hidden="1">1</definedName>
    <definedName name="solver_rhs72" localSheetId="6" hidden="1">'LP Optimization 1'!$W$20</definedName>
    <definedName name="solver_rhs72" localSheetId="11" hidden="1">'LP Optimization 2'!$W$20</definedName>
    <definedName name="solver_rhs73" localSheetId="6" hidden="1">1</definedName>
    <definedName name="solver_rhs73" localSheetId="11" hidden="1">1</definedName>
    <definedName name="solver_rhs74" localSheetId="6" hidden="1">'LP Optimization 1'!$AE$20</definedName>
    <definedName name="solver_rhs74" localSheetId="11" hidden="1">'LP Optimization 2'!$AE$20</definedName>
    <definedName name="solver_rhs75" localSheetId="6" hidden="1">'LP Optimization 1'!$O$21</definedName>
    <definedName name="solver_rhs75" localSheetId="11" hidden="1">'LP Optimization 2'!$O$21</definedName>
    <definedName name="solver_rhs76" localSheetId="6" hidden="1">1</definedName>
    <definedName name="solver_rhs76" localSheetId="11" hidden="1">1</definedName>
    <definedName name="solver_rhs77" localSheetId="6" hidden="1">'LP Optimization 1'!$W$21</definedName>
    <definedName name="solver_rhs77" localSheetId="11" hidden="1">'LP Optimization 2'!$W$21</definedName>
    <definedName name="solver_rhs78" localSheetId="6" hidden="1">0</definedName>
    <definedName name="solver_rhs78" localSheetId="11" hidden="1">0</definedName>
    <definedName name="solver_rhs79" localSheetId="6" hidden="1">'LP Optimization 1'!$O$22</definedName>
    <definedName name="solver_rhs79" localSheetId="11" hidden="1">'LP Optimization 2'!$O$22</definedName>
    <definedName name="solver_rhs8" localSheetId="6" hidden="1">'LP Optimization 1'!$N$4</definedName>
    <definedName name="solver_rhs8" localSheetId="11" hidden="1">'LP Optimization 2'!$N$4</definedName>
    <definedName name="solver_rhs80" localSheetId="6" hidden="1">0</definedName>
    <definedName name="solver_rhs80" localSheetId="11" hidden="1">0</definedName>
    <definedName name="solver_rhs81" localSheetId="6" hidden="1">0</definedName>
    <definedName name="solver_rhs81" localSheetId="11" hidden="1">0</definedName>
    <definedName name="solver_rhs82" localSheetId="6" hidden="1">'LP Optimization 1'!$O$23</definedName>
    <definedName name="solver_rhs82" localSheetId="11" hidden="1">'LP Optimization 2'!$O$23</definedName>
    <definedName name="solver_rhs83" localSheetId="6" hidden="1">'LP Optimization 1'!$W$23</definedName>
    <definedName name="solver_rhs83" localSheetId="11" hidden="1">'LP Optimization 2'!$W$23</definedName>
    <definedName name="solver_rhs84" localSheetId="6" hidden="1">0</definedName>
    <definedName name="solver_rhs84" localSheetId="11" hidden="1">0</definedName>
    <definedName name="solver_rhs85" localSheetId="6" hidden="1">'LP Optimization 1'!$B$28</definedName>
    <definedName name="solver_rhs85" localSheetId="11" hidden="1">0.498499373807304</definedName>
    <definedName name="solver_rhs86" localSheetId="6" hidden="1">'LP Optimization 1'!$W$11</definedName>
    <definedName name="solver_rhs86" localSheetId="11" hidden="1">'LP Optimization 2'!$O$23</definedName>
    <definedName name="solver_rhs87" localSheetId="6" hidden="1">'LP Optimization 1'!$X$11</definedName>
    <definedName name="solver_rhs87" localSheetId="11" hidden="1">'LP Optimization 2'!$W$23</definedName>
    <definedName name="solver_rhs88" localSheetId="6" hidden="1">'LP Optimization 1'!$AD$11</definedName>
    <definedName name="solver_rhs88" localSheetId="11" hidden="1">0</definedName>
    <definedName name="solver_rhs89" localSheetId="6" hidden="1">'LP Optimization 1'!$AE$11</definedName>
    <definedName name="solver_rhs89" localSheetId="11" hidden="1">'LP Optimization 2'!$G$28</definedName>
    <definedName name="solver_rhs9" localSheetId="6" hidden="1">'LP Optimization 1'!$O$4</definedName>
    <definedName name="solver_rhs9" localSheetId="11" hidden="1">'LP Optimization 2'!$O$4</definedName>
    <definedName name="solver_rhs90" localSheetId="6" hidden="1">'LP Optimization 1'!$AF$11</definedName>
    <definedName name="solver_rhs91" localSheetId="6" hidden="1">'LP Optimization 1'!$N$12</definedName>
    <definedName name="solver_rhs92" localSheetId="6" hidden="1">'LP Optimization 1'!$O$12</definedName>
    <definedName name="solver_rhs93" localSheetId="6" hidden="1">'LP Optimization 1'!$P$12</definedName>
    <definedName name="solver_rhs94" localSheetId="6" hidden="1">'LP Optimization 1'!$V$12</definedName>
    <definedName name="solver_rhs95" localSheetId="6" hidden="1">'LP Optimization 1'!$W$12</definedName>
    <definedName name="solver_rhs96" localSheetId="6" hidden="1">'LP Optimization 1'!$X$12</definedName>
    <definedName name="solver_rhs97" localSheetId="6" hidden="1">'LP Optimization 1'!$AD$12</definedName>
    <definedName name="solver_rhs98" localSheetId="6" hidden="1">'LP Optimization 1'!$AE$12</definedName>
    <definedName name="solver_rhs99" localSheetId="6" hidden="1">'LP Optimization 1'!$AF$12</definedName>
    <definedName name="solver_rlx" localSheetId="6" hidden="1">0</definedName>
    <definedName name="solver_rlx" localSheetId="11" hidden="1">0</definedName>
    <definedName name="solver_rsmp" hidden="1">1</definedName>
    <definedName name="solver_rtr" localSheetId="6" hidden="1">0</definedName>
    <definedName name="solver_rtr" localSheetId="11" hidden="1">0</definedName>
    <definedName name="solver_rxc1" localSheetId="6" hidden="1">1</definedName>
    <definedName name="solver_rxc1" localSheetId="11" hidden="1">1</definedName>
    <definedName name="solver_rxc10" localSheetId="6" hidden="1">1</definedName>
    <definedName name="solver_rxc10" localSheetId="11" hidden="1">1</definedName>
    <definedName name="solver_rxc100" localSheetId="6" hidden="1">1</definedName>
    <definedName name="solver_rxc101" localSheetId="6" hidden="1">1</definedName>
    <definedName name="solver_rxc102" localSheetId="6" hidden="1">1</definedName>
    <definedName name="solver_rxc103" localSheetId="6" hidden="1">1</definedName>
    <definedName name="solver_rxc104" localSheetId="6" hidden="1">1</definedName>
    <definedName name="solver_rxc105" localSheetId="6" hidden="1">1</definedName>
    <definedName name="solver_rxc106" localSheetId="6" hidden="1">1</definedName>
    <definedName name="solver_rxc107" localSheetId="6" hidden="1">1</definedName>
    <definedName name="solver_rxc108" localSheetId="6" hidden="1">1</definedName>
    <definedName name="solver_rxc109" localSheetId="6" hidden="1">1</definedName>
    <definedName name="solver_rxc11" localSheetId="6" hidden="1">1</definedName>
    <definedName name="solver_rxc11" localSheetId="11" hidden="1">1</definedName>
    <definedName name="solver_rxc110" localSheetId="6" hidden="1">1</definedName>
    <definedName name="solver_rxc111" localSheetId="6" hidden="1">1</definedName>
    <definedName name="solver_rxc112" localSheetId="6" hidden="1">1</definedName>
    <definedName name="solver_rxc113" localSheetId="6" hidden="1">1</definedName>
    <definedName name="solver_rxc114" localSheetId="6" hidden="1">1</definedName>
    <definedName name="solver_rxc115" localSheetId="6" hidden="1">1</definedName>
    <definedName name="solver_rxc116" localSheetId="6" hidden="1">1</definedName>
    <definedName name="solver_rxc117" localSheetId="6" hidden="1">1</definedName>
    <definedName name="solver_rxc118" localSheetId="6" hidden="1">1</definedName>
    <definedName name="solver_rxc119" localSheetId="6" hidden="1">1</definedName>
    <definedName name="solver_rxc12" localSheetId="6" hidden="1">1</definedName>
    <definedName name="solver_rxc12" localSheetId="11" hidden="1">1</definedName>
    <definedName name="solver_rxc120" localSheetId="6" hidden="1">1</definedName>
    <definedName name="solver_rxc121" localSheetId="6" hidden="1">1</definedName>
    <definedName name="solver_rxc122" localSheetId="6" hidden="1">1</definedName>
    <definedName name="solver_rxc123" localSheetId="6" hidden="1">1</definedName>
    <definedName name="solver_rxc124" localSheetId="6" hidden="1">1</definedName>
    <definedName name="solver_rxc125" localSheetId="6" hidden="1">1</definedName>
    <definedName name="solver_rxc126" localSheetId="6" hidden="1">1</definedName>
    <definedName name="solver_rxc127" localSheetId="6" hidden="1">1</definedName>
    <definedName name="solver_rxc128" localSheetId="6" hidden="1">1</definedName>
    <definedName name="solver_rxc129" localSheetId="6" hidden="1">1</definedName>
    <definedName name="solver_rxc13" localSheetId="6" hidden="1">1</definedName>
    <definedName name="solver_rxc13" localSheetId="11" hidden="1">1</definedName>
    <definedName name="solver_rxc130" localSheetId="6" hidden="1">1</definedName>
    <definedName name="solver_rxc131" localSheetId="6" hidden="1">1</definedName>
    <definedName name="solver_rxc132" localSheetId="6" hidden="1">1</definedName>
    <definedName name="solver_rxc133" localSheetId="6" hidden="1">1</definedName>
    <definedName name="solver_rxc134" localSheetId="6" hidden="1">1</definedName>
    <definedName name="solver_rxc135" localSheetId="6" hidden="1">1</definedName>
    <definedName name="solver_rxc136" localSheetId="6" hidden="1">1</definedName>
    <definedName name="solver_rxc137" localSheetId="6" hidden="1">1</definedName>
    <definedName name="solver_rxc138" localSheetId="6" hidden="1">1</definedName>
    <definedName name="solver_rxc139" localSheetId="6" hidden="1">1</definedName>
    <definedName name="solver_rxc14" localSheetId="6" hidden="1">1</definedName>
    <definedName name="solver_rxc14" localSheetId="11" hidden="1">1</definedName>
    <definedName name="solver_rxc140" localSheetId="6" hidden="1">1</definedName>
    <definedName name="solver_rxc141" localSheetId="6" hidden="1">1</definedName>
    <definedName name="solver_rxc142" localSheetId="6" hidden="1">1</definedName>
    <definedName name="solver_rxc143" localSheetId="6" hidden="1">1</definedName>
    <definedName name="solver_rxc144" localSheetId="6" hidden="1">1</definedName>
    <definedName name="solver_rxc145" localSheetId="6" hidden="1">1</definedName>
    <definedName name="solver_rxc146" localSheetId="6" hidden="1">1</definedName>
    <definedName name="solver_rxc147" localSheetId="6" hidden="1">1</definedName>
    <definedName name="solver_rxc148" localSheetId="6" hidden="1">1</definedName>
    <definedName name="solver_rxc149" localSheetId="6" hidden="1">1</definedName>
    <definedName name="solver_rxc15" localSheetId="6" hidden="1">1</definedName>
    <definedName name="solver_rxc15" localSheetId="11" hidden="1">1</definedName>
    <definedName name="solver_rxc150" localSheetId="6" hidden="1">1</definedName>
    <definedName name="solver_rxc151" localSheetId="6" hidden="1">1</definedName>
    <definedName name="solver_rxc152" localSheetId="6" hidden="1">1</definedName>
    <definedName name="solver_rxc153" localSheetId="6" hidden="1">1</definedName>
    <definedName name="solver_rxc154" localSheetId="6" hidden="1">1</definedName>
    <definedName name="solver_rxc155" localSheetId="6" hidden="1">1</definedName>
    <definedName name="solver_rxc156" localSheetId="6" hidden="1">1</definedName>
    <definedName name="solver_rxc157" localSheetId="6" hidden="1">1</definedName>
    <definedName name="solver_rxc158" localSheetId="6" hidden="1">1</definedName>
    <definedName name="solver_rxc159" localSheetId="6" hidden="1">1</definedName>
    <definedName name="solver_rxc16" localSheetId="6" hidden="1">1</definedName>
    <definedName name="solver_rxc16" localSheetId="11" hidden="1">1</definedName>
    <definedName name="solver_rxc160" localSheetId="6" hidden="1">1</definedName>
    <definedName name="solver_rxc161" localSheetId="6" hidden="1">1</definedName>
    <definedName name="solver_rxc162" localSheetId="6" hidden="1">1</definedName>
    <definedName name="solver_rxc163" localSheetId="6" hidden="1">1</definedName>
    <definedName name="solver_rxc164" localSheetId="6" hidden="1">1</definedName>
    <definedName name="solver_rxc165" localSheetId="6" hidden="1">1</definedName>
    <definedName name="solver_rxc166" localSheetId="6" hidden="1">1</definedName>
    <definedName name="solver_rxc167" localSheetId="6" hidden="1">1</definedName>
    <definedName name="solver_rxc168" localSheetId="6" hidden="1">1</definedName>
    <definedName name="solver_rxc169" localSheetId="6" hidden="1">1</definedName>
    <definedName name="solver_rxc17" localSheetId="6" hidden="1">1</definedName>
    <definedName name="solver_rxc17" localSheetId="11" hidden="1">1</definedName>
    <definedName name="solver_rxc170" localSheetId="6" hidden="1">1</definedName>
    <definedName name="solver_rxc171" localSheetId="6" hidden="1">1</definedName>
    <definedName name="solver_rxc172" localSheetId="6" hidden="1">1</definedName>
    <definedName name="solver_rxc173" localSheetId="6" hidden="1">1</definedName>
    <definedName name="solver_rxc174" localSheetId="6" hidden="1">1</definedName>
    <definedName name="solver_rxc175" localSheetId="6" hidden="1">1</definedName>
    <definedName name="solver_rxc176" localSheetId="6" hidden="1">1</definedName>
    <definedName name="solver_rxc177" localSheetId="6" hidden="1">1</definedName>
    <definedName name="solver_rxc178" localSheetId="6" hidden="1">1</definedName>
    <definedName name="solver_rxc179" localSheetId="6" hidden="1">1</definedName>
    <definedName name="solver_rxc18" localSheetId="6" hidden="1">1</definedName>
    <definedName name="solver_rxc18" localSheetId="11" hidden="1">1</definedName>
    <definedName name="solver_rxc180" localSheetId="6" hidden="1">1</definedName>
    <definedName name="solver_rxc181" localSheetId="6" hidden="1">1</definedName>
    <definedName name="solver_rxc182" localSheetId="6" hidden="1">1</definedName>
    <definedName name="solver_rxc183" localSheetId="6" hidden="1">1</definedName>
    <definedName name="solver_rxc184" localSheetId="6" hidden="1">1</definedName>
    <definedName name="solver_rxc185" localSheetId="6" hidden="1">1</definedName>
    <definedName name="solver_rxc186" localSheetId="6" hidden="1">1</definedName>
    <definedName name="solver_rxc187" localSheetId="6" hidden="1">1</definedName>
    <definedName name="solver_rxc188" localSheetId="6" hidden="1">1</definedName>
    <definedName name="solver_rxc189" localSheetId="6" hidden="1">1</definedName>
    <definedName name="solver_rxc19" localSheetId="6" hidden="1">1</definedName>
    <definedName name="solver_rxc19" localSheetId="11" hidden="1">1</definedName>
    <definedName name="solver_rxc190" localSheetId="6" hidden="1">1</definedName>
    <definedName name="solver_rxc191" localSheetId="6" hidden="1">1</definedName>
    <definedName name="solver_rxc192" localSheetId="6" hidden="1">1</definedName>
    <definedName name="solver_rxc193" localSheetId="6" hidden="1">1</definedName>
    <definedName name="solver_rxc194" localSheetId="6" hidden="1">1</definedName>
    <definedName name="solver_rxc195" localSheetId="6" hidden="1">1</definedName>
    <definedName name="solver_rxc196" localSheetId="6" hidden="1">1</definedName>
    <definedName name="solver_rxc197" localSheetId="6" hidden="1">1</definedName>
    <definedName name="solver_rxc198" localSheetId="6" hidden="1">1</definedName>
    <definedName name="solver_rxc199" localSheetId="6" hidden="1">1</definedName>
    <definedName name="solver_rxc2" localSheetId="6" hidden="1">1</definedName>
    <definedName name="solver_rxc2" localSheetId="11" hidden="1">1</definedName>
    <definedName name="solver_rxc20" localSheetId="6" hidden="1">1</definedName>
    <definedName name="solver_rxc20" localSheetId="11" hidden="1">1</definedName>
    <definedName name="solver_rxc200" localSheetId="6" hidden="1">1</definedName>
    <definedName name="solver_rxc201" localSheetId="6" hidden="1">1</definedName>
    <definedName name="solver_rxc202" localSheetId="6" hidden="1">1</definedName>
    <definedName name="solver_rxc203" localSheetId="6" hidden="1">1</definedName>
    <definedName name="solver_rxc204" localSheetId="6" hidden="1">1</definedName>
    <definedName name="solver_rxc205" localSheetId="6" hidden="1">1</definedName>
    <definedName name="solver_rxc206" localSheetId="6" hidden="1">1</definedName>
    <definedName name="solver_rxc207" localSheetId="6" hidden="1">1</definedName>
    <definedName name="solver_rxc208" localSheetId="6" hidden="1">1</definedName>
    <definedName name="solver_rxc209" localSheetId="6" hidden="1">1</definedName>
    <definedName name="solver_rxc21" localSheetId="6" hidden="1">1</definedName>
    <definedName name="solver_rxc21" localSheetId="11" hidden="1">1</definedName>
    <definedName name="solver_rxc210" localSheetId="6" hidden="1">1</definedName>
    <definedName name="solver_rxc211" localSheetId="6" hidden="1">1</definedName>
    <definedName name="solver_rxc22" localSheetId="6" hidden="1">1</definedName>
    <definedName name="solver_rxc22" localSheetId="11" hidden="1">1</definedName>
    <definedName name="solver_rxc23" localSheetId="6" hidden="1">1</definedName>
    <definedName name="solver_rxc23" localSheetId="11" hidden="1">1</definedName>
    <definedName name="solver_rxc24" localSheetId="6" hidden="1">1</definedName>
    <definedName name="solver_rxc24" localSheetId="11" hidden="1">1</definedName>
    <definedName name="solver_rxc25" localSheetId="6" hidden="1">1</definedName>
    <definedName name="solver_rxc25" localSheetId="11" hidden="1">1</definedName>
    <definedName name="solver_rxc26" localSheetId="6" hidden="1">1</definedName>
    <definedName name="solver_rxc26" localSheetId="11" hidden="1">1</definedName>
    <definedName name="solver_rxc27" localSheetId="6" hidden="1">1</definedName>
    <definedName name="solver_rxc27" localSheetId="11" hidden="1">1</definedName>
    <definedName name="solver_rxc28" localSheetId="6" hidden="1">1</definedName>
    <definedName name="solver_rxc28" localSheetId="11" hidden="1">1</definedName>
    <definedName name="solver_rxc29" localSheetId="6" hidden="1">1</definedName>
    <definedName name="solver_rxc29" localSheetId="11" hidden="1">1</definedName>
    <definedName name="solver_rxc3" localSheetId="6" hidden="1">1</definedName>
    <definedName name="solver_rxc3" localSheetId="11" hidden="1">1</definedName>
    <definedName name="solver_rxc30" localSheetId="6" hidden="1">1</definedName>
    <definedName name="solver_rxc30" localSheetId="11" hidden="1">1</definedName>
    <definedName name="solver_rxc31" localSheetId="6" hidden="1">1</definedName>
    <definedName name="solver_rxc31" localSheetId="11" hidden="1">1</definedName>
    <definedName name="solver_rxc32" localSheetId="6" hidden="1">1</definedName>
    <definedName name="solver_rxc32" localSheetId="11" hidden="1">1</definedName>
    <definedName name="solver_rxc33" localSheetId="6" hidden="1">1</definedName>
    <definedName name="solver_rxc33" localSheetId="11" hidden="1">1</definedName>
    <definedName name="solver_rxc34" localSheetId="6" hidden="1">1</definedName>
    <definedName name="solver_rxc34" localSheetId="11" hidden="1">1</definedName>
    <definedName name="solver_rxc35" localSheetId="6" hidden="1">1</definedName>
    <definedName name="solver_rxc35" localSheetId="11" hidden="1">1</definedName>
    <definedName name="solver_rxc36" localSheetId="6" hidden="1">1</definedName>
    <definedName name="solver_rxc36" localSheetId="11" hidden="1">1</definedName>
    <definedName name="solver_rxc37" localSheetId="6" hidden="1">1</definedName>
    <definedName name="solver_rxc37" localSheetId="11" hidden="1">1</definedName>
    <definedName name="solver_rxc38" localSheetId="6" hidden="1">1</definedName>
    <definedName name="solver_rxc38" localSheetId="11" hidden="1">1</definedName>
    <definedName name="solver_rxc39" localSheetId="6" hidden="1">1</definedName>
    <definedName name="solver_rxc39" localSheetId="11" hidden="1">1</definedName>
    <definedName name="solver_rxc4" localSheetId="6" hidden="1">1</definedName>
    <definedName name="solver_rxc4" localSheetId="11" hidden="1">1</definedName>
    <definedName name="solver_rxc40" localSheetId="6" hidden="1">1</definedName>
    <definedName name="solver_rxc40" localSheetId="11" hidden="1">1</definedName>
    <definedName name="solver_rxc41" localSheetId="6" hidden="1">1</definedName>
    <definedName name="solver_rxc41" localSheetId="11" hidden="1">1</definedName>
    <definedName name="solver_rxc42" localSheetId="6" hidden="1">1</definedName>
    <definedName name="solver_rxc42" localSheetId="11" hidden="1">1</definedName>
    <definedName name="solver_rxc43" localSheetId="6" hidden="1">1</definedName>
    <definedName name="solver_rxc43" localSheetId="11" hidden="1">1</definedName>
    <definedName name="solver_rxc44" localSheetId="6" hidden="1">1</definedName>
    <definedName name="solver_rxc44" localSheetId="11" hidden="1">1</definedName>
    <definedName name="solver_rxc45" localSheetId="6" hidden="1">1</definedName>
    <definedName name="solver_rxc45" localSheetId="11" hidden="1">1</definedName>
    <definedName name="solver_rxc46" localSheetId="6" hidden="1">1</definedName>
    <definedName name="solver_rxc46" localSheetId="11" hidden="1">1</definedName>
    <definedName name="solver_rxc47" localSheetId="6" hidden="1">1</definedName>
    <definedName name="solver_rxc47" localSheetId="11" hidden="1">1</definedName>
    <definedName name="solver_rxc48" localSheetId="6" hidden="1">1</definedName>
    <definedName name="solver_rxc48" localSheetId="11" hidden="1">1</definedName>
    <definedName name="solver_rxc49" localSheetId="6" hidden="1">1</definedName>
    <definedName name="solver_rxc49" localSheetId="11" hidden="1">1</definedName>
    <definedName name="solver_rxc5" localSheetId="6" hidden="1">1</definedName>
    <definedName name="solver_rxc5" localSheetId="11" hidden="1">1</definedName>
    <definedName name="solver_rxc50" localSheetId="6" hidden="1">1</definedName>
    <definedName name="solver_rxc50" localSheetId="11" hidden="1">1</definedName>
    <definedName name="solver_rxc51" localSheetId="6" hidden="1">1</definedName>
    <definedName name="solver_rxc51" localSheetId="11" hidden="1">1</definedName>
    <definedName name="solver_rxc52" localSheetId="6" hidden="1">1</definedName>
    <definedName name="solver_rxc52" localSheetId="11" hidden="1">1</definedName>
    <definedName name="solver_rxc53" localSheetId="6" hidden="1">1</definedName>
    <definedName name="solver_rxc53" localSheetId="11" hidden="1">1</definedName>
    <definedName name="solver_rxc54" localSheetId="6" hidden="1">1</definedName>
    <definedName name="solver_rxc54" localSheetId="11" hidden="1">1</definedName>
    <definedName name="solver_rxc55" localSheetId="6" hidden="1">1</definedName>
    <definedName name="solver_rxc55" localSheetId="11" hidden="1">1</definedName>
    <definedName name="solver_rxc56" localSheetId="6" hidden="1">1</definedName>
    <definedName name="solver_rxc56" localSheetId="11" hidden="1">1</definedName>
    <definedName name="solver_rxc57" localSheetId="6" hidden="1">1</definedName>
    <definedName name="solver_rxc57" localSheetId="11" hidden="1">1</definedName>
    <definedName name="solver_rxc58" localSheetId="6" hidden="1">1</definedName>
    <definedName name="solver_rxc58" localSheetId="11" hidden="1">1</definedName>
    <definedName name="solver_rxc59" localSheetId="6" hidden="1">1</definedName>
    <definedName name="solver_rxc59" localSheetId="11" hidden="1">1</definedName>
    <definedName name="solver_rxc6" localSheetId="6" hidden="1">1</definedName>
    <definedName name="solver_rxc6" localSheetId="11" hidden="1">1</definedName>
    <definedName name="solver_rxc60" localSheetId="6" hidden="1">1</definedName>
    <definedName name="solver_rxc60" localSheetId="11" hidden="1">1</definedName>
    <definedName name="solver_rxc61" localSheetId="6" hidden="1">1</definedName>
    <definedName name="solver_rxc61" localSheetId="11" hidden="1">1</definedName>
    <definedName name="solver_rxc62" localSheetId="6" hidden="1">1</definedName>
    <definedName name="solver_rxc62" localSheetId="11" hidden="1">1</definedName>
    <definedName name="solver_rxc63" localSheetId="6" hidden="1">1</definedName>
    <definedName name="solver_rxc63" localSheetId="11" hidden="1">1</definedName>
    <definedName name="solver_rxc64" localSheetId="6" hidden="1">1</definedName>
    <definedName name="solver_rxc64" localSheetId="11" hidden="1">1</definedName>
    <definedName name="solver_rxc65" localSheetId="6" hidden="1">1</definedName>
    <definedName name="solver_rxc65" localSheetId="11" hidden="1">1</definedName>
    <definedName name="solver_rxc66" localSheetId="6" hidden="1">1</definedName>
    <definedName name="solver_rxc66" localSheetId="11" hidden="1">1</definedName>
    <definedName name="solver_rxc67" localSheetId="6" hidden="1">1</definedName>
    <definedName name="solver_rxc67" localSheetId="11" hidden="1">1</definedName>
    <definedName name="solver_rxc68" localSheetId="6" hidden="1">1</definedName>
    <definedName name="solver_rxc68" localSheetId="11" hidden="1">1</definedName>
    <definedName name="solver_rxc69" localSheetId="6" hidden="1">1</definedName>
    <definedName name="solver_rxc69" localSheetId="11" hidden="1">1</definedName>
    <definedName name="solver_rxc7" localSheetId="6" hidden="1">1</definedName>
    <definedName name="solver_rxc7" localSheetId="11" hidden="1">1</definedName>
    <definedName name="solver_rxc70" localSheetId="6" hidden="1">1</definedName>
    <definedName name="solver_rxc70" localSheetId="11" hidden="1">1</definedName>
    <definedName name="solver_rxc71" localSheetId="6" hidden="1">1</definedName>
    <definedName name="solver_rxc71" localSheetId="11" hidden="1">1</definedName>
    <definedName name="solver_rxc72" localSheetId="6" hidden="1">1</definedName>
    <definedName name="solver_rxc72" localSheetId="11" hidden="1">1</definedName>
    <definedName name="solver_rxc73" localSheetId="6" hidden="1">1</definedName>
    <definedName name="solver_rxc73" localSheetId="11" hidden="1">1</definedName>
    <definedName name="solver_rxc74" localSheetId="6" hidden="1">1</definedName>
    <definedName name="solver_rxc74" localSheetId="11" hidden="1">1</definedName>
    <definedName name="solver_rxc75" localSheetId="6" hidden="1">1</definedName>
    <definedName name="solver_rxc75" localSheetId="11" hidden="1">1</definedName>
    <definedName name="solver_rxc76" localSheetId="6" hidden="1">1</definedName>
    <definedName name="solver_rxc76" localSheetId="11" hidden="1">1</definedName>
    <definedName name="solver_rxc77" localSheetId="6" hidden="1">1</definedName>
    <definedName name="solver_rxc77" localSheetId="11" hidden="1">1</definedName>
    <definedName name="solver_rxc78" localSheetId="6" hidden="1">1</definedName>
    <definedName name="solver_rxc78" localSheetId="11" hidden="1">1</definedName>
    <definedName name="solver_rxc79" localSheetId="6" hidden="1">1</definedName>
    <definedName name="solver_rxc79" localSheetId="11" hidden="1">1</definedName>
    <definedName name="solver_rxc8" localSheetId="6" hidden="1">1</definedName>
    <definedName name="solver_rxc8" localSheetId="11" hidden="1">1</definedName>
    <definedName name="solver_rxc80" localSheetId="6" hidden="1">1</definedName>
    <definedName name="solver_rxc80" localSheetId="11" hidden="1">1</definedName>
    <definedName name="solver_rxc81" localSheetId="6" hidden="1">1</definedName>
    <definedName name="solver_rxc81" localSheetId="11" hidden="1">1</definedName>
    <definedName name="solver_rxc82" localSheetId="6" hidden="1">1</definedName>
    <definedName name="solver_rxc82" localSheetId="11" hidden="1">1</definedName>
    <definedName name="solver_rxc83" localSheetId="6" hidden="1">1</definedName>
    <definedName name="solver_rxc83" localSheetId="11" hidden="1">1</definedName>
    <definedName name="solver_rxc84" localSheetId="6" hidden="1">1</definedName>
    <definedName name="solver_rxc84" localSheetId="11" hidden="1">1</definedName>
    <definedName name="solver_rxc85" localSheetId="6" hidden="1">1</definedName>
    <definedName name="solver_rxc85" localSheetId="11" hidden="1">1</definedName>
    <definedName name="solver_rxc86" localSheetId="6" hidden="1">1</definedName>
    <definedName name="solver_rxc86" localSheetId="11" hidden="1">1</definedName>
    <definedName name="solver_rxc87" localSheetId="6" hidden="1">1</definedName>
    <definedName name="solver_rxc87" localSheetId="11" hidden="1">1</definedName>
    <definedName name="solver_rxc88" localSheetId="6" hidden="1">1</definedName>
    <definedName name="solver_rxc88" localSheetId="11" hidden="1">1</definedName>
    <definedName name="solver_rxc89" localSheetId="6" hidden="1">1</definedName>
    <definedName name="solver_rxc89" localSheetId="11" hidden="1">1</definedName>
    <definedName name="solver_rxc9" localSheetId="6" hidden="1">1</definedName>
    <definedName name="solver_rxc9" localSheetId="11" hidden="1">1</definedName>
    <definedName name="solver_rxc90" localSheetId="6" hidden="1">1</definedName>
    <definedName name="solver_rxc90" localSheetId="11" hidden="1">1</definedName>
    <definedName name="solver_rxc91" localSheetId="6" hidden="1">1</definedName>
    <definedName name="solver_rxc91" localSheetId="11" hidden="1">1</definedName>
    <definedName name="solver_rxc92" localSheetId="6" hidden="1">1</definedName>
    <definedName name="solver_rxc92" localSheetId="11" hidden="1">1</definedName>
    <definedName name="solver_rxc93" localSheetId="6" hidden="1">1</definedName>
    <definedName name="solver_rxc94" localSheetId="6" hidden="1">1</definedName>
    <definedName name="solver_rxc95" localSheetId="6" hidden="1">1</definedName>
    <definedName name="solver_rxc96" localSheetId="6" hidden="1">1</definedName>
    <definedName name="solver_rxc97" localSheetId="6" hidden="1">1</definedName>
    <definedName name="solver_rxc98" localSheetId="6" hidden="1">1</definedName>
    <definedName name="solver_rxc99" localSheetId="6" hidden="1">1</definedName>
    <definedName name="solver_scl" localSheetId="6" hidden="1">0</definedName>
    <definedName name="solver_scl" localSheetId="11" hidden="1">0</definedName>
    <definedName name="solver_sclt" hidden="1">100</definedName>
    <definedName name="solver_scs" localSheetId="6" hidden="1">0</definedName>
    <definedName name="solver_scs" localSheetId="11" hidden="1">0</definedName>
    <definedName name="solver_seed" hidden="1">0</definedName>
    <definedName name="solver_sel" localSheetId="6" hidden="1">1</definedName>
    <definedName name="solver_sel" localSheetId="11" hidden="1">1</definedName>
    <definedName name="solver_sho" localSheetId="6" hidden="1">0</definedName>
    <definedName name="solver_sho" localSheetId="11" hidden="1">0</definedName>
    <definedName name="solver_slv" localSheetId="6" hidden="1">0</definedName>
    <definedName name="solver_slv" localSheetId="11" hidden="1">0</definedName>
    <definedName name="solver_slv" localSheetId="13" hidden="1">1</definedName>
    <definedName name="solver_slvu" localSheetId="6" hidden="1">0</definedName>
    <definedName name="solver_slvu" localSheetId="11" hidden="1">0</definedName>
    <definedName name="solver_slvu" localSheetId="13" hidden="1">0</definedName>
    <definedName name="solver_soc" localSheetId="6" hidden="1">0</definedName>
    <definedName name="solver_soc" localSheetId="11" hidden="1">0</definedName>
    <definedName name="solver_spid" localSheetId="6" hidden="1">" "</definedName>
    <definedName name="solver_spid" localSheetId="11" hidden="1">" "</definedName>
    <definedName name="solver_spid" localSheetId="13" hidden="1">" "</definedName>
    <definedName name="solver_srvr" localSheetId="6" hidden="1">" "</definedName>
    <definedName name="solver_srvr" localSheetId="11" hidden="1">" "</definedName>
    <definedName name="solver_srvr" localSheetId="13" hidden="1">" "</definedName>
    <definedName name="solver_ssz" localSheetId="6" hidden="1">0</definedName>
    <definedName name="solver_ssz" localSheetId="11" hidden="1">0</definedName>
    <definedName name="solver_sta" localSheetId="6" hidden="1">0</definedName>
    <definedName name="solver_sta" localSheetId="11" hidden="1">0</definedName>
    <definedName name="solver_strm" hidden="1">0</definedName>
    <definedName name="solver_tim" localSheetId="6" hidden="1">100000</definedName>
    <definedName name="solver_tim" localSheetId="11" hidden="1">100000</definedName>
    <definedName name="solver_tms" localSheetId="6" hidden="1">0</definedName>
    <definedName name="solver_tms" localSheetId="11" hidden="1">0</definedName>
    <definedName name="solver_tol" localSheetId="6" hidden="1">0</definedName>
    <definedName name="solver_tol" localSheetId="11" hidden="1">0</definedName>
    <definedName name="solver_tree_a" localSheetId="6" hidden="1">1</definedName>
    <definedName name="solver_tree_a" localSheetId="11" hidden="1">1</definedName>
    <definedName name="solver_tree_b" localSheetId="6" hidden="1">1</definedName>
    <definedName name="solver_tree_b" localSheetId="11" hidden="1">1</definedName>
    <definedName name="solver_tree_ce" localSheetId="6" hidden="1">1</definedName>
    <definedName name="solver_tree_ce" localSheetId="11" hidden="1">1</definedName>
    <definedName name="solver_tree_dn" localSheetId="6" hidden="1">1</definedName>
    <definedName name="solver_tree_dn" localSheetId="11" hidden="1">1</definedName>
    <definedName name="solver_tree_rt" localSheetId="6" hidden="1">1000000000000</definedName>
    <definedName name="solver_tree_rt" localSheetId="11" hidden="1">1000000000000</definedName>
    <definedName name="solver_typ" localSheetId="6" hidden="1">1</definedName>
    <definedName name="solver_typ" localSheetId="11" hidden="1">2</definedName>
    <definedName name="solver_typ" localSheetId="19" hidden="1">2</definedName>
    <definedName name="solver_typ" localSheetId="18" hidden="1">1</definedName>
    <definedName name="solver_ubigm" localSheetId="6" hidden="1">1000000</definedName>
    <definedName name="solver_ubigm" localSheetId="11" hidden="1">1000000</definedName>
    <definedName name="solver_ucens" hidden="1">1E+30</definedName>
    <definedName name="solver_ucut" hidden="1">1E+30</definedName>
    <definedName name="solver_ufp" localSheetId="11" hidden="1">1</definedName>
    <definedName name="solver_umod" localSheetId="6" hidden="1">3</definedName>
    <definedName name="solver_umod" localSheetId="11" hidden="1">3</definedName>
    <definedName name="solver_urs" localSheetId="6" hidden="1">0</definedName>
    <definedName name="solver_urs" localSheetId="11" hidden="1">0</definedName>
    <definedName name="solver_urs" localSheetId="13" hidden="1">0</definedName>
    <definedName name="solver_userid" localSheetId="6" hidden="1">248746</definedName>
    <definedName name="solver_userid" localSheetId="11" hidden="1">248746</definedName>
    <definedName name="solver_userid" localSheetId="18" hidden="1">352527</definedName>
    <definedName name="solver_val" localSheetId="18" hidden="1">0</definedName>
    <definedName name="solver_var" localSheetId="6" hidden="1">" "</definedName>
    <definedName name="solver_var" localSheetId="11" hidden="1">" "</definedName>
    <definedName name="solver_ver" localSheetId="6" hidden="1">16</definedName>
    <definedName name="solver_ver" localSheetId="11" hidden="1">16</definedName>
    <definedName name="solver_ver" localSheetId="19" hidden="1">16</definedName>
    <definedName name="solver_ver" localSheetId="13" hidden="1">16</definedName>
    <definedName name="solver_ver" localSheetId="18" hidden="1">3</definedName>
    <definedName name="solver_vol" localSheetId="6" hidden="1">0</definedName>
    <definedName name="solver_vol" localSheetId="11" hidden="1">0</definedName>
  </definedNames>
  <calcPr calcId="162913"/>
  <extLst>
    <ext xmlns:x15="http://schemas.microsoft.com/office/spreadsheetml/2010/11/main" uri="{FCE2AD5D-F65C-4FA6-A056-5C36A1767C68}">
      <x15:dataModel>
        <x15:modelTables>
          <x15:modelTable id="Range-06a8a625-634b-453a-8a18-02cdb0e1a87a" name="Range" connection="WorksheetConnection_Sheet2!$A$2:$B$24"/>
        </x15:modelTables>
      </x15:dataModel>
    </ext>
  </extLst>
</workbook>
</file>

<file path=xl/calcChain.xml><?xml version="1.0" encoding="utf-8"?>
<calcChain xmlns="http://schemas.openxmlformats.org/spreadsheetml/2006/main">
  <c r="D24" i="4" l="1"/>
  <c r="AC23" i="4"/>
  <c r="U23" i="4"/>
  <c r="M23" i="4"/>
  <c r="AC22" i="4"/>
  <c r="U22" i="4"/>
  <c r="M22" i="4"/>
  <c r="AC21" i="4"/>
  <c r="U21" i="4"/>
  <c r="M21" i="4"/>
  <c r="AC20" i="4"/>
  <c r="U20" i="4"/>
  <c r="M20" i="4"/>
  <c r="AC19" i="4"/>
  <c r="U19" i="4"/>
  <c r="M19" i="4"/>
  <c r="AC18" i="4"/>
  <c r="U18" i="4"/>
  <c r="M18" i="4"/>
  <c r="AC17" i="4"/>
  <c r="U17" i="4"/>
  <c r="M17" i="4"/>
  <c r="AC16" i="4"/>
  <c r="U16" i="4"/>
  <c r="M16" i="4"/>
  <c r="AC15" i="4"/>
  <c r="U15" i="4"/>
  <c r="M15" i="4"/>
  <c r="AC14" i="4"/>
  <c r="U14" i="4"/>
  <c r="M14" i="4"/>
  <c r="AC13" i="4"/>
  <c r="U13" i="4"/>
  <c r="M13" i="4"/>
  <c r="AC12" i="4"/>
  <c r="U12" i="4"/>
  <c r="M12" i="4"/>
  <c r="AC11" i="4"/>
  <c r="U11" i="4"/>
  <c r="M11" i="4"/>
  <c r="AC10" i="4"/>
  <c r="U10" i="4"/>
  <c r="M10" i="4"/>
  <c r="AC9" i="4"/>
  <c r="U9" i="4"/>
  <c r="M9" i="4"/>
  <c r="AC8" i="4"/>
  <c r="U8" i="4"/>
  <c r="M8" i="4"/>
  <c r="AC7" i="4"/>
  <c r="U7" i="4"/>
  <c r="M7" i="4"/>
  <c r="AC6" i="4"/>
  <c r="U6" i="4"/>
  <c r="M6" i="4"/>
  <c r="AC5" i="4"/>
  <c r="U5" i="4"/>
  <c r="M5" i="4"/>
  <c r="AC4" i="4"/>
  <c r="U4" i="4"/>
  <c r="M4" i="4"/>
  <c r="AC3" i="4"/>
  <c r="U3" i="4"/>
  <c r="M3" i="4"/>
  <c r="AC2" i="4"/>
  <c r="U2" i="4"/>
  <c r="M2" i="4"/>
  <c r="A34" i="31" l="1"/>
  <c r="H47" i="21"/>
  <c r="H48" i="21"/>
  <c r="H49" i="21"/>
  <c r="H50" i="21"/>
  <c r="H51" i="21"/>
  <c r="H52" i="21"/>
  <c r="H53" i="21"/>
  <c r="H54" i="21"/>
  <c r="H55" i="21"/>
  <c r="H56" i="21"/>
  <c r="H57" i="21"/>
  <c r="H58" i="21"/>
  <c r="H59" i="21"/>
  <c r="H60" i="21"/>
  <c r="H61" i="21"/>
  <c r="H62" i="21"/>
  <c r="H63" i="21"/>
  <c r="H64" i="21"/>
  <c r="H65" i="21"/>
  <c r="H66" i="21"/>
  <c r="H67" i="21"/>
  <c r="H46" i="21"/>
  <c r="H25" i="21"/>
  <c r="H26" i="21"/>
  <c r="H27" i="21"/>
  <c r="H28" i="21"/>
  <c r="H29" i="21"/>
  <c r="H30" i="21"/>
  <c r="H31" i="21"/>
  <c r="H32" i="21"/>
  <c r="H33" i="21"/>
  <c r="H34" i="21"/>
  <c r="H35" i="21"/>
  <c r="H36" i="21"/>
  <c r="H37" i="21"/>
  <c r="H38" i="21"/>
  <c r="H39" i="21"/>
  <c r="H40" i="21"/>
  <c r="H41" i="21"/>
  <c r="H42" i="21"/>
  <c r="H43" i="21"/>
  <c r="H44" i="21"/>
  <c r="H45" i="21"/>
  <c r="H24" i="21"/>
  <c r="H3" i="21"/>
  <c r="H4" i="21"/>
  <c r="H5" i="21"/>
  <c r="H6" i="21"/>
  <c r="H7" i="21"/>
  <c r="H8" i="21"/>
  <c r="H9" i="21"/>
  <c r="H10" i="21"/>
  <c r="H11" i="21"/>
  <c r="H12" i="21"/>
  <c r="H13" i="21"/>
  <c r="H14" i="21"/>
  <c r="H15" i="21"/>
  <c r="H16" i="21"/>
  <c r="H17" i="21"/>
  <c r="H18" i="21"/>
  <c r="H19" i="21"/>
  <c r="H20" i="21"/>
  <c r="H21" i="21"/>
  <c r="H22" i="21"/>
  <c r="H23" i="21"/>
  <c r="H2" i="21"/>
  <c r="G47" i="21"/>
  <c r="G48" i="21"/>
  <c r="G49" i="21"/>
  <c r="G50" i="21"/>
  <c r="G51" i="21"/>
  <c r="G52" i="21"/>
  <c r="G53" i="21"/>
  <c r="G54" i="21"/>
  <c r="G55" i="21"/>
  <c r="G56" i="21"/>
  <c r="G57" i="21"/>
  <c r="G58" i="21"/>
  <c r="G59" i="21"/>
  <c r="G60" i="21"/>
  <c r="G61" i="21"/>
  <c r="G62" i="21"/>
  <c r="G63" i="21"/>
  <c r="G64" i="21"/>
  <c r="G65" i="21"/>
  <c r="G66" i="21"/>
  <c r="G67" i="21"/>
  <c r="G46" i="21"/>
  <c r="G28" i="21"/>
  <c r="G29" i="21"/>
  <c r="G30" i="21"/>
  <c r="G31" i="21"/>
  <c r="G32" i="21"/>
  <c r="G33" i="21"/>
  <c r="G34" i="21"/>
  <c r="G35" i="21"/>
  <c r="G36" i="21"/>
  <c r="G37" i="21"/>
  <c r="G38" i="21"/>
  <c r="G39" i="21"/>
  <c r="G40" i="21"/>
  <c r="G41" i="21"/>
  <c r="G42" i="21"/>
  <c r="G43" i="21"/>
  <c r="G44" i="21"/>
  <c r="G45" i="21"/>
  <c r="G25" i="21"/>
  <c r="G26" i="21"/>
  <c r="G27" i="21"/>
  <c r="G24" i="21"/>
  <c r="G3" i="21"/>
  <c r="G4" i="21"/>
  <c r="G5" i="21"/>
  <c r="G6" i="21"/>
  <c r="G7" i="21"/>
  <c r="G8" i="21"/>
  <c r="G9" i="21"/>
  <c r="G10" i="21"/>
  <c r="G11" i="21"/>
  <c r="G12" i="21"/>
  <c r="G13" i="21"/>
  <c r="G14" i="21"/>
  <c r="G15" i="21"/>
  <c r="G16" i="21"/>
  <c r="G17" i="21"/>
  <c r="G18" i="21"/>
  <c r="G19" i="21"/>
  <c r="G20" i="21"/>
  <c r="G21" i="21"/>
  <c r="G22" i="21"/>
  <c r="G23" i="21"/>
  <c r="G2" i="21"/>
  <c r="G2" i="7"/>
  <c r="F47" i="21"/>
  <c r="F48" i="21"/>
  <c r="F49" i="21"/>
  <c r="F50" i="21"/>
  <c r="F51" i="21"/>
  <c r="F52" i="21"/>
  <c r="F53" i="21"/>
  <c r="F54" i="21"/>
  <c r="F55" i="21"/>
  <c r="F56" i="21"/>
  <c r="F57" i="21"/>
  <c r="F58" i="21"/>
  <c r="F59" i="21"/>
  <c r="F60" i="21"/>
  <c r="F61" i="21"/>
  <c r="F62" i="21"/>
  <c r="F63" i="21"/>
  <c r="F64" i="21"/>
  <c r="F65" i="21"/>
  <c r="F66" i="21"/>
  <c r="F67" i="21"/>
  <c r="F46" i="21"/>
  <c r="F45" i="21"/>
  <c r="F26" i="21"/>
  <c r="F27" i="21"/>
  <c r="F28" i="21"/>
  <c r="F29" i="21"/>
  <c r="F30" i="21"/>
  <c r="F31" i="21"/>
  <c r="F32" i="21"/>
  <c r="F33" i="21"/>
  <c r="F34" i="21"/>
  <c r="F35" i="21"/>
  <c r="F36" i="21"/>
  <c r="F37" i="21"/>
  <c r="F38" i="21"/>
  <c r="F39" i="21"/>
  <c r="F40" i="21"/>
  <c r="F41" i="21"/>
  <c r="F42" i="21"/>
  <c r="F43" i="21"/>
  <c r="F44" i="21"/>
  <c r="F25" i="21"/>
  <c r="F24" i="21"/>
  <c r="G3" i="24" l="1"/>
  <c r="G4" i="24"/>
  <c r="G5" i="24"/>
  <c r="G6" i="24"/>
  <c r="G7" i="24"/>
  <c r="G8" i="24"/>
  <c r="G9" i="24"/>
  <c r="G10" i="24"/>
  <c r="G11" i="24"/>
  <c r="G12" i="24"/>
  <c r="G13" i="24"/>
  <c r="G14" i="24"/>
  <c r="G15" i="24"/>
  <c r="G16" i="24"/>
  <c r="G17" i="24"/>
  <c r="G18" i="24"/>
  <c r="G19" i="24"/>
  <c r="G20" i="24"/>
  <c r="G21" i="24"/>
  <c r="G22" i="24"/>
  <c r="G23" i="24"/>
  <c r="G2" i="24"/>
  <c r="F3" i="24"/>
  <c r="F4" i="24"/>
  <c r="F5" i="24"/>
  <c r="F6" i="24"/>
  <c r="F7" i="24"/>
  <c r="F8" i="24"/>
  <c r="F9" i="24"/>
  <c r="F10" i="24"/>
  <c r="F11" i="24"/>
  <c r="F12" i="24"/>
  <c r="F13" i="24"/>
  <c r="F14" i="24"/>
  <c r="F15" i="24"/>
  <c r="F16" i="24"/>
  <c r="F17" i="24"/>
  <c r="F18" i="24"/>
  <c r="F19" i="24"/>
  <c r="F20" i="24"/>
  <c r="F21" i="24"/>
  <c r="F22" i="24"/>
  <c r="F23" i="24"/>
  <c r="F2" i="24"/>
  <c r="E3" i="24"/>
  <c r="E4" i="24"/>
  <c r="E5" i="24"/>
  <c r="E6" i="24"/>
  <c r="E7" i="24"/>
  <c r="E8" i="24"/>
  <c r="E9" i="24"/>
  <c r="E10" i="24"/>
  <c r="E11" i="24"/>
  <c r="E12" i="24"/>
  <c r="E13" i="24"/>
  <c r="E14" i="24"/>
  <c r="E15" i="24"/>
  <c r="E16" i="24"/>
  <c r="E17" i="24"/>
  <c r="E18" i="24"/>
  <c r="E19" i="24"/>
  <c r="E20" i="24"/>
  <c r="E21" i="24"/>
  <c r="E22" i="24"/>
  <c r="E23" i="24"/>
  <c r="E2" i="24"/>
  <c r="F28" i="24" l="1"/>
  <c r="D3" i="24"/>
  <c r="D4" i="24"/>
  <c r="D5" i="24"/>
  <c r="D6" i="24"/>
  <c r="D7" i="24"/>
  <c r="D8" i="24"/>
  <c r="D9" i="24"/>
  <c r="D10" i="24"/>
  <c r="D11" i="24"/>
  <c r="D12" i="24"/>
  <c r="D13" i="24"/>
  <c r="D14" i="24"/>
  <c r="D15" i="24"/>
  <c r="D16" i="24"/>
  <c r="D17" i="24"/>
  <c r="D18" i="24"/>
  <c r="D19" i="24"/>
  <c r="D20" i="24"/>
  <c r="D21" i="24"/>
  <c r="D22" i="24"/>
  <c r="D23" i="24"/>
  <c r="D2" i="24"/>
  <c r="E2" i="4"/>
  <c r="F2" i="4"/>
  <c r="G24" i="7" s="1"/>
  <c r="G2" i="4"/>
  <c r="E3" i="4"/>
  <c r="F3" i="4"/>
  <c r="G3" i="4"/>
  <c r="E4" i="4"/>
  <c r="F4" i="4"/>
  <c r="G4" i="4"/>
  <c r="E5" i="4"/>
  <c r="F5" i="4"/>
  <c r="G5" i="4"/>
  <c r="E6" i="4"/>
  <c r="F6" i="4"/>
  <c r="G6" i="4"/>
  <c r="E7" i="4"/>
  <c r="F7" i="4"/>
  <c r="G7" i="4"/>
  <c r="E8" i="4"/>
  <c r="F8" i="4"/>
  <c r="G8" i="4"/>
  <c r="E9" i="4"/>
  <c r="F9" i="4"/>
  <c r="G9" i="4"/>
  <c r="E10" i="4"/>
  <c r="F10" i="4"/>
  <c r="G10" i="4"/>
  <c r="E11" i="4"/>
  <c r="F11" i="4"/>
  <c r="G11" i="4"/>
  <c r="E12" i="4"/>
  <c r="F12" i="4"/>
  <c r="G12" i="4"/>
  <c r="E13" i="4"/>
  <c r="F13" i="4"/>
  <c r="G13" i="4"/>
  <c r="E14" i="4"/>
  <c r="F14" i="4"/>
  <c r="G14" i="4"/>
  <c r="E15" i="4"/>
  <c r="F15" i="4"/>
  <c r="G15" i="4"/>
  <c r="E16" i="4"/>
  <c r="F16" i="4"/>
  <c r="G16" i="4"/>
  <c r="E17" i="4"/>
  <c r="F17" i="4"/>
  <c r="G17" i="4"/>
  <c r="E18" i="4"/>
  <c r="F18" i="4"/>
  <c r="G18" i="4"/>
  <c r="E19" i="4"/>
  <c r="F19" i="4"/>
  <c r="G19" i="4"/>
  <c r="E20" i="4"/>
  <c r="F20" i="4"/>
  <c r="G20" i="4"/>
  <c r="E21" i="4"/>
  <c r="F21" i="4"/>
  <c r="G21" i="4"/>
  <c r="E22" i="4"/>
  <c r="F22" i="4"/>
  <c r="G22" i="4"/>
  <c r="E23" i="4"/>
  <c r="F23" i="4"/>
  <c r="G23" i="4"/>
  <c r="AI3" i="24" l="1"/>
  <c r="AI4" i="24"/>
  <c r="AI5" i="24"/>
  <c r="AI6" i="24"/>
  <c r="AI7" i="24"/>
  <c r="AI8" i="24"/>
  <c r="AI9" i="24"/>
  <c r="AI10" i="24"/>
  <c r="AI11" i="24"/>
  <c r="AI12" i="24"/>
  <c r="AI13" i="24"/>
  <c r="AI14" i="24"/>
  <c r="AI15" i="24"/>
  <c r="AI16" i="24"/>
  <c r="AI17" i="24"/>
  <c r="AI18" i="24"/>
  <c r="AI19" i="24"/>
  <c r="AI20" i="24"/>
  <c r="AI21" i="24"/>
  <c r="AI22" i="24"/>
  <c r="AI23" i="24"/>
  <c r="AI2" i="24"/>
  <c r="AH3" i="24"/>
  <c r="AH4" i="24"/>
  <c r="AH5" i="24"/>
  <c r="AH6" i="24"/>
  <c r="AH7" i="24"/>
  <c r="AH8" i="24"/>
  <c r="AH9" i="24"/>
  <c r="AH10" i="24"/>
  <c r="AH11" i="24"/>
  <c r="AH12" i="24"/>
  <c r="AH13" i="24"/>
  <c r="AH14" i="24"/>
  <c r="AH15" i="24"/>
  <c r="AH16" i="24"/>
  <c r="AH17" i="24"/>
  <c r="AH18" i="24"/>
  <c r="AH19" i="24"/>
  <c r="AH20" i="24"/>
  <c r="AH21" i="24"/>
  <c r="AH22" i="24"/>
  <c r="AH23" i="24"/>
  <c r="AH2" i="24"/>
  <c r="AG3" i="24"/>
  <c r="AG4" i="24"/>
  <c r="AG5" i="24"/>
  <c r="AG6" i="24"/>
  <c r="AG7" i="24"/>
  <c r="AG8" i="24"/>
  <c r="AG9" i="24"/>
  <c r="AG10" i="24"/>
  <c r="AG11" i="24"/>
  <c r="AG12" i="24"/>
  <c r="AG13" i="24"/>
  <c r="AG14" i="24"/>
  <c r="AG15" i="24"/>
  <c r="AG16" i="24"/>
  <c r="AG17" i="24"/>
  <c r="AG18" i="24"/>
  <c r="AG19" i="24"/>
  <c r="AG20" i="24"/>
  <c r="AG21" i="24"/>
  <c r="AG22" i="24"/>
  <c r="AG23" i="24"/>
  <c r="AG2" i="24"/>
  <c r="AH24" i="24" l="1"/>
  <c r="AG24" i="24"/>
  <c r="AI24" i="24"/>
  <c r="D24" i="24"/>
  <c r="AI25" i="24" l="1"/>
  <c r="AB24" i="24"/>
  <c r="T24" i="24"/>
  <c r="L24" i="24"/>
  <c r="AC23" i="24"/>
  <c r="U23" i="24"/>
  <c r="M23" i="24"/>
  <c r="H23" i="24"/>
  <c r="C23" i="24"/>
  <c r="B23" i="24"/>
  <c r="A23" i="24"/>
  <c r="AC22" i="24"/>
  <c r="U22" i="24"/>
  <c r="M22" i="24"/>
  <c r="H22" i="24"/>
  <c r="C22" i="24"/>
  <c r="B22" i="24"/>
  <c r="A22" i="24"/>
  <c r="AC21" i="24"/>
  <c r="U21" i="24"/>
  <c r="M21" i="24"/>
  <c r="H21" i="24"/>
  <c r="C21" i="24"/>
  <c r="B21" i="24"/>
  <c r="A21" i="24"/>
  <c r="AC20" i="24"/>
  <c r="U20" i="24"/>
  <c r="M20" i="24"/>
  <c r="H20" i="24"/>
  <c r="C20" i="24"/>
  <c r="B20" i="24"/>
  <c r="A20" i="24"/>
  <c r="AC19" i="24"/>
  <c r="U19" i="24"/>
  <c r="M19" i="24"/>
  <c r="H19" i="24"/>
  <c r="C19" i="24"/>
  <c r="B19" i="24"/>
  <c r="A19" i="24"/>
  <c r="AC18" i="24"/>
  <c r="U18" i="24"/>
  <c r="M18" i="24"/>
  <c r="H18" i="24"/>
  <c r="C18" i="24"/>
  <c r="B18" i="24"/>
  <c r="A18" i="24"/>
  <c r="AC17" i="24"/>
  <c r="U17" i="24"/>
  <c r="M17" i="24"/>
  <c r="H17" i="24"/>
  <c r="C17" i="24"/>
  <c r="B17" i="24"/>
  <c r="A17" i="24"/>
  <c r="AC16" i="24"/>
  <c r="U16" i="24"/>
  <c r="M16" i="24"/>
  <c r="H16" i="24"/>
  <c r="C16" i="24"/>
  <c r="B16" i="24"/>
  <c r="A16" i="24"/>
  <c r="AC15" i="24"/>
  <c r="U15" i="24"/>
  <c r="M15" i="24"/>
  <c r="H15" i="24"/>
  <c r="C15" i="24"/>
  <c r="B15" i="24"/>
  <c r="A15" i="24"/>
  <c r="AC14" i="24"/>
  <c r="U14" i="24"/>
  <c r="M14" i="24"/>
  <c r="H14" i="24"/>
  <c r="C14" i="24"/>
  <c r="B14" i="24"/>
  <c r="A14" i="24"/>
  <c r="AC13" i="24"/>
  <c r="U13" i="24"/>
  <c r="M13" i="24"/>
  <c r="H13" i="24"/>
  <c r="C13" i="24"/>
  <c r="B13" i="24"/>
  <c r="A13" i="24"/>
  <c r="AC12" i="24"/>
  <c r="U12" i="24"/>
  <c r="M12" i="24"/>
  <c r="H12" i="24"/>
  <c r="C12" i="24"/>
  <c r="B12" i="24"/>
  <c r="A12" i="24"/>
  <c r="AC11" i="24"/>
  <c r="U11" i="24"/>
  <c r="M11" i="24"/>
  <c r="H11" i="24"/>
  <c r="C11" i="24"/>
  <c r="B11" i="24"/>
  <c r="A11" i="24"/>
  <c r="AC10" i="24"/>
  <c r="U10" i="24"/>
  <c r="M10" i="24"/>
  <c r="H10" i="24"/>
  <c r="C10" i="24"/>
  <c r="B10" i="24"/>
  <c r="A10" i="24"/>
  <c r="AC9" i="24"/>
  <c r="U9" i="24"/>
  <c r="M9" i="24"/>
  <c r="H9" i="24"/>
  <c r="C9" i="24"/>
  <c r="B9" i="24"/>
  <c r="A9" i="24"/>
  <c r="AC8" i="24"/>
  <c r="U8" i="24"/>
  <c r="M8" i="24"/>
  <c r="H8" i="24"/>
  <c r="C8" i="24"/>
  <c r="B8" i="24"/>
  <c r="A8" i="24"/>
  <c r="AC7" i="24"/>
  <c r="U7" i="24"/>
  <c r="M7" i="24"/>
  <c r="H7" i="24"/>
  <c r="C7" i="24"/>
  <c r="B7" i="24"/>
  <c r="A7" i="24"/>
  <c r="AC6" i="24"/>
  <c r="U6" i="24"/>
  <c r="M6" i="24"/>
  <c r="H6" i="24"/>
  <c r="C6" i="24"/>
  <c r="B6" i="24"/>
  <c r="A6" i="24"/>
  <c r="AC5" i="24"/>
  <c r="U5" i="24"/>
  <c r="M5" i="24"/>
  <c r="H5" i="24"/>
  <c r="C5" i="24"/>
  <c r="B5" i="24"/>
  <c r="A5" i="24"/>
  <c r="AC4" i="24"/>
  <c r="U4" i="24"/>
  <c r="M4" i="24"/>
  <c r="H4" i="24"/>
  <c r="C4" i="24"/>
  <c r="B4" i="24"/>
  <c r="A4" i="24"/>
  <c r="AC3" i="24"/>
  <c r="U3" i="24"/>
  <c r="M3" i="24"/>
  <c r="H3" i="24"/>
  <c r="C3" i="24"/>
  <c r="B3" i="24"/>
  <c r="A3" i="24"/>
  <c r="AC2" i="24"/>
  <c r="U2" i="24"/>
  <c r="M2" i="24"/>
  <c r="H2" i="24"/>
  <c r="C2" i="24"/>
  <c r="B2" i="24"/>
  <c r="A2" i="24"/>
  <c r="H24" i="24" l="1"/>
  <c r="AC24" i="24"/>
  <c r="M24" i="24"/>
  <c r="U24" i="24"/>
  <c r="F24" i="24" l="1"/>
  <c r="G24" i="24"/>
  <c r="E24" i="24"/>
  <c r="G25" i="24" l="1"/>
  <c r="H25" i="24" s="1"/>
  <c r="H28" i="24"/>
  <c r="F47" i="7" l="1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46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24" i="7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3" i="7"/>
  <c r="F2" i="7"/>
  <c r="AB24" i="4"/>
  <c r="T24" i="4"/>
  <c r="J28" i="24" l="1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3" i="4"/>
  <c r="B2" i="4"/>
  <c r="A3" i="31" l="1"/>
  <c r="A4" i="31"/>
  <c r="A5" i="31"/>
  <c r="A6" i="31"/>
  <c r="A7" i="31"/>
  <c r="A8" i="31"/>
  <c r="A9" i="31"/>
  <c r="A10" i="31"/>
  <c r="A11" i="31"/>
  <c r="A12" i="31"/>
  <c r="A13" i="31"/>
  <c r="A14" i="31"/>
  <c r="A15" i="31"/>
  <c r="A16" i="31"/>
  <c r="A17" i="31"/>
  <c r="A18" i="31"/>
  <c r="A19" i="31"/>
  <c r="A20" i="31"/>
  <c r="A21" i="31"/>
  <c r="A22" i="31"/>
  <c r="A23" i="31"/>
  <c r="A24" i="31"/>
  <c r="A25" i="31"/>
  <c r="A26" i="31"/>
  <c r="A27" i="31"/>
  <c r="A28" i="31"/>
  <c r="A29" i="31"/>
  <c r="A30" i="31"/>
  <c r="A31" i="31"/>
  <c r="A32" i="31"/>
  <c r="A33" i="31"/>
  <c r="A2" i="31"/>
  <c r="A3" i="19"/>
  <c r="A4" i="19"/>
  <c r="A5" i="19"/>
  <c r="A6" i="19"/>
  <c r="A7" i="19"/>
  <c r="A8" i="19"/>
  <c r="A9" i="19"/>
  <c r="A10" i="19"/>
  <c r="A11" i="19"/>
  <c r="A12" i="19"/>
  <c r="A13" i="19"/>
  <c r="A14" i="19"/>
  <c r="A15" i="19"/>
  <c r="A16" i="19"/>
  <c r="A17" i="19"/>
  <c r="A18" i="19"/>
  <c r="A19" i="19"/>
  <c r="A20" i="19"/>
  <c r="A21" i="19"/>
  <c r="A22" i="19"/>
  <c r="A23" i="19"/>
  <c r="A24" i="19"/>
  <c r="A25" i="19"/>
  <c r="A26" i="19"/>
  <c r="A27" i="19"/>
  <c r="A28" i="19"/>
  <c r="A29" i="19"/>
  <c r="A30" i="19"/>
  <c r="A31" i="19"/>
  <c r="A32" i="19"/>
  <c r="A33" i="19"/>
  <c r="A2" i="19"/>
  <c r="AB26" i="24" l="1"/>
  <c r="D28" i="24"/>
  <c r="B23" i="30"/>
  <c r="A23" i="30"/>
  <c r="B22" i="30"/>
  <c r="A22" i="30"/>
  <c r="B21" i="30"/>
  <c r="A21" i="30"/>
  <c r="B20" i="30"/>
  <c r="A20" i="30"/>
  <c r="B19" i="30"/>
  <c r="A19" i="30"/>
  <c r="B18" i="30"/>
  <c r="A18" i="30"/>
  <c r="B17" i="30"/>
  <c r="A17" i="30"/>
  <c r="B16" i="30"/>
  <c r="A16" i="30"/>
  <c r="B15" i="30"/>
  <c r="A15" i="30"/>
  <c r="B14" i="30"/>
  <c r="A14" i="30"/>
  <c r="B13" i="30"/>
  <c r="A13" i="30"/>
  <c r="B12" i="30"/>
  <c r="A12" i="30"/>
  <c r="B11" i="30"/>
  <c r="A11" i="30"/>
  <c r="B10" i="30"/>
  <c r="A10" i="30"/>
  <c r="B9" i="30"/>
  <c r="A9" i="30"/>
  <c r="B8" i="30"/>
  <c r="A8" i="30"/>
  <c r="B7" i="30"/>
  <c r="A7" i="30"/>
  <c r="B6" i="30"/>
  <c r="A6" i="30"/>
  <c r="B5" i="30"/>
  <c r="A5" i="30"/>
  <c r="B4" i="30"/>
  <c r="A4" i="30"/>
  <c r="B3" i="30"/>
  <c r="A3" i="30"/>
  <c r="B2" i="30"/>
  <c r="A2" i="30"/>
  <c r="F15" i="14" l="1"/>
  <c r="F14" i="14"/>
  <c r="F13" i="14"/>
  <c r="K76" i="3" l="1"/>
  <c r="K74" i="3"/>
  <c r="G70" i="3"/>
  <c r="G64" i="3"/>
  <c r="G73" i="3" s="1"/>
  <c r="F63" i="3"/>
  <c r="E63" i="3"/>
  <c r="D63" i="3"/>
  <c r="C63" i="3"/>
  <c r="B63" i="3"/>
  <c r="G58" i="3" s="1"/>
  <c r="AI62" i="3"/>
  <c r="AG62" i="3"/>
  <c r="AH62" i="3" s="1"/>
  <c r="E62" i="3"/>
  <c r="E64" i="3" s="1"/>
  <c r="D62" i="3"/>
  <c r="D64" i="3" s="1"/>
  <c r="C62" i="3"/>
  <c r="B62" i="3"/>
  <c r="F58" i="3" s="1"/>
  <c r="AI61" i="3"/>
  <c r="AG61" i="3"/>
  <c r="AH61" i="3" s="1"/>
  <c r="D61" i="3"/>
  <c r="C61" i="3"/>
  <c r="B61" i="3"/>
  <c r="E58" i="3" s="1"/>
  <c r="AI60" i="3"/>
  <c r="C60" i="3"/>
  <c r="B60" i="3"/>
  <c r="AI59" i="3"/>
  <c r="B59" i="3"/>
  <c r="AI58" i="3"/>
  <c r="D58" i="3"/>
  <c r="AF55" i="3"/>
  <c r="AB55" i="3"/>
  <c r="C55" i="3"/>
  <c r="AF54" i="3"/>
  <c r="AB54" i="3"/>
  <c r="C54" i="3"/>
  <c r="AF53" i="3"/>
  <c r="AB53" i="3"/>
  <c r="C53" i="3"/>
  <c r="AF52" i="3"/>
  <c r="AB52" i="3"/>
  <c r="C52" i="3"/>
  <c r="AF51" i="3"/>
  <c r="AB51" i="3"/>
  <c r="C51" i="3"/>
  <c r="AF50" i="3"/>
  <c r="AB50" i="3"/>
  <c r="C50" i="3"/>
  <c r="AF49" i="3"/>
  <c r="AB49" i="3"/>
  <c r="C49" i="3"/>
  <c r="AF48" i="3"/>
  <c r="AB48" i="3"/>
  <c r="C48" i="3"/>
  <c r="AF47" i="3"/>
  <c r="AB47" i="3"/>
  <c r="C47" i="3"/>
  <c r="AF46" i="3"/>
  <c r="AB46" i="3"/>
  <c r="C46" i="3"/>
  <c r="AF45" i="3"/>
  <c r="AB45" i="3"/>
  <c r="C45" i="3"/>
  <c r="AF44" i="3"/>
  <c r="AB44" i="3"/>
  <c r="C44" i="3"/>
  <c r="AF43" i="3"/>
  <c r="AB43" i="3"/>
  <c r="C43" i="3"/>
  <c r="AF42" i="3"/>
  <c r="AB42" i="3"/>
  <c r="C42" i="3"/>
  <c r="AF41" i="3"/>
  <c r="AB41" i="3"/>
  <c r="C41" i="3"/>
  <c r="AF40" i="3"/>
  <c r="AB40" i="3"/>
  <c r="C40" i="3"/>
  <c r="AF39" i="3"/>
  <c r="AB39" i="3"/>
  <c r="C39" i="3"/>
  <c r="AF38" i="3"/>
  <c r="AB38" i="3"/>
  <c r="C38" i="3"/>
  <c r="AF37" i="3"/>
  <c r="AB37" i="3"/>
  <c r="C37" i="3"/>
  <c r="AF36" i="3"/>
  <c r="AB36" i="3"/>
  <c r="C36" i="3"/>
  <c r="AF35" i="3"/>
  <c r="AB35" i="3"/>
  <c r="C35" i="3"/>
  <c r="AF34" i="3"/>
  <c r="AB34" i="3"/>
  <c r="C34" i="3"/>
  <c r="Y32" i="3"/>
  <c r="X32" i="3"/>
  <c r="W32" i="3"/>
  <c r="V32" i="3"/>
  <c r="U32" i="3"/>
  <c r="T32" i="3"/>
  <c r="S32" i="3"/>
  <c r="R32" i="3"/>
  <c r="Q32" i="3"/>
  <c r="P32" i="3"/>
  <c r="O32" i="3"/>
  <c r="N32" i="3"/>
  <c r="M32" i="3"/>
  <c r="L32" i="3"/>
  <c r="K32" i="3"/>
  <c r="J32" i="3"/>
  <c r="I32" i="3"/>
  <c r="H32" i="3"/>
  <c r="G32" i="3"/>
  <c r="F32" i="3"/>
  <c r="E32" i="3"/>
  <c r="D32" i="3"/>
  <c r="Y29" i="3"/>
  <c r="Y47" i="3" s="1"/>
  <c r="Z28" i="3"/>
  <c r="X28" i="3"/>
  <c r="X29" i="3" s="1"/>
  <c r="X37" i="3" s="1"/>
  <c r="W28" i="3"/>
  <c r="V28" i="3"/>
  <c r="U28" i="3"/>
  <c r="T28" i="3"/>
  <c r="S28" i="3"/>
  <c r="R28" i="3"/>
  <c r="Q28" i="3"/>
  <c r="P28" i="3"/>
  <c r="O28" i="3"/>
  <c r="N28" i="3"/>
  <c r="M28" i="3"/>
  <c r="L28" i="3"/>
  <c r="K28" i="3"/>
  <c r="J28" i="3"/>
  <c r="I28" i="3"/>
  <c r="H28" i="3"/>
  <c r="G28" i="3"/>
  <c r="F28" i="3"/>
  <c r="E28" i="3"/>
  <c r="D28" i="3"/>
  <c r="C28" i="3"/>
  <c r="Z27" i="3"/>
  <c r="W27" i="3"/>
  <c r="W29" i="3" s="1"/>
  <c r="V27" i="3"/>
  <c r="U27" i="3"/>
  <c r="T27" i="3"/>
  <c r="S27" i="3"/>
  <c r="R27" i="3"/>
  <c r="Q27" i="3"/>
  <c r="P27" i="3"/>
  <c r="O27" i="3"/>
  <c r="N27" i="3"/>
  <c r="M27" i="3"/>
  <c r="L27" i="3"/>
  <c r="K27" i="3"/>
  <c r="J27" i="3"/>
  <c r="I27" i="3"/>
  <c r="H27" i="3"/>
  <c r="G27" i="3"/>
  <c r="F27" i="3"/>
  <c r="E27" i="3"/>
  <c r="D27" i="3"/>
  <c r="C27" i="3"/>
  <c r="Z26" i="3"/>
  <c r="V26" i="3"/>
  <c r="U26" i="3"/>
  <c r="T26" i="3"/>
  <c r="S26" i="3"/>
  <c r="R26" i="3"/>
  <c r="Q26" i="3"/>
  <c r="P26" i="3"/>
  <c r="O26" i="3"/>
  <c r="N26" i="3"/>
  <c r="M26" i="3"/>
  <c r="L26" i="3"/>
  <c r="K26" i="3"/>
  <c r="J26" i="3"/>
  <c r="I26" i="3"/>
  <c r="H26" i="3"/>
  <c r="G26" i="3"/>
  <c r="F26" i="3"/>
  <c r="E26" i="3"/>
  <c r="D26" i="3"/>
  <c r="C26" i="3"/>
  <c r="Z25" i="3"/>
  <c r="U25" i="3"/>
  <c r="T25" i="3"/>
  <c r="S25" i="3"/>
  <c r="R25" i="3"/>
  <c r="Q25" i="3"/>
  <c r="P25" i="3"/>
  <c r="O25" i="3"/>
  <c r="N25" i="3"/>
  <c r="M25" i="3"/>
  <c r="L25" i="3"/>
  <c r="K25" i="3"/>
  <c r="J25" i="3"/>
  <c r="I25" i="3"/>
  <c r="H25" i="3"/>
  <c r="G25" i="3"/>
  <c r="F25" i="3"/>
  <c r="E25" i="3"/>
  <c r="D25" i="3"/>
  <c r="C25" i="3"/>
  <c r="Z24" i="3"/>
  <c r="T24" i="3"/>
  <c r="S24" i="3"/>
  <c r="R24" i="3"/>
  <c r="Q24" i="3"/>
  <c r="P24" i="3"/>
  <c r="O24" i="3"/>
  <c r="N24" i="3"/>
  <c r="M24" i="3"/>
  <c r="L24" i="3"/>
  <c r="K24" i="3"/>
  <c r="J24" i="3"/>
  <c r="I24" i="3"/>
  <c r="H24" i="3"/>
  <c r="G24" i="3"/>
  <c r="F24" i="3"/>
  <c r="E24" i="3"/>
  <c r="D24" i="3"/>
  <c r="C24" i="3"/>
  <c r="Z23" i="3"/>
  <c r="S23" i="3"/>
  <c r="S29" i="3" s="1"/>
  <c r="R23" i="3"/>
  <c r="Q23" i="3"/>
  <c r="P23" i="3"/>
  <c r="O23" i="3"/>
  <c r="N23" i="3"/>
  <c r="M23" i="3"/>
  <c r="L23" i="3"/>
  <c r="K23" i="3"/>
  <c r="J23" i="3"/>
  <c r="I23" i="3"/>
  <c r="H23" i="3"/>
  <c r="G23" i="3"/>
  <c r="F23" i="3"/>
  <c r="E23" i="3"/>
  <c r="D23" i="3"/>
  <c r="C23" i="3"/>
  <c r="Z22" i="3"/>
  <c r="R22" i="3"/>
  <c r="Q22" i="3"/>
  <c r="P22" i="3"/>
  <c r="O22" i="3"/>
  <c r="N22" i="3"/>
  <c r="M22" i="3"/>
  <c r="L22" i="3"/>
  <c r="K22" i="3"/>
  <c r="J22" i="3"/>
  <c r="I22" i="3"/>
  <c r="H22" i="3"/>
  <c r="G22" i="3"/>
  <c r="F22" i="3"/>
  <c r="E22" i="3"/>
  <c r="D22" i="3"/>
  <c r="C22" i="3"/>
  <c r="Z21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D21" i="3"/>
  <c r="C21" i="3"/>
  <c r="Z20" i="3"/>
  <c r="P20" i="3"/>
  <c r="O20" i="3"/>
  <c r="N20" i="3"/>
  <c r="M20" i="3"/>
  <c r="L20" i="3"/>
  <c r="K20" i="3"/>
  <c r="J20" i="3"/>
  <c r="I20" i="3"/>
  <c r="H20" i="3"/>
  <c r="G20" i="3"/>
  <c r="F20" i="3"/>
  <c r="E20" i="3"/>
  <c r="D20" i="3"/>
  <c r="C20" i="3"/>
  <c r="Z19" i="3"/>
  <c r="O19" i="3"/>
  <c r="N19" i="3"/>
  <c r="M19" i="3"/>
  <c r="L19" i="3"/>
  <c r="K19" i="3"/>
  <c r="J19" i="3"/>
  <c r="I19" i="3"/>
  <c r="H19" i="3"/>
  <c r="G19" i="3"/>
  <c r="F19" i="3"/>
  <c r="E19" i="3"/>
  <c r="D19" i="3"/>
  <c r="C19" i="3"/>
  <c r="Z18" i="3"/>
  <c r="N18" i="3"/>
  <c r="M18" i="3"/>
  <c r="L18" i="3"/>
  <c r="K18" i="3"/>
  <c r="J18" i="3"/>
  <c r="I18" i="3"/>
  <c r="H18" i="3"/>
  <c r="G18" i="3"/>
  <c r="F18" i="3"/>
  <c r="E18" i="3"/>
  <c r="D18" i="3"/>
  <c r="C18" i="3"/>
  <c r="Z17" i="3"/>
  <c r="M17" i="3"/>
  <c r="L17" i="3"/>
  <c r="K17" i="3"/>
  <c r="J17" i="3"/>
  <c r="I17" i="3"/>
  <c r="H17" i="3"/>
  <c r="G17" i="3"/>
  <c r="F17" i="3"/>
  <c r="E17" i="3"/>
  <c r="D17" i="3"/>
  <c r="C17" i="3"/>
  <c r="Z16" i="3"/>
  <c r="L16" i="3"/>
  <c r="K16" i="3"/>
  <c r="J16" i="3"/>
  <c r="I16" i="3"/>
  <c r="H16" i="3"/>
  <c r="G16" i="3"/>
  <c r="F16" i="3"/>
  <c r="E16" i="3"/>
  <c r="D16" i="3"/>
  <c r="C16" i="3"/>
  <c r="Z15" i="3"/>
  <c r="K15" i="3"/>
  <c r="J15" i="3"/>
  <c r="I15" i="3"/>
  <c r="H15" i="3"/>
  <c r="G15" i="3"/>
  <c r="F15" i="3"/>
  <c r="E15" i="3"/>
  <c r="D15" i="3"/>
  <c r="C15" i="3"/>
  <c r="Z14" i="3"/>
  <c r="J14" i="3"/>
  <c r="I14" i="3"/>
  <c r="H14" i="3"/>
  <c r="G14" i="3"/>
  <c r="F14" i="3"/>
  <c r="E14" i="3"/>
  <c r="D14" i="3"/>
  <c r="C14" i="3"/>
  <c r="Z13" i="3"/>
  <c r="I13" i="3"/>
  <c r="H13" i="3"/>
  <c r="G13" i="3"/>
  <c r="F13" i="3"/>
  <c r="E13" i="3"/>
  <c r="D13" i="3"/>
  <c r="C13" i="3"/>
  <c r="Z12" i="3"/>
  <c r="H12" i="3"/>
  <c r="G12" i="3"/>
  <c r="F12" i="3"/>
  <c r="E12" i="3"/>
  <c r="D12" i="3"/>
  <c r="C12" i="3"/>
  <c r="Z11" i="3"/>
  <c r="G11" i="3"/>
  <c r="F11" i="3"/>
  <c r="E11" i="3"/>
  <c r="D11" i="3"/>
  <c r="C11" i="3"/>
  <c r="Z10" i="3"/>
  <c r="F10" i="3"/>
  <c r="E10" i="3"/>
  <c r="D10" i="3"/>
  <c r="C10" i="3"/>
  <c r="Z9" i="3"/>
  <c r="E9" i="3"/>
  <c r="D9" i="3"/>
  <c r="C9" i="3"/>
  <c r="Z8" i="3"/>
  <c r="D8" i="3"/>
  <c r="C8" i="3"/>
  <c r="Z7" i="3"/>
  <c r="C7" i="3"/>
  <c r="Y6" i="3"/>
  <c r="X6" i="3"/>
  <c r="W6" i="3"/>
  <c r="V6" i="3"/>
  <c r="U6" i="3"/>
  <c r="T6" i="3"/>
  <c r="S6" i="3"/>
  <c r="R6" i="3"/>
  <c r="Q6" i="3"/>
  <c r="P6" i="3"/>
  <c r="O6" i="3"/>
  <c r="N6" i="3"/>
  <c r="M6" i="3"/>
  <c r="L6" i="3"/>
  <c r="K6" i="3"/>
  <c r="J6" i="3"/>
  <c r="I6" i="3"/>
  <c r="H6" i="3"/>
  <c r="G6" i="3"/>
  <c r="F6" i="3"/>
  <c r="E6" i="3"/>
  <c r="D6" i="3"/>
  <c r="F11" i="21"/>
  <c r="F12" i="21"/>
  <c r="F13" i="21"/>
  <c r="F14" i="21"/>
  <c r="F15" i="21"/>
  <c r="F16" i="21"/>
  <c r="F17" i="21"/>
  <c r="F18" i="21"/>
  <c r="F19" i="21"/>
  <c r="F20" i="21"/>
  <c r="F21" i="21"/>
  <c r="F22" i="21"/>
  <c r="F23" i="21"/>
  <c r="F3" i="21"/>
  <c r="F4" i="21"/>
  <c r="F5" i="21"/>
  <c r="F6" i="21"/>
  <c r="F7" i="21"/>
  <c r="F8" i="21"/>
  <c r="F9" i="21"/>
  <c r="F10" i="21"/>
  <c r="F2" i="21"/>
  <c r="AG59" i="3"/>
  <c r="AG58" i="3"/>
  <c r="AG60" i="3"/>
  <c r="Y41" i="3" l="1"/>
  <c r="Y45" i="3"/>
  <c r="Y43" i="3"/>
  <c r="Y34" i="3"/>
  <c r="Y35" i="3"/>
  <c r="Y36" i="3"/>
  <c r="Y37" i="3"/>
  <c r="Y38" i="3"/>
  <c r="Y39" i="3"/>
  <c r="D29" i="3"/>
  <c r="D34" i="3" s="1"/>
  <c r="AH58" i="3"/>
  <c r="AJ58" i="3" s="1"/>
  <c r="AH59" i="3"/>
  <c r="AJ59" i="3" s="1"/>
  <c r="AH60" i="3"/>
  <c r="AJ60" i="3" s="1"/>
  <c r="D37" i="3"/>
  <c r="W53" i="3"/>
  <c r="W51" i="3"/>
  <c r="W49" i="3"/>
  <c r="W52" i="3"/>
  <c r="W47" i="3"/>
  <c r="W46" i="3"/>
  <c r="W45" i="3"/>
  <c r="W43" i="3"/>
  <c r="W41" i="3"/>
  <c r="W48" i="3"/>
  <c r="W50" i="3"/>
  <c r="W39" i="3"/>
  <c r="W37" i="3"/>
  <c r="W36" i="3"/>
  <c r="W44" i="3"/>
  <c r="W42" i="3"/>
  <c r="W40" i="3"/>
  <c r="W38" i="3"/>
  <c r="W35" i="3"/>
  <c r="W34" i="3"/>
  <c r="P29" i="3"/>
  <c r="P53" i="3" s="1"/>
  <c r="S47" i="3"/>
  <c r="S46" i="3"/>
  <c r="S49" i="3"/>
  <c r="S48" i="3"/>
  <c r="S45" i="3"/>
  <c r="S43" i="3"/>
  <c r="S41" i="3"/>
  <c r="S38" i="3"/>
  <c r="S34" i="3"/>
  <c r="S42" i="3"/>
  <c r="S51" i="3"/>
  <c r="D53" i="3"/>
  <c r="S54" i="3"/>
  <c r="S35" i="3"/>
  <c r="D36" i="3"/>
  <c r="J29" i="3"/>
  <c r="J49" i="3" s="1"/>
  <c r="W54" i="3"/>
  <c r="L29" i="3"/>
  <c r="L45" i="3" s="1"/>
  <c r="S36" i="3"/>
  <c r="E29" i="3"/>
  <c r="E41" i="3" s="1"/>
  <c r="D38" i="3"/>
  <c r="M29" i="3"/>
  <c r="M50" i="3" s="1"/>
  <c r="M45" i="3"/>
  <c r="D46" i="3"/>
  <c r="P51" i="3"/>
  <c r="T29" i="3"/>
  <c r="T53" i="3" s="1"/>
  <c r="U29" i="3"/>
  <c r="U54" i="3" s="1"/>
  <c r="P54" i="3"/>
  <c r="N29" i="3"/>
  <c r="N46" i="3" s="1"/>
  <c r="X53" i="3"/>
  <c r="X51" i="3"/>
  <c r="X54" i="3"/>
  <c r="X52" i="3"/>
  <c r="X50" i="3"/>
  <c r="X48" i="3"/>
  <c r="X46" i="3"/>
  <c r="X47" i="3"/>
  <c r="X45" i="3"/>
  <c r="X43" i="3"/>
  <c r="X41" i="3"/>
  <c r="X39" i="3"/>
  <c r="X49" i="3"/>
  <c r="X44" i="3"/>
  <c r="X42" i="3"/>
  <c r="X40" i="3"/>
  <c r="X38" i="3"/>
  <c r="X36" i="3"/>
  <c r="X34" i="3"/>
  <c r="X35" i="3"/>
  <c r="S40" i="3"/>
  <c r="S44" i="3"/>
  <c r="I29" i="3"/>
  <c r="I41" i="3" s="1"/>
  <c r="H29" i="3"/>
  <c r="H53" i="3" s="1"/>
  <c r="S39" i="3"/>
  <c r="O29" i="3"/>
  <c r="O52" i="3" s="1"/>
  <c r="M47" i="3"/>
  <c r="N49" i="3"/>
  <c r="P52" i="3"/>
  <c r="F29" i="3"/>
  <c r="F46" i="3" s="1"/>
  <c r="K29" i="3"/>
  <c r="K46" i="3" s="1"/>
  <c r="G29" i="3"/>
  <c r="G55" i="3" s="1"/>
  <c r="R29" i="3"/>
  <c r="R52" i="3" s="1"/>
  <c r="S37" i="3"/>
  <c r="D70" i="3"/>
  <c r="D69" i="3"/>
  <c r="P48" i="3"/>
  <c r="S50" i="3"/>
  <c r="M51" i="3"/>
  <c r="N53" i="3"/>
  <c r="S55" i="3"/>
  <c r="W55" i="3"/>
  <c r="C64" i="3"/>
  <c r="C72" i="3" s="1"/>
  <c r="E71" i="3"/>
  <c r="E70" i="3"/>
  <c r="E69" i="3"/>
  <c r="E72" i="3"/>
  <c r="Q29" i="3"/>
  <c r="Q54" i="3" s="1"/>
  <c r="M49" i="3"/>
  <c r="P50" i="3"/>
  <c r="S52" i="3"/>
  <c r="S53" i="3"/>
  <c r="N54" i="3"/>
  <c r="X55" i="3"/>
  <c r="V29" i="3"/>
  <c r="V55" i="3" s="1"/>
  <c r="C58" i="3"/>
  <c r="D73" i="3"/>
  <c r="Y54" i="3"/>
  <c r="Y52" i="3"/>
  <c r="Y50" i="3"/>
  <c r="Y51" i="3"/>
  <c r="Y53" i="3"/>
  <c r="Y55" i="3"/>
  <c r="D71" i="3"/>
  <c r="Y40" i="3"/>
  <c r="Y42" i="3"/>
  <c r="Y44" i="3"/>
  <c r="Y48" i="3"/>
  <c r="Y49" i="3"/>
  <c r="AJ62" i="3"/>
  <c r="Y46" i="3"/>
  <c r="AJ61" i="3"/>
  <c r="D72" i="3"/>
  <c r="E73" i="3"/>
  <c r="G71" i="3"/>
  <c r="F64" i="3"/>
  <c r="G72" i="3"/>
  <c r="G69" i="3"/>
  <c r="V54" i="3" l="1"/>
  <c r="Y56" i="3"/>
  <c r="R54" i="3"/>
  <c r="R51" i="3"/>
  <c r="T54" i="3"/>
  <c r="R53" i="3"/>
  <c r="R50" i="3"/>
  <c r="P55" i="3"/>
  <c r="P49" i="3"/>
  <c r="O55" i="3"/>
  <c r="O50" i="3"/>
  <c r="O54" i="3"/>
  <c r="O46" i="3"/>
  <c r="O53" i="3"/>
  <c r="M53" i="3"/>
  <c r="N51" i="3"/>
  <c r="M48" i="3"/>
  <c r="M46" i="3"/>
  <c r="N55" i="3"/>
  <c r="M44" i="3"/>
  <c r="M54" i="3"/>
  <c r="N52" i="3"/>
  <c r="N45" i="3"/>
  <c r="M52" i="3"/>
  <c r="L49" i="3"/>
  <c r="L50" i="3"/>
  <c r="L48" i="3"/>
  <c r="L46" i="3"/>
  <c r="L52" i="3"/>
  <c r="L55" i="3"/>
  <c r="L43" i="3"/>
  <c r="L54" i="3"/>
  <c r="F54" i="3"/>
  <c r="F53" i="3"/>
  <c r="F44" i="3"/>
  <c r="F49" i="3"/>
  <c r="F51" i="3"/>
  <c r="F52" i="3"/>
  <c r="L53" i="3"/>
  <c r="D47" i="3"/>
  <c r="K52" i="3"/>
  <c r="K50" i="3"/>
  <c r="D50" i="3"/>
  <c r="D40" i="3"/>
  <c r="D43" i="3"/>
  <c r="D44" i="3"/>
  <c r="D39" i="3"/>
  <c r="D54" i="3"/>
  <c r="D55" i="3"/>
  <c r="D48" i="3"/>
  <c r="D35" i="3"/>
  <c r="D52" i="3"/>
  <c r="D49" i="3"/>
  <c r="I46" i="3"/>
  <c r="D41" i="3"/>
  <c r="I44" i="3"/>
  <c r="D45" i="3"/>
  <c r="D42" i="3"/>
  <c r="D51" i="3"/>
  <c r="F45" i="3"/>
  <c r="F40" i="3"/>
  <c r="C73" i="3"/>
  <c r="C71" i="3"/>
  <c r="H46" i="3"/>
  <c r="Q49" i="3"/>
  <c r="I54" i="3"/>
  <c r="I51" i="3"/>
  <c r="E46" i="3"/>
  <c r="J44" i="3"/>
  <c r="H41" i="3"/>
  <c r="E55" i="3"/>
  <c r="E42" i="3"/>
  <c r="Q48" i="3"/>
  <c r="I40" i="3"/>
  <c r="U53" i="3"/>
  <c r="U52" i="3"/>
  <c r="T51" i="3"/>
  <c r="J50" i="3"/>
  <c r="E44" i="3"/>
  <c r="K54" i="3"/>
  <c r="J48" i="3"/>
  <c r="J41" i="3"/>
  <c r="J43" i="3"/>
  <c r="E54" i="3"/>
  <c r="J53" i="3"/>
  <c r="J52" i="3"/>
  <c r="E51" i="3"/>
  <c r="H49" i="3"/>
  <c r="H48" i="3"/>
  <c r="I50" i="3"/>
  <c r="J46" i="3"/>
  <c r="O49" i="3"/>
  <c r="J42" i="3"/>
  <c r="H52" i="3"/>
  <c r="E47" i="3"/>
  <c r="E50" i="3"/>
  <c r="H55" i="3"/>
  <c r="I48" i="3"/>
  <c r="T55" i="3"/>
  <c r="J54" i="3"/>
  <c r="J51" i="3"/>
  <c r="H50" i="3"/>
  <c r="I49" i="3"/>
  <c r="E48" i="3"/>
  <c r="V53" i="3"/>
  <c r="J45" i="3"/>
  <c r="E43" i="3"/>
  <c r="H40" i="3"/>
  <c r="E45" i="3"/>
  <c r="E37" i="3"/>
  <c r="J55" i="3"/>
  <c r="H54" i="3"/>
  <c r="E53" i="3"/>
  <c r="E52" i="3"/>
  <c r="J47" i="3"/>
  <c r="M55" i="3"/>
  <c r="H45" i="3"/>
  <c r="I47" i="3"/>
  <c r="I45" i="3"/>
  <c r="G37" i="3"/>
  <c r="G36" i="3"/>
  <c r="G35" i="3"/>
  <c r="G34" i="3"/>
  <c r="G50" i="3"/>
  <c r="G47" i="3"/>
  <c r="G42" i="3"/>
  <c r="G44" i="3"/>
  <c r="G48" i="3"/>
  <c r="S56" i="3"/>
  <c r="F70" i="3"/>
  <c r="F69" i="3"/>
  <c r="F72" i="3"/>
  <c r="F71" i="3"/>
  <c r="K53" i="3"/>
  <c r="G52" i="3"/>
  <c r="Q47" i="3"/>
  <c r="Q44" i="3"/>
  <c r="Q42" i="3"/>
  <c r="Q40" i="3"/>
  <c r="Q46" i="3"/>
  <c r="Q39" i="3"/>
  <c r="Q45" i="3"/>
  <c r="Q43" i="3"/>
  <c r="Q41" i="3"/>
  <c r="Q37" i="3"/>
  <c r="Q34" i="3"/>
  <c r="Q36" i="3"/>
  <c r="Q35" i="3"/>
  <c r="Q38" i="3"/>
  <c r="F73" i="3"/>
  <c r="G39" i="3"/>
  <c r="F42" i="3"/>
  <c r="Q55" i="3"/>
  <c r="G38" i="3"/>
  <c r="H47" i="3"/>
  <c r="F43" i="3"/>
  <c r="N44" i="3"/>
  <c r="N42" i="3"/>
  <c r="N40" i="3"/>
  <c r="N43" i="3"/>
  <c r="N41" i="3"/>
  <c r="N39" i="3"/>
  <c r="N37" i="3"/>
  <c r="N35" i="3"/>
  <c r="N38" i="3"/>
  <c r="N36" i="3"/>
  <c r="N34" i="3"/>
  <c r="Q53" i="3"/>
  <c r="U50" i="3"/>
  <c r="U48" i="3"/>
  <c r="U44" i="3"/>
  <c r="U42" i="3"/>
  <c r="U40" i="3"/>
  <c r="U47" i="3"/>
  <c r="U49" i="3"/>
  <c r="U45" i="3"/>
  <c r="U43" i="3"/>
  <c r="U41" i="3"/>
  <c r="U35" i="3"/>
  <c r="U51" i="3"/>
  <c r="U39" i="3"/>
  <c r="U37" i="3"/>
  <c r="U34" i="3"/>
  <c r="U38" i="3"/>
  <c r="U36" i="3"/>
  <c r="U46" i="3"/>
  <c r="I52" i="3"/>
  <c r="N50" i="3"/>
  <c r="K49" i="3"/>
  <c r="N47" i="3"/>
  <c r="F39" i="3"/>
  <c r="L41" i="3"/>
  <c r="L39" i="3"/>
  <c r="L42" i="3"/>
  <c r="L40" i="3"/>
  <c r="L38" i="3"/>
  <c r="L36" i="3"/>
  <c r="L34" i="3"/>
  <c r="L37" i="3"/>
  <c r="L35" i="3"/>
  <c r="O51" i="3"/>
  <c r="H44" i="3"/>
  <c r="E40" i="3"/>
  <c r="G54" i="3"/>
  <c r="I42" i="3"/>
  <c r="H42" i="3"/>
  <c r="W56" i="3"/>
  <c r="E39" i="3"/>
  <c r="H73" i="3"/>
  <c r="I73" i="3" s="1"/>
  <c r="G53" i="3"/>
  <c r="H71" i="3"/>
  <c r="I71" i="3" s="1"/>
  <c r="K41" i="3"/>
  <c r="K40" i="3"/>
  <c r="K35" i="3"/>
  <c r="K34" i="3"/>
  <c r="K37" i="3"/>
  <c r="K36" i="3"/>
  <c r="K39" i="3"/>
  <c r="K38" i="3"/>
  <c r="F35" i="3"/>
  <c r="F34" i="3"/>
  <c r="F36" i="3"/>
  <c r="F38" i="3"/>
  <c r="G41" i="3"/>
  <c r="X56" i="3"/>
  <c r="F55" i="3"/>
  <c r="H51" i="3"/>
  <c r="G49" i="3"/>
  <c r="H43" i="3"/>
  <c r="K43" i="3"/>
  <c r="U55" i="3"/>
  <c r="K51" i="3"/>
  <c r="N48" i="3"/>
  <c r="F41" i="3"/>
  <c r="P46" i="3"/>
  <c r="P45" i="3"/>
  <c r="P43" i="3"/>
  <c r="P41" i="3"/>
  <c r="P39" i="3"/>
  <c r="P44" i="3"/>
  <c r="P42" i="3"/>
  <c r="P40" i="3"/>
  <c r="P38" i="3"/>
  <c r="P36" i="3"/>
  <c r="P34" i="3"/>
  <c r="P35" i="3"/>
  <c r="P37" i="3"/>
  <c r="K45" i="3"/>
  <c r="L51" i="3"/>
  <c r="H72" i="3"/>
  <c r="I72" i="3" s="1"/>
  <c r="D74" i="3"/>
  <c r="G40" i="3"/>
  <c r="G43" i="3"/>
  <c r="G74" i="3"/>
  <c r="V52" i="3"/>
  <c r="V51" i="3"/>
  <c r="V49" i="3"/>
  <c r="V47" i="3"/>
  <c r="V50" i="3"/>
  <c r="V44" i="3"/>
  <c r="V42" i="3"/>
  <c r="V40" i="3"/>
  <c r="V46" i="3"/>
  <c r="V45" i="3"/>
  <c r="V43" i="3"/>
  <c r="V41" i="3"/>
  <c r="V39" i="3"/>
  <c r="V37" i="3"/>
  <c r="V35" i="3"/>
  <c r="V48" i="3"/>
  <c r="V34" i="3"/>
  <c r="V36" i="3"/>
  <c r="V38" i="3"/>
  <c r="E74" i="3"/>
  <c r="C69" i="3"/>
  <c r="C70" i="3"/>
  <c r="K55" i="3"/>
  <c r="Q51" i="3"/>
  <c r="R47" i="3"/>
  <c r="R44" i="3"/>
  <c r="R42" i="3"/>
  <c r="R40" i="3"/>
  <c r="R46" i="3"/>
  <c r="R48" i="3"/>
  <c r="R45" i="3"/>
  <c r="R43" i="3"/>
  <c r="R41" i="3"/>
  <c r="R39" i="3"/>
  <c r="R37" i="3"/>
  <c r="R35" i="3"/>
  <c r="R36" i="3"/>
  <c r="R38" i="3"/>
  <c r="R34" i="3"/>
  <c r="K47" i="3"/>
  <c r="K42" i="3"/>
  <c r="F37" i="3"/>
  <c r="G51" i="3"/>
  <c r="O45" i="3"/>
  <c r="O43" i="3"/>
  <c r="O41" i="3"/>
  <c r="O44" i="3"/>
  <c r="O42" i="3"/>
  <c r="O40" i="3"/>
  <c r="O39" i="3"/>
  <c r="O35" i="3"/>
  <c r="O34" i="3"/>
  <c r="O38" i="3"/>
  <c r="O37" i="3"/>
  <c r="O36" i="3"/>
  <c r="O47" i="3"/>
  <c r="H38" i="3"/>
  <c r="H36" i="3"/>
  <c r="H34" i="3"/>
  <c r="H37" i="3"/>
  <c r="H35" i="3"/>
  <c r="G45" i="3"/>
  <c r="I39" i="3"/>
  <c r="I38" i="3"/>
  <c r="I35" i="3"/>
  <c r="I34" i="3"/>
  <c r="I36" i="3"/>
  <c r="I43" i="3"/>
  <c r="I37" i="3"/>
  <c r="R55" i="3"/>
  <c r="I53" i="3"/>
  <c r="Q52" i="3"/>
  <c r="T50" i="3"/>
  <c r="T48" i="3"/>
  <c r="T46" i="3"/>
  <c r="T49" i="3"/>
  <c r="T45" i="3"/>
  <c r="T43" i="3"/>
  <c r="T41" i="3"/>
  <c r="T39" i="3"/>
  <c r="T44" i="3"/>
  <c r="T42" i="3"/>
  <c r="T40" i="3"/>
  <c r="T38" i="3"/>
  <c r="T36" i="3"/>
  <c r="T34" i="3"/>
  <c r="T47" i="3"/>
  <c r="T35" i="3"/>
  <c r="T37" i="3"/>
  <c r="F50" i="3"/>
  <c r="O48" i="3"/>
  <c r="F47" i="3"/>
  <c r="M42" i="3"/>
  <c r="M40" i="3"/>
  <c r="M36" i="3"/>
  <c r="M43" i="3"/>
  <c r="M41" i="3"/>
  <c r="M39" i="3"/>
  <c r="M38" i="3"/>
  <c r="M37" i="3"/>
  <c r="M34" i="3"/>
  <c r="M35" i="3"/>
  <c r="E35" i="3"/>
  <c r="E34" i="3"/>
  <c r="E38" i="3"/>
  <c r="E49" i="3"/>
  <c r="E36" i="3"/>
  <c r="T52" i="3"/>
  <c r="R49" i="3"/>
  <c r="G46" i="3"/>
  <c r="J40" i="3"/>
  <c r="J39" i="3"/>
  <c r="J37" i="3"/>
  <c r="J35" i="3"/>
  <c r="J34" i="3"/>
  <c r="J38" i="3"/>
  <c r="J36" i="3"/>
  <c r="L47" i="3"/>
  <c r="I55" i="3"/>
  <c r="Q50" i="3"/>
  <c r="F48" i="3"/>
  <c r="L44" i="3"/>
  <c r="P47" i="3"/>
  <c r="K44" i="3"/>
  <c r="H39" i="3"/>
  <c r="K48" i="3"/>
  <c r="B48" i="21"/>
  <c r="B49" i="21"/>
  <c r="B50" i="21"/>
  <c r="B51" i="21"/>
  <c r="B52" i="21"/>
  <c r="B53" i="21"/>
  <c r="B54" i="21"/>
  <c r="B55" i="21"/>
  <c r="B56" i="21"/>
  <c r="B57" i="21"/>
  <c r="B58" i="21"/>
  <c r="B59" i="21"/>
  <c r="B60" i="21"/>
  <c r="B61" i="21"/>
  <c r="B62" i="21"/>
  <c r="B63" i="21"/>
  <c r="B64" i="21"/>
  <c r="B65" i="21"/>
  <c r="B66" i="21"/>
  <c r="B67" i="21"/>
  <c r="B47" i="21"/>
  <c r="B46" i="21"/>
  <c r="B25" i="21"/>
  <c r="B26" i="21"/>
  <c r="B27" i="21"/>
  <c r="B28" i="21"/>
  <c r="B29" i="21"/>
  <c r="B30" i="21"/>
  <c r="B31" i="21"/>
  <c r="B32" i="21"/>
  <c r="B33" i="21"/>
  <c r="B34" i="21"/>
  <c r="B35" i="21"/>
  <c r="B36" i="21"/>
  <c r="B37" i="21"/>
  <c r="B38" i="21"/>
  <c r="B39" i="21"/>
  <c r="B40" i="21"/>
  <c r="B41" i="21"/>
  <c r="B42" i="21"/>
  <c r="B43" i="21"/>
  <c r="B44" i="21"/>
  <c r="B45" i="21"/>
  <c r="B24" i="21"/>
  <c r="B3" i="21"/>
  <c r="B4" i="21"/>
  <c r="B5" i="21"/>
  <c r="B6" i="21"/>
  <c r="B7" i="21"/>
  <c r="B8" i="21"/>
  <c r="B9" i="21"/>
  <c r="B10" i="21"/>
  <c r="B11" i="21"/>
  <c r="B12" i="21"/>
  <c r="B13" i="21"/>
  <c r="B14" i="21"/>
  <c r="B15" i="21"/>
  <c r="B16" i="21"/>
  <c r="B17" i="21"/>
  <c r="B18" i="21"/>
  <c r="B19" i="21"/>
  <c r="B20" i="21"/>
  <c r="B21" i="21"/>
  <c r="B22" i="21"/>
  <c r="B23" i="21"/>
  <c r="B2" i="21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46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24" i="7"/>
  <c r="B3" i="7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" i="7"/>
  <c r="Z54" i="3" l="1"/>
  <c r="Z36" i="3"/>
  <c r="D56" i="3"/>
  <c r="Z42" i="3"/>
  <c r="Z53" i="3"/>
  <c r="Z48" i="3"/>
  <c r="Z46" i="3"/>
  <c r="Z49" i="3"/>
  <c r="Z50" i="3"/>
  <c r="AD50" i="3" s="1"/>
  <c r="Z55" i="3"/>
  <c r="I56" i="3"/>
  <c r="Z45" i="3"/>
  <c r="Z41" i="3"/>
  <c r="Z37" i="3"/>
  <c r="Z44" i="3"/>
  <c r="Z38" i="3"/>
  <c r="Z40" i="3"/>
  <c r="Z51" i="3"/>
  <c r="Z47" i="3"/>
  <c r="Z52" i="3"/>
  <c r="Z43" i="3"/>
  <c r="Z39" i="3"/>
  <c r="Z35" i="3"/>
  <c r="E56" i="3"/>
  <c r="Z34" i="3"/>
  <c r="G56" i="3"/>
  <c r="J56" i="3"/>
  <c r="K56" i="3"/>
  <c r="AC53" i="3"/>
  <c r="AD53" i="3" s="1"/>
  <c r="AC49" i="3"/>
  <c r="AC50" i="3"/>
  <c r="AC48" i="3"/>
  <c r="AC52" i="3"/>
  <c r="AC55" i="3"/>
  <c r="AD55" i="3" s="1"/>
  <c r="AC54" i="3"/>
  <c r="AC51" i="3"/>
  <c r="O56" i="3"/>
  <c r="H70" i="3"/>
  <c r="I70" i="3" s="1"/>
  <c r="P56" i="3"/>
  <c r="F56" i="3"/>
  <c r="Q56" i="3"/>
  <c r="M56" i="3"/>
  <c r="T56" i="3"/>
  <c r="H56" i="3"/>
  <c r="R56" i="3"/>
  <c r="C74" i="3"/>
  <c r="H69" i="3"/>
  <c r="I69" i="3" s="1"/>
  <c r="V56" i="3"/>
  <c r="L56" i="3"/>
  <c r="U56" i="3"/>
  <c r="N56" i="3"/>
  <c r="F74" i="3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" i="18"/>
  <c r="A67" i="21"/>
  <c r="A66" i="21"/>
  <c r="A65" i="21"/>
  <c r="A64" i="21"/>
  <c r="A63" i="21"/>
  <c r="A62" i="21"/>
  <c r="A61" i="21"/>
  <c r="A60" i="21"/>
  <c r="A59" i="21"/>
  <c r="A58" i="21"/>
  <c r="A57" i="21"/>
  <c r="A56" i="21"/>
  <c r="A55" i="21"/>
  <c r="A54" i="21"/>
  <c r="A53" i="21"/>
  <c r="A52" i="21"/>
  <c r="A51" i="21"/>
  <c r="A50" i="21"/>
  <c r="A49" i="21"/>
  <c r="A48" i="21"/>
  <c r="A47" i="21"/>
  <c r="A46" i="21"/>
  <c r="A45" i="21"/>
  <c r="A44" i="21"/>
  <c r="A43" i="21"/>
  <c r="A42" i="21"/>
  <c r="A41" i="21"/>
  <c r="A40" i="21"/>
  <c r="A39" i="21"/>
  <c r="A38" i="21"/>
  <c r="A37" i="21"/>
  <c r="A36" i="21"/>
  <c r="A35" i="21"/>
  <c r="A34" i="21"/>
  <c r="A33" i="21"/>
  <c r="A32" i="21"/>
  <c r="A31" i="21"/>
  <c r="A30" i="21"/>
  <c r="A29" i="21"/>
  <c r="A28" i="21"/>
  <c r="A27" i="21"/>
  <c r="A26" i="21"/>
  <c r="A25" i="21"/>
  <c r="A24" i="21"/>
  <c r="A23" i="21"/>
  <c r="A22" i="21"/>
  <c r="A21" i="21"/>
  <c r="A20" i="21"/>
  <c r="A19" i="21"/>
  <c r="A18" i="21"/>
  <c r="A17" i="21"/>
  <c r="A16" i="21"/>
  <c r="A15" i="21"/>
  <c r="A14" i="21"/>
  <c r="A13" i="21"/>
  <c r="A12" i="21"/>
  <c r="A11" i="21"/>
  <c r="A10" i="21"/>
  <c r="A9" i="21"/>
  <c r="A8" i="21"/>
  <c r="A7" i="21"/>
  <c r="A6" i="21"/>
  <c r="A5" i="21"/>
  <c r="A4" i="21"/>
  <c r="A3" i="21"/>
  <c r="A2" i="21"/>
  <c r="AD54" i="3" l="1"/>
  <c r="AD51" i="3"/>
  <c r="AD48" i="3"/>
  <c r="AD49" i="3"/>
  <c r="AD52" i="3"/>
  <c r="Z56" i="3"/>
  <c r="AA34" i="3" s="1"/>
  <c r="J70" i="3"/>
  <c r="J73" i="3"/>
  <c r="J69" i="3"/>
  <c r="J72" i="3"/>
  <c r="J71" i="3"/>
  <c r="AC41" i="3"/>
  <c r="AD41" i="3" s="1"/>
  <c r="AC39" i="3"/>
  <c r="AD39" i="3" s="1"/>
  <c r="AC38" i="3"/>
  <c r="AD38" i="3" s="1"/>
  <c r="AC37" i="3"/>
  <c r="AD37" i="3" s="1"/>
  <c r="AC36" i="3"/>
  <c r="AD36" i="3" s="1"/>
  <c r="AC34" i="3"/>
  <c r="AD34" i="3" s="1"/>
  <c r="AC40" i="3"/>
  <c r="AD40" i="3" s="1"/>
  <c r="AC42" i="3"/>
  <c r="AD42" i="3" s="1"/>
  <c r="AC35" i="3"/>
  <c r="AD35" i="3" s="1"/>
  <c r="AC45" i="3"/>
  <c r="AD45" i="3" s="1"/>
  <c r="AC43" i="3"/>
  <c r="AD43" i="3" s="1"/>
  <c r="AC46" i="3"/>
  <c r="AD46" i="3" s="1"/>
  <c r="AC44" i="3"/>
  <c r="AD44" i="3" s="1"/>
  <c r="AC47" i="3"/>
  <c r="AD47" i="3" s="1"/>
  <c r="H59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46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24" i="7"/>
  <c r="A3" i="7"/>
  <c r="A3" i="18" s="1"/>
  <c r="A4" i="7"/>
  <c r="A4" i="18" s="1"/>
  <c r="A5" i="7"/>
  <c r="A5" i="18" s="1"/>
  <c r="A6" i="7"/>
  <c r="A6" i="18" s="1"/>
  <c r="A7" i="7"/>
  <c r="A7" i="18" s="1"/>
  <c r="A8" i="7"/>
  <c r="A8" i="18" s="1"/>
  <c r="A9" i="7"/>
  <c r="A9" i="18" s="1"/>
  <c r="A10" i="7"/>
  <c r="A10" i="18" s="1"/>
  <c r="A11" i="7"/>
  <c r="A11" i="18" s="1"/>
  <c r="A12" i="7"/>
  <c r="A12" i="18" s="1"/>
  <c r="A13" i="7"/>
  <c r="A13" i="18" s="1"/>
  <c r="A14" i="7"/>
  <c r="A14" i="18" s="1"/>
  <c r="A15" i="7"/>
  <c r="A15" i="18" s="1"/>
  <c r="A16" i="7"/>
  <c r="A16" i="18" s="1"/>
  <c r="A17" i="7"/>
  <c r="A17" i="18" s="1"/>
  <c r="A18" i="7"/>
  <c r="A18" i="18" s="1"/>
  <c r="A19" i="7"/>
  <c r="A19" i="18" s="1"/>
  <c r="A20" i="7"/>
  <c r="A20" i="18" s="1"/>
  <c r="A21" i="7"/>
  <c r="A21" i="18" s="1"/>
  <c r="A22" i="7"/>
  <c r="A22" i="18" s="1"/>
  <c r="A23" i="7"/>
  <c r="A23" i="18" s="1"/>
  <c r="A2" i="7"/>
  <c r="A2" i="18" s="1"/>
  <c r="B60" i="14"/>
  <c r="D58" i="14" s="1"/>
  <c r="B61" i="14"/>
  <c r="E58" i="14" s="1"/>
  <c r="B62" i="14"/>
  <c r="F58" i="14" s="1"/>
  <c r="B63" i="14"/>
  <c r="G58" i="14" s="1"/>
  <c r="B59" i="14"/>
  <c r="C58" i="14" s="1"/>
  <c r="J74" i="3" l="1"/>
  <c r="J76" i="3" s="1"/>
  <c r="AA49" i="3"/>
  <c r="AA55" i="3"/>
  <c r="AA41" i="3"/>
  <c r="AA36" i="3"/>
  <c r="AA37" i="3"/>
  <c r="AA47" i="3"/>
  <c r="AA54" i="3"/>
  <c r="AA48" i="3"/>
  <c r="AA44" i="3"/>
  <c r="AA40" i="3"/>
  <c r="AA52" i="3"/>
  <c r="AA39" i="3"/>
  <c r="AA35" i="3"/>
  <c r="AA38" i="3"/>
  <c r="AA46" i="3"/>
  <c r="AA50" i="3"/>
  <c r="AA45" i="3"/>
  <c r="AA51" i="3"/>
  <c r="AA43" i="3"/>
  <c r="AA42" i="3"/>
  <c r="AA53" i="3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" i="4"/>
  <c r="C25" i="14"/>
  <c r="I2" i="11"/>
  <c r="I3" i="11"/>
  <c r="I4" i="11"/>
  <c r="AI61" i="14" s="1"/>
  <c r="I5" i="11"/>
  <c r="AI62" i="14" s="1"/>
  <c r="I1" i="11"/>
  <c r="H2" i="11"/>
  <c r="H3" i="11"/>
  <c r="H4" i="11"/>
  <c r="H5" i="11"/>
  <c r="G2" i="11"/>
  <c r="G3" i="11"/>
  <c r="G4" i="11"/>
  <c r="G5" i="11"/>
  <c r="H1" i="11"/>
  <c r="G1" i="11"/>
  <c r="AE43" i="3" l="1"/>
  <c r="AE46" i="3"/>
  <c r="AE52" i="3"/>
  <c r="AE54" i="3"/>
  <c r="AE38" i="3"/>
  <c r="AE55" i="3"/>
  <c r="AE53" i="3"/>
  <c r="AE45" i="3"/>
  <c r="AE35" i="3"/>
  <c r="AE44" i="3"/>
  <c r="AE37" i="3"/>
  <c r="AE49" i="3"/>
  <c r="AE39" i="3"/>
  <c r="AE48" i="3"/>
  <c r="AE50" i="3"/>
  <c r="AE51" i="3"/>
  <c r="AE41" i="3"/>
  <c r="AE40" i="3"/>
  <c r="AE42" i="3"/>
  <c r="AE47" i="3"/>
  <c r="AE34" i="3"/>
  <c r="AE36" i="3"/>
  <c r="AI58" i="14"/>
  <c r="AI59" i="14"/>
  <c r="AG62" i="14"/>
  <c r="AH62" i="14" s="1"/>
  <c r="AJ62" i="14" s="1"/>
  <c r="AG61" i="14"/>
  <c r="AH61" i="14" s="1"/>
  <c r="AJ61" i="14" s="1"/>
  <c r="AI60" i="14"/>
  <c r="D62" i="21" l="1"/>
  <c r="D40" i="21"/>
  <c r="D18" i="21"/>
  <c r="D23" i="21"/>
  <c r="D67" i="21"/>
  <c r="D45" i="21"/>
  <c r="D4" i="21"/>
  <c r="D26" i="21"/>
  <c r="D48" i="21"/>
  <c r="D63" i="21"/>
  <c r="D41" i="21"/>
  <c r="D19" i="21"/>
  <c r="D27" i="21"/>
  <c r="D5" i="21"/>
  <c r="D49" i="21"/>
  <c r="D66" i="21"/>
  <c r="D44" i="21"/>
  <c r="D22" i="21"/>
  <c r="D20" i="21"/>
  <c r="D42" i="21"/>
  <c r="D64" i="21"/>
  <c r="D39" i="21"/>
  <c r="D17" i="21"/>
  <c r="D61" i="21"/>
  <c r="D11" i="21"/>
  <c r="D55" i="21"/>
  <c r="D33" i="21"/>
  <c r="D35" i="21"/>
  <c r="D57" i="21"/>
  <c r="D13" i="21"/>
  <c r="D8" i="21"/>
  <c r="D30" i="21"/>
  <c r="D52" i="21"/>
  <c r="D54" i="21"/>
  <c r="D32" i="21"/>
  <c r="D10" i="21"/>
  <c r="D43" i="21"/>
  <c r="D21" i="21"/>
  <c r="D65" i="21"/>
  <c r="D42" i="7"/>
  <c r="D20" i="7"/>
  <c r="D64" i="7"/>
  <c r="D26" i="7"/>
  <c r="D4" i="7"/>
  <c r="D48" i="7"/>
  <c r="D59" i="7"/>
  <c r="D32" i="7"/>
  <c r="D10" i="7"/>
  <c r="D54" i="7"/>
  <c r="D67" i="7"/>
  <c r="D45" i="7"/>
  <c r="D23" i="7"/>
  <c r="D39" i="7"/>
  <c r="D17" i="7"/>
  <c r="D61" i="7"/>
  <c r="D55" i="7"/>
  <c r="D33" i="7"/>
  <c r="D11" i="7"/>
  <c r="D35" i="7"/>
  <c r="D13" i="7"/>
  <c r="D57" i="7"/>
  <c r="D38" i="7"/>
  <c r="D16" i="7"/>
  <c r="D60" i="7"/>
  <c r="D27" i="7"/>
  <c r="D5" i="7"/>
  <c r="D49" i="7"/>
  <c r="D51" i="7"/>
  <c r="D29" i="7"/>
  <c r="D7" i="7"/>
  <c r="D43" i="7"/>
  <c r="D21" i="7"/>
  <c r="D65" i="7"/>
  <c r="D30" i="7"/>
  <c r="D8" i="7"/>
  <c r="D52" i="7"/>
  <c r="D44" i="7"/>
  <c r="D22" i="7"/>
  <c r="D66" i="7"/>
  <c r="D40" i="7"/>
  <c r="D18" i="7"/>
  <c r="D62" i="7"/>
  <c r="D63" i="7"/>
  <c r="D41" i="7"/>
  <c r="D19" i="7"/>
  <c r="AF34" i="14"/>
  <c r="AF36" i="14"/>
  <c r="AF37" i="14"/>
  <c r="AF38" i="14"/>
  <c r="AF39" i="14"/>
  <c r="AF40" i="14"/>
  <c r="AF41" i="14"/>
  <c r="AF42" i="14"/>
  <c r="AF43" i="14"/>
  <c r="AF44" i="14"/>
  <c r="AF45" i="14"/>
  <c r="AF46" i="14"/>
  <c r="AF47" i="14"/>
  <c r="AF48" i="14"/>
  <c r="AF49" i="14"/>
  <c r="AF50" i="14"/>
  <c r="AF51" i="14"/>
  <c r="AF52" i="14"/>
  <c r="AF53" i="14"/>
  <c r="AF54" i="14"/>
  <c r="AF55" i="14"/>
  <c r="AF35" i="14"/>
  <c r="X28" i="14"/>
  <c r="W28" i="14"/>
  <c r="W27" i="14"/>
  <c r="V28" i="14"/>
  <c r="V27" i="14"/>
  <c r="V26" i="14"/>
  <c r="U28" i="14"/>
  <c r="U27" i="14"/>
  <c r="U26" i="14"/>
  <c r="U25" i="14"/>
  <c r="T25" i="14"/>
  <c r="T24" i="14"/>
  <c r="S28" i="14"/>
  <c r="S27" i="14"/>
  <c r="S26" i="14"/>
  <c r="S23" i="14"/>
  <c r="R28" i="14"/>
  <c r="R27" i="14"/>
  <c r="R26" i="14"/>
  <c r="R25" i="14"/>
  <c r="R24" i="14"/>
  <c r="D58" i="21" l="1"/>
  <c r="D36" i="21"/>
  <c r="D14" i="21"/>
  <c r="D16" i="21"/>
  <c r="D38" i="21"/>
  <c r="D60" i="21"/>
  <c r="D51" i="21"/>
  <c r="D29" i="21"/>
  <c r="D7" i="21"/>
  <c r="D59" i="21"/>
  <c r="D15" i="21"/>
  <c r="D37" i="21"/>
  <c r="D31" i="21"/>
  <c r="D53" i="21"/>
  <c r="D9" i="21"/>
  <c r="D50" i="21"/>
  <c r="D28" i="21"/>
  <c r="D6" i="21"/>
  <c r="D15" i="7"/>
  <c r="D12" i="21"/>
  <c r="D56" i="21"/>
  <c r="D34" i="21"/>
  <c r="D46" i="21"/>
  <c r="D24" i="21"/>
  <c r="D2" i="21"/>
  <c r="D47" i="21"/>
  <c r="D25" i="21"/>
  <c r="D3" i="21"/>
  <c r="D37" i="7"/>
  <c r="D36" i="7"/>
  <c r="D14" i="7"/>
  <c r="D58" i="7"/>
  <c r="D28" i="7"/>
  <c r="D6" i="7"/>
  <c r="D50" i="7"/>
  <c r="D24" i="7"/>
  <c r="D2" i="7"/>
  <c r="D46" i="7"/>
  <c r="D47" i="7"/>
  <c r="D25" i="7"/>
  <c r="D3" i="7"/>
  <c r="D31" i="7"/>
  <c r="D9" i="7"/>
  <c r="D53" i="7"/>
  <c r="D34" i="7"/>
  <c r="D12" i="7"/>
  <c r="D56" i="7"/>
  <c r="T28" i="14"/>
  <c r="T27" i="14"/>
  <c r="T26" i="14"/>
  <c r="S25" i="14"/>
  <c r="S24" i="14"/>
  <c r="R23" i="14"/>
  <c r="R22" i="14"/>
  <c r="Q28" i="14"/>
  <c r="Q27" i="14"/>
  <c r="Q26" i="14"/>
  <c r="Q25" i="14"/>
  <c r="Q24" i="14"/>
  <c r="Q23" i="14"/>
  <c r="Q22" i="14"/>
  <c r="Q21" i="14"/>
  <c r="P28" i="14"/>
  <c r="P27" i="14"/>
  <c r="P26" i="14"/>
  <c r="P25" i="14"/>
  <c r="P24" i="14"/>
  <c r="P23" i="14"/>
  <c r="P22" i="14"/>
  <c r="P21" i="14"/>
  <c r="P20" i="14"/>
  <c r="O28" i="14"/>
  <c r="O27" i="14"/>
  <c r="O26" i="14"/>
  <c r="O25" i="14"/>
  <c r="O24" i="14"/>
  <c r="O23" i="14"/>
  <c r="O22" i="14"/>
  <c r="O21" i="14"/>
  <c r="O20" i="14"/>
  <c r="O19" i="14"/>
  <c r="N28" i="14"/>
  <c r="N27" i="14"/>
  <c r="N26" i="14"/>
  <c r="N25" i="14"/>
  <c r="N24" i="14"/>
  <c r="N23" i="14"/>
  <c r="N22" i="14"/>
  <c r="N21" i="14"/>
  <c r="N20" i="14"/>
  <c r="N19" i="14"/>
  <c r="N18" i="14"/>
  <c r="M28" i="14"/>
  <c r="M27" i="14"/>
  <c r="M26" i="14"/>
  <c r="M25" i="14"/>
  <c r="M24" i="14"/>
  <c r="M23" i="14"/>
  <c r="M22" i="14"/>
  <c r="M21" i="14"/>
  <c r="M20" i="14"/>
  <c r="M19" i="14"/>
  <c r="M18" i="14"/>
  <c r="M17" i="14"/>
  <c r="L28" i="14"/>
  <c r="L27" i="14"/>
  <c r="L26" i="14"/>
  <c r="L25" i="14"/>
  <c r="L24" i="14"/>
  <c r="L23" i="14"/>
  <c r="L22" i="14"/>
  <c r="L20" i="14"/>
  <c r="L19" i="14"/>
  <c r="L18" i="14"/>
  <c r="L17" i="14"/>
  <c r="L16" i="14"/>
  <c r="K28" i="14"/>
  <c r="K27" i="14"/>
  <c r="K26" i="14"/>
  <c r="K25" i="14"/>
  <c r="K24" i="14"/>
  <c r="K23" i="14"/>
  <c r="K22" i="14"/>
  <c r="L21" i="14"/>
  <c r="K21" i="14"/>
  <c r="K20" i="14"/>
  <c r="K19" i="14"/>
  <c r="K18" i="14"/>
  <c r="K17" i="14"/>
  <c r="K16" i="14"/>
  <c r="K15" i="14"/>
  <c r="J28" i="14"/>
  <c r="J27" i="14"/>
  <c r="J26" i="14"/>
  <c r="J25" i="14"/>
  <c r="J24" i="14"/>
  <c r="J23" i="14"/>
  <c r="J22" i="14"/>
  <c r="J21" i="14"/>
  <c r="J20" i="14"/>
  <c r="J19" i="14"/>
  <c r="J18" i="14"/>
  <c r="J17" i="14"/>
  <c r="J16" i="14"/>
  <c r="J15" i="14"/>
  <c r="J14" i="14"/>
  <c r="I28" i="14"/>
  <c r="I27" i="14"/>
  <c r="I26" i="14"/>
  <c r="I25" i="14"/>
  <c r="I24" i="14"/>
  <c r="I23" i="14"/>
  <c r="I22" i="14"/>
  <c r="I21" i="14"/>
  <c r="I20" i="14"/>
  <c r="I19" i="14"/>
  <c r="I18" i="14"/>
  <c r="I17" i="14"/>
  <c r="I16" i="14"/>
  <c r="G15" i="14"/>
  <c r="I15" i="14"/>
  <c r="I14" i="14"/>
  <c r="I13" i="14"/>
  <c r="H28" i="14"/>
  <c r="H27" i="14"/>
  <c r="H26" i="14"/>
  <c r="H25" i="14"/>
  <c r="H24" i="14"/>
  <c r="H23" i="14"/>
  <c r="H22" i="14"/>
  <c r="H21" i="14"/>
  <c r="H20" i="14"/>
  <c r="H19" i="14"/>
  <c r="H18" i="14"/>
  <c r="H17" i="14"/>
  <c r="H16" i="14"/>
  <c r="H15" i="14"/>
  <c r="H14" i="14"/>
  <c r="H13" i="14"/>
  <c r="H12" i="14"/>
  <c r="G28" i="14"/>
  <c r="G27" i="14"/>
  <c r="G26" i="14"/>
  <c r="G25" i="14"/>
  <c r="G24" i="14"/>
  <c r="G23" i="14"/>
  <c r="G22" i="14"/>
  <c r="G21" i="14"/>
  <c r="G20" i="14"/>
  <c r="G19" i="14"/>
  <c r="G18" i="14"/>
  <c r="G17" i="14"/>
  <c r="G16" i="14"/>
  <c r="G14" i="14"/>
  <c r="G13" i="14"/>
  <c r="G12" i="14"/>
  <c r="G11" i="14"/>
  <c r="F28" i="14"/>
  <c r="F27" i="14"/>
  <c r="F26" i="14"/>
  <c r="F25" i="14"/>
  <c r="F24" i="14"/>
  <c r="F23" i="14"/>
  <c r="F22" i="14"/>
  <c r="F21" i="14"/>
  <c r="F20" i="14"/>
  <c r="F19" i="14"/>
  <c r="F18" i="14"/>
  <c r="F17" i="14"/>
  <c r="F16" i="14"/>
  <c r="F12" i="14"/>
  <c r="F11" i="14"/>
  <c r="F10" i="14"/>
  <c r="E28" i="14"/>
  <c r="E27" i="14"/>
  <c r="E26" i="14"/>
  <c r="E25" i="14"/>
  <c r="E24" i="14"/>
  <c r="E23" i="14"/>
  <c r="E22" i="14"/>
  <c r="E21" i="14" l="1"/>
  <c r="E20" i="14"/>
  <c r="E19" i="14"/>
  <c r="E18" i="14"/>
  <c r="E17" i="14"/>
  <c r="E16" i="14"/>
  <c r="E15" i="14"/>
  <c r="E14" i="14"/>
  <c r="E13" i="14"/>
  <c r="E12" i="14"/>
  <c r="E11" i="14"/>
  <c r="E10" i="14"/>
  <c r="E9" i="14"/>
  <c r="D28" i="14"/>
  <c r="D27" i="14"/>
  <c r="D26" i="14"/>
  <c r="D25" i="14"/>
  <c r="D24" i="14"/>
  <c r="D23" i="14"/>
  <c r="D22" i="14"/>
  <c r="D21" i="14"/>
  <c r="D20" i="14"/>
  <c r="D19" i="14"/>
  <c r="D18" i="14"/>
  <c r="D17" i="14"/>
  <c r="D13" i="14"/>
  <c r="D12" i="14"/>
  <c r="D14" i="14"/>
  <c r="D15" i="14"/>
  <c r="D16" i="14"/>
  <c r="D11" i="14"/>
  <c r="K74" i="14"/>
  <c r="K76" i="14" s="1"/>
  <c r="D10" i="14"/>
  <c r="D9" i="14"/>
  <c r="D8" i="14"/>
  <c r="F63" i="14"/>
  <c r="F64" i="14" s="1"/>
  <c r="E63" i="14"/>
  <c r="E62" i="14"/>
  <c r="D63" i="14"/>
  <c r="D62" i="14"/>
  <c r="D61" i="14"/>
  <c r="C63" i="14"/>
  <c r="C62" i="14"/>
  <c r="C61" i="14"/>
  <c r="C60" i="14"/>
  <c r="G64" i="14"/>
  <c r="G71" i="14" s="1"/>
  <c r="AB55" i="14"/>
  <c r="C55" i="14"/>
  <c r="AB54" i="14"/>
  <c r="C54" i="14"/>
  <c r="AB53" i="14"/>
  <c r="C53" i="14"/>
  <c r="AB52" i="14"/>
  <c r="C52" i="14"/>
  <c r="AB51" i="14"/>
  <c r="C51" i="14"/>
  <c r="AB50" i="14"/>
  <c r="C50" i="14"/>
  <c r="AB49" i="14"/>
  <c r="C49" i="14"/>
  <c r="AB48" i="14"/>
  <c r="C48" i="14"/>
  <c r="AB47" i="14"/>
  <c r="C47" i="14"/>
  <c r="AB46" i="14"/>
  <c r="C46" i="14"/>
  <c r="AB45" i="14"/>
  <c r="C45" i="14"/>
  <c r="AB44" i="14"/>
  <c r="C44" i="14"/>
  <c r="AB43" i="14"/>
  <c r="C43" i="14"/>
  <c r="AB42" i="14"/>
  <c r="C42" i="14"/>
  <c r="AB41" i="14"/>
  <c r="C41" i="14"/>
  <c r="AB40" i="14"/>
  <c r="C40" i="14"/>
  <c r="AB39" i="14"/>
  <c r="C39" i="14"/>
  <c r="AB38" i="14"/>
  <c r="C38" i="14"/>
  <c r="AB37" i="14"/>
  <c r="C37" i="14"/>
  <c r="AB36" i="14"/>
  <c r="C36" i="14"/>
  <c r="AB35" i="14"/>
  <c r="C35" i="14"/>
  <c r="AB34" i="14"/>
  <c r="C34" i="14"/>
  <c r="Y32" i="14"/>
  <c r="X32" i="14"/>
  <c r="W32" i="14"/>
  <c r="V32" i="14"/>
  <c r="U32" i="14"/>
  <c r="T32" i="14"/>
  <c r="S32" i="14"/>
  <c r="R32" i="14"/>
  <c r="Q32" i="14"/>
  <c r="P32" i="14"/>
  <c r="O32" i="14"/>
  <c r="N32" i="14"/>
  <c r="M32" i="14"/>
  <c r="L32" i="14"/>
  <c r="K32" i="14"/>
  <c r="J32" i="14"/>
  <c r="I32" i="14"/>
  <c r="H32" i="14"/>
  <c r="G32" i="14"/>
  <c r="F32" i="14"/>
  <c r="E32" i="14"/>
  <c r="D32" i="14"/>
  <c r="Z28" i="14"/>
  <c r="C28" i="14"/>
  <c r="Z27" i="14"/>
  <c r="C27" i="14"/>
  <c r="Z26" i="14"/>
  <c r="C26" i="14"/>
  <c r="Z25" i="14"/>
  <c r="Z24" i="14"/>
  <c r="C24" i="14"/>
  <c r="Z23" i="14"/>
  <c r="C23" i="14"/>
  <c r="Z22" i="14"/>
  <c r="C22" i="14"/>
  <c r="Z21" i="14"/>
  <c r="C21" i="14"/>
  <c r="Z20" i="14"/>
  <c r="C20" i="14"/>
  <c r="Z19" i="14"/>
  <c r="O29" i="14"/>
  <c r="C19" i="14"/>
  <c r="Z18" i="14"/>
  <c r="C18" i="14"/>
  <c r="Z17" i="14"/>
  <c r="C17" i="14"/>
  <c r="Z16" i="14"/>
  <c r="C16" i="14"/>
  <c r="Z15" i="14"/>
  <c r="C15" i="14"/>
  <c r="Z14" i="14"/>
  <c r="C14" i="14"/>
  <c r="Z13" i="14"/>
  <c r="C13" i="14"/>
  <c r="Z12" i="14"/>
  <c r="C12" i="14"/>
  <c r="Z11" i="14"/>
  <c r="C11" i="14"/>
  <c r="Z10" i="14"/>
  <c r="C10" i="14"/>
  <c r="Z9" i="14"/>
  <c r="C9" i="14"/>
  <c r="Z8" i="14"/>
  <c r="C8" i="14"/>
  <c r="Z7" i="14"/>
  <c r="C7" i="14"/>
  <c r="Y6" i="14"/>
  <c r="X6" i="14"/>
  <c r="W6" i="14"/>
  <c r="V6" i="14"/>
  <c r="U6" i="14"/>
  <c r="T6" i="14"/>
  <c r="S6" i="14"/>
  <c r="R6" i="14"/>
  <c r="Q6" i="14"/>
  <c r="P6" i="14"/>
  <c r="O6" i="14"/>
  <c r="N6" i="14"/>
  <c r="M6" i="14"/>
  <c r="L6" i="14"/>
  <c r="K6" i="14"/>
  <c r="J6" i="14"/>
  <c r="I6" i="14"/>
  <c r="H6" i="14"/>
  <c r="G6" i="14"/>
  <c r="F6" i="14"/>
  <c r="E6" i="14"/>
  <c r="D6" i="14"/>
  <c r="D64" i="14" l="1"/>
  <c r="D73" i="14" s="1"/>
  <c r="G72" i="14"/>
  <c r="W29" i="14"/>
  <c r="W51" i="14" s="1"/>
  <c r="V29" i="14"/>
  <c r="V52" i="14" s="1"/>
  <c r="R29" i="14"/>
  <c r="R43" i="14" s="1"/>
  <c r="N29" i="14"/>
  <c r="N44" i="14" s="1"/>
  <c r="J29" i="14"/>
  <c r="J34" i="14" s="1"/>
  <c r="G29" i="14"/>
  <c r="G37" i="14" s="1"/>
  <c r="F29" i="14"/>
  <c r="F34" i="14" s="1"/>
  <c r="E64" i="14"/>
  <c r="E70" i="14" s="1"/>
  <c r="O44" i="14"/>
  <c r="O43" i="14"/>
  <c r="O40" i="14"/>
  <c r="O38" i="14"/>
  <c r="O36" i="14"/>
  <c r="O34" i="14"/>
  <c r="O41" i="14"/>
  <c r="O39" i="14"/>
  <c r="O37" i="14"/>
  <c r="O35" i="14"/>
  <c r="O45" i="14"/>
  <c r="O42" i="14"/>
  <c r="D29" i="14"/>
  <c r="D34" i="14" s="1"/>
  <c r="L29" i="14"/>
  <c r="L49" i="14" s="1"/>
  <c r="O48" i="14"/>
  <c r="U29" i="14"/>
  <c r="U55" i="14" s="1"/>
  <c r="O47" i="14"/>
  <c r="O50" i="14"/>
  <c r="O55" i="14"/>
  <c r="E29" i="14"/>
  <c r="E43" i="14" s="1"/>
  <c r="M29" i="14"/>
  <c r="M52" i="14" s="1"/>
  <c r="O49" i="14"/>
  <c r="T29" i="14"/>
  <c r="T53" i="14" s="1"/>
  <c r="H29" i="14"/>
  <c r="H42" i="14" s="1"/>
  <c r="I29" i="14"/>
  <c r="I44" i="14" s="1"/>
  <c r="P29" i="14"/>
  <c r="P55" i="14" s="1"/>
  <c r="Q29" i="14"/>
  <c r="Q53" i="14" s="1"/>
  <c r="O52" i="14"/>
  <c r="O53" i="14"/>
  <c r="X29" i="14"/>
  <c r="X55" i="14" s="1"/>
  <c r="Y29" i="14"/>
  <c r="O46" i="14"/>
  <c r="O51" i="14"/>
  <c r="O54" i="14"/>
  <c r="K29" i="14"/>
  <c r="K49" i="14" s="1"/>
  <c r="S29" i="14"/>
  <c r="S50" i="14" s="1"/>
  <c r="F72" i="14"/>
  <c r="F71" i="14"/>
  <c r="F70" i="14"/>
  <c r="F69" i="14"/>
  <c r="F73" i="14"/>
  <c r="C64" i="14"/>
  <c r="C71" i="14" s="1"/>
  <c r="G69" i="14"/>
  <c r="G73" i="14"/>
  <c r="G70" i="14"/>
  <c r="D69" i="14" l="1"/>
  <c r="E69" i="14"/>
  <c r="D71" i="14"/>
  <c r="D70" i="14"/>
  <c r="D72" i="14"/>
  <c r="E73" i="14"/>
  <c r="E72" i="14"/>
  <c r="E71" i="14"/>
  <c r="H71" i="14" s="1"/>
  <c r="I71" i="14" s="1"/>
  <c r="AC51" i="14" s="1"/>
  <c r="W53" i="14"/>
  <c r="W52" i="14"/>
  <c r="W41" i="14"/>
  <c r="W43" i="14"/>
  <c r="W55" i="14"/>
  <c r="W42" i="14"/>
  <c r="W36" i="14"/>
  <c r="W35" i="14"/>
  <c r="W38" i="14"/>
  <c r="G54" i="14"/>
  <c r="V39" i="14"/>
  <c r="W54" i="14"/>
  <c r="V53" i="14"/>
  <c r="V38" i="14"/>
  <c r="W37" i="14"/>
  <c r="W45" i="14"/>
  <c r="W44" i="14"/>
  <c r="V46" i="14"/>
  <c r="W39" i="14"/>
  <c r="W34" i="14"/>
  <c r="W48" i="14"/>
  <c r="V49" i="14"/>
  <c r="V40" i="14"/>
  <c r="V50" i="14"/>
  <c r="V55" i="14"/>
  <c r="V35" i="14"/>
  <c r="V34" i="14"/>
  <c r="V42" i="14"/>
  <c r="V47" i="14"/>
  <c r="V54" i="14"/>
  <c r="V37" i="14"/>
  <c r="V36" i="14"/>
  <c r="V44" i="14"/>
  <c r="V51" i="14"/>
  <c r="F74" i="14"/>
  <c r="C70" i="14"/>
  <c r="W47" i="14"/>
  <c r="W46" i="14"/>
  <c r="W49" i="14"/>
  <c r="W40" i="14"/>
  <c r="W50" i="14"/>
  <c r="V43" i="14"/>
  <c r="V41" i="14"/>
  <c r="V48" i="14"/>
  <c r="V45" i="14"/>
  <c r="R52" i="14"/>
  <c r="R51" i="14"/>
  <c r="R53" i="14"/>
  <c r="R36" i="14"/>
  <c r="R40" i="14"/>
  <c r="R39" i="14"/>
  <c r="R46" i="14"/>
  <c r="R55" i="14"/>
  <c r="R49" i="14"/>
  <c r="R47" i="14"/>
  <c r="R45" i="14"/>
  <c r="N49" i="14"/>
  <c r="N51" i="14"/>
  <c r="N39" i="14"/>
  <c r="N48" i="14"/>
  <c r="N34" i="14"/>
  <c r="N46" i="14"/>
  <c r="N45" i="14"/>
  <c r="N50" i="14"/>
  <c r="N37" i="14"/>
  <c r="N41" i="14"/>
  <c r="N54" i="14"/>
  <c r="N52" i="14"/>
  <c r="N43" i="14"/>
  <c r="N55" i="14"/>
  <c r="N53" i="14"/>
  <c r="N36" i="14"/>
  <c r="L47" i="14"/>
  <c r="J49" i="14"/>
  <c r="J41" i="14"/>
  <c r="H54" i="14"/>
  <c r="H53" i="14"/>
  <c r="G43" i="14"/>
  <c r="G38" i="14"/>
  <c r="G48" i="14"/>
  <c r="G52" i="14"/>
  <c r="G41" i="14"/>
  <c r="G39" i="14"/>
  <c r="G51" i="14"/>
  <c r="G40" i="14"/>
  <c r="G45" i="14"/>
  <c r="G50" i="14"/>
  <c r="G46" i="14"/>
  <c r="G49" i="14"/>
  <c r="G47" i="14"/>
  <c r="G34" i="14"/>
  <c r="G44" i="14"/>
  <c r="G53" i="14"/>
  <c r="G55" i="14"/>
  <c r="G36" i="14"/>
  <c r="F52" i="14"/>
  <c r="F51" i="14"/>
  <c r="F48" i="14"/>
  <c r="F47" i="14"/>
  <c r="F42" i="14"/>
  <c r="F41" i="14"/>
  <c r="F43" i="14"/>
  <c r="F39" i="14"/>
  <c r="F53" i="14"/>
  <c r="F50" i="14"/>
  <c r="F55" i="14"/>
  <c r="F45" i="14"/>
  <c r="F49" i="14"/>
  <c r="F40" i="14"/>
  <c r="F54" i="14"/>
  <c r="F46" i="14"/>
  <c r="F44" i="14"/>
  <c r="F38" i="14"/>
  <c r="R44" i="14"/>
  <c r="R54" i="14"/>
  <c r="R37" i="14"/>
  <c r="R38" i="14"/>
  <c r="R48" i="14"/>
  <c r="R50" i="14"/>
  <c r="R35" i="14"/>
  <c r="R34" i="14"/>
  <c r="R42" i="14"/>
  <c r="R41" i="14"/>
  <c r="N47" i="14"/>
  <c r="N35" i="14"/>
  <c r="N38" i="14"/>
  <c r="N40" i="14"/>
  <c r="N42" i="14"/>
  <c r="L53" i="14"/>
  <c r="J48" i="14"/>
  <c r="J47" i="14"/>
  <c r="J55" i="14"/>
  <c r="J54" i="14"/>
  <c r="J51" i="14"/>
  <c r="J50" i="14"/>
  <c r="J35" i="14"/>
  <c r="J36" i="14"/>
  <c r="J46" i="14"/>
  <c r="J43" i="14"/>
  <c r="J53" i="14"/>
  <c r="J52" i="14"/>
  <c r="J44" i="14"/>
  <c r="J38" i="14"/>
  <c r="J45" i="14"/>
  <c r="J42" i="14"/>
  <c r="J37" i="14"/>
  <c r="J39" i="14"/>
  <c r="J40" i="14"/>
  <c r="I47" i="14"/>
  <c r="M55" i="14"/>
  <c r="M50" i="14"/>
  <c r="M47" i="14"/>
  <c r="M49" i="14"/>
  <c r="H45" i="14"/>
  <c r="I40" i="14"/>
  <c r="G42" i="14"/>
  <c r="Q52" i="14"/>
  <c r="G35" i="14"/>
  <c r="L51" i="14"/>
  <c r="L48" i="14"/>
  <c r="F37" i="14"/>
  <c r="F35" i="14"/>
  <c r="F36" i="14"/>
  <c r="I42" i="14"/>
  <c r="I55" i="14"/>
  <c r="I50" i="14"/>
  <c r="U54" i="14"/>
  <c r="U53" i="14"/>
  <c r="S51" i="14"/>
  <c r="E50" i="14"/>
  <c r="E37" i="14"/>
  <c r="E38" i="14"/>
  <c r="M45" i="14"/>
  <c r="M54" i="14"/>
  <c r="M48" i="14"/>
  <c r="E55" i="14"/>
  <c r="E42" i="14"/>
  <c r="E39" i="14"/>
  <c r="E47" i="14"/>
  <c r="L44" i="14"/>
  <c r="K54" i="14"/>
  <c r="I48" i="14"/>
  <c r="E40" i="14"/>
  <c r="E49" i="14"/>
  <c r="E44" i="14"/>
  <c r="S55" i="14"/>
  <c r="S54" i="14"/>
  <c r="Q55" i="14"/>
  <c r="Q49" i="14"/>
  <c r="Q48" i="14"/>
  <c r="Q51" i="14"/>
  <c r="Q50" i="14"/>
  <c r="P52" i="14"/>
  <c r="M44" i="14"/>
  <c r="L46" i="14"/>
  <c r="L43" i="14"/>
  <c r="L55" i="14"/>
  <c r="L54" i="14"/>
  <c r="L52" i="14"/>
  <c r="L45" i="14"/>
  <c r="L50" i="14"/>
  <c r="K45" i="14"/>
  <c r="K55" i="14"/>
  <c r="I51" i="14"/>
  <c r="I46" i="14"/>
  <c r="I53" i="14"/>
  <c r="I49" i="14"/>
  <c r="I41" i="14"/>
  <c r="H39" i="14"/>
  <c r="H55" i="14"/>
  <c r="H47" i="14"/>
  <c r="H48" i="14"/>
  <c r="H49" i="14"/>
  <c r="H44" i="14"/>
  <c r="H52" i="14"/>
  <c r="H50" i="14"/>
  <c r="D39" i="14"/>
  <c r="D46" i="14"/>
  <c r="D42" i="14"/>
  <c r="D44" i="14"/>
  <c r="D51" i="14"/>
  <c r="D43" i="14"/>
  <c r="D50" i="14"/>
  <c r="E48" i="14"/>
  <c r="D47" i="14"/>
  <c r="E41" i="14"/>
  <c r="E36" i="14"/>
  <c r="E54" i="14"/>
  <c r="D48" i="14"/>
  <c r="D40" i="14"/>
  <c r="D45" i="14"/>
  <c r="D37" i="14"/>
  <c r="D55" i="14"/>
  <c r="D41" i="14"/>
  <c r="D53" i="14"/>
  <c r="D52" i="14"/>
  <c r="D49" i="14"/>
  <c r="P49" i="14"/>
  <c r="C69" i="14"/>
  <c r="C72" i="14"/>
  <c r="T54" i="14"/>
  <c r="C73" i="14"/>
  <c r="H73" i="14" s="1"/>
  <c r="I73" i="14" s="1"/>
  <c r="S49" i="14"/>
  <c r="S47" i="14"/>
  <c r="S48" i="14"/>
  <c r="S46" i="14"/>
  <c r="S44" i="14"/>
  <c r="S41" i="14"/>
  <c r="S40" i="14"/>
  <c r="S38" i="14"/>
  <c r="S36" i="14"/>
  <c r="S34" i="14"/>
  <c r="S42" i="14"/>
  <c r="S45" i="14"/>
  <c r="S39" i="14"/>
  <c r="S37" i="14"/>
  <c r="S35" i="14"/>
  <c r="S43" i="14"/>
  <c r="P51" i="14"/>
  <c r="T55" i="14"/>
  <c r="K53" i="14"/>
  <c r="K52" i="14"/>
  <c r="P47" i="14"/>
  <c r="H37" i="14"/>
  <c r="H35" i="14"/>
  <c r="H36" i="14"/>
  <c r="H38" i="14"/>
  <c r="H34" i="14"/>
  <c r="T51" i="14"/>
  <c r="I45" i="14"/>
  <c r="H43" i="14"/>
  <c r="E35" i="14"/>
  <c r="E34" i="14"/>
  <c r="I54" i="14"/>
  <c r="M51" i="14"/>
  <c r="K47" i="14"/>
  <c r="E46" i="14"/>
  <c r="K42" i="14"/>
  <c r="H40" i="14"/>
  <c r="D54" i="14"/>
  <c r="E53" i="14"/>
  <c r="H51" i="14"/>
  <c r="E45" i="14"/>
  <c r="Y54" i="14"/>
  <c r="Y52" i="14"/>
  <c r="Y50" i="14"/>
  <c r="Y48" i="14"/>
  <c r="Y55" i="14"/>
  <c r="Y53" i="14"/>
  <c r="Y51" i="14"/>
  <c r="Y49" i="14"/>
  <c r="Y47" i="14"/>
  <c r="Y45" i="14"/>
  <c r="Y43" i="14"/>
  <c r="Y44" i="14"/>
  <c r="Y39" i="14"/>
  <c r="Y37" i="14"/>
  <c r="Y35" i="14"/>
  <c r="Y41" i="14"/>
  <c r="Y42" i="14"/>
  <c r="Y40" i="14"/>
  <c r="Y38" i="14"/>
  <c r="Y36" i="14"/>
  <c r="Y34" i="14"/>
  <c r="Y46" i="14"/>
  <c r="K41" i="14"/>
  <c r="K40" i="14"/>
  <c r="K38" i="14"/>
  <c r="K36" i="14"/>
  <c r="K34" i="14"/>
  <c r="K39" i="14"/>
  <c r="K37" i="14"/>
  <c r="K35" i="14"/>
  <c r="K51" i="14"/>
  <c r="K44" i="14"/>
  <c r="K50" i="14"/>
  <c r="U50" i="14"/>
  <c r="U48" i="14"/>
  <c r="U51" i="14"/>
  <c r="U49" i="14"/>
  <c r="U47" i="14"/>
  <c r="U45" i="14"/>
  <c r="U43" i="14"/>
  <c r="U46" i="14"/>
  <c r="U42" i="14"/>
  <c r="U39" i="14"/>
  <c r="U37" i="14"/>
  <c r="U35" i="14"/>
  <c r="U44" i="14"/>
  <c r="U40" i="14"/>
  <c r="U38" i="14"/>
  <c r="U36" i="14"/>
  <c r="U34" i="14"/>
  <c r="U41" i="14"/>
  <c r="I52" i="14"/>
  <c r="O56" i="14"/>
  <c r="P46" i="14"/>
  <c r="P44" i="14"/>
  <c r="P42" i="14"/>
  <c r="P45" i="14"/>
  <c r="P43" i="14"/>
  <c r="P41" i="14"/>
  <c r="P39" i="14"/>
  <c r="P37" i="14"/>
  <c r="P35" i="14"/>
  <c r="P40" i="14"/>
  <c r="P34" i="14"/>
  <c r="P36" i="14"/>
  <c r="P38" i="14"/>
  <c r="T49" i="14"/>
  <c r="T46" i="14"/>
  <c r="T44" i="14"/>
  <c r="T42" i="14"/>
  <c r="T48" i="14"/>
  <c r="T47" i="14"/>
  <c r="T45" i="14"/>
  <c r="T43" i="14"/>
  <c r="T41" i="14"/>
  <c r="T50" i="14"/>
  <c r="T39" i="14"/>
  <c r="T37" i="14"/>
  <c r="T35" i="14"/>
  <c r="T40" i="14"/>
  <c r="T34" i="14"/>
  <c r="T36" i="14"/>
  <c r="T38" i="14"/>
  <c r="P48" i="14"/>
  <c r="P54" i="14"/>
  <c r="G74" i="14"/>
  <c r="P53" i="14"/>
  <c r="T52" i="14"/>
  <c r="K46" i="14"/>
  <c r="K43" i="14"/>
  <c r="K48" i="14"/>
  <c r="X54" i="14"/>
  <c r="X51" i="14"/>
  <c r="X47" i="14"/>
  <c r="X46" i="14"/>
  <c r="X44" i="14"/>
  <c r="X42" i="14"/>
  <c r="X50" i="14"/>
  <c r="X53" i="14"/>
  <c r="X49" i="14"/>
  <c r="X45" i="14"/>
  <c r="X43" i="14"/>
  <c r="X41" i="14"/>
  <c r="X48" i="14"/>
  <c r="X52" i="14"/>
  <c r="X39" i="14"/>
  <c r="X37" i="14"/>
  <c r="X35" i="14"/>
  <c r="X40" i="14"/>
  <c r="X36" i="14"/>
  <c r="X38" i="14"/>
  <c r="X34" i="14"/>
  <c r="S53" i="14"/>
  <c r="S52" i="14"/>
  <c r="P50" i="14"/>
  <c r="Q47" i="14"/>
  <c r="Q45" i="14"/>
  <c r="Q43" i="14"/>
  <c r="Q39" i="14"/>
  <c r="Q37" i="14"/>
  <c r="Q35" i="14"/>
  <c r="Q46" i="14"/>
  <c r="Q41" i="14"/>
  <c r="Q44" i="14"/>
  <c r="Q42" i="14"/>
  <c r="Q40" i="14"/>
  <c r="Q38" i="14"/>
  <c r="Q36" i="14"/>
  <c r="Q34" i="14"/>
  <c r="I39" i="14"/>
  <c r="I37" i="14"/>
  <c r="I35" i="14"/>
  <c r="I38" i="14"/>
  <c r="I36" i="14"/>
  <c r="I34" i="14"/>
  <c r="M43" i="14"/>
  <c r="M42" i="14"/>
  <c r="M39" i="14"/>
  <c r="M37" i="14"/>
  <c r="M35" i="14"/>
  <c r="M40" i="14"/>
  <c r="M38" i="14"/>
  <c r="M36" i="14"/>
  <c r="M34" i="14"/>
  <c r="M41" i="14"/>
  <c r="Q54" i="14"/>
  <c r="E51" i="14"/>
  <c r="M46" i="14"/>
  <c r="I43" i="14"/>
  <c r="H41" i="14"/>
  <c r="M53" i="14"/>
  <c r="U52" i="14"/>
  <c r="E52" i="14"/>
  <c r="H46" i="14"/>
  <c r="L42" i="14"/>
  <c r="L41" i="14"/>
  <c r="L39" i="14"/>
  <c r="L37" i="14"/>
  <c r="L35" i="14"/>
  <c r="L40" i="14"/>
  <c r="L38" i="14"/>
  <c r="L34" i="14"/>
  <c r="L36" i="14"/>
  <c r="D35" i="14"/>
  <c r="D38" i="14"/>
  <c r="D36" i="14"/>
  <c r="H70" i="14" l="1"/>
  <c r="I70" i="14" s="1"/>
  <c r="AC47" i="14" s="1"/>
  <c r="D74" i="14"/>
  <c r="E74" i="14"/>
  <c r="H72" i="14"/>
  <c r="I72" i="14" s="1"/>
  <c r="AC44" i="14"/>
  <c r="AC46" i="14"/>
  <c r="AC43" i="14"/>
  <c r="AC45" i="14"/>
  <c r="J56" i="14"/>
  <c r="AC54" i="14"/>
  <c r="N56" i="14"/>
  <c r="V56" i="14"/>
  <c r="W56" i="14"/>
  <c r="AC52" i="14"/>
  <c r="AC49" i="14"/>
  <c r="AC53" i="14"/>
  <c r="AC55" i="14"/>
  <c r="AC48" i="14"/>
  <c r="AC50" i="14"/>
  <c r="R56" i="14"/>
  <c r="G56" i="14"/>
  <c r="F56" i="14"/>
  <c r="T56" i="14"/>
  <c r="Z55" i="14"/>
  <c r="Z48" i="14"/>
  <c r="Z47" i="14"/>
  <c r="AD47" i="14" s="1"/>
  <c r="Z34" i="14"/>
  <c r="Z43" i="14"/>
  <c r="Z39" i="14"/>
  <c r="Z44" i="14"/>
  <c r="Z49" i="14"/>
  <c r="Z52" i="14"/>
  <c r="Z46" i="14"/>
  <c r="Z51" i="14"/>
  <c r="AD51" i="14" s="1"/>
  <c r="Z37" i="14"/>
  <c r="Z42" i="14"/>
  <c r="Z45" i="14"/>
  <c r="Z53" i="14"/>
  <c r="Z41" i="14"/>
  <c r="Z40" i="14"/>
  <c r="Z50" i="14"/>
  <c r="H69" i="14"/>
  <c r="I69" i="14" s="1"/>
  <c r="AC34" i="14" s="1"/>
  <c r="C74" i="14"/>
  <c r="Z38" i="14"/>
  <c r="L56" i="14"/>
  <c r="M56" i="14"/>
  <c r="P56" i="14"/>
  <c r="Z54" i="14"/>
  <c r="E56" i="14"/>
  <c r="Q56" i="14"/>
  <c r="Y56" i="14"/>
  <c r="H56" i="14"/>
  <c r="Z36" i="14"/>
  <c r="Z35" i="14"/>
  <c r="I56" i="14"/>
  <c r="X56" i="14"/>
  <c r="D56" i="14"/>
  <c r="U56" i="14"/>
  <c r="K56" i="14"/>
  <c r="S56" i="14"/>
  <c r="C19" i="21" l="1"/>
  <c r="E19" i="21" s="1"/>
  <c r="C41" i="21"/>
  <c r="E41" i="21" s="1"/>
  <c r="C63" i="21"/>
  <c r="E63" i="21" s="1"/>
  <c r="C15" i="21"/>
  <c r="E15" i="21" s="1"/>
  <c r="C59" i="21"/>
  <c r="E59" i="21" s="1"/>
  <c r="C37" i="21"/>
  <c r="E37" i="21" s="1"/>
  <c r="C41" i="7"/>
  <c r="E41" i="7" s="1"/>
  <c r="C19" i="7"/>
  <c r="E19" i="7" s="1"/>
  <c r="C63" i="7"/>
  <c r="E63" i="7" s="1"/>
  <c r="C37" i="7"/>
  <c r="E37" i="7" s="1"/>
  <c r="C15" i="7"/>
  <c r="E15" i="7" s="1"/>
  <c r="C59" i="7"/>
  <c r="E59" i="7" s="1"/>
  <c r="AD44" i="14"/>
  <c r="AD52" i="14"/>
  <c r="AD46" i="14"/>
  <c r="AD45" i="14"/>
  <c r="AD43" i="14"/>
  <c r="AD49" i="14"/>
  <c r="AD53" i="14"/>
  <c r="AD55" i="14"/>
  <c r="AD48" i="14"/>
  <c r="AD50" i="14"/>
  <c r="AD54" i="14"/>
  <c r="J72" i="14"/>
  <c r="J71" i="14"/>
  <c r="J70" i="14"/>
  <c r="J73" i="14"/>
  <c r="J69" i="14"/>
  <c r="AC38" i="14"/>
  <c r="AD38" i="14" s="1"/>
  <c r="AC36" i="14"/>
  <c r="AD36" i="14" s="1"/>
  <c r="AD34" i="14"/>
  <c r="AC39" i="14"/>
  <c r="AD39" i="14" s="1"/>
  <c r="AC37" i="14"/>
  <c r="AD37" i="14" s="1"/>
  <c r="AC35" i="14"/>
  <c r="AD35" i="14" s="1"/>
  <c r="AC41" i="14"/>
  <c r="AD41" i="14" s="1"/>
  <c r="AC40" i="14"/>
  <c r="AD40" i="14" s="1"/>
  <c r="AC42" i="14"/>
  <c r="AD42" i="14" s="1"/>
  <c r="Z56" i="14"/>
  <c r="AA36" i="14" s="1"/>
  <c r="C3" i="21" l="1"/>
  <c r="E3" i="21" s="1"/>
  <c r="C25" i="21"/>
  <c r="E25" i="21" s="1"/>
  <c r="C47" i="21"/>
  <c r="E47" i="21" s="1"/>
  <c r="C7" i="21"/>
  <c r="E7" i="21" s="1"/>
  <c r="C51" i="21"/>
  <c r="E51" i="21" s="1"/>
  <c r="C29" i="21"/>
  <c r="E29" i="21" s="1"/>
  <c r="C23" i="21"/>
  <c r="E23" i="21" s="1"/>
  <c r="C45" i="21"/>
  <c r="E45" i="21" s="1"/>
  <c r="C67" i="21"/>
  <c r="E67" i="21" s="1"/>
  <c r="C34" i="21"/>
  <c r="E34" i="21" s="1"/>
  <c r="C12" i="21"/>
  <c r="E12" i="21" s="1"/>
  <c r="C56" i="21"/>
  <c r="E56" i="21" s="1"/>
  <c r="C53" i="21"/>
  <c r="E53" i="21" s="1"/>
  <c r="C31" i="21"/>
  <c r="E31" i="21" s="1"/>
  <c r="C9" i="21"/>
  <c r="E9" i="21" s="1"/>
  <c r="C2" i="21"/>
  <c r="E2" i="21" s="1"/>
  <c r="C46" i="21"/>
  <c r="E46" i="21" s="1"/>
  <c r="C24" i="21"/>
  <c r="E24" i="21" s="1"/>
  <c r="C66" i="21"/>
  <c r="E66" i="21" s="1"/>
  <c r="C22" i="21"/>
  <c r="E22" i="21" s="1"/>
  <c r="C44" i="21"/>
  <c r="E44" i="21" s="1"/>
  <c r="C65" i="21"/>
  <c r="E65" i="21" s="1"/>
  <c r="C43" i="21"/>
  <c r="E43" i="21" s="1"/>
  <c r="C21" i="21"/>
  <c r="E21" i="21" s="1"/>
  <c r="C57" i="21"/>
  <c r="E57" i="21" s="1"/>
  <c r="C35" i="21"/>
  <c r="E35" i="21" s="1"/>
  <c r="C13" i="21"/>
  <c r="E13" i="21" s="1"/>
  <c r="C58" i="21"/>
  <c r="E58" i="21" s="1"/>
  <c r="C14" i="21"/>
  <c r="E14" i="21" s="1"/>
  <c r="C36" i="21"/>
  <c r="E36" i="21" s="1"/>
  <c r="C26" i="21"/>
  <c r="E26" i="21" s="1"/>
  <c r="C48" i="21"/>
  <c r="E48" i="21" s="1"/>
  <c r="C4" i="21"/>
  <c r="E4" i="21" s="1"/>
  <c r="C62" i="21"/>
  <c r="E62" i="21" s="1"/>
  <c r="C18" i="21"/>
  <c r="E18" i="21" s="1"/>
  <c r="C40" i="21"/>
  <c r="E40" i="21" s="1"/>
  <c r="C54" i="21"/>
  <c r="E54" i="21" s="1"/>
  <c r="C32" i="21"/>
  <c r="E32" i="21" s="1"/>
  <c r="C10" i="21"/>
  <c r="E10" i="21" s="1"/>
  <c r="C49" i="21"/>
  <c r="E49" i="21" s="1"/>
  <c r="C27" i="21"/>
  <c r="E27" i="21" s="1"/>
  <c r="C5" i="21"/>
  <c r="E5" i="21" s="1"/>
  <c r="C50" i="21"/>
  <c r="E50" i="21" s="1"/>
  <c r="C6" i="21"/>
  <c r="E6" i="21" s="1"/>
  <c r="C28" i="21"/>
  <c r="E28" i="21" s="1"/>
  <c r="C38" i="21"/>
  <c r="E38" i="21" s="1"/>
  <c r="C16" i="21"/>
  <c r="E16" i="21" s="1"/>
  <c r="C60" i="21"/>
  <c r="E60" i="21" s="1"/>
  <c r="C61" i="21"/>
  <c r="E61" i="21" s="1"/>
  <c r="C39" i="21"/>
  <c r="E39" i="21" s="1"/>
  <c r="C17" i="21"/>
  <c r="E17" i="21" s="1"/>
  <c r="C42" i="21"/>
  <c r="E42" i="21" s="1"/>
  <c r="C20" i="21"/>
  <c r="E20" i="21" s="1"/>
  <c r="C64" i="21"/>
  <c r="E64" i="21" s="1"/>
  <c r="C30" i="21"/>
  <c r="E30" i="21" s="1"/>
  <c r="C52" i="21"/>
  <c r="E52" i="21" s="1"/>
  <c r="C8" i="21"/>
  <c r="E8" i="21" s="1"/>
  <c r="C11" i="21"/>
  <c r="E11" i="21" s="1"/>
  <c r="C55" i="21"/>
  <c r="E55" i="21" s="1"/>
  <c r="C33" i="21"/>
  <c r="E33" i="21" s="1"/>
  <c r="C27" i="7"/>
  <c r="E27" i="7" s="1"/>
  <c r="C5" i="7"/>
  <c r="E5" i="7" s="1"/>
  <c r="C49" i="7"/>
  <c r="E49" i="7" s="1"/>
  <c r="C6" i="7"/>
  <c r="E6" i="7" s="1"/>
  <c r="C28" i="7"/>
  <c r="E28" i="7" s="1"/>
  <c r="C50" i="7"/>
  <c r="E50" i="7" s="1"/>
  <c r="C60" i="7"/>
  <c r="E60" i="7" s="1"/>
  <c r="C38" i="7"/>
  <c r="E38" i="7" s="1"/>
  <c r="C16" i="7"/>
  <c r="E16" i="7" s="1"/>
  <c r="C39" i="7"/>
  <c r="E39" i="7" s="1"/>
  <c r="C17" i="7"/>
  <c r="E17" i="7" s="1"/>
  <c r="C61" i="7"/>
  <c r="E61" i="7" s="1"/>
  <c r="C64" i="7"/>
  <c r="E64" i="7" s="1"/>
  <c r="C42" i="7"/>
  <c r="E42" i="7" s="1"/>
  <c r="C20" i="7"/>
  <c r="E20" i="7" s="1"/>
  <c r="C52" i="7"/>
  <c r="E52" i="7" s="1"/>
  <c r="C30" i="7"/>
  <c r="E30" i="7" s="1"/>
  <c r="C8" i="7"/>
  <c r="E8" i="7" s="1"/>
  <c r="C45" i="7"/>
  <c r="E45" i="7" s="1"/>
  <c r="C23" i="7"/>
  <c r="E23" i="7" s="1"/>
  <c r="C67" i="7"/>
  <c r="E67" i="7" s="1"/>
  <c r="C33" i="7"/>
  <c r="E33" i="7" s="1"/>
  <c r="C11" i="7"/>
  <c r="E11" i="7" s="1"/>
  <c r="C55" i="7"/>
  <c r="E55" i="7" s="1"/>
  <c r="C56" i="7"/>
  <c r="E56" i="7" s="1"/>
  <c r="C34" i="7"/>
  <c r="E34" i="7" s="1"/>
  <c r="C12" i="7"/>
  <c r="E12" i="7" s="1"/>
  <c r="C32" i="7"/>
  <c r="E32" i="7" s="1"/>
  <c r="C54" i="7"/>
  <c r="E54" i="7" s="1"/>
  <c r="C10" i="7"/>
  <c r="E10" i="7" s="1"/>
  <c r="C29" i="7"/>
  <c r="E29" i="7" s="1"/>
  <c r="C7" i="7"/>
  <c r="E7" i="7" s="1"/>
  <c r="C51" i="7"/>
  <c r="E51" i="7" s="1"/>
  <c r="C31" i="7"/>
  <c r="E31" i="7" s="1"/>
  <c r="C9" i="7"/>
  <c r="E9" i="7" s="1"/>
  <c r="C53" i="7"/>
  <c r="E53" i="7" s="1"/>
  <c r="C24" i="7"/>
  <c r="E24" i="7" s="1"/>
  <c r="C2" i="7"/>
  <c r="E2" i="7" s="1"/>
  <c r="C46" i="7"/>
  <c r="E46" i="7" s="1"/>
  <c r="C44" i="7"/>
  <c r="E44" i="7" s="1"/>
  <c r="C66" i="7"/>
  <c r="E66" i="7" s="1"/>
  <c r="C22" i="7"/>
  <c r="E22" i="7" s="1"/>
  <c r="C43" i="7"/>
  <c r="E43" i="7" s="1"/>
  <c r="C21" i="7"/>
  <c r="E21" i="7" s="1"/>
  <c r="C65" i="7"/>
  <c r="E65" i="7" s="1"/>
  <c r="C35" i="7"/>
  <c r="E35" i="7" s="1"/>
  <c r="C13" i="7"/>
  <c r="E13" i="7" s="1"/>
  <c r="C57" i="7"/>
  <c r="E57" i="7" s="1"/>
  <c r="C25" i="7"/>
  <c r="E25" i="7" s="1"/>
  <c r="C3" i="7"/>
  <c r="E3" i="7" s="1"/>
  <c r="C47" i="7"/>
  <c r="E47" i="7" s="1"/>
  <c r="C48" i="7"/>
  <c r="E48" i="7" s="1"/>
  <c r="C26" i="7"/>
  <c r="E26" i="7" s="1"/>
  <c r="C4" i="7"/>
  <c r="E4" i="7" s="1"/>
  <c r="C18" i="7"/>
  <c r="E18" i="7" s="1"/>
  <c r="C40" i="7"/>
  <c r="E40" i="7" s="1"/>
  <c r="C62" i="7"/>
  <c r="E62" i="7" s="1"/>
  <c r="C36" i="7"/>
  <c r="E36" i="7" s="1"/>
  <c r="C58" i="7"/>
  <c r="E58" i="7" s="1"/>
  <c r="C14" i="7"/>
  <c r="E14" i="7" s="1"/>
  <c r="J74" i="14"/>
  <c r="J76" i="14" s="1"/>
  <c r="AA35" i="14"/>
  <c r="AA40" i="14"/>
  <c r="AA46" i="14"/>
  <c r="AA44" i="14"/>
  <c r="AA55" i="14"/>
  <c r="AA52" i="14"/>
  <c r="AA53" i="14"/>
  <c r="AA37" i="14"/>
  <c r="AA39" i="14"/>
  <c r="AA42" i="14"/>
  <c r="AA34" i="14"/>
  <c r="AA49" i="14"/>
  <c r="AA51" i="14"/>
  <c r="AA48" i="14"/>
  <c r="AA50" i="14"/>
  <c r="AA47" i="14"/>
  <c r="AA41" i="14"/>
  <c r="AA45" i="14"/>
  <c r="AA43" i="14"/>
  <c r="AA38" i="14"/>
  <c r="AA54" i="14"/>
  <c r="AE53" i="14" l="1"/>
  <c r="AE45" i="14"/>
  <c r="AE37" i="14"/>
  <c r="AE36" i="14"/>
  <c r="AE41" i="14"/>
  <c r="AE52" i="14"/>
  <c r="AE44" i="14"/>
  <c r="AE55" i="14"/>
  <c r="AE54" i="14"/>
  <c r="AE48" i="14"/>
  <c r="AE40" i="14"/>
  <c r="AE49" i="14"/>
  <c r="AE34" i="14"/>
  <c r="AE50" i="14"/>
  <c r="AE46" i="14"/>
  <c r="AE42" i="14"/>
  <c r="AE43" i="14"/>
  <c r="AE47" i="14"/>
  <c r="AE51" i="14"/>
  <c r="AE39" i="14"/>
  <c r="AE35" i="14"/>
  <c r="AE38" i="14"/>
  <c r="AG58" i="14"/>
  <c r="AG59" i="14"/>
  <c r="AG60" i="14"/>
  <c r="AH60" i="14" l="1"/>
  <c r="AJ60" i="14" s="1"/>
  <c r="AH59" i="14"/>
  <c r="AJ59" i="14" s="1"/>
  <c r="AH58" i="14"/>
  <c r="AJ58" i="14" s="1"/>
  <c r="G47" i="7"/>
  <c r="G48" i="7"/>
  <c r="G49" i="7"/>
  <c r="G51" i="7"/>
  <c r="G52" i="7"/>
  <c r="G53" i="7"/>
  <c r="G55" i="7"/>
  <c r="G56" i="7"/>
  <c r="G57" i="7"/>
  <c r="G58" i="7"/>
  <c r="G59" i="7"/>
  <c r="G60" i="7"/>
  <c r="G61" i="7"/>
  <c r="G62" i="7"/>
  <c r="G64" i="7"/>
  <c r="G65" i="7"/>
  <c r="G66" i="7"/>
  <c r="G46" i="7"/>
  <c r="G33" i="7"/>
  <c r="G36" i="7"/>
  <c r="G42" i="7"/>
  <c r="G43" i="7"/>
  <c r="G44" i="7"/>
  <c r="H15" i="7" l="1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67" i="7" l="1"/>
  <c r="H66" i="7"/>
  <c r="H65" i="7"/>
  <c r="H64" i="7"/>
  <c r="H63" i="7"/>
  <c r="H62" i="7"/>
  <c r="H61" i="7"/>
  <c r="H60" i="7"/>
  <c r="H58" i="7"/>
  <c r="H57" i="7"/>
  <c r="H56" i="7"/>
  <c r="H55" i="7"/>
  <c r="H54" i="7"/>
  <c r="H53" i="7"/>
  <c r="H52" i="7"/>
  <c r="H51" i="7"/>
  <c r="H50" i="7"/>
  <c r="H49" i="7"/>
  <c r="H48" i="7"/>
  <c r="H47" i="7"/>
  <c r="H46" i="7"/>
  <c r="H45" i="7"/>
  <c r="H44" i="7"/>
  <c r="H43" i="7"/>
  <c r="H42" i="7"/>
  <c r="H41" i="7"/>
  <c r="H40" i="7"/>
  <c r="H39" i="7"/>
  <c r="H38" i="7"/>
  <c r="H37" i="7"/>
  <c r="H36" i="7"/>
  <c r="H35" i="7"/>
  <c r="H34" i="7"/>
  <c r="H33" i="7"/>
  <c r="H32" i="7"/>
  <c r="H31" i="7"/>
  <c r="H30" i="7"/>
  <c r="H29" i="7"/>
  <c r="H28" i="7"/>
  <c r="H27" i="7"/>
  <c r="H26" i="7"/>
  <c r="H25" i="7"/>
  <c r="H24" i="7"/>
  <c r="AC24" i="4" l="1"/>
  <c r="U24" i="4"/>
  <c r="D3" i="4"/>
  <c r="D4" i="4"/>
  <c r="D5" i="4"/>
  <c r="D6" i="4"/>
  <c r="D7" i="4"/>
  <c r="D8" i="4"/>
  <c r="D9" i="4"/>
  <c r="D10" i="4"/>
  <c r="D11" i="4"/>
  <c r="G11" i="7" s="1"/>
  <c r="D12" i="4"/>
  <c r="D13" i="4"/>
  <c r="D14" i="4"/>
  <c r="G14" i="7" s="1"/>
  <c r="D15" i="4"/>
  <c r="D16" i="4"/>
  <c r="D17" i="4"/>
  <c r="D18" i="4"/>
  <c r="D19" i="4"/>
  <c r="D20" i="4"/>
  <c r="G20" i="7" s="1"/>
  <c r="D21" i="4"/>
  <c r="G21" i="7" s="1"/>
  <c r="D22" i="4"/>
  <c r="G22" i="7" s="1"/>
  <c r="D23" i="4"/>
  <c r="G67" i="7" s="1"/>
  <c r="G50" i="7" l="1"/>
  <c r="G28" i="7"/>
  <c r="G6" i="7"/>
  <c r="G17" i="7"/>
  <c r="G39" i="7"/>
  <c r="G27" i="7"/>
  <c r="G5" i="7"/>
  <c r="G38" i="7"/>
  <c r="G16" i="7"/>
  <c r="G26" i="7"/>
  <c r="G4" i="7"/>
  <c r="G29" i="7"/>
  <c r="G7" i="7"/>
  <c r="G40" i="7"/>
  <c r="G18" i="7"/>
  <c r="G34" i="7"/>
  <c r="G12" i="7"/>
  <c r="G32" i="7"/>
  <c r="G54" i="7"/>
  <c r="G10" i="7"/>
  <c r="G30" i="7"/>
  <c r="G8" i="7"/>
  <c r="G23" i="7"/>
  <c r="G45" i="7"/>
  <c r="G63" i="7"/>
  <c r="G19" i="7"/>
  <c r="G41" i="7"/>
  <c r="G15" i="7"/>
  <c r="G37" i="7"/>
  <c r="G13" i="7"/>
  <c r="G35" i="7"/>
  <c r="G9" i="7"/>
  <c r="G31" i="7"/>
  <c r="G3" i="7"/>
  <c r="D2" i="4"/>
  <c r="L53" i="1"/>
  <c r="H53" i="1"/>
  <c r="L52" i="1"/>
  <c r="H52" i="1"/>
  <c r="L51" i="1"/>
  <c r="H51" i="1"/>
  <c r="L50" i="1"/>
  <c r="H50" i="1"/>
  <c r="L49" i="1"/>
  <c r="H49" i="1"/>
  <c r="L48" i="1"/>
  <c r="H48" i="1"/>
  <c r="L47" i="1"/>
  <c r="H47" i="1"/>
  <c r="L46" i="1"/>
  <c r="H46" i="1"/>
  <c r="L45" i="1"/>
  <c r="H45" i="1"/>
  <c r="L44" i="1"/>
  <c r="H44" i="1"/>
  <c r="L43" i="1"/>
  <c r="H43" i="1"/>
  <c r="L42" i="1"/>
  <c r="H42" i="1"/>
  <c r="L41" i="1"/>
  <c r="H41" i="1"/>
  <c r="L40" i="1"/>
  <c r="H40" i="1"/>
  <c r="L39" i="1"/>
  <c r="H39" i="1"/>
  <c r="L38" i="1"/>
  <c r="H38" i="1"/>
  <c r="L37" i="1"/>
  <c r="H37" i="1"/>
  <c r="L36" i="1"/>
  <c r="H36" i="1"/>
  <c r="L35" i="1"/>
  <c r="H35" i="1"/>
  <c r="L34" i="1"/>
  <c r="H34" i="1"/>
  <c r="L33" i="1"/>
  <c r="H33" i="1"/>
  <c r="L32" i="1"/>
  <c r="H32" i="1"/>
  <c r="L31" i="1"/>
  <c r="H31" i="1"/>
  <c r="L30" i="1"/>
  <c r="H30" i="1"/>
  <c r="L29" i="1"/>
  <c r="H29" i="1"/>
  <c r="L28" i="1"/>
  <c r="H28" i="1"/>
  <c r="L27" i="1"/>
  <c r="H27" i="1"/>
  <c r="L26" i="1"/>
  <c r="H26" i="1"/>
  <c r="L25" i="1"/>
  <c r="H25" i="1"/>
  <c r="L24" i="1"/>
  <c r="H24" i="1"/>
  <c r="L23" i="1"/>
  <c r="H23" i="1"/>
  <c r="L22" i="1"/>
  <c r="H22" i="1"/>
  <c r="L21" i="1"/>
  <c r="H21" i="1"/>
  <c r="L20" i="1"/>
  <c r="H20" i="1"/>
  <c r="L18" i="1"/>
  <c r="H18" i="1"/>
  <c r="L17" i="1"/>
  <c r="H17" i="1"/>
  <c r="L16" i="1"/>
  <c r="H16" i="1"/>
  <c r="L15" i="1"/>
  <c r="H15" i="1"/>
  <c r="L14" i="1"/>
  <c r="H14" i="1"/>
  <c r="L13" i="1"/>
  <c r="H13" i="1"/>
  <c r="L12" i="1"/>
  <c r="H12" i="1"/>
  <c r="L11" i="1"/>
  <c r="H11" i="1"/>
  <c r="L10" i="1"/>
  <c r="H10" i="1"/>
  <c r="L9" i="1"/>
  <c r="H9" i="1"/>
  <c r="L8" i="1"/>
  <c r="H8" i="1"/>
  <c r="L7" i="1"/>
  <c r="H7" i="1"/>
  <c r="L6" i="1"/>
  <c r="H6" i="1"/>
  <c r="L5" i="1"/>
  <c r="H5" i="1"/>
  <c r="L4" i="1"/>
  <c r="H4" i="1"/>
  <c r="L3" i="1"/>
  <c r="H3" i="1"/>
  <c r="H23" i="7"/>
  <c r="H22" i="7"/>
  <c r="H21" i="7"/>
  <c r="H20" i="7"/>
  <c r="H18" i="7"/>
  <c r="H17" i="7"/>
  <c r="H16" i="7"/>
  <c r="H19" i="7"/>
  <c r="H12" i="7"/>
  <c r="H14" i="7"/>
  <c r="H9" i="7"/>
  <c r="H8" i="7"/>
  <c r="H10" i="7"/>
  <c r="H7" i="7"/>
  <c r="H6" i="7"/>
  <c r="H13" i="7"/>
  <c r="H5" i="7"/>
  <c r="H4" i="7"/>
  <c r="H3" i="7"/>
  <c r="H11" i="7" l="1"/>
  <c r="F24" i="4"/>
  <c r="G25" i="7"/>
  <c r="G24" i="4"/>
  <c r="L24" i="4"/>
  <c r="M24" i="4"/>
  <c r="D28" i="4" s="1"/>
  <c r="H2" i="4"/>
  <c r="H24" i="4"/>
  <c r="E24" i="4"/>
  <c r="G25" i="4" l="1"/>
  <c r="H2" i="7"/>
  <c r="AB26" i="4" l="1"/>
  <c r="F28" i="4"/>
  <c r="H25" i="4"/>
</calcChain>
</file>

<file path=xl/connections.xml><?xml version="1.0" encoding="utf-8"?>
<connections xmlns="http://schemas.openxmlformats.org/spreadsheetml/2006/main">
  <connection id="1" keepAlive="1" name="ThisWorkbookDataModel" description="Data Model" type="5" refreshedVersion="5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Sheet2!$A$2:$B$24" type="102" refreshedVersion="5" minRefreshableVersion="5">
    <extLst>
      <ext xmlns:x15="http://schemas.microsoft.com/office/spreadsheetml/2010/11/main" uri="{DE250136-89BD-433C-8126-D09CA5730AF9}">
        <x15:connection id="Range-06a8a625-634b-453a-8a18-02cdb0e1a87a" autoDelete="1" usedByAddin="1">
          <x15:rangePr sourceName="_xlcn.WorksheetConnection_Sheet2A2B241"/>
        </x15:connection>
      </ext>
    </extLst>
  </connection>
</connections>
</file>

<file path=xl/sharedStrings.xml><?xml version="1.0" encoding="utf-8"?>
<sst xmlns="http://schemas.openxmlformats.org/spreadsheetml/2006/main" count="1004" uniqueCount="368">
  <si>
    <t>Total Budget</t>
  </si>
  <si>
    <t>Threats to the Level Of Service</t>
  </si>
  <si>
    <t>Possibility</t>
  </si>
  <si>
    <t>Impact</t>
  </si>
  <si>
    <t>Cost of Threat</t>
  </si>
  <si>
    <t>Unit</t>
  </si>
  <si>
    <t>Min Unit</t>
  </si>
  <si>
    <t>Max Unit</t>
  </si>
  <si>
    <t>Max Cost</t>
  </si>
  <si>
    <t>Power Loss</t>
  </si>
  <si>
    <t>T1</t>
  </si>
  <si>
    <t>Buy USB</t>
  </si>
  <si>
    <t>Hardware Failure</t>
  </si>
  <si>
    <t>T2</t>
  </si>
  <si>
    <t>Replicate Hardware</t>
  </si>
  <si>
    <t>Software Crash</t>
  </si>
  <si>
    <t>T3</t>
  </si>
  <si>
    <t>Operator Errors</t>
  </si>
  <si>
    <t>System Operators</t>
  </si>
  <si>
    <t>T4</t>
  </si>
  <si>
    <t>Education and Assessment of Security Personal</t>
  </si>
  <si>
    <t>Authorized Users</t>
  </si>
  <si>
    <t>“</t>
  </si>
  <si>
    <t>Programmers</t>
  </si>
  <si>
    <t>The Rest Of The World</t>
  </si>
  <si>
    <t>Malicious Inside Action</t>
  </si>
  <si>
    <t>T5</t>
  </si>
  <si>
    <t>Functional Isolation</t>
  </si>
  <si>
    <t>Computer Viruses</t>
  </si>
  <si>
    <t>Viruses</t>
  </si>
  <si>
    <t>T6</t>
  </si>
  <si>
    <t>Anti Virus- Anti Spam</t>
  </si>
  <si>
    <t>Trojan</t>
  </si>
  <si>
    <t>Worms</t>
  </si>
  <si>
    <t>Fire</t>
  </si>
  <si>
    <t>T7</t>
  </si>
  <si>
    <t>Disaster Recovery Center</t>
  </si>
  <si>
    <t>Explosion</t>
  </si>
  <si>
    <t>Floods</t>
  </si>
  <si>
    <t>Earthquakes</t>
  </si>
  <si>
    <t>Sabotage&amp;Arson</t>
  </si>
  <si>
    <t>Availability Threats</t>
  </si>
  <si>
    <t>DDOS Attack</t>
  </si>
  <si>
    <t>T8</t>
  </si>
  <si>
    <t>Threats to the Information Base</t>
  </si>
  <si>
    <t>Disk Failure</t>
  </si>
  <si>
    <t>T9</t>
  </si>
  <si>
    <t>Data Corruption</t>
  </si>
  <si>
    <t>T10</t>
  </si>
  <si>
    <t>Inaccurate Data</t>
  </si>
  <si>
    <t>T11</t>
  </si>
  <si>
    <t>Unauthorized Access</t>
  </si>
  <si>
    <t>T12</t>
  </si>
  <si>
    <t>Firewall</t>
  </si>
  <si>
    <t>T13</t>
  </si>
  <si>
    <t>AntiVirus</t>
  </si>
  <si>
    <t>Spyware</t>
  </si>
  <si>
    <t>AntiSpam</t>
  </si>
  <si>
    <t>Threats to Information Leakage</t>
  </si>
  <si>
    <t>Access Control Problems- Unauthorized Access</t>
  </si>
  <si>
    <t>Access Control Communications Threat</t>
  </si>
  <si>
    <t>Covert Channel Threat</t>
  </si>
  <si>
    <t>Discretionary Access Control Threats</t>
  </si>
  <si>
    <t>Mandatory Access Control Threats</t>
  </si>
  <si>
    <t>Physical Access Control Threats</t>
  </si>
  <si>
    <t>Hacking</t>
  </si>
  <si>
    <t>T14</t>
  </si>
  <si>
    <t>Pretty Good Privacy, Firewall</t>
  </si>
  <si>
    <t>Keylogger</t>
  </si>
  <si>
    <t>Backdoor</t>
  </si>
  <si>
    <t>Media Leakage</t>
  </si>
  <si>
    <t>T15</t>
  </si>
  <si>
    <t>Theft of Media</t>
  </si>
  <si>
    <t>T16</t>
  </si>
  <si>
    <t>Increase Physical Security</t>
  </si>
  <si>
    <t>Tempest</t>
  </si>
  <si>
    <t>T17</t>
  </si>
  <si>
    <t>Botnet</t>
  </si>
  <si>
    <t>T18</t>
  </si>
  <si>
    <t>Dialer</t>
  </si>
  <si>
    <t>Accountability Threats</t>
  </si>
  <si>
    <t>Authentication Threats</t>
  </si>
  <si>
    <t>T19</t>
  </si>
  <si>
    <t>Non Repudiation Threats</t>
  </si>
  <si>
    <t>T20</t>
  </si>
  <si>
    <t>Separation of Duties Threats</t>
  </si>
  <si>
    <t>T21</t>
  </si>
  <si>
    <t>Configuration Threats</t>
  </si>
  <si>
    <t>T22</t>
  </si>
  <si>
    <t>Software Signatures</t>
  </si>
  <si>
    <t>Hardware Signatures</t>
  </si>
  <si>
    <t>Tamper Resistant Construction</t>
  </si>
  <si>
    <t>Tamper Evident Construction</t>
  </si>
  <si>
    <t>Limit the transfer of executable objects</t>
  </si>
  <si>
    <t>Communication Threats</t>
  </si>
  <si>
    <t>Digital Signatures</t>
  </si>
  <si>
    <t>T23</t>
  </si>
  <si>
    <t>Integrity Check Value</t>
  </si>
  <si>
    <t>Trusted Communications Channels</t>
  </si>
  <si>
    <t>Storage Threats</t>
  </si>
  <si>
    <t>Is Prevented?</t>
  </si>
  <si>
    <t>20161191455918968162</t>
  </si>
  <si>
    <t>5aBufdizcLalXd0z</t>
  </si>
  <si>
    <t>cjMF</t>
  </si>
  <si>
    <t>Other Environmental Disasters</t>
  </si>
  <si>
    <t>Communication Preventer Threats</t>
  </si>
  <si>
    <t>Threat</t>
  </si>
  <si>
    <t>Threats to The Level of Service</t>
  </si>
  <si>
    <t>Selected Sample PCounterMeasures</t>
  </si>
  <si>
    <t>Unit Cost of CounterMeasure</t>
  </si>
  <si>
    <t>Cost of Counter Measure</t>
  </si>
  <si>
    <t>Backup tapes</t>
  </si>
  <si>
    <t xml:space="preserve">Improvement in Data Governance and Data Distribution techniques </t>
  </si>
  <si>
    <t>Firewall, Central Access Control, Improvement in Access Control Policies,</t>
  </si>
  <si>
    <t xml:space="preserve">Load- Unload Device Drivers,Turn off Auto Run, </t>
  </si>
  <si>
    <t>Strong passwords, Regular software patches, use of 64 bit OS</t>
  </si>
  <si>
    <t>Increasing bandwidth, Bandwidth throttling techniques, Traffic Management, Filtering (Firewall). Cache servers</t>
  </si>
  <si>
    <t>Numerical Risk Value of Threat</t>
  </si>
  <si>
    <t>Calculated Cost</t>
  </si>
  <si>
    <t>Name</t>
  </si>
  <si>
    <t>Description</t>
  </si>
  <si>
    <t>P1</t>
  </si>
  <si>
    <t>Install UPS</t>
  </si>
  <si>
    <t>P12</t>
  </si>
  <si>
    <t>Traffic Management</t>
  </si>
  <si>
    <t>P23</t>
  </si>
  <si>
    <t>Service level software agreement, PAAS</t>
  </si>
  <si>
    <t>P2</t>
  </si>
  <si>
    <t>Replicate Servers</t>
  </si>
  <si>
    <t>P13</t>
  </si>
  <si>
    <t>Backup Tapes</t>
  </si>
  <si>
    <t>P24</t>
  </si>
  <si>
    <t>Cache Servers in Virtual Machines</t>
  </si>
  <si>
    <t>P3</t>
  </si>
  <si>
    <t>Add validation to forms in enterprise software</t>
  </si>
  <si>
    <t>P14</t>
  </si>
  <si>
    <t>P25</t>
  </si>
  <si>
    <t>Pre-employment screening</t>
  </si>
  <si>
    <t>P4</t>
  </si>
  <si>
    <t>P15</t>
  </si>
  <si>
    <t>Improvement in Data Distribution and Data Governance Policies</t>
  </si>
  <si>
    <t>P26</t>
  </si>
  <si>
    <t>Mandatory vacations</t>
  </si>
  <si>
    <t>P5</t>
  </si>
  <si>
    <t>P16</t>
  </si>
  <si>
    <t>Pretty Good Privacy</t>
  </si>
  <si>
    <t>P27</t>
  </si>
  <si>
    <t>Identity and Access Management (IAM) Systems</t>
  </si>
  <si>
    <t>P6</t>
  </si>
  <si>
    <t>Anti-Virus</t>
  </si>
  <si>
    <t>P17</t>
  </si>
  <si>
    <t>Strong passwords</t>
  </si>
  <si>
    <t>P28</t>
  </si>
  <si>
    <t>Encryption Solutions</t>
  </si>
  <si>
    <t>P7</t>
  </si>
  <si>
    <t>Anti-Spam</t>
  </si>
  <si>
    <t>P18</t>
  </si>
  <si>
    <t>Regular software patches</t>
  </si>
  <si>
    <t>P29</t>
  </si>
  <si>
    <t>Intrusion Detection and Prevention Systems</t>
  </si>
  <si>
    <t>P8</t>
  </si>
  <si>
    <t>Disaster Recovery Center on Cloud Systems</t>
  </si>
  <si>
    <t>P19</t>
  </si>
  <si>
    <t>Use of 64 bit OS</t>
  </si>
  <si>
    <t>P30</t>
  </si>
  <si>
    <t>P13-Backup Tapes</t>
  </si>
  <si>
    <t>P25-Pre Employment Screening</t>
  </si>
  <si>
    <t>P1-Install USB</t>
  </si>
  <si>
    <t>P2-Replicate Servers</t>
  </si>
  <si>
    <t>P18-Regular Software Patches</t>
  </si>
  <si>
    <t>P4-Education and Assessment of Security Personal</t>
  </si>
  <si>
    <t>P5-Functional Isolation</t>
  </si>
  <si>
    <t>P9-FHM System</t>
  </si>
  <si>
    <t>P8-Disaster Recovery on Cloud</t>
  </si>
  <si>
    <t>P3-Add validation to forms</t>
  </si>
  <si>
    <t>P14-Firewall</t>
  </si>
  <si>
    <t>P6-AntiVirus</t>
  </si>
  <si>
    <t>P22-Increase Physical Security</t>
  </si>
  <si>
    <t>P17-Strong Passwords</t>
  </si>
  <si>
    <t>P30-Digital Signatures</t>
  </si>
  <si>
    <t>P20-Turn off AutoRun</t>
  </si>
  <si>
    <t>Non</t>
  </si>
  <si>
    <t>P23-Service Level Software Agreement</t>
  </si>
  <si>
    <t>P26-Mandatory vacations</t>
  </si>
  <si>
    <t>P7-Anti spam</t>
  </si>
  <si>
    <t>P15-Improvement in Data Distribution and Governance</t>
  </si>
  <si>
    <t>P33-Limit Transfer of Executables</t>
  </si>
  <si>
    <t>P27-Identity and Access Management System</t>
  </si>
  <si>
    <t>P32-Integrity Check</t>
  </si>
  <si>
    <t>P21-Load Unload Drivers</t>
  </si>
  <si>
    <t>P10-Increase Bandwidth</t>
  </si>
  <si>
    <t>T22- Communications Threats</t>
  </si>
  <si>
    <t>T21-Configuration Threats</t>
  </si>
  <si>
    <t>T20-Separation of Duties</t>
  </si>
  <si>
    <t>T19-Non Repudiation Threats</t>
  </si>
  <si>
    <t>P28-Cryptologic Solutions(Digital Signatures)</t>
  </si>
  <si>
    <t>T18-Authentication Threats</t>
  </si>
  <si>
    <t>T17-Communication Preventers(Botnet, Dialer)</t>
  </si>
  <si>
    <t>T16-Media Leakage</t>
  </si>
  <si>
    <t>T15-Hacking</t>
  </si>
  <si>
    <t>T14-Virus and Spyware</t>
  </si>
  <si>
    <t>T13-Un-authorized Access</t>
  </si>
  <si>
    <t>T12-Inaccurrate Data</t>
  </si>
  <si>
    <t>T1-Power Loss</t>
  </si>
  <si>
    <t>T2-Hardware Failure</t>
  </si>
  <si>
    <t>T3-Software Crash</t>
  </si>
  <si>
    <t>T4-Operator Errors</t>
  </si>
  <si>
    <t>T5-Malicious Inside Action</t>
  </si>
  <si>
    <t>T6-Trojan and Worms</t>
  </si>
  <si>
    <t>T7-Fire</t>
  </si>
  <si>
    <t>T8-Other Enviromental Disasters</t>
  </si>
  <si>
    <t>T9-Availability Threats(DDOS)</t>
  </si>
  <si>
    <t>T10-Disk Failure</t>
  </si>
  <si>
    <t>T11-Data Corruption</t>
  </si>
  <si>
    <t>P19-Use of 64 bit OS's</t>
  </si>
  <si>
    <t>P15-Improvement in Data Distribution and Governance Systems</t>
  </si>
  <si>
    <t>P28-Cryptologic Solutions(Encryption)</t>
  </si>
  <si>
    <t>P24-Auditing</t>
  </si>
  <si>
    <t>P12-Traffic Management</t>
  </si>
  <si>
    <t>P11-Bandwidth Throtting Techniques</t>
  </si>
  <si>
    <t>P29-Intrusion Detection System</t>
  </si>
  <si>
    <t>P31-Trusted Communication Channels</t>
  </si>
  <si>
    <t>P16-Pretty Good Privacy</t>
  </si>
  <si>
    <t>Prevented Amount of Risk by Px</t>
  </si>
  <si>
    <t>Prevented Amount of Risk by Py</t>
  </si>
  <si>
    <t>Prevented Amount of Risk by Pz</t>
  </si>
  <si>
    <t>Offered Precaution x</t>
  </si>
  <si>
    <t>Unit Cost of Precaution x</t>
  </si>
  <si>
    <t>Unit x</t>
  </si>
  <si>
    <t>Cost of Precaution x</t>
  </si>
  <si>
    <t>Min Unit x</t>
  </si>
  <si>
    <t>Max Unit x</t>
  </si>
  <si>
    <t>Max Cost x</t>
  </si>
  <si>
    <t>Offered Precaution y</t>
  </si>
  <si>
    <t>Unit Cost of Precaution y</t>
  </si>
  <si>
    <t>Unit y</t>
  </si>
  <si>
    <t>Cost of Precaution y</t>
  </si>
  <si>
    <t>Min Unit y</t>
  </si>
  <si>
    <t>Max Unit y</t>
  </si>
  <si>
    <t>Max Cost y</t>
  </si>
  <si>
    <t>Offered Precaution z</t>
  </si>
  <si>
    <t>Unit Cost of Precaution z</t>
  </si>
  <si>
    <t>Unit z</t>
  </si>
  <si>
    <t>Cost of Precaution z</t>
  </si>
  <si>
    <t>Min Unit z</t>
  </si>
  <si>
    <t>Max Unit z</t>
  </si>
  <si>
    <t>Max Cost z</t>
  </si>
  <si>
    <t>Percentage of Risk  Prevented x</t>
  </si>
  <si>
    <t>Percentage of Risk  Prevented y</t>
  </si>
  <si>
    <t>Percentage of Risk  Prevented z</t>
  </si>
  <si>
    <t>CTQ'S</t>
  </si>
  <si>
    <t>COL. TOTAL</t>
  </si>
  <si>
    <t>CUMULATIVE NORMALIZED SCORE OR ROW SUM</t>
  </si>
  <si>
    <t>NORMALIZED PERCENTAGE OR PERCENT RATIO SCALE OF PRIORITY</t>
  </si>
  <si>
    <t>AHP MATRIX TEMPLATE  TO ANALYZE POSSIBILTY OF THREATS</t>
  </si>
  <si>
    <t>FILL THE SCORES ALLOCATED IN THE CELLS SHADED AS THIS BACKGROUND COLOR</t>
  </si>
  <si>
    <t>Corresponding Threat Group</t>
  </si>
  <si>
    <t>Threat Group Likelihood/Priority Calculation Result</t>
  </si>
  <si>
    <t>Threat Likelihood Overall Result</t>
  </si>
  <si>
    <t>Threat_Group4</t>
  </si>
  <si>
    <t>Threat_Group5</t>
  </si>
  <si>
    <t>Consistency Index (CI)=</t>
  </si>
  <si>
    <t>Random Index(RI)=</t>
  </si>
  <si>
    <t>Consistency Ration (CR)=</t>
  </si>
  <si>
    <t>Consistency Measure For Threats</t>
  </si>
  <si>
    <t>Consistency Measure for Threat Groups</t>
  </si>
  <si>
    <t>GUIDE FOR PAIRWISE COMPARISON</t>
  </si>
  <si>
    <t>Consistency Measure for 3 Threat Groups</t>
  </si>
  <si>
    <t>RI Values based on published article</t>
  </si>
  <si>
    <t>CONSISTENCY IN THE ANALYTIC HIERARCHY PROCESS: A NEW APPROACH</t>
  </si>
  <si>
    <t>JOSÉ ANTONIO ALONSO and M. TERESA LAMATA</t>
  </si>
  <si>
    <t>International Journal of Uncertainty, Fuzziness and Knowledge-Based Systems 2006 14:04, 445-459 </t>
  </si>
  <si>
    <t>RI</t>
  </si>
  <si>
    <t>n</t>
  </si>
  <si>
    <t>Random Index</t>
  </si>
  <si>
    <t># of comparison items</t>
  </si>
  <si>
    <t>Consistency Ratio (CR)=</t>
  </si>
  <si>
    <t>Thread Names</t>
  </si>
  <si>
    <t>Extreme</t>
  </si>
  <si>
    <t>Very Strong</t>
  </si>
  <si>
    <t>Strong</t>
  </si>
  <si>
    <t>Moderate</t>
  </si>
  <si>
    <t>Equal</t>
  </si>
  <si>
    <t>1/3</t>
  </si>
  <si>
    <t>1/5</t>
  </si>
  <si>
    <t>1/7</t>
  </si>
  <si>
    <t>1/9</t>
  </si>
  <si>
    <t>A</t>
  </si>
  <si>
    <t xml:space="preserve">Extreme </t>
  </si>
  <si>
    <t>B</t>
  </si>
  <si>
    <t>Comparison Values</t>
  </si>
  <si>
    <t>Thread Groups</t>
  </si>
  <si>
    <t>Not Related to</t>
  </si>
  <si>
    <t>RI Values For The # of Threats For Each Group</t>
  </si>
  <si>
    <t>Average Values For Consistency Calc</t>
  </si>
  <si>
    <t>Consistency Index (CI)</t>
  </si>
  <si>
    <t>Group 1 (CI)=</t>
  </si>
  <si>
    <t>Group 2 (CI)=</t>
  </si>
  <si>
    <t>Group 3 (CI)=</t>
  </si>
  <si>
    <t>Group 4 (CI)=</t>
  </si>
  <si>
    <t>Group 5 (CI)=</t>
  </si>
  <si>
    <t>Accepted Consistency Level</t>
  </si>
  <si>
    <t>Likelyhood</t>
  </si>
  <si>
    <t>Risk</t>
  </si>
  <si>
    <t>Threat Group</t>
  </si>
  <si>
    <t xml:space="preserve">Precaution </t>
  </si>
  <si>
    <t>Cost of Precaution</t>
  </si>
  <si>
    <t>Prevented Amount of Risk By Precaution</t>
  </si>
  <si>
    <t>Total Risk</t>
  </si>
  <si>
    <t>Total Cost of Precaution</t>
  </si>
  <si>
    <t>P11-Bandwidth throttling techniques</t>
  </si>
  <si>
    <t>P15-Improvement in Data Distribution and Data Governance Policies</t>
  </si>
  <si>
    <t>P17-Strong passwords</t>
  </si>
  <si>
    <t>P18-Regular software patches</t>
  </si>
  <si>
    <t>P19-Use of 64 bit OS</t>
  </si>
  <si>
    <t>P20-Turnoff Auto-Run</t>
  </si>
  <si>
    <t>P21-Load – Un-Load Drivers</t>
  </si>
  <si>
    <t>P25-Pre-employment screening</t>
  </si>
  <si>
    <t>P27-Identity and Access Management (IAM) Systems</t>
  </si>
  <si>
    <t>P28-Encryption Solutions</t>
  </si>
  <si>
    <t>P29-Intrusion Detection and Prevention Systems</t>
  </si>
  <si>
    <t>Total Prevented Amount of Risk By Precaution</t>
  </si>
  <si>
    <t>AHP MATRIX TEMPLATE  TO ANALYZE SEVERITY(IMPACT) OF THREATS</t>
  </si>
  <si>
    <t>Threat Group Severity Calculation Result</t>
  </si>
  <si>
    <t>Threat Severity Overall Result</t>
  </si>
  <si>
    <t>P23-Service level software agreement, PAAS</t>
  </si>
  <si>
    <t>Consistency Measure for  5 Threat Groups</t>
  </si>
  <si>
    <t>The Rest of The World</t>
  </si>
  <si>
    <t>Trojan and Worms</t>
  </si>
  <si>
    <t>Other Enviromental Disasters</t>
  </si>
  <si>
    <t>Availability Threats(DDOS)</t>
  </si>
  <si>
    <t>Inaccurrate Data</t>
  </si>
  <si>
    <t>Virus and Spyware</t>
  </si>
  <si>
    <t>Explosions</t>
  </si>
  <si>
    <t>Covert Channel</t>
  </si>
  <si>
    <t>Mandatory Access Control</t>
  </si>
  <si>
    <t>Physical Access Control</t>
  </si>
  <si>
    <t>Discretionary Access Control</t>
  </si>
  <si>
    <t>Un-authorized Access</t>
  </si>
  <si>
    <t>Communication Preventers(Botnet, Dialer)</t>
  </si>
  <si>
    <t>Separation of Duties</t>
  </si>
  <si>
    <t>Communications Threats</t>
  </si>
  <si>
    <t>P33</t>
  </si>
  <si>
    <t>P9</t>
  </si>
  <si>
    <t>P10</t>
  </si>
  <si>
    <t>P11</t>
  </si>
  <si>
    <t>P20</t>
  </si>
  <si>
    <t>P22</t>
  </si>
  <si>
    <t>P31</t>
  </si>
  <si>
    <t>P21</t>
  </si>
  <si>
    <t>P32</t>
  </si>
  <si>
    <t>Risk Decrease x</t>
  </si>
  <si>
    <t>Risk Decrease y</t>
  </si>
  <si>
    <t>Unit Cost y</t>
  </si>
  <si>
    <t>P x</t>
  </si>
  <si>
    <t>P z</t>
  </si>
  <si>
    <t>Risk  Decrease z</t>
  </si>
  <si>
    <t>Unit Cost z</t>
  </si>
  <si>
    <t>Unit Cost x</t>
  </si>
  <si>
    <t>P y</t>
  </si>
  <si>
    <t>Prevented Amount of Risk</t>
  </si>
  <si>
    <t>Total Existing Risk</t>
  </si>
  <si>
    <t>Threat_Group1</t>
  </si>
  <si>
    <t>Threat_Group2</t>
  </si>
  <si>
    <t>Threat_Group3</t>
  </si>
  <si>
    <t>Total Spent Budget =</t>
  </si>
  <si>
    <t>Percentage of Total Risk</t>
  </si>
  <si>
    <t>Precaut'on Short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</si>
</sst>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00000"/>
    <numFmt numFmtId="167" formatCode="0.000000000"/>
  </numFmts>
  <fonts count="36" x14ac:knownFonts="1">
    <font>
      <sz val="10"/>
      <color rgb="FF000000"/>
      <name val="Arial"/>
    </font>
    <font>
      <b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0"/>
      <color rgb="FF00000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9"/>
      <color rgb="FF000000"/>
      <name val="Calibri"/>
      <family val="2"/>
    </font>
    <font>
      <sz val="9"/>
      <color rgb="FF000000"/>
      <name val="Calibri"/>
      <family val="2"/>
    </font>
    <font>
      <sz val="9"/>
      <color rgb="FF000000"/>
      <name val="Times New Roman"/>
      <family val="1"/>
    </font>
    <font>
      <sz val="10"/>
      <name val="Arial"/>
      <family val="2"/>
    </font>
    <font>
      <b/>
      <sz val="22"/>
      <name val="Arial"/>
      <family val="2"/>
    </font>
    <font>
      <b/>
      <i/>
      <u/>
      <sz val="16"/>
      <name val="Arial"/>
      <family val="2"/>
    </font>
    <font>
      <b/>
      <i/>
      <sz val="10"/>
      <name val="Arial"/>
      <family val="2"/>
    </font>
    <font>
      <b/>
      <sz val="18"/>
      <name val="Arial"/>
      <family val="2"/>
    </font>
    <font>
      <b/>
      <sz val="10"/>
      <color theme="0" tint="-4.9989318521683403E-2"/>
      <name val="Arial"/>
      <family val="2"/>
    </font>
    <font>
      <b/>
      <sz val="10"/>
      <name val="Segoe UI Light"/>
      <family val="2"/>
    </font>
    <font>
      <b/>
      <sz val="12"/>
      <name val="Arial"/>
      <family val="2"/>
    </font>
    <font>
      <b/>
      <sz val="10"/>
      <color rgb="FFFF0000"/>
      <name val="Arial"/>
      <family val="2"/>
    </font>
    <font>
      <b/>
      <sz val="11"/>
      <name val="Arial"/>
      <family val="2"/>
    </font>
    <font>
      <b/>
      <sz val="11"/>
      <color rgb="FFFA7D00"/>
      <name val="Calibri"/>
      <family val="2"/>
      <scheme val="minor"/>
    </font>
    <font>
      <b/>
      <sz val="10"/>
      <color rgb="FFFA7D00"/>
      <name val="Calibri"/>
      <family val="2"/>
      <scheme val="minor"/>
    </font>
    <font>
      <b/>
      <i/>
      <sz val="14"/>
      <color rgb="FFFF0000"/>
      <name val="Arial"/>
      <family val="2"/>
    </font>
    <font>
      <sz val="7"/>
      <color rgb="FF000000"/>
      <name val="Verdana"/>
      <family val="2"/>
    </font>
    <font>
      <u/>
      <sz val="10"/>
      <color theme="10"/>
      <name val="Arial"/>
      <family val="2"/>
    </font>
    <font>
      <b/>
      <sz val="12"/>
      <color rgb="FF000000"/>
      <name val="Arial"/>
      <family val="2"/>
    </font>
    <font>
      <b/>
      <sz val="11"/>
      <color theme="0" tint="-4.9989318521683403E-2"/>
      <name val="Arial"/>
      <family val="2"/>
    </font>
    <font>
      <b/>
      <sz val="10"/>
      <color theme="1"/>
      <name val="Arial"/>
      <family val="2"/>
    </font>
    <font>
      <b/>
      <sz val="10"/>
      <color rgb="FF282828"/>
      <name val="Georgia"/>
      <family val="1"/>
    </font>
    <font>
      <b/>
      <sz val="11"/>
      <color rgb="FF000000"/>
      <name val="Arial"/>
      <family val="2"/>
    </font>
    <font>
      <b/>
      <sz val="11"/>
      <color theme="1"/>
      <name val="Calibri"/>
      <family val="2"/>
      <scheme val="minor"/>
    </font>
    <font>
      <sz val="8"/>
      <name val="Arial"/>
      <family val="2"/>
    </font>
    <font>
      <b/>
      <sz val="8"/>
      <name val="Arial"/>
      <family val="2"/>
    </font>
    <font>
      <sz val="8"/>
      <color rgb="FF000000"/>
      <name val="Arial"/>
      <family val="2"/>
    </font>
    <font>
      <sz val="8"/>
      <color theme="1"/>
      <name val="Arial"/>
      <family val="2"/>
    </font>
  </fonts>
  <fills count="51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2F2F2"/>
      </patternFill>
    </fill>
    <fill>
      <patternFill patternType="solid">
        <fgColor rgb="FFFEE6FE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5" tint="-0.24994659260841701"/>
        <bgColor indexed="64"/>
      </patternFill>
    </fill>
    <fill>
      <patternFill patternType="solid">
        <fgColor theme="4" tint="-0.24994659260841701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rgb="FF99660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0070C0"/>
        <bgColor indexed="64"/>
      </patternFill>
    </fill>
  </fills>
  <borders count="5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auto="1"/>
      </bottom>
      <diagonal/>
    </border>
    <border>
      <left style="thick">
        <color rgb="FFFF0000"/>
      </left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 style="thick">
        <color rgb="FFFF0000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ck">
        <color rgb="FFFF0000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ck">
        <color rgb="FFFF0000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ck">
        <color rgb="FFFF0000"/>
      </left>
      <right/>
      <top/>
      <bottom/>
      <diagonal/>
    </border>
    <border>
      <left style="thick">
        <color rgb="FFFF0000"/>
      </left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/>
      <top style="thin">
        <color rgb="FF000000"/>
      </top>
      <bottom style="thin">
        <color rgb="FF000000"/>
      </bottom>
      <diagonal/>
    </border>
    <border>
      <left style="double">
        <color rgb="FF000000"/>
      </left>
      <right/>
      <top/>
      <bottom style="thin">
        <color rgb="FF000000"/>
      </bottom>
      <diagonal/>
    </border>
    <border>
      <left style="double">
        <color rgb="FF000000"/>
      </left>
      <right/>
      <top/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</borders>
  <cellStyleXfs count="4">
    <xf numFmtId="0" fontId="0" fillId="0" borderId="0"/>
    <xf numFmtId="0" fontId="11" fillId="0" borderId="0"/>
    <xf numFmtId="0" fontId="21" fillId="34" borderId="32" applyNumberFormat="0" applyAlignment="0" applyProtection="0"/>
    <xf numFmtId="0" fontId="25" fillId="0" borderId="0" applyNumberFormat="0" applyFill="0" applyBorder="0" applyAlignment="0" applyProtection="0"/>
  </cellStyleXfs>
  <cellXfs count="420">
    <xf numFmtId="0" fontId="0" fillId="0" borderId="0" xfId="0" applyFont="1" applyAlignment="1"/>
    <xf numFmtId="0" fontId="1" fillId="0" borderId="0" xfId="0" applyFont="1" applyAlignment="1">
      <alignment vertical="top"/>
    </xf>
    <xf numFmtId="0" fontId="2" fillId="0" borderId="0" xfId="0" applyFont="1" applyAlignment="1">
      <alignment vertical="top"/>
    </xf>
    <xf numFmtId="0" fontId="2" fillId="0" borderId="0" xfId="0" applyFont="1"/>
    <xf numFmtId="0" fontId="1" fillId="0" borderId="1" xfId="0" applyFont="1" applyBorder="1" applyAlignment="1">
      <alignment vertical="top"/>
    </xf>
    <xf numFmtId="0" fontId="2" fillId="0" borderId="1" xfId="0" applyFont="1" applyBorder="1" applyAlignment="1">
      <alignment vertical="top"/>
    </xf>
    <xf numFmtId="0" fontId="1" fillId="0" borderId="1" xfId="0" applyFont="1" applyBorder="1"/>
    <xf numFmtId="0" fontId="2" fillId="0" borderId="2" xfId="0" applyFont="1" applyBorder="1" applyAlignment="1">
      <alignment vertical="top"/>
    </xf>
    <xf numFmtId="0" fontId="2" fillId="0" borderId="2" xfId="0" applyFont="1" applyBorder="1" applyAlignment="1">
      <alignment vertical="top"/>
    </xf>
    <xf numFmtId="0" fontId="0" fillId="0" borderId="1" xfId="0" applyFont="1" applyBorder="1"/>
    <xf numFmtId="0" fontId="0" fillId="0" borderId="1" xfId="0" applyFont="1" applyBorder="1"/>
    <xf numFmtId="0" fontId="2" fillId="0" borderId="3" xfId="0" applyFont="1" applyBorder="1" applyAlignment="1">
      <alignment vertical="top"/>
    </xf>
    <xf numFmtId="0" fontId="2" fillId="0" borderId="4" xfId="0" applyFont="1" applyBorder="1" applyAlignment="1">
      <alignment vertical="top"/>
    </xf>
    <xf numFmtId="0" fontId="0" fillId="0" borderId="0" xfId="0" applyFont="1"/>
    <xf numFmtId="0" fontId="0" fillId="0" borderId="0" xfId="0" applyFont="1"/>
    <xf numFmtId="0" fontId="1" fillId="0" borderId="0" xfId="0" applyFont="1" applyAlignment="1">
      <alignment vertical="top"/>
    </xf>
    <xf numFmtId="0" fontId="2" fillId="0" borderId="2" xfId="0" applyFont="1" applyBorder="1" applyAlignment="1">
      <alignment vertical="top"/>
    </xf>
    <xf numFmtId="0" fontId="3" fillId="0" borderId="0" xfId="0" applyFont="1" applyAlignment="1"/>
    <xf numFmtId="0" fontId="3" fillId="0" borderId="0" xfId="0" applyFont="1" applyAlignment="1"/>
    <xf numFmtId="0" fontId="3" fillId="0" borderId="5" xfId="0" applyFont="1" applyBorder="1" applyAlignment="1"/>
    <xf numFmtId="0" fontId="3" fillId="0" borderId="6" xfId="0" applyFont="1" applyBorder="1" applyAlignment="1"/>
    <xf numFmtId="0" fontId="3" fillId="0" borderId="3" xfId="0" applyFont="1" applyBorder="1" applyAlignment="1"/>
    <xf numFmtId="0" fontId="3" fillId="0" borderId="2" xfId="0" applyFont="1" applyBorder="1" applyAlignment="1"/>
    <xf numFmtId="0" fontId="2" fillId="0" borderId="5" xfId="0" applyFont="1" applyBorder="1" applyAlignment="1"/>
    <xf numFmtId="0" fontId="4" fillId="0" borderId="1" xfId="0" applyFont="1" applyBorder="1" applyAlignment="1">
      <alignment vertical="top"/>
    </xf>
    <xf numFmtId="0" fontId="6" fillId="0" borderId="2" xfId="0" applyFont="1" applyBorder="1" applyAlignment="1">
      <alignment vertical="top"/>
    </xf>
    <xf numFmtId="0" fontId="7" fillId="0" borderId="0" xfId="0" applyFont="1" applyAlignment="1"/>
    <xf numFmtId="0" fontId="4" fillId="0" borderId="1" xfId="0" applyFont="1" applyBorder="1"/>
    <xf numFmtId="0" fontId="8" fillId="0" borderId="8" xfId="0" applyFont="1" applyBorder="1" applyAlignment="1">
      <alignment vertical="center" wrapText="1"/>
    </xf>
    <xf numFmtId="0" fontId="8" fillId="0" borderId="9" xfId="0" applyFont="1" applyBorder="1" applyAlignment="1">
      <alignment vertical="center" wrapText="1"/>
    </xf>
    <xf numFmtId="0" fontId="9" fillId="0" borderId="10" xfId="0" applyFont="1" applyBorder="1" applyAlignment="1">
      <alignment vertical="center" wrapText="1"/>
    </xf>
    <xf numFmtId="0" fontId="10" fillId="0" borderId="11" xfId="0" applyFont="1" applyBorder="1" applyAlignment="1">
      <alignment vertical="center" wrapText="1"/>
    </xf>
    <xf numFmtId="0" fontId="9" fillId="0" borderId="11" xfId="0" applyFont="1" applyBorder="1" applyAlignment="1">
      <alignment vertical="center" wrapText="1"/>
    </xf>
    <xf numFmtId="0" fontId="25" fillId="0" borderId="0" xfId="3" applyAlignment="1">
      <alignment horizontal="left" vertical="top" wrapText="1"/>
    </xf>
    <xf numFmtId="0" fontId="24" fillId="0" borderId="0" xfId="0" applyFont="1" applyAlignment="1">
      <alignment horizontal="left" vertical="center" wrapText="1"/>
    </xf>
    <xf numFmtId="0" fontId="24" fillId="0" borderId="0" xfId="0" applyFont="1" applyAlignment="1"/>
    <xf numFmtId="0" fontId="5" fillId="0" borderId="0" xfId="0" applyFont="1" applyAlignment="1"/>
    <xf numFmtId="12" fontId="20" fillId="9" borderId="7" xfId="0" applyNumberFormat="1" applyFont="1" applyFill="1" applyBorder="1" applyAlignment="1" applyProtection="1">
      <alignment horizontal="center" vertical="center"/>
      <protection locked="0"/>
    </xf>
    <xf numFmtId="12" fontId="20" fillId="11" borderId="7" xfId="0" applyNumberFormat="1" applyFont="1" applyFill="1" applyBorder="1" applyAlignment="1" applyProtection="1">
      <alignment horizontal="center" vertical="center"/>
      <protection locked="0"/>
    </xf>
    <xf numFmtId="0" fontId="18" fillId="2" borderId="1" xfId="0" applyFont="1" applyFill="1" applyBorder="1" applyAlignment="1" applyProtection="1">
      <alignment vertical="top" wrapText="1"/>
      <protection locked="0"/>
    </xf>
    <xf numFmtId="0" fontId="18" fillId="5" borderId="1" xfId="0" applyFont="1" applyFill="1" applyBorder="1" applyAlignment="1" applyProtection="1">
      <alignment vertical="top" wrapText="1"/>
      <protection locked="0"/>
    </xf>
    <xf numFmtId="0" fontId="18" fillId="33" borderId="1" xfId="0" applyFont="1" applyFill="1" applyBorder="1" applyAlignment="1" applyProtection="1">
      <alignment vertical="top" wrapText="1"/>
      <protection locked="0"/>
    </xf>
    <xf numFmtId="0" fontId="0" fillId="0" borderId="0" xfId="0" applyFont="1" applyAlignment="1" applyProtection="1">
      <protection locked="0"/>
    </xf>
    <xf numFmtId="0" fontId="18" fillId="2" borderId="2" xfId="0" applyFont="1" applyFill="1" applyBorder="1" applyAlignment="1" applyProtection="1">
      <alignment vertical="top" wrapText="1"/>
      <protection locked="0"/>
    </xf>
    <xf numFmtId="0" fontId="0" fillId="0" borderId="0" xfId="0" applyFont="1" applyAlignment="1" applyProtection="1"/>
    <xf numFmtId="0" fontId="2" fillId="0" borderId="0" xfId="0" applyFont="1" applyAlignment="1" applyProtection="1">
      <protection hidden="1"/>
    </xf>
    <xf numFmtId="0" fontId="0" fillId="0" borderId="0" xfId="0" applyFont="1" applyAlignment="1" applyProtection="1">
      <protection hidden="1"/>
    </xf>
    <xf numFmtId="0" fontId="11" fillId="0" borderId="0" xfId="1" applyProtection="1"/>
    <xf numFmtId="0" fontId="0" fillId="0" borderId="0" xfId="0" applyFont="1" applyProtection="1"/>
    <xf numFmtId="0" fontId="0" fillId="0" borderId="0" xfId="0" applyProtection="1"/>
    <xf numFmtId="0" fontId="0" fillId="3" borderId="0" xfId="0" applyFont="1" applyFill="1" applyAlignment="1" applyProtection="1"/>
    <xf numFmtId="0" fontId="1" fillId="5" borderId="7" xfId="1" applyFont="1" applyFill="1" applyBorder="1" applyProtection="1"/>
    <xf numFmtId="0" fontId="1" fillId="7" borderId="7" xfId="1" applyFont="1" applyFill="1" applyBorder="1" applyAlignment="1" applyProtection="1">
      <alignment textRotation="45" wrapText="1"/>
    </xf>
    <xf numFmtId="0" fontId="11" fillId="3" borderId="25" xfId="1" applyFill="1" applyBorder="1" applyProtection="1"/>
    <xf numFmtId="0" fontId="11" fillId="3" borderId="0" xfId="1" applyFill="1" applyProtection="1"/>
    <xf numFmtId="0" fontId="1" fillId="7" borderId="27" xfId="1" applyFont="1" applyFill="1" applyBorder="1" applyProtection="1"/>
    <xf numFmtId="12" fontId="1" fillId="8" borderId="37" xfId="0" applyNumberFormat="1" applyFont="1" applyFill="1" applyBorder="1" applyAlignment="1" applyProtection="1">
      <alignment horizontal="center" vertical="center"/>
    </xf>
    <xf numFmtId="164" fontId="17" fillId="9" borderId="7" xfId="0" applyNumberFormat="1" applyFont="1" applyFill="1" applyBorder="1" applyAlignment="1" applyProtection="1">
      <alignment horizontal="center" vertical="center"/>
    </xf>
    <xf numFmtId="0" fontId="1" fillId="0" borderId="0" xfId="1" applyFont="1" applyFill="1" applyBorder="1" applyProtection="1"/>
    <xf numFmtId="0" fontId="11" fillId="0" borderId="0" xfId="1" applyFill="1" applyBorder="1" applyProtection="1"/>
    <xf numFmtId="0" fontId="1" fillId="7" borderId="7" xfId="1" applyFont="1" applyFill="1" applyBorder="1" applyProtection="1"/>
    <xf numFmtId="12" fontId="1" fillId="10" borderId="22" xfId="0" applyNumberFormat="1" applyFont="1" applyFill="1" applyBorder="1" applyAlignment="1" applyProtection="1">
      <alignment horizontal="center" vertical="center"/>
    </xf>
    <xf numFmtId="12" fontId="20" fillId="8" borderId="37" xfId="0" applyNumberFormat="1" applyFont="1" applyFill="1" applyBorder="1" applyAlignment="1" applyProtection="1">
      <alignment horizontal="center" vertical="center"/>
    </xf>
    <xf numFmtId="164" fontId="1" fillId="11" borderId="7" xfId="0" applyNumberFormat="1" applyFont="1" applyFill="1" applyBorder="1" applyAlignment="1" applyProtection="1">
      <alignment horizontal="center" vertical="center"/>
    </xf>
    <xf numFmtId="12" fontId="1" fillId="10" borderId="7" xfId="0" applyNumberFormat="1" applyFont="1" applyFill="1" applyBorder="1" applyAlignment="1" applyProtection="1">
      <alignment horizontal="center" vertical="center"/>
    </xf>
    <xf numFmtId="12" fontId="20" fillId="10" borderId="22" xfId="0" applyNumberFormat="1" applyFont="1" applyFill="1" applyBorder="1" applyAlignment="1" applyProtection="1">
      <alignment horizontal="center" vertical="center"/>
    </xf>
    <xf numFmtId="164" fontId="1" fillId="7" borderId="7" xfId="0" applyNumberFormat="1" applyFont="1" applyFill="1" applyBorder="1" applyAlignment="1" applyProtection="1">
      <alignment horizontal="center" vertical="center"/>
    </xf>
    <xf numFmtId="12" fontId="20" fillId="10" borderId="7" xfId="0" applyNumberFormat="1" applyFont="1" applyFill="1" applyBorder="1" applyAlignment="1" applyProtection="1">
      <alignment horizontal="center" vertical="center"/>
    </xf>
    <xf numFmtId="164" fontId="1" fillId="12" borderId="7" xfId="0" applyNumberFormat="1" applyFont="1" applyFill="1" applyBorder="1" applyAlignment="1" applyProtection="1">
      <alignment horizontal="center" vertical="center"/>
    </xf>
    <xf numFmtId="164" fontId="1" fillId="16" borderId="7" xfId="0" applyNumberFormat="1" applyFont="1" applyFill="1" applyBorder="1" applyAlignment="1" applyProtection="1">
      <alignment horizontal="center" vertical="center"/>
    </xf>
    <xf numFmtId="164" fontId="1" fillId="17" borderId="7" xfId="0" applyNumberFormat="1" applyFont="1" applyFill="1" applyBorder="1" applyAlignment="1" applyProtection="1">
      <alignment horizontal="center" vertical="center"/>
    </xf>
    <xf numFmtId="164" fontId="1" fillId="18" borderId="7" xfId="0" applyNumberFormat="1" applyFont="1" applyFill="1" applyBorder="1" applyAlignment="1" applyProtection="1">
      <alignment horizontal="center" vertical="center"/>
    </xf>
    <xf numFmtId="164" fontId="1" fillId="19" borderId="7" xfId="0" applyNumberFormat="1" applyFont="1" applyFill="1" applyBorder="1" applyAlignment="1" applyProtection="1">
      <alignment horizontal="center" vertical="center"/>
    </xf>
    <xf numFmtId="164" fontId="1" fillId="20" borderId="7" xfId="0" applyNumberFormat="1" applyFont="1" applyFill="1" applyBorder="1" applyAlignment="1" applyProtection="1">
      <alignment horizontal="center" vertical="center"/>
    </xf>
    <xf numFmtId="164" fontId="1" fillId="15" borderId="7" xfId="0" applyNumberFormat="1" applyFont="1" applyFill="1" applyBorder="1" applyAlignment="1" applyProtection="1">
      <alignment horizontal="center" vertical="center"/>
    </xf>
    <xf numFmtId="164" fontId="1" fillId="4" borderId="7" xfId="0" applyNumberFormat="1" applyFont="1" applyFill="1" applyBorder="1" applyAlignment="1" applyProtection="1">
      <alignment horizontal="center" vertical="center"/>
    </xf>
    <xf numFmtId="164" fontId="1" fillId="21" borderId="7" xfId="0" applyNumberFormat="1" applyFont="1" applyFill="1" applyBorder="1" applyAlignment="1" applyProtection="1">
      <alignment horizontal="center" vertical="center"/>
    </xf>
    <xf numFmtId="164" fontId="1" fillId="22" borderId="7" xfId="0" applyNumberFormat="1" applyFont="1" applyFill="1" applyBorder="1" applyAlignment="1" applyProtection="1">
      <alignment horizontal="center" vertical="center"/>
    </xf>
    <xf numFmtId="164" fontId="1" fillId="3" borderId="7" xfId="0" applyNumberFormat="1" applyFont="1" applyFill="1" applyBorder="1" applyAlignment="1" applyProtection="1">
      <alignment horizontal="center" vertical="center"/>
    </xf>
    <xf numFmtId="164" fontId="1" fillId="23" borderId="7" xfId="0" applyNumberFormat="1" applyFont="1" applyFill="1" applyBorder="1" applyAlignment="1" applyProtection="1">
      <alignment horizontal="center" vertical="center"/>
    </xf>
    <xf numFmtId="164" fontId="16" fillId="24" borderId="7" xfId="0" applyNumberFormat="1" applyFont="1" applyFill="1" applyBorder="1" applyAlignment="1" applyProtection="1">
      <alignment horizontal="center" vertical="center"/>
    </xf>
    <xf numFmtId="164" fontId="1" fillId="25" borderId="7" xfId="0" applyNumberFormat="1" applyFont="1" applyFill="1" applyBorder="1" applyAlignment="1" applyProtection="1">
      <alignment horizontal="center" vertical="center"/>
    </xf>
    <xf numFmtId="164" fontId="1" fillId="26" borderId="7" xfId="0" applyNumberFormat="1" applyFont="1" applyFill="1" applyBorder="1" applyAlignment="1" applyProtection="1">
      <alignment horizontal="center" vertical="center"/>
    </xf>
    <xf numFmtId="164" fontId="16" fillId="27" borderId="7" xfId="0" applyNumberFormat="1" applyFont="1" applyFill="1" applyBorder="1" applyAlignment="1" applyProtection="1">
      <alignment horizontal="center" vertical="center"/>
    </xf>
    <xf numFmtId="164" fontId="1" fillId="28" borderId="7" xfId="0" applyNumberFormat="1" applyFont="1" applyFill="1" applyBorder="1" applyAlignment="1" applyProtection="1">
      <alignment horizontal="center" vertical="center"/>
    </xf>
    <xf numFmtId="164" fontId="16" fillId="29" borderId="7" xfId="0" applyNumberFormat="1" applyFont="1" applyFill="1" applyBorder="1" applyAlignment="1" applyProtection="1">
      <alignment horizontal="center" vertical="center"/>
    </xf>
    <xf numFmtId="164" fontId="16" fillId="30" borderId="7" xfId="0" applyNumberFormat="1" applyFont="1" applyFill="1" applyBorder="1" applyAlignment="1" applyProtection="1">
      <alignment horizontal="center" vertical="center"/>
    </xf>
    <xf numFmtId="0" fontId="16" fillId="31" borderId="7" xfId="0" applyFont="1" applyFill="1" applyBorder="1" applyAlignment="1" applyProtection="1">
      <alignment horizontal="center" vertical="center"/>
    </xf>
    <xf numFmtId="164" fontId="16" fillId="31" borderId="7" xfId="0" applyNumberFormat="1" applyFont="1" applyFill="1" applyBorder="1" applyAlignment="1" applyProtection="1">
      <alignment horizontal="center" vertical="center"/>
    </xf>
    <xf numFmtId="164" fontId="27" fillId="31" borderId="7" xfId="0" applyNumberFormat="1" applyFont="1" applyFill="1" applyBorder="1" applyAlignment="1" applyProtection="1">
      <alignment horizontal="center" vertical="center"/>
    </xf>
    <xf numFmtId="0" fontId="0" fillId="3" borderId="0" xfId="0" applyFont="1" applyFill="1" applyProtection="1"/>
    <xf numFmtId="0" fontId="16" fillId="3" borderId="21" xfId="0" applyFont="1" applyFill="1" applyBorder="1" applyAlignment="1" applyProtection="1">
      <alignment horizontal="center" vertical="center"/>
    </xf>
    <xf numFmtId="164" fontId="16" fillId="3" borderId="7" xfId="0" applyNumberFormat="1" applyFont="1" applyFill="1" applyBorder="1" applyAlignment="1" applyProtection="1">
      <alignment horizontal="center" vertical="center"/>
    </xf>
    <xf numFmtId="0" fontId="0" fillId="3" borderId="0" xfId="0" applyFill="1" applyProtection="1"/>
    <xf numFmtId="0" fontId="1" fillId="3" borderId="0" xfId="1" applyFont="1" applyFill="1" applyBorder="1" applyProtection="1"/>
    <xf numFmtId="0" fontId="11" fillId="3" borderId="0" xfId="1" applyFill="1" applyBorder="1" applyProtection="1"/>
    <xf numFmtId="0" fontId="18" fillId="7" borderId="21" xfId="1" applyFont="1" applyFill="1" applyBorder="1" applyAlignment="1" applyProtection="1">
      <alignment horizontal="center" wrapText="1"/>
    </xf>
    <xf numFmtId="0" fontId="18" fillId="7" borderId="31" xfId="1" applyFont="1" applyFill="1" applyBorder="1" applyAlignment="1" applyProtection="1">
      <alignment horizontal="center" wrapText="1"/>
    </xf>
    <xf numFmtId="0" fontId="18" fillId="7" borderId="23" xfId="1" applyFont="1" applyFill="1" applyBorder="1" applyAlignment="1" applyProtection="1">
      <alignment horizontal="center" wrapText="1"/>
    </xf>
    <xf numFmtId="0" fontId="1" fillId="7" borderId="22" xfId="1" applyFont="1" applyFill="1" applyBorder="1" applyAlignment="1" applyProtection="1">
      <alignment horizontal="center" wrapText="1"/>
    </xf>
    <xf numFmtId="0" fontId="1" fillId="7" borderId="12" xfId="1" applyFont="1" applyFill="1" applyBorder="1" applyAlignment="1" applyProtection="1">
      <alignment horizontal="center" vertical="center" wrapText="1"/>
    </xf>
    <xf numFmtId="0" fontId="1" fillId="7" borderId="0" xfId="1" applyFont="1" applyFill="1" applyBorder="1" applyAlignment="1" applyProtection="1">
      <alignment horizontal="center" vertical="center" wrapText="1"/>
    </xf>
    <xf numFmtId="0" fontId="19" fillId="7" borderId="24" xfId="1" applyFont="1" applyFill="1" applyBorder="1" applyAlignment="1" applyProtection="1">
      <alignment horizontal="center" vertical="center" wrapText="1"/>
    </xf>
    <xf numFmtId="0" fontId="2" fillId="0" borderId="0" xfId="1" applyFont="1" applyProtection="1"/>
    <xf numFmtId="0" fontId="20" fillId="7" borderId="7" xfId="1" applyFont="1" applyFill="1" applyBorder="1" applyProtection="1"/>
    <xf numFmtId="164" fontId="1" fillId="9" borderId="7" xfId="0" applyNumberFormat="1" applyFont="1" applyFill="1" applyBorder="1" applyAlignment="1" applyProtection="1">
      <alignment horizontal="center" vertical="center"/>
    </xf>
    <xf numFmtId="165" fontId="1" fillId="9" borderId="7" xfId="0" applyNumberFormat="1" applyFont="1" applyFill="1" applyBorder="1" applyAlignment="1" applyProtection="1">
      <alignment horizontal="center" vertical="center"/>
    </xf>
    <xf numFmtId="164" fontId="1" fillId="9" borderId="27" xfId="0" applyNumberFormat="1" applyFont="1" applyFill="1" applyBorder="1" applyAlignment="1" applyProtection="1">
      <alignment horizontal="center" vertical="center"/>
    </xf>
    <xf numFmtId="164" fontId="1" fillId="9" borderId="28" xfId="0" applyNumberFormat="1" applyFont="1" applyFill="1" applyBorder="1" applyAlignment="1" applyProtection="1">
      <alignment horizontal="center" vertical="center"/>
    </xf>
    <xf numFmtId="0" fontId="21" fillId="35" borderId="32" xfId="2" applyFill="1" applyAlignment="1" applyProtection="1"/>
    <xf numFmtId="165" fontId="1" fillId="11" borderId="7" xfId="0" applyNumberFormat="1" applyFont="1" applyFill="1" applyBorder="1" applyAlignment="1" applyProtection="1">
      <alignment horizontal="center" vertical="center"/>
    </xf>
    <xf numFmtId="164" fontId="1" fillId="11" borderId="28" xfId="0" applyNumberFormat="1" applyFont="1" applyFill="1" applyBorder="1" applyAlignment="1" applyProtection="1">
      <alignment horizontal="center" vertical="center"/>
    </xf>
    <xf numFmtId="165" fontId="1" fillId="7" borderId="7" xfId="0" applyNumberFormat="1" applyFont="1" applyFill="1" applyBorder="1" applyAlignment="1" applyProtection="1">
      <alignment horizontal="center" vertical="center"/>
    </xf>
    <xf numFmtId="164" fontId="1" fillId="7" borderId="28" xfId="0" applyNumberFormat="1" applyFont="1" applyFill="1" applyBorder="1" applyAlignment="1" applyProtection="1">
      <alignment horizontal="center" vertical="center"/>
    </xf>
    <xf numFmtId="165" fontId="1" fillId="12" borderId="7" xfId="0" applyNumberFormat="1" applyFont="1" applyFill="1" applyBorder="1" applyAlignment="1" applyProtection="1">
      <alignment horizontal="center" vertical="center"/>
    </xf>
    <xf numFmtId="164" fontId="1" fillId="12" borderId="28" xfId="0" applyNumberFormat="1" applyFont="1" applyFill="1" applyBorder="1" applyAlignment="1" applyProtection="1">
      <alignment horizontal="center" vertical="center"/>
    </xf>
    <xf numFmtId="165" fontId="1" fillId="16" borderId="7" xfId="0" applyNumberFormat="1" applyFont="1" applyFill="1" applyBorder="1" applyAlignment="1" applyProtection="1">
      <alignment horizontal="center" vertical="center"/>
    </xf>
    <xf numFmtId="164" fontId="1" fillId="16" borderId="28" xfId="0" applyNumberFormat="1" applyFont="1" applyFill="1" applyBorder="1" applyAlignment="1" applyProtection="1">
      <alignment horizontal="center" vertical="center"/>
    </xf>
    <xf numFmtId="165" fontId="1" fillId="17" borderId="7" xfId="0" applyNumberFormat="1" applyFont="1" applyFill="1" applyBorder="1" applyAlignment="1" applyProtection="1">
      <alignment horizontal="center" vertical="center"/>
    </xf>
    <xf numFmtId="164" fontId="1" fillId="17" borderId="28" xfId="0" applyNumberFormat="1" applyFont="1" applyFill="1" applyBorder="1" applyAlignment="1" applyProtection="1">
      <alignment horizontal="center" vertical="center"/>
    </xf>
    <xf numFmtId="165" fontId="1" fillId="18" borderId="7" xfId="0" applyNumberFormat="1" applyFont="1" applyFill="1" applyBorder="1" applyAlignment="1" applyProtection="1">
      <alignment horizontal="center" vertical="center"/>
    </xf>
    <xf numFmtId="164" fontId="1" fillId="18" borderId="28" xfId="0" applyNumberFormat="1" applyFont="1" applyFill="1" applyBorder="1" applyAlignment="1" applyProtection="1">
      <alignment horizontal="center" vertical="center"/>
    </xf>
    <xf numFmtId="165" fontId="1" fillId="19" borderId="7" xfId="0" applyNumberFormat="1" applyFont="1" applyFill="1" applyBorder="1" applyAlignment="1" applyProtection="1">
      <alignment horizontal="center" vertical="center"/>
    </xf>
    <xf numFmtId="164" fontId="1" fillId="19" borderId="28" xfId="0" applyNumberFormat="1" applyFont="1" applyFill="1" applyBorder="1" applyAlignment="1" applyProtection="1">
      <alignment horizontal="center" vertical="center"/>
    </xf>
    <xf numFmtId="165" fontId="1" fillId="20" borderId="7" xfId="0" applyNumberFormat="1" applyFont="1" applyFill="1" applyBorder="1" applyAlignment="1" applyProtection="1">
      <alignment horizontal="center" vertical="center"/>
    </xf>
    <xf numFmtId="164" fontId="1" fillId="20" borderId="28" xfId="0" applyNumberFormat="1" applyFont="1" applyFill="1" applyBorder="1" applyAlignment="1" applyProtection="1">
      <alignment horizontal="center" vertical="center"/>
    </xf>
    <xf numFmtId="165" fontId="1" fillId="15" borderId="7" xfId="0" applyNumberFormat="1" applyFont="1" applyFill="1" applyBorder="1" applyAlignment="1" applyProtection="1">
      <alignment horizontal="center" vertical="center"/>
    </xf>
    <xf numFmtId="164" fontId="1" fillId="15" borderId="28" xfId="0" applyNumberFormat="1" applyFont="1" applyFill="1" applyBorder="1" applyAlignment="1" applyProtection="1">
      <alignment horizontal="center" vertical="center"/>
    </xf>
    <xf numFmtId="165" fontId="1" fillId="4" borderId="7" xfId="0" applyNumberFormat="1" applyFont="1" applyFill="1" applyBorder="1" applyAlignment="1" applyProtection="1">
      <alignment horizontal="center" vertical="center"/>
    </xf>
    <xf numFmtId="164" fontId="1" fillId="4" borderId="28" xfId="0" applyNumberFormat="1" applyFont="1" applyFill="1" applyBorder="1" applyAlignment="1" applyProtection="1">
      <alignment horizontal="center" vertical="center"/>
    </xf>
    <xf numFmtId="165" fontId="1" fillId="21" borderId="7" xfId="0" applyNumberFormat="1" applyFont="1" applyFill="1" applyBorder="1" applyAlignment="1" applyProtection="1">
      <alignment horizontal="center" vertical="center"/>
    </xf>
    <xf numFmtId="164" fontId="1" fillId="21" borderId="28" xfId="0" applyNumberFormat="1" applyFont="1" applyFill="1" applyBorder="1" applyAlignment="1" applyProtection="1">
      <alignment horizontal="center" vertical="center"/>
    </xf>
    <xf numFmtId="165" fontId="1" fillId="22" borderId="7" xfId="0" applyNumberFormat="1" applyFont="1" applyFill="1" applyBorder="1" applyAlignment="1" applyProtection="1">
      <alignment horizontal="center" vertical="center"/>
    </xf>
    <xf numFmtId="164" fontId="1" fillId="22" borderId="28" xfId="0" applyNumberFormat="1" applyFont="1" applyFill="1" applyBorder="1" applyAlignment="1" applyProtection="1">
      <alignment horizontal="center" vertical="center"/>
    </xf>
    <xf numFmtId="165" fontId="1" fillId="3" borderId="7" xfId="0" applyNumberFormat="1" applyFont="1" applyFill="1" applyBorder="1" applyAlignment="1" applyProtection="1">
      <alignment horizontal="center" vertical="center"/>
    </xf>
    <xf numFmtId="164" fontId="1" fillId="3" borderId="28" xfId="0" applyNumberFormat="1" applyFont="1" applyFill="1" applyBorder="1" applyAlignment="1" applyProtection="1">
      <alignment horizontal="center" vertical="center"/>
    </xf>
    <xf numFmtId="165" fontId="1" fillId="23" borderId="7" xfId="0" applyNumberFormat="1" applyFont="1" applyFill="1" applyBorder="1" applyAlignment="1" applyProtection="1">
      <alignment horizontal="center" vertical="center"/>
    </xf>
    <xf numFmtId="164" fontId="1" fillId="23" borderId="28" xfId="0" applyNumberFormat="1" applyFont="1" applyFill="1" applyBorder="1" applyAlignment="1" applyProtection="1">
      <alignment horizontal="center" vertical="center"/>
    </xf>
    <xf numFmtId="165" fontId="16" fillId="24" borderId="7" xfId="0" applyNumberFormat="1" applyFont="1" applyFill="1" applyBorder="1" applyAlignment="1" applyProtection="1">
      <alignment horizontal="center" vertical="center"/>
    </xf>
    <xf numFmtId="164" fontId="16" fillId="24" borderId="28" xfId="0" applyNumberFormat="1" applyFont="1" applyFill="1" applyBorder="1" applyAlignment="1" applyProtection="1">
      <alignment horizontal="center" vertical="center"/>
    </xf>
    <xf numFmtId="165" fontId="1" fillId="25" borderId="7" xfId="0" applyNumberFormat="1" applyFont="1" applyFill="1" applyBorder="1" applyAlignment="1" applyProtection="1">
      <alignment horizontal="center" vertical="center"/>
    </xf>
    <xf numFmtId="164" fontId="1" fillId="25" borderId="28" xfId="0" applyNumberFormat="1" applyFont="1" applyFill="1" applyBorder="1" applyAlignment="1" applyProtection="1">
      <alignment horizontal="center" vertical="center"/>
    </xf>
    <xf numFmtId="165" fontId="1" fillId="26" borderId="7" xfId="0" applyNumberFormat="1" applyFont="1" applyFill="1" applyBorder="1" applyAlignment="1" applyProtection="1">
      <alignment horizontal="center" vertical="center"/>
    </xf>
    <xf numFmtId="164" fontId="1" fillId="26" borderId="28" xfId="0" applyNumberFormat="1" applyFont="1" applyFill="1" applyBorder="1" applyAlignment="1" applyProtection="1">
      <alignment horizontal="center" vertical="center"/>
    </xf>
    <xf numFmtId="165" fontId="16" fillId="27" borderId="7" xfId="0" applyNumberFormat="1" applyFont="1" applyFill="1" applyBorder="1" applyAlignment="1" applyProtection="1">
      <alignment horizontal="center" vertical="center"/>
    </xf>
    <xf numFmtId="164" fontId="16" fillId="27" borderId="28" xfId="0" applyNumberFormat="1" applyFont="1" applyFill="1" applyBorder="1" applyAlignment="1" applyProtection="1">
      <alignment horizontal="center" vertical="center"/>
    </xf>
    <xf numFmtId="165" fontId="1" fillId="28" borderId="7" xfId="0" applyNumberFormat="1" applyFont="1" applyFill="1" applyBorder="1" applyAlignment="1" applyProtection="1">
      <alignment horizontal="center" vertical="center"/>
    </xf>
    <xf numFmtId="164" fontId="1" fillId="28" borderId="28" xfId="0" applyNumberFormat="1" applyFont="1" applyFill="1" applyBorder="1" applyAlignment="1" applyProtection="1">
      <alignment horizontal="center" vertical="center"/>
    </xf>
    <xf numFmtId="164" fontId="16" fillId="29" borderId="28" xfId="0" applyNumberFormat="1" applyFont="1" applyFill="1" applyBorder="1" applyAlignment="1" applyProtection="1">
      <alignment horizontal="center" vertical="center"/>
    </xf>
    <xf numFmtId="165" fontId="16" fillId="30" borderId="7" xfId="0" applyNumberFormat="1" applyFont="1" applyFill="1" applyBorder="1" applyAlignment="1" applyProtection="1">
      <alignment horizontal="center" vertical="center"/>
    </xf>
    <xf numFmtId="164" fontId="16" fillId="30" borderId="28" xfId="0" applyNumberFormat="1" applyFont="1" applyFill="1" applyBorder="1" applyAlignment="1" applyProtection="1">
      <alignment horizontal="center" vertical="center"/>
    </xf>
    <xf numFmtId="0" fontId="1" fillId="13" borderId="7" xfId="1" applyFont="1" applyFill="1" applyBorder="1" applyProtection="1"/>
    <xf numFmtId="164" fontId="1" fillId="13" borderId="7" xfId="1" applyNumberFormat="1" applyFont="1" applyFill="1" applyBorder="1" applyProtection="1"/>
    <xf numFmtId="164" fontId="1" fillId="13" borderId="27" xfId="1" applyNumberFormat="1" applyFont="1" applyFill="1" applyBorder="1" applyProtection="1"/>
    <xf numFmtId="0" fontId="1" fillId="13" borderId="30" xfId="1" applyFont="1" applyFill="1" applyBorder="1" applyAlignment="1" applyProtection="1">
      <alignment horizontal="right"/>
    </xf>
    <xf numFmtId="0" fontId="1" fillId="0" borderId="0" xfId="1" applyFont="1" applyProtection="1"/>
    <xf numFmtId="0" fontId="7" fillId="0" borderId="0" xfId="0" applyFont="1" applyAlignment="1" applyProtection="1">
      <alignment horizontal="center" vertical="center"/>
    </xf>
    <xf numFmtId="0" fontId="1" fillId="0" borderId="0" xfId="1" applyFont="1" applyAlignment="1" applyProtection="1">
      <alignment horizontal="right"/>
    </xf>
    <xf numFmtId="0" fontId="1" fillId="37" borderId="7" xfId="1" applyFont="1" applyFill="1" applyBorder="1" applyProtection="1"/>
    <xf numFmtId="0" fontId="5" fillId="37" borderId="7" xfId="0" applyFont="1" applyFill="1" applyBorder="1" applyAlignment="1" applyProtection="1">
      <alignment horizontal="right" vertical="top" wrapText="1"/>
    </xf>
    <xf numFmtId="0" fontId="1" fillId="6" borderId="7" xfId="1" applyFont="1" applyFill="1" applyBorder="1" applyProtection="1"/>
    <xf numFmtId="0" fontId="1" fillId="19" borderId="7" xfId="1" applyFont="1" applyFill="1" applyBorder="1" applyAlignment="1" applyProtection="1">
      <alignment vertical="center"/>
    </xf>
    <xf numFmtId="0" fontId="1" fillId="19" borderId="7" xfId="1" applyFont="1" applyFill="1" applyBorder="1" applyAlignment="1" applyProtection="1">
      <alignment vertical="center" wrapText="1"/>
    </xf>
    <xf numFmtId="0" fontId="13" fillId="3" borderId="26" xfId="1" applyFont="1" applyFill="1" applyBorder="1" applyProtection="1"/>
    <xf numFmtId="0" fontId="2" fillId="3" borderId="0" xfId="1" applyFont="1" applyFill="1" applyProtection="1"/>
    <xf numFmtId="0" fontId="7" fillId="0" borderId="0" xfId="0" applyFont="1" applyAlignment="1" applyProtection="1"/>
    <xf numFmtId="0" fontId="1" fillId="37" borderId="7" xfId="1" applyFont="1" applyFill="1" applyBorder="1" applyAlignment="1" applyProtection="1">
      <alignment horizontal="right"/>
    </xf>
    <xf numFmtId="0" fontId="1" fillId="19" borderId="7" xfId="1" applyFont="1" applyFill="1" applyBorder="1" applyProtection="1"/>
    <xf numFmtId="12" fontId="20" fillId="8" borderId="7" xfId="0" applyNumberFormat="1" applyFont="1" applyFill="1" applyBorder="1" applyAlignment="1" applyProtection="1">
      <alignment horizontal="center" vertical="center"/>
    </xf>
    <xf numFmtId="0" fontId="14" fillId="0" borderId="0" xfId="1" applyFont="1" applyProtection="1"/>
    <xf numFmtId="0" fontId="5" fillId="0" borderId="0" xfId="0" applyFont="1" applyAlignment="1" applyProtection="1">
      <alignment horizontal="right" vertical="top"/>
    </xf>
    <xf numFmtId="0" fontId="18" fillId="19" borderId="21" xfId="1" applyFont="1" applyFill="1" applyBorder="1" applyAlignment="1" applyProtection="1">
      <alignment horizontal="center" wrapText="1"/>
    </xf>
    <xf numFmtId="0" fontId="1" fillId="19" borderId="22" xfId="1" applyFont="1" applyFill="1" applyBorder="1" applyAlignment="1" applyProtection="1">
      <alignment horizontal="center" wrapText="1"/>
    </xf>
    <xf numFmtId="165" fontId="17" fillId="11" borderId="7" xfId="0" applyNumberFormat="1" applyFont="1" applyFill="1" applyBorder="1" applyAlignment="1" applyProtection="1">
      <alignment horizontal="center" vertical="center"/>
    </xf>
    <xf numFmtId="164" fontId="17" fillId="11" borderId="7" xfId="0" applyNumberFormat="1" applyFont="1" applyFill="1" applyBorder="1" applyAlignment="1" applyProtection="1">
      <alignment horizontal="center" vertical="center"/>
    </xf>
    <xf numFmtId="0" fontId="22" fillId="35" borderId="32" xfId="2" applyFont="1" applyFill="1" applyAlignment="1" applyProtection="1"/>
    <xf numFmtId="165" fontId="17" fillId="7" borderId="7" xfId="0" applyNumberFormat="1" applyFont="1" applyFill="1" applyBorder="1" applyAlignment="1" applyProtection="1">
      <alignment horizontal="center" vertical="center"/>
    </xf>
    <xf numFmtId="164" fontId="17" fillId="7" borderId="7" xfId="0" applyNumberFormat="1" applyFont="1" applyFill="1" applyBorder="1" applyAlignment="1" applyProtection="1">
      <alignment horizontal="center" vertical="center"/>
    </xf>
    <xf numFmtId="165" fontId="17" fillId="12" borderId="7" xfId="0" applyNumberFormat="1" applyFont="1" applyFill="1" applyBorder="1" applyAlignment="1" applyProtection="1">
      <alignment horizontal="center" vertical="center"/>
    </xf>
    <xf numFmtId="164" fontId="17" fillId="12" borderId="7" xfId="0" applyNumberFormat="1" applyFont="1" applyFill="1" applyBorder="1" applyAlignment="1" applyProtection="1">
      <alignment horizontal="center" vertical="center"/>
    </xf>
    <xf numFmtId="165" fontId="17" fillId="16" borderId="7" xfId="0" applyNumberFormat="1" applyFont="1" applyFill="1" applyBorder="1" applyAlignment="1" applyProtection="1">
      <alignment horizontal="center" vertical="center"/>
    </xf>
    <xf numFmtId="164" fontId="17" fillId="16" borderId="7" xfId="0" applyNumberFormat="1" applyFont="1" applyFill="1" applyBorder="1" applyAlignment="1" applyProtection="1">
      <alignment horizontal="center" vertical="center"/>
    </xf>
    <xf numFmtId="165" fontId="17" fillId="17" borderId="7" xfId="0" applyNumberFormat="1" applyFont="1" applyFill="1" applyBorder="1" applyAlignment="1" applyProtection="1">
      <alignment horizontal="center" vertical="center"/>
    </xf>
    <xf numFmtId="164" fontId="17" fillId="17" borderId="7" xfId="0" applyNumberFormat="1" applyFont="1" applyFill="1" applyBorder="1" applyAlignment="1" applyProtection="1">
      <alignment horizontal="center" vertical="center"/>
    </xf>
    <xf numFmtId="0" fontId="1" fillId="13" borderId="30" xfId="1" applyFont="1" applyFill="1" applyBorder="1" applyAlignment="1" applyProtection="1">
      <alignment horizontal="right" wrapText="1"/>
    </xf>
    <xf numFmtId="0" fontId="1" fillId="0" borderId="7" xfId="1" applyFont="1" applyBorder="1" applyAlignment="1" applyProtection="1">
      <alignment horizontal="right" wrapText="1"/>
    </xf>
    <xf numFmtId="0" fontId="5" fillId="0" borderId="7" xfId="0" applyFont="1" applyBorder="1" applyAlignment="1" applyProtection="1">
      <alignment horizontal="right" vertical="top" wrapText="1"/>
    </xf>
    <xf numFmtId="0" fontId="15" fillId="12" borderId="7" xfId="0" applyFont="1" applyFill="1" applyBorder="1" applyAlignment="1" applyProtection="1">
      <alignment horizontal="center"/>
    </xf>
    <xf numFmtId="0" fontId="1" fillId="14" borderId="7" xfId="0" applyFont="1" applyFill="1" applyBorder="1" applyAlignment="1" applyProtection="1">
      <alignment horizontal="center"/>
    </xf>
    <xf numFmtId="0" fontId="15" fillId="36" borderId="7" xfId="0" applyFont="1" applyFill="1" applyBorder="1" applyAlignment="1" applyProtection="1">
      <alignment horizontal="center"/>
    </xf>
    <xf numFmtId="12" fontId="20" fillId="7" borderId="7" xfId="0" applyNumberFormat="1" applyFont="1" applyFill="1" applyBorder="1" applyAlignment="1" applyProtection="1">
      <alignment horizontal="center" vertical="center"/>
      <protection locked="0"/>
    </xf>
    <xf numFmtId="12" fontId="20" fillId="12" borderId="7" xfId="0" applyNumberFormat="1" applyFont="1" applyFill="1" applyBorder="1" applyAlignment="1" applyProtection="1">
      <alignment horizontal="center" vertical="center"/>
      <protection locked="0"/>
    </xf>
    <xf numFmtId="12" fontId="20" fillId="16" borderId="7" xfId="0" applyNumberFormat="1" applyFont="1" applyFill="1" applyBorder="1" applyAlignment="1" applyProtection="1">
      <alignment horizontal="center" vertical="center"/>
      <protection locked="0"/>
    </xf>
    <xf numFmtId="12" fontId="20" fillId="17" borderId="7" xfId="0" applyNumberFormat="1" applyFont="1" applyFill="1" applyBorder="1" applyAlignment="1" applyProtection="1">
      <alignment horizontal="center" vertical="center"/>
      <protection locked="0"/>
    </xf>
    <xf numFmtId="12" fontId="20" fillId="18" borderId="7" xfId="0" applyNumberFormat="1" applyFont="1" applyFill="1" applyBorder="1" applyAlignment="1" applyProtection="1">
      <alignment horizontal="center" vertical="center"/>
      <protection locked="0"/>
    </xf>
    <xf numFmtId="12" fontId="20" fillId="19" borderId="7" xfId="0" applyNumberFormat="1" applyFont="1" applyFill="1" applyBorder="1" applyAlignment="1" applyProtection="1">
      <alignment horizontal="center" vertical="center"/>
      <protection locked="0"/>
    </xf>
    <xf numFmtId="12" fontId="20" fillId="20" borderId="7" xfId="0" applyNumberFormat="1" applyFont="1" applyFill="1" applyBorder="1" applyAlignment="1" applyProtection="1">
      <alignment horizontal="center" vertical="center"/>
      <protection locked="0"/>
    </xf>
    <xf numFmtId="12" fontId="20" fillId="15" borderId="7" xfId="0" applyNumberFormat="1" applyFont="1" applyFill="1" applyBorder="1" applyAlignment="1" applyProtection="1">
      <alignment horizontal="center" vertical="center"/>
      <protection locked="0"/>
    </xf>
    <xf numFmtId="12" fontId="20" fillId="4" borderId="7" xfId="0" applyNumberFormat="1" applyFont="1" applyFill="1" applyBorder="1" applyAlignment="1" applyProtection="1">
      <alignment horizontal="center" vertical="center"/>
      <protection locked="0"/>
    </xf>
    <xf numFmtId="12" fontId="20" fillId="21" borderId="7" xfId="0" applyNumberFormat="1" applyFont="1" applyFill="1" applyBorder="1" applyAlignment="1" applyProtection="1">
      <alignment horizontal="center" vertical="center"/>
      <protection locked="0"/>
    </xf>
    <xf numFmtId="12" fontId="20" fillId="22" borderId="7" xfId="0" applyNumberFormat="1" applyFont="1" applyFill="1" applyBorder="1" applyAlignment="1" applyProtection="1">
      <alignment horizontal="center" vertical="center"/>
      <protection locked="0"/>
    </xf>
    <xf numFmtId="12" fontId="20" fillId="3" borderId="7" xfId="0" applyNumberFormat="1" applyFont="1" applyFill="1" applyBorder="1" applyAlignment="1" applyProtection="1">
      <alignment horizontal="center" vertical="center"/>
      <protection locked="0"/>
    </xf>
    <xf numFmtId="12" fontId="20" fillId="23" borderId="7" xfId="0" applyNumberFormat="1" applyFont="1" applyFill="1" applyBorder="1" applyAlignment="1" applyProtection="1">
      <alignment horizontal="center" vertical="center"/>
      <protection locked="0"/>
    </xf>
    <xf numFmtId="12" fontId="27" fillId="24" borderId="7" xfId="0" applyNumberFormat="1" applyFont="1" applyFill="1" applyBorder="1" applyAlignment="1" applyProtection="1">
      <alignment horizontal="center" vertical="center"/>
      <protection locked="0"/>
    </xf>
    <xf numFmtId="12" fontId="20" fillId="25" borderId="7" xfId="0" applyNumberFormat="1" applyFont="1" applyFill="1" applyBorder="1" applyAlignment="1" applyProtection="1">
      <alignment horizontal="center" vertical="center"/>
      <protection locked="0"/>
    </xf>
    <xf numFmtId="12" fontId="20" fillId="26" borderId="7" xfId="0" applyNumberFormat="1" applyFont="1" applyFill="1" applyBorder="1" applyAlignment="1" applyProtection="1">
      <alignment horizontal="center" vertical="center"/>
      <protection locked="0"/>
    </xf>
    <xf numFmtId="12" fontId="27" fillId="27" borderId="7" xfId="0" applyNumberFormat="1" applyFont="1" applyFill="1" applyBorder="1" applyAlignment="1" applyProtection="1">
      <alignment horizontal="center" vertical="center"/>
      <protection locked="0"/>
    </xf>
    <xf numFmtId="12" fontId="20" fillId="28" borderId="7" xfId="0" applyNumberFormat="1" applyFont="1" applyFill="1" applyBorder="1" applyAlignment="1" applyProtection="1">
      <alignment horizontal="center" vertical="center"/>
      <protection locked="0"/>
    </xf>
    <xf numFmtId="12" fontId="27" fillId="29" borderId="7" xfId="0" applyNumberFormat="1" applyFont="1" applyFill="1" applyBorder="1" applyAlignment="1" applyProtection="1">
      <alignment horizontal="center" vertical="center"/>
      <protection locked="0"/>
    </xf>
    <xf numFmtId="0" fontId="5" fillId="33" borderId="7" xfId="0" applyFont="1" applyFill="1" applyBorder="1" applyAlignment="1">
      <alignment wrapText="1"/>
    </xf>
    <xf numFmtId="0" fontId="5" fillId="33" borderId="7" xfId="0" applyFont="1" applyFill="1" applyBorder="1" applyAlignment="1"/>
    <xf numFmtId="0" fontId="7" fillId="33" borderId="7" xfId="0" applyFont="1" applyFill="1" applyBorder="1" applyAlignment="1"/>
    <xf numFmtId="0" fontId="29" fillId="48" borderId="7" xfId="0" applyFont="1" applyFill="1" applyBorder="1" applyAlignment="1" applyProtection="1">
      <alignment horizontal="right"/>
    </xf>
    <xf numFmtId="0" fontId="5" fillId="36" borderId="7" xfId="0" applyFont="1" applyFill="1" applyBorder="1" applyAlignment="1"/>
    <xf numFmtId="0" fontId="18" fillId="19" borderId="1" xfId="0" applyFont="1" applyFill="1" applyBorder="1" applyAlignment="1" applyProtection="1">
      <alignment vertical="top" wrapText="1"/>
      <protection locked="0"/>
    </xf>
    <xf numFmtId="0" fontId="28" fillId="26" borderId="1" xfId="0" applyFont="1" applyFill="1" applyBorder="1" applyAlignment="1" applyProtection="1">
      <protection locked="0"/>
    </xf>
    <xf numFmtId="0" fontId="1" fillId="19" borderId="7" xfId="1" applyFont="1" applyFill="1" applyBorder="1" applyAlignment="1" applyProtection="1">
      <alignment wrapText="1"/>
    </xf>
    <xf numFmtId="164" fontId="1" fillId="50" borderId="7" xfId="0" applyNumberFormat="1" applyFont="1" applyFill="1" applyBorder="1" applyAlignment="1" applyProtection="1">
      <alignment horizontal="right" vertical="center"/>
    </xf>
    <xf numFmtId="164" fontId="1" fillId="37" borderId="7" xfId="0" applyNumberFormat="1" applyFont="1" applyFill="1" applyBorder="1" applyAlignment="1" applyProtection="1">
      <alignment horizontal="right" vertical="center"/>
    </xf>
    <xf numFmtId="0" fontId="18" fillId="5" borderId="7" xfId="0" applyFont="1" applyFill="1" applyBorder="1" applyAlignment="1" applyProtection="1">
      <alignment vertical="top" wrapText="1"/>
    </xf>
    <xf numFmtId="0" fontId="18" fillId="33" borderId="7" xfId="0" applyFont="1" applyFill="1" applyBorder="1" applyAlignment="1" applyProtection="1">
      <alignment vertical="top" wrapText="1"/>
    </xf>
    <xf numFmtId="0" fontId="0" fillId="41" borderId="7" xfId="0" applyFont="1" applyFill="1" applyBorder="1" applyAlignment="1" applyProtection="1"/>
    <xf numFmtId="0" fontId="0" fillId="49" borderId="7" xfId="0" applyFont="1" applyFill="1" applyBorder="1" applyAlignment="1" applyProtection="1"/>
    <xf numFmtId="0" fontId="30" fillId="0" borderId="7" xfId="0" applyFont="1" applyBorder="1" applyAlignment="1" applyProtection="1">
      <alignment wrapText="1"/>
    </xf>
    <xf numFmtId="0" fontId="30" fillId="0" borderId="12" xfId="0" applyFont="1" applyBorder="1" applyAlignment="1" applyProtection="1">
      <alignment wrapText="1"/>
    </xf>
    <xf numFmtId="0" fontId="30" fillId="0" borderId="12" xfId="0" applyFont="1" applyFill="1" applyBorder="1" applyAlignment="1" applyProtection="1">
      <alignment wrapText="1"/>
    </xf>
    <xf numFmtId="0" fontId="0" fillId="46" borderId="7" xfId="0" applyFont="1" applyFill="1" applyBorder="1" applyAlignment="1" applyProtection="1"/>
    <xf numFmtId="0" fontId="31" fillId="0" borderId="7" xfId="0" applyFont="1" applyBorder="1" applyAlignment="1">
      <alignment wrapText="1"/>
    </xf>
    <xf numFmtId="0" fontId="0" fillId="0" borderId="7" xfId="0" applyFont="1" applyBorder="1" applyAlignment="1">
      <alignment wrapText="1"/>
    </xf>
    <xf numFmtId="0" fontId="0" fillId="0" borderId="7" xfId="0" applyFont="1" applyBorder="1" applyAlignment="1"/>
    <xf numFmtId="0" fontId="31" fillId="0" borderId="7" xfId="0" applyFont="1" applyBorder="1"/>
    <xf numFmtId="165" fontId="0" fillId="0" borderId="0" xfId="0" applyNumberFormat="1" applyFont="1" applyProtection="1">
      <protection hidden="1"/>
    </xf>
    <xf numFmtId="0" fontId="7" fillId="0" borderId="0" xfId="0" applyFont="1"/>
    <xf numFmtId="0" fontId="33" fillId="0" borderId="0" xfId="0" applyFont="1" applyAlignment="1">
      <alignment vertical="top"/>
    </xf>
    <xf numFmtId="0" fontId="32" fillId="0" borderId="0" xfId="0" applyFont="1"/>
    <xf numFmtId="0" fontId="34" fillId="0" borderId="0" xfId="0" applyFont="1" applyAlignment="1"/>
    <xf numFmtId="0" fontId="32" fillId="0" borderId="1" xfId="0" applyFont="1" applyBorder="1" applyAlignment="1">
      <alignment vertical="top" wrapText="1"/>
    </xf>
    <xf numFmtId="0" fontId="33" fillId="42" borderId="1" xfId="0" applyFont="1" applyFill="1" applyBorder="1" applyAlignment="1">
      <alignment textRotation="45"/>
    </xf>
    <xf numFmtId="0" fontId="33" fillId="43" borderId="1" xfId="0" applyFont="1" applyFill="1" applyBorder="1" applyAlignment="1">
      <alignment textRotation="45"/>
    </xf>
    <xf numFmtId="0" fontId="33" fillId="44" borderId="1" xfId="0" applyFont="1" applyFill="1" applyBorder="1" applyAlignment="1">
      <alignment textRotation="45"/>
    </xf>
    <xf numFmtId="0" fontId="33" fillId="45" borderId="1" xfId="0" applyFont="1" applyFill="1" applyBorder="1" applyAlignment="1">
      <alignment textRotation="45"/>
    </xf>
    <xf numFmtId="0" fontId="33" fillId="46" borderId="1" xfId="0" applyFont="1" applyFill="1" applyBorder="1" applyAlignment="1">
      <alignment textRotation="45"/>
    </xf>
    <xf numFmtId="0" fontId="33" fillId="47" borderId="1" xfId="0" applyFont="1" applyFill="1" applyBorder="1" applyAlignment="1">
      <alignment textRotation="45"/>
    </xf>
    <xf numFmtId="0" fontId="33" fillId="7" borderId="27" xfId="1" applyFont="1" applyFill="1" applyBorder="1" applyProtection="1"/>
    <xf numFmtId="165" fontId="32" fillId="38" borderId="2" xfId="0" applyNumberFormat="1" applyFont="1" applyFill="1" applyBorder="1" applyAlignment="1">
      <alignment vertical="top"/>
    </xf>
    <xf numFmtId="165" fontId="32" fillId="38" borderId="44" xfId="0" applyNumberFormat="1" applyFont="1" applyFill="1" applyBorder="1" applyAlignment="1">
      <alignment vertical="top"/>
    </xf>
    <xf numFmtId="165" fontId="32" fillId="40" borderId="46" xfId="0" applyNumberFormat="1" applyFont="1" applyFill="1" applyBorder="1" applyAlignment="1">
      <alignment vertical="top"/>
    </xf>
    <xf numFmtId="165" fontId="32" fillId="39" borderId="41" xfId="0" applyNumberFormat="1" applyFont="1" applyFill="1" applyBorder="1" applyAlignment="1">
      <alignment vertical="top"/>
    </xf>
    <xf numFmtId="165" fontId="32" fillId="39" borderId="2" xfId="0" applyNumberFormat="1" applyFont="1" applyFill="1" applyBorder="1" applyAlignment="1">
      <alignment vertical="top"/>
    </xf>
    <xf numFmtId="0" fontId="32" fillId="39" borderId="44" xfId="0" applyFont="1" applyFill="1" applyBorder="1" applyAlignment="1">
      <alignment vertical="top"/>
    </xf>
    <xf numFmtId="0" fontId="32" fillId="5" borderId="41" xfId="0" applyFont="1" applyFill="1" applyBorder="1" applyAlignment="1" applyProtection="1">
      <alignment vertical="top" wrapText="1"/>
      <protection locked="0"/>
    </xf>
    <xf numFmtId="0" fontId="32" fillId="5" borderId="29" xfId="0" applyFont="1" applyFill="1" applyBorder="1" applyAlignment="1" applyProtection="1">
      <alignment vertical="top" wrapText="1"/>
      <protection locked="0"/>
    </xf>
    <xf numFmtId="0" fontId="32" fillId="5" borderId="29" xfId="0" applyFont="1" applyFill="1" applyBorder="1" applyAlignment="1" applyProtection="1">
      <alignment vertical="top"/>
      <protection locked="0"/>
    </xf>
    <xf numFmtId="1" fontId="34" fillId="5" borderId="1" xfId="0" applyNumberFormat="1" applyFont="1" applyFill="1" applyBorder="1" applyAlignment="1" applyProtection="1">
      <alignment vertical="top"/>
      <protection locked="0"/>
    </xf>
    <xf numFmtId="0" fontId="34" fillId="5" borderId="1" xfId="0" applyFont="1" applyFill="1" applyBorder="1" applyAlignment="1" applyProtection="1">
      <alignment vertical="top"/>
      <protection locked="0"/>
    </xf>
    <xf numFmtId="0" fontId="34" fillId="5" borderId="38" xfId="0" applyFont="1" applyFill="1" applyBorder="1" applyAlignment="1" applyProtection="1">
      <alignment vertical="top"/>
      <protection locked="0"/>
    </xf>
    <xf numFmtId="0" fontId="32" fillId="4" borderId="2" xfId="0" applyFont="1" applyFill="1" applyBorder="1" applyAlignment="1" applyProtection="1">
      <alignment vertical="top" wrapText="1"/>
      <protection locked="0"/>
    </xf>
    <xf numFmtId="0" fontId="32" fillId="4" borderId="2" xfId="0" applyFont="1" applyFill="1" applyBorder="1" applyAlignment="1" applyProtection="1">
      <alignment vertical="top"/>
      <protection locked="0"/>
    </xf>
    <xf numFmtId="1" fontId="34" fillId="4" borderId="1" xfId="0" applyNumberFormat="1" applyFont="1" applyFill="1" applyBorder="1" applyAlignment="1" applyProtection="1">
      <alignment vertical="top"/>
      <protection locked="0"/>
    </xf>
    <xf numFmtId="0" fontId="34" fillId="4" borderId="1" xfId="0" applyFont="1" applyFill="1" applyBorder="1" applyAlignment="1" applyProtection="1">
      <alignment vertical="top"/>
      <protection locked="0"/>
    </xf>
    <xf numFmtId="0" fontId="34" fillId="4" borderId="42" xfId="0" applyFont="1" applyFill="1" applyBorder="1" applyAlignment="1" applyProtection="1">
      <alignment vertical="top"/>
      <protection locked="0"/>
    </xf>
    <xf numFmtId="0" fontId="32" fillId="41" borderId="41" xfId="0" applyFont="1" applyFill="1" applyBorder="1" applyAlignment="1" applyProtection="1">
      <alignment vertical="top"/>
      <protection locked="0"/>
    </xf>
    <xf numFmtId="0" fontId="32" fillId="41" borderId="2" xfId="0" applyFont="1" applyFill="1" applyBorder="1" applyAlignment="1" applyProtection="1">
      <alignment vertical="top"/>
      <protection locked="0"/>
    </xf>
    <xf numFmtId="1" fontId="34" fillId="41" borderId="1" xfId="0" applyNumberFormat="1" applyFont="1" applyFill="1" applyBorder="1" applyAlignment="1" applyProtection="1">
      <alignment vertical="top"/>
      <protection locked="0"/>
    </xf>
    <xf numFmtId="0" fontId="34" fillId="41" borderId="1" xfId="0" applyFont="1" applyFill="1" applyBorder="1" applyAlignment="1" applyProtection="1">
      <alignment vertical="top"/>
      <protection locked="0"/>
    </xf>
    <xf numFmtId="165" fontId="32" fillId="40" borderId="47" xfId="0" applyNumberFormat="1" applyFont="1" applyFill="1" applyBorder="1" applyAlignment="1">
      <alignment vertical="top"/>
    </xf>
    <xf numFmtId="0" fontId="32" fillId="5" borderId="43" xfId="0" applyFont="1" applyFill="1" applyBorder="1" applyAlignment="1" applyProtection="1">
      <alignment vertical="top" wrapText="1"/>
      <protection locked="0"/>
    </xf>
    <xf numFmtId="0" fontId="32" fillId="5" borderId="2" xfId="0" applyFont="1" applyFill="1" applyBorder="1" applyAlignment="1" applyProtection="1">
      <alignment vertical="top" wrapText="1"/>
      <protection locked="0"/>
    </xf>
    <xf numFmtId="0" fontId="32" fillId="5" borderId="2" xfId="0" applyFont="1" applyFill="1" applyBorder="1" applyAlignment="1" applyProtection="1">
      <alignment vertical="top"/>
      <protection locked="0"/>
    </xf>
    <xf numFmtId="1" fontId="32" fillId="5" borderId="2" xfId="0" applyNumberFormat="1" applyFont="1" applyFill="1" applyBorder="1" applyAlignment="1" applyProtection="1">
      <alignment vertical="top"/>
      <protection locked="0"/>
    </xf>
    <xf numFmtId="1" fontId="32" fillId="4" borderId="2" xfId="0" applyNumberFormat="1" applyFont="1" applyFill="1" applyBorder="1" applyAlignment="1" applyProtection="1">
      <alignment vertical="top"/>
      <protection locked="0"/>
    </xf>
    <xf numFmtId="0" fontId="32" fillId="41" borderId="43" xfId="0" applyFont="1" applyFill="1" applyBorder="1" applyAlignment="1" applyProtection="1">
      <alignment vertical="top"/>
      <protection locked="0"/>
    </xf>
    <xf numFmtId="1" fontId="32" fillId="41" borderId="2" xfId="0" applyNumberFormat="1" applyFont="1" applyFill="1" applyBorder="1" applyAlignment="1" applyProtection="1">
      <alignment vertical="top"/>
      <protection locked="0"/>
    </xf>
    <xf numFmtId="0" fontId="32" fillId="41" borderId="43" xfId="0" applyFont="1" applyFill="1" applyBorder="1" applyAlignment="1" applyProtection="1">
      <alignment vertical="top" wrapText="1"/>
      <protection locked="0"/>
    </xf>
    <xf numFmtId="0" fontId="32" fillId="41" borderId="2" xfId="0" applyFont="1" applyFill="1" applyBorder="1" applyAlignment="1" applyProtection="1">
      <alignment vertical="top" wrapText="1"/>
      <protection locked="0"/>
    </xf>
    <xf numFmtId="0" fontId="35" fillId="5" borderId="43" xfId="0" applyFont="1" applyFill="1" applyBorder="1" applyAlignment="1" applyProtection="1">
      <alignment vertical="top" wrapText="1"/>
      <protection locked="0"/>
    </xf>
    <xf numFmtId="0" fontId="35" fillId="5" borderId="2" xfId="0" applyFont="1" applyFill="1" applyBorder="1" applyAlignment="1" applyProtection="1">
      <alignment vertical="top" wrapText="1"/>
      <protection locked="0"/>
    </xf>
    <xf numFmtId="1" fontId="32" fillId="5" borderId="2" xfId="0" applyNumberFormat="1" applyFont="1" applyFill="1" applyBorder="1" applyAlignment="1" applyProtection="1">
      <alignment vertical="top" wrapText="1"/>
      <protection locked="0"/>
    </xf>
    <xf numFmtId="165" fontId="32" fillId="40" borderId="48" xfId="0" applyNumberFormat="1" applyFont="1" applyFill="1" applyBorder="1" applyAlignment="1">
      <alignment vertical="top"/>
    </xf>
    <xf numFmtId="0" fontId="32" fillId="39" borderId="0" xfId="0" applyFont="1" applyFill="1" applyBorder="1" applyAlignment="1">
      <alignment vertical="top"/>
    </xf>
    <xf numFmtId="0" fontId="32" fillId="5" borderId="45" xfId="0" applyFont="1" applyFill="1" applyBorder="1" applyAlignment="1" applyProtection="1">
      <alignment vertical="top" wrapText="1"/>
      <protection locked="0"/>
    </xf>
    <xf numFmtId="0" fontId="32" fillId="5" borderId="3" xfId="0" applyFont="1" applyFill="1" applyBorder="1" applyAlignment="1" applyProtection="1">
      <alignment vertical="top" wrapText="1"/>
      <protection locked="0"/>
    </xf>
    <xf numFmtId="1" fontId="32" fillId="5" borderId="3" xfId="0" applyNumberFormat="1" applyFont="1" applyFill="1" applyBorder="1" applyAlignment="1" applyProtection="1">
      <alignment vertical="top" wrapText="1"/>
      <protection locked="0"/>
    </xf>
    <xf numFmtId="0" fontId="34" fillId="5" borderId="4" xfId="0" applyFont="1" applyFill="1" applyBorder="1" applyAlignment="1" applyProtection="1">
      <alignment vertical="top"/>
      <protection locked="0"/>
    </xf>
    <xf numFmtId="0" fontId="34" fillId="5" borderId="6" xfId="0" applyFont="1" applyFill="1" applyBorder="1" applyAlignment="1" applyProtection="1">
      <alignment vertical="top"/>
      <protection locked="0"/>
    </xf>
    <xf numFmtId="0" fontId="34" fillId="5" borderId="39" xfId="0" applyFont="1" applyFill="1" applyBorder="1" applyAlignment="1" applyProtection="1">
      <alignment vertical="top"/>
      <protection locked="0"/>
    </xf>
    <xf numFmtId="0" fontId="32" fillId="4" borderId="3" xfId="0" applyFont="1" applyFill="1" applyBorder="1" applyAlignment="1" applyProtection="1">
      <alignment vertical="top" wrapText="1"/>
      <protection locked="0"/>
    </xf>
    <xf numFmtId="0" fontId="32" fillId="4" borderId="3" xfId="0" applyFont="1" applyFill="1" applyBorder="1" applyAlignment="1" applyProtection="1">
      <alignment vertical="top"/>
      <protection locked="0"/>
    </xf>
    <xf numFmtId="1" fontId="34" fillId="4" borderId="4" xfId="0" applyNumberFormat="1" applyFont="1" applyFill="1" applyBorder="1" applyAlignment="1" applyProtection="1">
      <alignment vertical="top"/>
      <protection locked="0"/>
    </xf>
    <xf numFmtId="0" fontId="34" fillId="4" borderId="4" xfId="0" applyFont="1" applyFill="1" applyBorder="1" applyAlignment="1" applyProtection="1">
      <alignment vertical="top"/>
      <protection locked="0"/>
    </xf>
    <xf numFmtId="0" fontId="32" fillId="39" borderId="42" xfId="0" applyFont="1" applyFill="1" applyBorder="1" applyAlignment="1">
      <alignment vertical="top"/>
    </xf>
    <xf numFmtId="0" fontId="32" fillId="5" borderId="1" xfId="0" applyFont="1" applyFill="1" applyBorder="1" applyAlignment="1" applyProtection="1">
      <alignment vertical="top" wrapText="1"/>
      <protection locked="0"/>
    </xf>
    <xf numFmtId="1" fontId="32" fillId="5" borderId="1" xfId="0" applyNumberFormat="1" applyFont="1" applyFill="1" applyBorder="1" applyAlignment="1" applyProtection="1">
      <alignment vertical="top" wrapText="1"/>
      <protection locked="0"/>
    </xf>
    <xf numFmtId="0" fontId="34" fillId="4" borderId="29" xfId="0" applyFont="1" applyFill="1" applyBorder="1" applyAlignment="1" applyProtection="1">
      <alignment vertical="top"/>
      <protection locked="0"/>
    </xf>
    <xf numFmtId="0" fontId="32" fillId="4" borderId="1" xfId="0" applyFont="1" applyFill="1" applyBorder="1" applyAlignment="1" applyProtection="1">
      <alignment vertical="top"/>
      <protection locked="0"/>
    </xf>
    <xf numFmtId="0" fontId="34" fillId="5" borderId="40" xfId="0" applyFont="1" applyFill="1" applyBorder="1" applyAlignment="1" applyProtection="1">
      <alignment vertical="top"/>
      <protection locked="0"/>
    </xf>
    <xf numFmtId="1" fontId="34" fillId="4" borderId="6" xfId="0" applyNumberFormat="1" applyFont="1" applyFill="1" applyBorder="1" applyAlignment="1" applyProtection="1">
      <alignment vertical="top"/>
      <protection locked="0"/>
    </xf>
    <xf numFmtId="0" fontId="34" fillId="4" borderId="6" xfId="0" applyFont="1" applyFill="1" applyBorder="1" applyAlignment="1" applyProtection="1">
      <alignment vertical="top"/>
      <protection locked="0"/>
    </xf>
    <xf numFmtId="0" fontId="32" fillId="4" borderId="29" xfId="0" applyFont="1" applyFill="1" applyBorder="1" applyAlignment="1" applyProtection="1">
      <alignment vertical="top" wrapText="1"/>
      <protection locked="0"/>
    </xf>
    <xf numFmtId="0" fontId="34" fillId="4" borderId="2" xfId="0" applyFont="1" applyFill="1" applyBorder="1" applyAlignment="1" applyProtection="1">
      <alignment vertical="top"/>
      <protection locked="0"/>
    </xf>
    <xf numFmtId="0" fontId="34" fillId="0" borderId="0" xfId="0" applyFont="1" applyAlignment="1" applyProtection="1">
      <protection hidden="1"/>
    </xf>
    <xf numFmtId="0" fontId="34" fillId="0" borderId="0" xfId="0" applyFont="1" applyProtection="1">
      <protection hidden="1"/>
    </xf>
    <xf numFmtId="165" fontId="33" fillId="0" borderId="2" xfId="0" applyNumberFormat="1" applyFont="1" applyBorder="1" applyAlignment="1" applyProtection="1">
      <alignment vertical="top"/>
      <protection hidden="1"/>
    </xf>
    <xf numFmtId="165" fontId="34" fillId="0" borderId="0" xfId="0" applyNumberFormat="1" applyFont="1" applyProtection="1">
      <protection hidden="1"/>
    </xf>
    <xf numFmtId="0" fontId="34" fillId="0" borderId="5" xfId="0" applyFont="1" applyFill="1" applyBorder="1" applyAlignment="1" applyProtection="1">
      <protection hidden="1"/>
    </xf>
    <xf numFmtId="0" fontId="7" fillId="3" borderId="1" xfId="0" applyFont="1" applyFill="1" applyBorder="1" applyAlignment="1"/>
    <xf numFmtId="0" fontId="2" fillId="3" borderId="1" xfId="0" applyFont="1" applyFill="1" applyBorder="1" applyAlignment="1" applyProtection="1">
      <alignment vertical="top" wrapText="1"/>
      <protection locked="0"/>
    </xf>
    <xf numFmtId="0" fontId="0" fillId="0" borderId="0" xfId="0" applyFont="1" applyAlignment="1">
      <alignment wrapText="1"/>
    </xf>
    <xf numFmtId="0" fontId="0" fillId="0" borderId="49" xfId="0" applyFont="1" applyBorder="1" applyAlignment="1">
      <alignment wrapText="1"/>
    </xf>
    <xf numFmtId="0" fontId="7" fillId="0" borderId="0" xfId="0" applyFont="1" applyBorder="1" applyAlignment="1">
      <alignment wrapText="1"/>
    </xf>
    <xf numFmtId="0" fontId="0" fillId="0" borderId="0" xfId="0" applyFont="1" applyBorder="1" applyAlignment="1">
      <alignment wrapText="1"/>
    </xf>
    <xf numFmtId="0" fontId="7" fillId="0" borderId="50" xfId="0" applyFont="1" applyBorder="1" applyAlignment="1">
      <alignment wrapText="1"/>
    </xf>
    <xf numFmtId="0" fontId="0" fillId="0" borderId="50" xfId="0" applyFont="1" applyBorder="1" applyAlignment="1">
      <alignment wrapText="1"/>
    </xf>
    <xf numFmtId="0" fontId="7" fillId="0" borderId="49" xfId="0" applyFont="1" applyBorder="1" applyAlignment="1">
      <alignment vertical="center" wrapText="1"/>
    </xf>
    <xf numFmtId="0" fontId="0" fillId="0" borderId="49" xfId="0" applyFont="1" applyBorder="1" applyAlignment="1">
      <alignment vertical="center" wrapText="1"/>
    </xf>
    <xf numFmtId="0" fontId="7" fillId="0" borderId="51" xfId="0" applyFont="1" applyBorder="1" applyAlignment="1">
      <alignment vertical="center" wrapText="1"/>
    </xf>
    <xf numFmtId="0" fontId="0" fillId="0" borderId="26" xfId="0" applyFont="1" applyBorder="1" applyAlignment="1">
      <alignment wrapText="1"/>
    </xf>
    <xf numFmtId="0" fontId="7" fillId="0" borderId="26" xfId="0" applyFont="1" applyBorder="1" applyAlignment="1">
      <alignment wrapText="1"/>
    </xf>
    <xf numFmtId="0" fontId="7" fillId="0" borderId="22" xfId="0" applyFont="1" applyBorder="1" applyAlignment="1">
      <alignment wrapText="1"/>
    </xf>
    <xf numFmtId="0" fontId="0" fillId="0" borderId="22" xfId="0" applyFont="1" applyBorder="1" applyAlignment="1">
      <alignment wrapText="1"/>
    </xf>
    <xf numFmtId="0" fontId="32" fillId="3" borderId="2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vertical="top" wrapText="1"/>
    </xf>
    <xf numFmtId="9" fontId="1" fillId="0" borderId="0" xfId="0" applyNumberFormat="1" applyFont="1" applyAlignment="1">
      <alignment vertical="top" wrapText="1"/>
    </xf>
    <xf numFmtId="0" fontId="32" fillId="0" borderId="0" xfId="0" applyFont="1" applyAlignment="1">
      <alignment vertical="top" wrapText="1"/>
    </xf>
    <xf numFmtId="0" fontId="33" fillId="0" borderId="0" xfId="0" applyFont="1" applyAlignment="1">
      <alignment vertical="top" wrapText="1"/>
    </xf>
    <xf numFmtId="1" fontId="33" fillId="0" borderId="0" xfId="0" applyNumberFormat="1" applyFont="1" applyAlignment="1">
      <alignment vertical="top" wrapText="1"/>
    </xf>
    <xf numFmtId="1" fontId="34" fillId="0" borderId="0" xfId="0" applyNumberFormat="1" applyFont="1" applyAlignment="1" applyProtection="1">
      <protection hidden="1"/>
    </xf>
    <xf numFmtId="1" fontId="0" fillId="0" borderId="0" xfId="0" applyNumberFormat="1" applyFont="1" applyAlignment="1"/>
    <xf numFmtId="0" fontId="1" fillId="0" borderId="0" xfId="0" applyFont="1" applyAlignment="1"/>
    <xf numFmtId="166" fontId="34" fillId="0" borderId="0" xfId="0" applyNumberFormat="1" applyFont="1" applyProtection="1">
      <protection hidden="1"/>
    </xf>
    <xf numFmtId="166" fontId="1" fillId="0" borderId="0" xfId="0" applyNumberFormat="1" applyFont="1" applyAlignment="1">
      <alignment vertical="top" wrapText="1"/>
    </xf>
    <xf numFmtId="166" fontId="1" fillId="0" borderId="0" xfId="0" applyNumberFormat="1" applyFont="1" applyAlignment="1">
      <alignment vertical="top"/>
    </xf>
    <xf numFmtId="166" fontId="33" fillId="0" borderId="2" xfId="0" applyNumberFormat="1" applyFont="1" applyBorder="1" applyAlignment="1" applyProtection="1">
      <alignment vertical="top"/>
      <protection hidden="1"/>
    </xf>
    <xf numFmtId="166" fontId="0" fillId="0" borderId="0" xfId="0" applyNumberFormat="1" applyFont="1"/>
    <xf numFmtId="166" fontId="0" fillId="0" borderId="0" xfId="0" applyNumberFormat="1" applyFont="1" applyAlignment="1"/>
    <xf numFmtId="167" fontId="0" fillId="0" borderId="7" xfId="0" applyNumberFormat="1" applyFont="1" applyBorder="1" applyAlignment="1"/>
    <xf numFmtId="0" fontId="32" fillId="4" borderId="43" xfId="0" applyFont="1" applyFill="1" applyBorder="1" applyAlignment="1" applyProtection="1">
      <alignment vertical="top" wrapText="1"/>
      <protection locked="0"/>
    </xf>
    <xf numFmtId="0" fontId="32" fillId="4" borderId="41" xfId="0" applyFont="1" applyFill="1" applyBorder="1" applyAlignment="1" applyProtection="1">
      <alignment vertical="top" wrapText="1"/>
      <protection locked="0"/>
    </xf>
    <xf numFmtId="1" fontId="34" fillId="5" borderId="2" xfId="0" applyNumberFormat="1" applyFont="1" applyFill="1" applyBorder="1" applyAlignment="1" applyProtection="1">
      <alignment vertical="top"/>
      <protection locked="0"/>
    </xf>
    <xf numFmtId="1" fontId="32" fillId="4" borderId="1" xfId="0" applyNumberFormat="1" applyFont="1" applyFill="1" applyBorder="1" applyAlignment="1" applyProtection="1">
      <alignment vertical="top"/>
      <protection locked="0"/>
    </xf>
    <xf numFmtId="1" fontId="34" fillId="4" borderId="2" xfId="0" applyNumberFormat="1" applyFont="1" applyFill="1" applyBorder="1" applyAlignment="1" applyProtection="1">
      <alignment vertical="top"/>
      <protection locked="0"/>
    </xf>
    <xf numFmtId="1" fontId="32" fillId="5" borderId="1" xfId="0" applyNumberFormat="1" applyFont="1" applyFill="1" applyBorder="1" applyAlignment="1" applyProtection="1">
      <alignment vertical="top"/>
      <protection locked="0"/>
    </xf>
    <xf numFmtId="1" fontId="34" fillId="41" borderId="2" xfId="0" applyNumberFormat="1" applyFont="1" applyFill="1" applyBorder="1" applyAlignment="1" applyProtection="1">
      <alignment vertical="top"/>
      <protection locked="0"/>
    </xf>
    <xf numFmtId="0" fontId="26" fillId="5" borderId="27" xfId="0" applyFont="1" applyFill="1" applyBorder="1" applyAlignment="1" applyProtection="1">
      <alignment horizontal="center"/>
    </xf>
    <xf numFmtId="0" fontId="26" fillId="5" borderId="35" xfId="0" applyFont="1" applyFill="1" applyBorder="1" applyAlignment="1" applyProtection="1">
      <alignment horizontal="center"/>
    </xf>
    <xf numFmtId="0" fontId="26" fillId="5" borderId="36" xfId="0" applyFont="1" applyFill="1" applyBorder="1" applyAlignment="1" applyProtection="1">
      <alignment horizontal="center"/>
    </xf>
    <xf numFmtId="164" fontId="1" fillId="12" borderId="26" xfId="0" applyNumberFormat="1" applyFont="1" applyFill="1" applyBorder="1" applyAlignment="1" applyProtection="1">
      <alignment horizontal="center" vertical="center" wrapText="1"/>
    </xf>
    <xf numFmtId="164" fontId="1" fillId="12" borderId="0" xfId="0" applyNumberFormat="1" applyFont="1" applyFill="1" applyBorder="1" applyAlignment="1" applyProtection="1">
      <alignment horizontal="center" vertical="center" wrapText="1"/>
    </xf>
    <xf numFmtId="0" fontId="12" fillId="13" borderId="14" xfId="1" applyFont="1" applyFill="1" applyBorder="1" applyAlignment="1" applyProtection="1">
      <alignment horizontal="center" wrapText="1"/>
    </xf>
    <xf numFmtId="0" fontId="12" fillId="13" borderId="15" xfId="1" applyFont="1" applyFill="1" applyBorder="1" applyAlignment="1" applyProtection="1">
      <alignment horizontal="center" wrapText="1"/>
    </xf>
    <xf numFmtId="0" fontId="12" fillId="13" borderId="16" xfId="1" applyFont="1" applyFill="1" applyBorder="1" applyAlignment="1" applyProtection="1">
      <alignment horizontal="center" wrapText="1"/>
    </xf>
    <xf numFmtId="0" fontId="12" fillId="13" borderId="20" xfId="1" applyFont="1" applyFill="1" applyBorder="1" applyAlignment="1" applyProtection="1">
      <alignment horizontal="center" wrapText="1"/>
    </xf>
    <xf numFmtId="0" fontId="12" fillId="13" borderId="0" xfId="1" applyFont="1" applyFill="1" applyBorder="1" applyAlignment="1" applyProtection="1">
      <alignment horizontal="center" wrapText="1"/>
    </xf>
    <xf numFmtId="0" fontId="12" fillId="13" borderId="19" xfId="1" applyFont="1" applyFill="1" applyBorder="1" applyAlignment="1" applyProtection="1">
      <alignment horizontal="center" wrapText="1"/>
    </xf>
    <xf numFmtId="0" fontId="12" fillId="13" borderId="17" xfId="1" applyFont="1" applyFill="1" applyBorder="1" applyAlignment="1" applyProtection="1">
      <alignment horizontal="center" wrapText="1"/>
    </xf>
    <xf numFmtId="0" fontId="12" fillId="13" borderId="18" xfId="1" applyFont="1" applyFill="1" applyBorder="1" applyAlignment="1" applyProtection="1">
      <alignment horizontal="center" wrapText="1"/>
    </xf>
    <xf numFmtId="0" fontId="12" fillId="13" borderId="11" xfId="1" applyFont="1" applyFill="1" applyBorder="1" applyAlignment="1" applyProtection="1">
      <alignment horizontal="center" wrapText="1"/>
    </xf>
    <xf numFmtId="0" fontId="23" fillId="6" borderId="0" xfId="0" applyFont="1" applyFill="1" applyBorder="1" applyAlignment="1" applyProtection="1">
      <alignment horizontal="left" wrapText="1"/>
    </xf>
    <xf numFmtId="164" fontId="1" fillId="9" borderId="26" xfId="0" applyNumberFormat="1" applyFont="1" applyFill="1" applyBorder="1" applyAlignment="1" applyProtection="1">
      <alignment horizontal="center" vertical="center" wrapText="1"/>
    </xf>
    <xf numFmtId="164" fontId="1" fillId="9" borderId="0" xfId="0" applyNumberFormat="1" applyFont="1" applyFill="1" applyBorder="1" applyAlignment="1" applyProtection="1">
      <alignment horizontal="center" vertical="center" wrapText="1"/>
    </xf>
    <xf numFmtId="164" fontId="1" fillId="11" borderId="26" xfId="0" applyNumberFormat="1" applyFont="1" applyFill="1" applyBorder="1" applyAlignment="1" applyProtection="1">
      <alignment horizontal="center" vertical="center" wrapText="1"/>
    </xf>
    <xf numFmtId="164" fontId="1" fillId="11" borderId="0" xfId="0" applyNumberFormat="1" applyFont="1" applyFill="1" applyBorder="1" applyAlignment="1" applyProtection="1">
      <alignment horizontal="center" vertical="center" wrapText="1"/>
    </xf>
    <xf numFmtId="164" fontId="1" fillId="7" borderId="26" xfId="0" applyNumberFormat="1" applyFont="1" applyFill="1" applyBorder="1" applyAlignment="1" applyProtection="1">
      <alignment horizontal="center" vertical="center" wrapText="1"/>
    </xf>
    <xf numFmtId="164" fontId="1" fillId="7" borderId="0" xfId="0" applyNumberFormat="1" applyFont="1" applyFill="1" applyBorder="1" applyAlignment="1" applyProtection="1">
      <alignment horizontal="center" vertical="center" wrapText="1"/>
    </xf>
    <xf numFmtId="164" fontId="16" fillId="24" borderId="26" xfId="0" applyNumberFormat="1" applyFont="1" applyFill="1" applyBorder="1" applyAlignment="1" applyProtection="1">
      <alignment horizontal="center" vertical="center" wrapText="1"/>
    </xf>
    <xf numFmtId="164" fontId="16" fillId="24" borderId="0" xfId="0" applyNumberFormat="1" applyFont="1" applyFill="1" applyBorder="1" applyAlignment="1" applyProtection="1">
      <alignment horizontal="center" vertical="center" wrapText="1"/>
    </xf>
    <xf numFmtId="164" fontId="1" fillId="16" borderId="26" xfId="0" applyNumberFormat="1" applyFont="1" applyFill="1" applyBorder="1" applyAlignment="1" applyProtection="1">
      <alignment horizontal="center" vertical="center" wrapText="1"/>
    </xf>
    <xf numFmtId="164" fontId="1" fillId="16" borderId="0" xfId="0" applyNumberFormat="1" applyFont="1" applyFill="1" applyBorder="1" applyAlignment="1" applyProtection="1">
      <alignment horizontal="center" vertical="center" wrapText="1"/>
    </xf>
    <xf numFmtId="164" fontId="1" fillId="17" borderId="26" xfId="0" applyNumberFormat="1" applyFont="1" applyFill="1" applyBorder="1" applyAlignment="1" applyProtection="1">
      <alignment horizontal="center" vertical="center" wrapText="1"/>
    </xf>
    <xf numFmtId="164" fontId="1" fillId="17" borderId="0" xfId="0" applyNumberFormat="1" applyFont="1" applyFill="1" applyBorder="1" applyAlignment="1" applyProtection="1">
      <alignment horizontal="center" vertical="center" wrapText="1"/>
    </xf>
    <xf numFmtId="164" fontId="1" fillId="18" borderId="26" xfId="0" applyNumberFormat="1" applyFont="1" applyFill="1" applyBorder="1" applyAlignment="1" applyProtection="1">
      <alignment horizontal="center" vertical="center" wrapText="1"/>
    </xf>
    <xf numFmtId="164" fontId="1" fillId="18" borderId="0" xfId="0" applyNumberFormat="1" applyFont="1" applyFill="1" applyBorder="1" applyAlignment="1" applyProtection="1">
      <alignment horizontal="center" vertical="center" wrapText="1"/>
    </xf>
    <xf numFmtId="164" fontId="1" fillId="19" borderId="26" xfId="0" applyNumberFormat="1" applyFont="1" applyFill="1" applyBorder="1" applyAlignment="1" applyProtection="1">
      <alignment horizontal="center" vertical="center" wrapText="1"/>
    </xf>
    <xf numFmtId="164" fontId="1" fillId="19" borderId="0" xfId="0" applyNumberFormat="1" applyFont="1" applyFill="1" applyBorder="1" applyAlignment="1" applyProtection="1">
      <alignment horizontal="center" vertical="center" wrapText="1"/>
    </xf>
    <xf numFmtId="164" fontId="1" fillId="20" borderId="26" xfId="0" applyNumberFormat="1" applyFont="1" applyFill="1" applyBorder="1" applyAlignment="1" applyProtection="1">
      <alignment horizontal="center" vertical="center" wrapText="1"/>
    </xf>
    <xf numFmtId="164" fontId="1" fillId="20" borderId="0" xfId="0" applyNumberFormat="1" applyFont="1" applyFill="1" applyBorder="1" applyAlignment="1" applyProtection="1">
      <alignment horizontal="center" vertical="center" wrapText="1"/>
    </xf>
    <xf numFmtId="164" fontId="1" fillId="15" borderId="26" xfId="0" applyNumberFormat="1" applyFont="1" applyFill="1" applyBorder="1" applyAlignment="1" applyProtection="1">
      <alignment horizontal="center" vertical="center" wrapText="1"/>
    </xf>
    <xf numFmtId="164" fontId="1" fillId="15" borderId="0" xfId="0" applyNumberFormat="1" applyFont="1" applyFill="1" applyBorder="1" applyAlignment="1" applyProtection="1">
      <alignment horizontal="center" vertical="center" wrapText="1"/>
    </xf>
    <xf numFmtId="164" fontId="1" fillId="4" borderId="26" xfId="0" applyNumberFormat="1" applyFont="1" applyFill="1" applyBorder="1" applyAlignment="1" applyProtection="1">
      <alignment horizontal="center" vertical="center" wrapText="1"/>
    </xf>
    <xf numFmtId="164" fontId="1" fillId="4" borderId="0" xfId="0" applyNumberFormat="1" applyFont="1" applyFill="1" applyBorder="1" applyAlignment="1" applyProtection="1">
      <alignment horizontal="center" vertical="center" wrapText="1"/>
    </xf>
    <xf numFmtId="164" fontId="1" fillId="21" borderId="26" xfId="0" applyNumberFormat="1" applyFont="1" applyFill="1" applyBorder="1" applyAlignment="1" applyProtection="1">
      <alignment horizontal="center" vertical="center" wrapText="1"/>
    </xf>
    <xf numFmtId="164" fontId="1" fillId="21" borderId="0" xfId="0" applyNumberFormat="1" applyFont="1" applyFill="1" applyBorder="1" applyAlignment="1" applyProtection="1">
      <alignment horizontal="center" vertical="center" wrapText="1"/>
    </xf>
    <xf numFmtId="164" fontId="1" fillId="22" borderId="26" xfId="0" applyNumberFormat="1" applyFont="1" applyFill="1" applyBorder="1" applyAlignment="1" applyProtection="1">
      <alignment horizontal="center" vertical="center" wrapText="1"/>
    </xf>
    <xf numFmtId="164" fontId="1" fillId="22" borderId="0" xfId="0" applyNumberFormat="1" applyFont="1" applyFill="1" applyBorder="1" applyAlignment="1" applyProtection="1">
      <alignment horizontal="center" vertical="center" wrapText="1"/>
    </xf>
    <xf numFmtId="164" fontId="1" fillId="3" borderId="26" xfId="0" applyNumberFormat="1" applyFont="1" applyFill="1" applyBorder="1" applyAlignment="1" applyProtection="1">
      <alignment horizontal="center" vertical="center" wrapText="1"/>
    </xf>
    <xf numFmtId="164" fontId="1" fillId="3" borderId="0" xfId="0" applyNumberFormat="1" applyFont="1" applyFill="1" applyBorder="1" applyAlignment="1" applyProtection="1">
      <alignment horizontal="center" vertical="center" wrapText="1"/>
    </xf>
    <xf numFmtId="164" fontId="1" fillId="23" borderId="26" xfId="0" applyNumberFormat="1" applyFont="1" applyFill="1" applyBorder="1" applyAlignment="1" applyProtection="1">
      <alignment horizontal="center" vertical="center" wrapText="1"/>
    </xf>
    <xf numFmtId="164" fontId="1" fillId="23" borderId="0" xfId="0" applyNumberFormat="1" applyFont="1" applyFill="1" applyBorder="1" applyAlignment="1" applyProtection="1">
      <alignment horizontal="center" vertical="center" wrapText="1"/>
    </xf>
    <xf numFmtId="0" fontId="1" fillId="7" borderId="21" xfId="1" applyFont="1" applyFill="1" applyBorder="1" applyAlignment="1" applyProtection="1">
      <alignment horizontal="center" wrapText="1"/>
    </xf>
    <xf numFmtId="0" fontId="1" fillId="7" borderId="13" xfId="1" applyFont="1" applyFill="1" applyBorder="1" applyAlignment="1" applyProtection="1">
      <alignment horizontal="center" wrapText="1"/>
    </xf>
    <xf numFmtId="164" fontId="1" fillId="25" borderId="26" xfId="0" applyNumberFormat="1" applyFont="1" applyFill="1" applyBorder="1" applyAlignment="1" applyProtection="1">
      <alignment horizontal="center" vertical="center" wrapText="1"/>
    </xf>
    <xf numFmtId="164" fontId="1" fillId="25" borderId="0" xfId="0" applyNumberFormat="1" applyFont="1" applyFill="1" applyBorder="1" applyAlignment="1" applyProtection="1">
      <alignment horizontal="center" vertical="center" wrapText="1"/>
    </xf>
    <xf numFmtId="164" fontId="1" fillId="26" borderId="26" xfId="0" applyNumberFormat="1" applyFont="1" applyFill="1" applyBorder="1" applyAlignment="1" applyProtection="1">
      <alignment horizontal="center" vertical="center" wrapText="1"/>
    </xf>
    <xf numFmtId="164" fontId="1" fillId="26" borderId="0" xfId="0" applyNumberFormat="1" applyFont="1" applyFill="1" applyBorder="1" applyAlignment="1" applyProtection="1">
      <alignment horizontal="center" vertical="center" wrapText="1"/>
    </xf>
    <xf numFmtId="164" fontId="16" fillId="27" borderId="26" xfId="0" applyNumberFormat="1" applyFont="1" applyFill="1" applyBorder="1" applyAlignment="1" applyProtection="1">
      <alignment horizontal="center" vertical="center" wrapText="1"/>
    </xf>
    <xf numFmtId="164" fontId="16" fillId="27" borderId="0" xfId="0" applyNumberFormat="1" applyFont="1" applyFill="1" applyBorder="1" applyAlignment="1" applyProtection="1">
      <alignment horizontal="center" vertical="center" wrapText="1"/>
    </xf>
    <xf numFmtId="164" fontId="1" fillId="28" borderId="26" xfId="0" applyNumberFormat="1" applyFont="1" applyFill="1" applyBorder="1" applyAlignment="1" applyProtection="1">
      <alignment horizontal="center" vertical="center" wrapText="1"/>
    </xf>
    <xf numFmtId="164" fontId="1" fillId="28" borderId="0" xfId="0" applyNumberFormat="1" applyFont="1" applyFill="1" applyBorder="1" applyAlignment="1" applyProtection="1">
      <alignment horizontal="center" vertical="center" wrapText="1"/>
    </xf>
    <xf numFmtId="164" fontId="16" fillId="29" borderId="26" xfId="0" applyNumberFormat="1" applyFont="1" applyFill="1" applyBorder="1" applyAlignment="1" applyProtection="1">
      <alignment horizontal="center" vertical="center" wrapText="1"/>
    </xf>
    <xf numFmtId="164" fontId="16" fillId="29" borderId="0" xfId="0" applyNumberFormat="1" applyFont="1" applyFill="1" applyBorder="1" applyAlignment="1" applyProtection="1">
      <alignment horizontal="center" vertical="center" wrapText="1"/>
    </xf>
    <xf numFmtId="164" fontId="16" fillId="30" borderId="26" xfId="0" applyNumberFormat="1" applyFont="1" applyFill="1" applyBorder="1" applyAlignment="1" applyProtection="1">
      <alignment horizontal="center" vertical="center" wrapText="1"/>
    </xf>
    <xf numFmtId="164" fontId="16" fillId="30" borderId="0" xfId="0" applyNumberFormat="1" applyFont="1" applyFill="1" applyBorder="1" applyAlignment="1" applyProtection="1">
      <alignment horizontal="center" vertical="center" wrapText="1"/>
    </xf>
    <xf numFmtId="0" fontId="1" fillId="5" borderId="21" xfId="1" applyFont="1" applyFill="1" applyBorder="1" applyAlignment="1" applyProtection="1">
      <alignment horizontal="center" vertical="center"/>
    </xf>
    <xf numFmtId="0" fontId="1" fillId="5" borderId="13" xfId="1" applyFont="1" applyFill="1" applyBorder="1" applyAlignment="1" applyProtection="1">
      <alignment horizontal="center" vertical="center"/>
    </xf>
    <xf numFmtId="0" fontId="1" fillId="0" borderId="0" xfId="1" applyFont="1" applyFill="1" applyBorder="1" applyAlignment="1" applyProtection="1">
      <alignment horizontal="center" vertical="center" wrapText="1"/>
    </xf>
    <xf numFmtId="0" fontId="23" fillId="6" borderId="0" xfId="0" applyFont="1" applyFill="1" applyBorder="1" applyAlignment="1" applyProtection="1">
      <alignment horizontal="center" wrapText="1"/>
    </xf>
    <xf numFmtId="0" fontId="20" fillId="32" borderId="21" xfId="1" applyFont="1" applyFill="1" applyBorder="1" applyAlignment="1" applyProtection="1">
      <alignment horizontal="center" wrapText="1"/>
    </xf>
    <xf numFmtId="0" fontId="20" fillId="32" borderId="13" xfId="1" applyFont="1" applyFill="1" applyBorder="1" applyAlignment="1" applyProtection="1">
      <alignment horizontal="center" wrapText="1"/>
    </xf>
    <xf numFmtId="0" fontId="1" fillId="7" borderId="33" xfId="1" applyFont="1" applyFill="1" applyBorder="1" applyAlignment="1" applyProtection="1">
      <alignment horizontal="center" vertical="center" wrapText="1"/>
    </xf>
    <xf numFmtId="0" fontId="1" fillId="7" borderId="34" xfId="1" applyFont="1" applyFill="1" applyBorder="1" applyAlignment="1" applyProtection="1">
      <alignment horizontal="center" vertical="center" wrapText="1"/>
    </xf>
    <xf numFmtId="0" fontId="1" fillId="0" borderId="0" xfId="1" applyFont="1" applyFill="1" applyBorder="1" applyAlignment="1" applyProtection="1">
      <alignment horizontal="center" vertical="center"/>
    </xf>
    <xf numFmtId="0" fontId="1" fillId="19" borderId="21" xfId="1" applyFont="1" applyFill="1" applyBorder="1" applyAlignment="1" applyProtection="1">
      <alignment horizontal="center" wrapText="1"/>
    </xf>
    <xf numFmtId="0" fontId="1" fillId="19" borderId="13" xfId="1" applyFont="1" applyFill="1" applyBorder="1" applyAlignment="1" applyProtection="1">
      <alignment horizontal="center" wrapText="1"/>
    </xf>
    <xf numFmtId="0" fontId="1" fillId="6" borderId="21" xfId="1" applyFont="1" applyFill="1" applyBorder="1" applyAlignment="1" applyProtection="1">
      <alignment horizontal="center" vertical="center"/>
    </xf>
    <xf numFmtId="0" fontId="1" fillId="6" borderId="13" xfId="1" applyFont="1" applyFill="1" applyBorder="1" applyAlignment="1" applyProtection="1">
      <alignment horizontal="center" vertical="center"/>
    </xf>
    <xf numFmtId="0" fontId="7" fillId="3" borderId="1" xfId="0" applyFont="1" applyFill="1" applyBorder="1" applyAlignment="1">
      <alignment horizontal="left" vertical="center"/>
    </xf>
    <xf numFmtId="0" fontId="2" fillId="3" borderId="1" xfId="0" applyFont="1" applyFill="1" applyBorder="1" applyAlignment="1" applyProtection="1">
      <alignment horizontal="left" vertical="center" wrapText="1"/>
      <protection locked="0"/>
    </xf>
    <xf numFmtId="0" fontId="2" fillId="0" borderId="3" xfId="0" applyFont="1" applyBorder="1" applyAlignment="1">
      <alignment vertical="top"/>
    </xf>
    <xf numFmtId="0" fontId="3" fillId="0" borderId="3" xfId="0" applyFont="1" applyBorder="1"/>
    <xf numFmtId="0" fontId="3" fillId="0" borderId="2" xfId="0" applyFont="1" applyBorder="1"/>
  </cellXfs>
  <cellStyles count="4">
    <cellStyle name="Calculation" xfId="2" builtinId="22"/>
    <cellStyle name="Hyperlink" xfId="3" builtinId="8"/>
    <cellStyle name="Normal" xfId="0" builtinId="0"/>
    <cellStyle name="Normal 2" xfId="1"/>
  </cellStyles>
  <dxfs count="164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strike val="0"/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strike val="0"/>
        <color rgb="FFFF000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63"/>
      <tableStyleElement type="headerRow" dxfId="162"/>
    </tableStyle>
  </tableStyles>
  <colors>
    <mruColors>
      <color rgb="FFFF33CC"/>
      <color rgb="FFCC6600"/>
      <color rgb="FFC0C0C0"/>
      <color rgb="FFCC9900"/>
      <color rgb="FFFEE6FE"/>
      <color rgb="FFFF99FF"/>
      <color rgb="FF996600"/>
      <color rgb="FFCCCC00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owerPivotData" Target="model/item.data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Ex5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Ex6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Ex7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Ex8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Ex9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Ex10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Ex11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Ex12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1"/>
          <c:order val="1"/>
          <c:tx>
            <c:strRef>
              <c:f>'AHP Likelihood Calculation'!$AN$56</c:f>
              <c:strCache>
                <c:ptCount val="1"/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'AHP Likelihood Calculation'!$AL$57:$AL$79</c:f>
              <c:numCache>
                <c:formatCode>General</c:formatCode>
                <c:ptCount val="23"/>
              </c:numCache>
            </c:numRef>
          </c:cat>
          <c:val>
            <c:numRef>
              <c:f>'AHP Likelihood Calculation'!$AN$57:$AN$79</c:f>
              <c:numCache>
                <c:formatCode>General</c:formatCode>
                <c:ptCount val="23"/>
              </c:numCache>
            </c:numRef>
          </c:val>
          <c:extLst>
            <c:ext xmlns:c16="http://schemas.microsoft.com/office/drawing/2014/chart" uri="{C3380CC4-5D6E-409C-BE32-E72D297353CC}">
              <c16:uniqueId val="{00000000-A3AC-46F9-99E6-CDE0C29357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-1368849760"/>
        <c:axId val="-1368849216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'AHP Likelihood Calculation'!$AM$56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'AHP Likelihood Calculation'!$AL$57:$AL$79</c15:sqref>
                        </c15:formulaRef>
                      </c:ext>
                    </c:extLst>
                    <c:numCache>
                      <c:formatCode>General</c:formatCode>
                      <c:ptCount val="23"/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'AHP Likelihood Calculation'!$AM$57:$AM$79</c15:sqref>
                        </c15:formulaRef>
                      </c:ext>
                    </c:extLst>
                    <c:numCache>
                      <c:formatCode>General</c:formatCode>
                      <c:ptCount val="23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A3AC-46F9-99E6-CDE0C2935753}"/>
                  </c:ext>
                </c:extLst>
              </c15:ser>
            </c15:filteredBarSeries>
          </c:ext>
        </c:extLst>
      </c:barChart>
      <c:catAx>
        <c:axId val="-13688497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68849216"/>
        <c:crosses val="autoZero"/>
        <c:auto val="1"/>
        <c:lblAlgn val="ctr"/>
        <c:lblOffset val="100"/>
        <c:noMultiLvlLbl val="0"/>
      </c:catAx>
      <c:valAx>
        <c:axId val="-1368849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68849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1"/>
          <c:order val="1"/>
          <c:tx>
            <c:strRef>
              <c:f>'AHP Likelihood Calculation'!$AN$56</c:f>
              <c:strCache>
                <c:ptCount val="1"/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'AHP Likelihood Calculation'!$AL$57:$AL$79</c:f>
              <c:numCache>
                <c:formatCode>General</c:formatCode>
                <c:ptCount val="23"/>
              </c:numCache>
            </c:numRef>
          </c:cat>
          <c:val>
            <c:numRef>
              <c:f>'AHP Likelihood Calculation'!$AN$57:$AN$79</c:f>
              <c:numCache>
                <c:formatCode>General</c:formatCode>
                <c:ptCount val="23"/>
              </c:numCache>
            </c:numRef>
          </c:val>
          <c:extLst>
            <c:ext xmlns:c16="http://schemas.microsoft.com/office/drawing/2014/chart" uri="{C3380CC4-5D6E-409C-BE32-E72D297353CC}">
              <c16:uniqueId val="{00000000-BFAD-41AA-99A5-04F37FD6E2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-1525117616"/>
        <c:axId val="-1033198272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'AHP Likelihood Calculation'!$AM$56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'AHP Likelihood Calculation'!$AL$57:$AL$79</c15:sqref>
                        </c15:formulaRef>
                      </c:ext>
                    </c:extLst>
                    <c:numCache>
                      <c:formatCode>General</c:formatCode>
                      <c:ptCount val="23"/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'AHP Likelihood Calculation'!$AM$57:$AM$79</c15:sqref>
                        </c15:formulaRef>
                      </c:ext>
                    </c:extLst>
                    <c:numCache>
                      <c:formatCode>General</c:formatCode>
                      <c:ptCount val="23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BFAD-41AA-99A5-04F37FD6E288}"/>
                  </c:ext>
                </c:extLst>
              </c15:ser>
            </c15:filteredBarSeries>
          </c:ext>
        </c:extLst>
      </c:barChart>
      <c:catAx>
        <c:axId val="-15251176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33198272"/>
        <c:crosses val="autoZero"/>
        <c:auto val="1"/>
        <c:lblAlgn val="ctr"/>
        <c:lblOffset val="100"/>
        <c:noMultiLvlLbl val="0"/>
      </c:catAx>
      <c:valAx>
        <c:axId val="-1033198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25117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1"/>
          <c:order val="1"/>
          <c:tx>
            <c:strRef>
              <c:f>'AHP Likelihood Calculation'!$AN$56</c:f>
              <c:strCache>
                <c:ptCount val="1"/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'AHP Likelihood Calculation'!$AL$57:$AL$79</c:f>
              <c:numCache>
                <c:formatCode>General</c:formatCode>
                <c:ptCount val="23"/>
              </c:numCache>
            </c:numRef>
          </c:cat>
          <c:val>
            <c:numRef>
              <c:f>'AHP Likelihood Calculation'!$AN$57:$AN$79</c:f>
              <c:numCache>
                <c:formatCode>General</c:formatCode>
                <c:ptCount val="23"/>
              </c:numCache>
            </c:numRef>
          </c:val>
          <c:extLst>
            <c:ext xmlns:c16="http://schemas.microsoft.com/office/drawing/2014/chart" uri="{C3380CC4-5D6E-409C-BE32-E72D297353CC}">
              <c16:uniqueId val="{00000000-B5FE-4681-A9A5-DBAE3961BE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-1033185760"/>
        <c:axId val="-1033193376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'AHP Likelihood Calculation'!$AM$56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'AHP Likelihood Calculation'!$AL$57:$AL$79</c15:sqref>
                        </c15:formulaRef>
                      </c:ext>
                    </c:extLst>
                    <c:numCache>
                      <c:formatCode>General</c:formatCode>
                      <c:ptCount val="23"/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'AHP Likelihood Calculation'!$AM$57:$AM$79</c15:sqref>
                        </c15:formulaRef>
                      </c:ext>
                    </c:extLst>
                    <c:numCache>
                      <c:formatCode>General</c:formatCode>
                      <c:ptCount val="23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B5FE-4681-A9A5-DBAE3961BE8D}"/>
                  </c:ext>
                </c:extLst>
              </c15:ser>
            </c15:filteredBarSeries>
          </c:ext>
        </c:extLst>
      </c:barChart>
      <c:catAx>
        <c:axId val="-10331857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33193376"/>
        <c:crosses val="autoZero"/>
        <c:auto val="1"/>
        <c:lblAlgn val="ctr"/>
        <c:lblOffset val="100"/>
        <c:noMultiLvlLbl val="0"/>
      </c:catAx>
      <c:valAx>
        <c:axId val="-1033193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33185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1"/>
          <c:order val="1"/>
          <c:tx>
            <c:strRef>
              <c:f>'AHP Likelihood Calculation'!$AN$56</c:f>
              <c:strCache>
                <c:ptCount val="1"/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'AHP Likelihood Calculation'!$AL$57:$AL$79</c:f>
              <c:numCache>
                <c:formatCode>General</c:formatCode>
                <c:ptCount val="23"/>
              </c:numCache>
            </c:numRef>
          </c:cat>
          <c:val>
            <c:numRef>
              <c:f>'AHP Likelihood Calculation'!$AN$57:$AN$79</c:f>
              <c:numCache>
                <c:formatCode>General</c:formatCode>
                <c:ptCount val="23"/>
              </c:numCache>
            </c:numRef>
          </c:val>
          <c:extLst>
            <c:ext xmlns:c16="http://schemas.microsoft.com/office/drawing/2014/chart" uri="{C3380CC4-5D6E-409C-BE32-E72D297353CC}">
              <c16:uniqueId val="{00000000-306F-4FE0-95D9-52197F8FB2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-1368849760"/>
        <c:axId val="-1368849216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'AHP Likelihood Calculation'!$AM$56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'AHP Likelihood Calculation'!$AL$57:$AL$79</c15:sqref>
                        </c15:formulaRef>
                      </c:ext>
                    </c:extLst>
                    <c:numCache>
                      <c:formatCode>General</c:formatCode>
                      <c:ptCount val="23"/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'AHP Likelihood Calculation'!$AM$57:$AM$79</c15:sqref>
                        </c15:formulaRef>
                      </c:ext>
                    </c:extLst>
                    <c:numCache>
                      <c:formatCode>General</c:formatCode>
                      <c:ptCount val="23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306F-4FE0-95D9-52197F8FB258}"/>
                  </c:ext>
                </c:extLst>
              </c15:ser>
            </c15:filteredBarSeries>
          </c:ext>
        </c:extLst>
      </c:barChart>
      <c:catAx>
        <c:axId val="-13688497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68849216"/>
        <c:crosses val="autoZero"/>
        <c:auto val="1"/>
        <c:lblAlgn val="ctr"/>
        <c:lblOffset val="100"/>
        <c:noMultiLvlLbl val="0"/>
      </c:catAx>
      <c:valAx>
        <c:axId val="-1368849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68849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_xlchart.v1.6</cx:f>
      </cx:strDim>
      <cx:numDim type="size">
        <cx:f>_xlchart.v1.8</cx:f>
      </cx:numDim>
    </cx:data>
    <cx:data id="1">
      <cx:strDim type="cat">
        <cx:f>_xlchart.v1.6</cx:f>
      </cx:strDim>
      <cx:numDim type="size">
        <cx:f>_xlchart.v1.10</cx:f>
      </cx:numDim>
    </cx:data>
  </cx:chartData>
  <cx:chart>
    <cx:title pos="t" align="ctr" overlay="0">
      <cx:tx>
        <cx:rich>
          <a:bodyPr spcFirstLastPara="1" vertOverflow="ellipsis" wrap="square" lIns="0" tIns="0" rIns="0" bIns="0" anchor="ctr" anchorCtr="1"/>
          <a:lstStyle/>
          <a:p>
            <a:pPr algn="ctr">
              <a:defRPr lang="en-US" sz="2800" b="1" i="0" u="none" strike="noStrike" kern="1200" cap="none" spc="20" baseline="0">
                <a:solidFill>
                  <a:sysClr val="windowText" lastClr="000000"/>
                </a:solidFill>
                <a:latin typeface="Garamond" panose="02020404030301010803" pitchFamily="18" charset="0"/>
                <a:ea typeface="Garamond" panose="02020404030301010803" pitchFamily="18" charset="0"/>
                <a:cs typeface="Garamond" panose="02020404030301010803" pitchFamily="18" charset="0"/>
              </a:defRPr>
            </a:pPr>
            <a:r>
              <a:rPr lang="en-US" sz="2800" b="1" i="0" u="none" strike="noStrike" kern="1200" spc="0" baseline="0">
                <a:solidFill>
                  <a:sysClr val="windowText" lastClr="000000"/>
                </a:solidFill>
                <a:effectLst/>
                <a:latin typeface="Garamond" panose="02020404030301010803" pitchFamily="18" charset="0"/>
              </a:rPr>
              <a:t>Distribution of Risks to Threats Based on Fixed Budget Optimization</a:t>
            </a:r>
            <a:endParaRPr lang="en-US" b="1">
              <a:solidFill>
                <a:sysClr val="windowText" lastClr="000000"/>
              </a:solidFill>
              <a:latin typeface="Garamond" panose="02020404030301010803" pitchFamily="18" charset="0"/>
            </a:endParaRPr>
          </a:p>
        </cx:rich>
      </cx:tx>
    </cx:title>
    <cx:plotArea>
      <cx:plotAreaRegion>
        <cx:series layoutId="treemap" uniqueId="{C3CCE400-7605-4DED-87BF-C019623CF412}" formatIdx="0">
          <cx:tx>
            <cx:txData>
              <cx:f>_xlchart.v1.7</cx:f>
              <cx:v>Total Risk</cx:v>
            </cx:txData>
          </cx:tx>
          <cx:dataLabels pos="inEnd">
            <cx:txPr>
              <a:bodyPr spcFirstLastPara="1" vertOverflow="ellipsis" wrap="square" lIns="0" tIns="0" rIns="0" bIns="0" anchor="ctr" anchorCtr="1">
                <a:spAutoFit/>
              </a:bodyPr>
              <a:lstStyle/>
              <a:p>
                <a:pPr>
                  <a:defRPr lang="en-US" sz="2000" b="1" i="0" u="none" strike="noStrike" kern="1200" baseline="0">
                    <a:solidFill>
                      <a:schemeClr val="tx1"/>
                    </a:solidFill>
                    <a:latin typeface="Garamond" panose="02020404030301010803" pitchFamily="18" charset="0"/>
                    <a:ea typeface="Garamond" panose="02020404030301010803" pitchFamily="18" charset="0"/>
                    <a:cs typeface="Garamond" panose="02020404030301010803" pitchFamily="18" charset="0"/>
                  </a:defRPr>
                </a:pPr>
                <a:endParaRPr lang="en-US" sz="2000" b="1">
                  <a:solidFill>
                    <a:schemeClr val="tx1"/>
                  </a:solidFill>
                  <a:latin typeface="Garamond" panose="02020404030301010803" pitchFamily="18" charset="0"/>
                </a:endParaRPr>
              </a:p>
            </cx:txPr>
            <cx:visibility seriesName="0" categoryName="1" value="1"/>
            <cx:separator>, </cx:separator>
          </cx:dataLabels>
          <cx:dataId val="0"/>
          <cx:layoutPr>
            <cx:parentLabelLayout val="overlapping"/>
          </cx:layoutPr>
        </cx:series>
        <cx:series layoutId="treemap" hidden="1" uniqueId="{B793508D-C266-4D1F-8CAC-7D174040F967}" formatIdx="1">
          <cx:tx>
            <cx:txData>
              <cx:f>_xlchart.v1.9</cx:f>
              <cx:v>Total Cost of Precaution</cx:v>
            </cx:txData>
          </cx:tx>
          <cx:dataLabels pos="inEnd">
            <cx:visibility seriesName="0" categoryName="1" value="0"/>
          </cx:dataLabels>
          <cx:dataId val="1"/>
          <cx:layoutPr>
            <cx:parentLabelLayout val="overlapping"/>
          </cx:layoutPr>
        </cx:series>
      </cx:plotAreaRegion>
    </cx:plotArea>
    <cx:legend pos="b" align="ctr" overlay="0">
      <cx:txPr>
        <a:bodyPr spcFirstLastPara="1" vertOverflow="ellipsis" wrap="square" lIns="0" tIns="0" rIns="0" bIns="0" anchor="ctr" anchorCtr="1"/>
        <a:lstStyle/>
        <a:p>
          <a:pPr>
            <a:defRPr sz="2400"/>
          </a:pPr>
          <a:endParaRPr lang="en-US" sz="2400"/>
        </a:p>
      </cx:txPr>
    </cx:legend>
  </cx:chart>
  <cx:clrMapOvr bg1="lt1" tx1="dk1" bg2="lt2" tx2="dk2" accent1="accent1" accent2="accent2" accent3="accent3" accent4="accent4" accent5="accent5" accent6="accent6" hlink="hlink" folHlink="folHlink"/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_xlchart.v1.3</cx:f>
      </cx:strDim>
      <cx:numDim type="size">
        <cx:f>_xlchart.v1.5</cx:f>
      </cx:numDim>
    </cx:data>
  </cx:chartData>
  <cx:chart>
    <cx:title pos="t" align="ctr" overlay="0">
      <cx:tx>
        <cx:rich>
          <a:bodyPr spcFirstLastPara="1" vertOverflow="ellipsis" wrap="square" lIns="0" tIns="0" rIns="0" bIns="0" anchor="ctr" anchorCtr="1"/>
          <a:lstStyle/>
          <a:p>
            <a:pPr algn="ctr">
              <a:defRPr lang="en-US" sz="2800" b="1" i="0" u="none" strike="noStrike" kern="1200" baseline="0">
                <a:solidFill>
                  <a:sysClr val="windowText" lastClr="000000"/>
                </a:solidFill>
                <a:latin typeface="Garamond" panose="02020404030301010803" pitchFamily="18" charset="0"/>
                <a:ea typeface="Garamond" panose="02020404030301010803" pitchFamily="18" charset="0"/>
                <a:cs typeface="Garamond" panose="02020404030301010803" pitchFamily="18" charset="0"/>
              </a:defRPr>
            </a:pPr>
            <a:r>
              <a:rPr lang="en-US" sz="2800" b="1" i="0" u="none" strike="noStrike" kern="1200" spc="0" baseline="0">
                <a:solidFill>
                  <a:sysClr val="windowText" lastClr="000000"/>
                </a:solidFill>
                <a:effectLst/>
                <a:latin typeface="Garamond" panose="02020404030301010803" pitchFamily="18" charset="0"/>
              </a:rPr>
              <a:t>Distribution of Costs to Threats Based on Fixed Budget Optimization</a:t>
            </a:r>
            <a:endParaRPr lang="en-US" b="1">
              <a:solidFill>
                <a:sysClr val="windowText" lastClr="000000"/>
              </a:solidFill>
              <a:latin typeface="Garamond" panose="02020404030301010803" pitchFamily="18" charset="0"/>
            </a:endParaRPr>
          </a:p>
        </cx:rich>
      </cx:tx>
    </cx:title>
    <cx:plotArea>
      <cx:plotAreaRegion>
        <cx:series layoutId="treemap" uniqueId="{B793508D-C266-4D1F-8CAC-7D174040F967}" formatIdx="1">
          <cx:tx>
            <cx:txData>
              <cx:f>_xlchart.v1.4</cx:f>
              <cx:v>Total Cost of Precaution</cx:v>
            </cx:txData>
          </cx:tx>
          <cx:dataLabels pos="ctr">
            <cx:txPr>
              <a:bodyPr spcFirstLastPara="1" vertOverflow="ellipsis" wrap="square" lIns="0" tIns="0" rIns="0" bIns="0" anchor="ctr" anchorCtr="1">
                <a:spAutoFit/>
              </a:bodyPr>
              <a:lstStyle/>
              <a:p>
                <a:pPr>
                  <a:defRPr lang="en-US" sz="2000" b="1" i="0" u="none" strike="noStrike" kern="1200" baseline="0">
                    <a:solidFill>
                      <a:sysClr val="windowText" lastClr="000000"/>
                    </a:solidFill>
                    <a:latin typeface="Garamond" panose="02020404030301010803" pitchFamily="18" charset="0"/>
                    <a:ea typeface="Garamond" panose="02020404030301010803" pitchFamily="18" charset="0"/>
                    <a:cs typeface="Garamond" panose="02020404030301010803" pitchFamily="18" charset="0"/>
                  </a:defRPr>
                </a:pPr>
                <a:endParaRPr lang="en-US" sz="2000">
                  <a:solidFill>
                    <a:sysClr val="windowText" lastClr="000000"/>
                  </a:solidFill>
                  <a:latin typeface="Garamond" panose="02020404030301010803" pitchFamily="18" charset="0"/>
                </a:endParaRPr>
              </a:p>
            </cx:txPr>
            <cx:visibility seriesName="0" categoryName="1" value="1"/>
            <cx:separator>, </cx:separator>
          </cx:dataLabels>
          <cx:dataId val="0"/>
          <cx:layoutPr>
            <cx:parentLabelLayout val="overlapping"/>
          </cx:layoutPr>
        </cx:series>
      </cx:plotAreaRegion>
    </cx:plotArea>
    <cx:legend pos="b" align="ctr" overlay="0">
      <cx:txPr>
        <a:bodyPr spcFirstLastPara="1" vertOverflow="ellipsis" wrap="square" lIns="0" tIns="0" rIns="0" bIns="0" anchor="ctr" anchorCtr="1"/>
        <a:lstStyle/>
        <a:p>
          <a:pPr>
            <a:defRPr sz="2400">
              <a:latin typeface="Garamond" panose="02020404030301010803" pitchFamily="18" charset="0"/>
              <a:ea typeface="Garamond" panose="02020404030301010803" pitchFamily="18" charset="0"/>
              <a:cs typeface="Garamond" panose="02020404030301010803" pitchFamily="18" charset="0"/>
            </a:defRPr>
          </a:pPr>
          <a:endParaRPr lang="en-US" sz="2400">
            <a:latin typeface="Garamond" panose="02020404030301010803" pitchFamily="18" charset="0"/>
          </a:endParaRPr>
        </a:p>
      </cx:txPr>
    </cx:legend>
  </cx:chart>
  <cx:clrMapOvr bg1="lt1" tx1="dk1" bg2="lt2" tx2="dk2" accent1="accent1" accent2="accent2" accent3="accent3" accent4="accent4" accent5="accent5" accent6="accent6" hlink="hlink" folHlink="folHlink"/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_xlchart.v1.16</cx:f>
      </cx:strDim>
      <cx:numDim type="size">
        <cx:f>_xlchart.v1.18</cx:f>
      </cx:numDim>
    </cx:data>
    <cx:data id="1">
      <cx:strDim type="cat">
        <cx:f>_xlchart.v1.16</cx:f>
      </cx:strDim>
      <cx:numDim type="size">
        <cx:f>_xlchart.v1.20</cx:f>
      </cx:numDim>
    </cx:data>
  </cx:chartData>
  <cx:chart>
    <cx:title pos="t" align="ctr" overlay="0">
      <cx:tx>
        <cx:rich>
          <a:bodyPr spcFirstLastPara="1" vertOverflow="ellipsis" wrap="square" lIns="0" tIns="0" rIns="0" bIns="0" anchor="ctr" anchorCtr="1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>
                <a:solidFill>
                  <a:sysClr val="windowText" lastClr="000000"/>
                </a:solidFill>
              </a:defRPr>
            </a:pPr>
            <a:r>
              <a:rPr lang="en-US" sz="2400" b="0" i="0" u="none" strike="noStrike" kern="1200" spc="0" baseline="0">
                <a:solidFill>
                  <a:sysClr val="windowText" lastClr="000000"/>
                </a:solidFill>
                <a:effectLst/>
                <a:latin typeface="Garamond" panose="02020404030301010803" pitchFamily="18" charset="0"/>
              </a:rPr>
              <a:t>Distribution </a:t>
            </a:r>
            <a:r>
              <a:rPr lang="en-US" sz="2400" b="1" i="0" u="none" strike="noStrike" kern="1200" spc="0" baseline="0">
                <a:solidFill>
                  <a:sysClr val="windowText" lastClr="000000"/>
                </a:solidFill>
                <a:effectLst/>
                <a:latin typeface="Garamond" panose="02020404030301010803" pitchFamily="18" charset="0"/>
              </a:rPr>
              <a:t>of</a:t>
            </a:r>
            <a:r>
              <a:rPr lang="en-US" sz="2400" b="0" i="0" u="none" strike="noStrike" kern="1200" spc="0" baseline="0">
                <a:solidFill>
                  <a:sysClr val="windowText" lastClr="000000"/>
                </a:solidFill>
                <a:effectLst/>
                <a:latin typeface="Garamond" panose="02020404030301010803" pitchFamily="18" charset="0"/>
              </a:rPr>
              <a:t> Risk to Precautions Based on Fixed Budget Optimization</a:t>
            </a:r>
            <a:endParaRPr lang="en-US" sz="1200" b="0" i="0" u="none" strike="noStrike" kern="1200" spc="0" baseline="0">
              <a:solidFill>
                <a:sysClr val="windowText" lastClr="000000"/>
              </a:solidFill>
              <a:effectLst/>
              <a:latin typeface="Garamond" panose="02020404030301010803" pitchFamily="18" charset="0"/>
            </a:endParaRPr>
          </a:p>
        </cx:rich>
      </cx:tx>
    </cx:title>
    <cx:plotArea>
      <cx:plotAreaRegion>
        <cx:series layoutId="treemap" uniqueId="{8AE3DDCB-8810-4072-85D2-8243371B6C1C}" formatIdx="0">
          <cx:tx>
            <cx:txData>
              <cx:f>_xlchart.v1.17</cx:f>
              <cx:v>Total Prevented Amount of Risk By Precaution</cx:v>
            </cx:txData>
          </cx:tx>
          <cx:dataLabels pos="inEnd">
            <cx:txPr>
              <a:bodyPr spcFirstLastPara="1" vertOverflow="ellipsis" wrap="square" lIns="0" tIns="0" rIns="0" bIns="0" anchor="ctr" anchorCtr="1">
                <a:spAutoFit/>
              </a:bodyPr>
              <a:lstStyle/>
              <a:p>
                <a:pPr>
                  <a:defRPr lang="en-US" sz="1800" b="0" i="0" u="none" strike="noStrike" kern="1200" baseline="0">
                    <a:solidFill>
                      <a:sysClr val="windowText" lastClr="000000"/>
                    </a:solidFill>
                    <a:latin typeface="Garamond" panose="02020404030301010803" pitchFamily="18" charset="0"/>
                    <a:ea typeface="Garamond" panose="02020404030301010803" pitchFamily="18" charset="0"/>
                    <a:cs typeface="Garamond" panose="02020404030301010803" pitchFamily="18" charset="0"/>
                  </a:defRPr>
                </a:pPr>
                <a:endParaRPr lang="en-US" sz="1800">
                  <a:solidFill>
                    <a:sysClr val="windowText" lastClr="000000"/>
                  </a:solidFill>
                  <a:latin typeface="Garamond" panose="02020404030301010803" pitchFamily="18" charset="0"/>
                </a:endParaRPr>
              </a:p>
            </cx:txPr>
            <cx:visibility seriesName="0" categoryName="1" value="1"/>
            <cx:separator>, </cx:separator>
          </cx:dataLabels>
          <cx:dataId val="0"/>
          <cx:layoutPr>
            <cx:parentLabelLayout val="overlapping"/>
          </cx:layoutPr>
        </cx:series>
        <cx:series layoutId="treemap" hidden="1" uniqueId="{9B40B98F-B205-43E5-B809-CC169AADBB0B}" formatIdx="1">
          <cx:tx>
            <cx:txData>
              <cx:f>_xlchart.v1.19</cx:f>
              <cx:v>Total Cost of Precaution</cx:v>
            </cx:txData>
          </cx:tx>
          <cx:dataLabels pos="inEnd">
            <cx:visibility seriesName="0" categoryName="1" value="0"/>
          </cx:dataLabels>
          <cx:dataId val="1"/>
          <cx:layoutPr>
            <cx:parentLabelLayout val="overlapping"/>
          </cx:layoutPr>
        </cx:series>
      </cx:plotAreaRegion>
    </cx:plotArea>
    <cx:legend pos="b" align="ctr" overlay="0">
      <cx:txPr>
        <a:bodyPr spcFirstLastPara="1" vertOverflow="ellipsis" wrap="square" lIns="0" tIns="0" rIns="0" bIns="0" anchor="ctr" anchorCtr="1"/>
        <a:lstStyle/>
        <a:p>
          <a:pPr>
            <a:defRPr lang="en-US" sz="1400" b="0" i="0" u="none" strike="noStrike" kern="0" spc="-10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Garamond" panose="02020404030301010803" pitchFamily="18" charset="0"/>
              <a:ea typeface="Garamond" panose="02020404030301010803" pitchFamily="18" charset="0"/>
              <a:cs typeface="Garamond" panose="02020404030301010803" pitchFamily="18" charset="0"/>
            </a:defRPr>
          </a:pPr>
          <a:endParaRPr lang="en-US" sz="1400" kern="0" spc="-100" baseline="0">
            <a:latin typeface="Garamond" panose="02020404030301010803" pitchFamily="18" charset="0"/>
          </a:endParaRPr>
        </a:p>
      </cx:txPr>
    </cx:legend>
  </cx:chart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_xlchart.v1.21</cx:f>
      </cx:strDim>
      <cx:numDim type="size">
        <cx:f>_xlchart.v1.23</cx:f>
      </cx:numDim>
    </cx:data>
  </cx:chartData>
  <cx:chart>
    <cx:title pos="t" align="ctr" overlay="0">
      <cx:tx>
        <cx:rich>
          <a:bodyPr spcFirstLastPara="1" vertOverflow="ellipsis" wrap="square" lIns="0" tIns="0" rIns="0" bIns="0" anchor="ctr" anchorCtr="1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2400" b="0" i="0" u="none" strike="noStrike" kern="1200" spc="0" baseline="0">
                <a:solidFill>
                  <a:sysClr val="windowText" lastClr="000000"/>
                </a:solidFill>
                <a:effectLst/>
                <a:latin typeface="Calibri" panose="020F0502020204030204"/>
              </a:rPr>
              <a:t>Distribution of Cost to Precautions Based on Fixed Budget Optimization</a:t>
            </a:r>
            <a:endParaRPr lang="en-US" sz="2400">
              <a:solidFill>
                <a:sysClr val="windowText" lastClr="000000"/>
              </a:solidFill>
            </a:endParaRPr>
          </a:p>
        </cx:rich>
      </cx:tx>
    </cx:title>
    <cx:plotArea>
      <cx:plotAreaRegion>
        <cx:series layoutId="treemap" uniqueId="{9B40B98F-B205-43E5-B809-CC169AADBB0B}" formatIdx="1">
          <cx:tx>
            <cx:txData>
              <cx:f>_xlchart.v1.22</cx:f>
              <cx:v>Total Cost of Precaution</cx:v>
            </cx:txData>
          </cx:tx>
          <cx:dataLabels pos="inEnd">
            <cx:visibility seriesName="0" categoryName="1" value="0"/>
          </cx:dataLabels>
          <cx:dataId val="0"/>
          <cx:layoutPr>
            <cx:parentLabelLayout val="overlapping"/>
          </cx:layoutPr>
        </cx:series>
      </cx:plotAreaRegion>
    </cx:plotArea>
    <cx:legend pos="t" align="ctr" overlay="0">
      <cx:txPr>
        <a:bodyPr spcFirstLastPara="1" vertOverflow="ellipsis" wrap="square" lIns="0" tIns="0" rIns="0" bIns="0" anchor="ctr" anchorCtr="1"/>
        <a:lstStyle/>
        <a:p>
          <a:pPr>
            <a:defRPr/>
          </a:pPr>
          <a:endParaRPr lang="en-US"/>
        </a:p>
      </cx:txPr>
    </cx:legend>
  </cx:chart>
</cx:chartSpace>
</file>

<file path=xl/charts/chartEx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_xlchart.v1.27</cx:f>
      </cx:strDim>
      <cx:numDim type="size">
        <cx:f>_xlchart.v1.29</cx:f>
      </cx:numDim>
    </cx:data>
    <cx:data id="1">
      <cx:strDim type="cat">
        <cx:f>_xlchart.v1.27</cx:f>
      </cx:strDim>
      <cx:numDim type="size">
        <cx:f>_xlchart.v1.31</cx:f>
      </cx:numDim>
    </cx:data>
  </cx:chartData>
  <cx:chart>
    <cx:title pos="t" align="ctr" overlay="0">
      <cx:tx>
        <cx:rich>
          <a:bodyPr spcFirstLastPara="1" vertOverflow="ellipsis" wrap="square" lIns="0" tIns="0" rIns="0" bIns="0" anchor="ctr" anchorCtr="1"/>
          <a:lstStyle/>
          <a:p>
            <a:pPr algn="ctr">
              <a:defRPr sz="2800">
                <a:solidFill>
                  <a:sysClr val="windowText" lastClr="000000"/>
                </a:solidFill>
              </a:defRPr>
            </a:pPr>
            <a:r>
              <a:rPr lang="en-US" sz="2800" b="0" i="0" u="none" strike="noStrike" kern="1200" spc="0" baseline="0">
                <a:solidFill>
                  <a:sysClr val="windowText" lastClr="000000"/>
                </a:solidFill>
                <a:effectLst/>
                <a:latin typeface="Calibri" panose="020F0502020204030204"/>
              </a:rPr>
              <a:t>Distribution of Risks to Threats Based on Fixed Budget Optimization</a:t>
            </a:r>
            <a:endParaRPr lang="en-US">
              <a:solidFill>
                <a:sysClr val="windowText" lastClr="000000"/>
              </a:solidFill>
            </a:endParaRPr>
          </a:p>
        </cx:rich>
      </cx:tx>
    </cx:title>
    <cx:plotArea>
      <cx:plotAreaRegion>
        <cx:series layoutId="treemap" uniqueId="{C3CCE400-7605-4DED-87BF-C019623CF412}" formatIdx="0">
          <cx:tx>
            <cx:txData>
              <cx:f>_xlchart.v1.28</cx:f>
              <cx:v>Total Risk</cx:v>
            </cx:txData>
          </cx:tx>
          <cx:dataLabels pos="inEnd">
            <cx:txPr>
              <a:bodyPr spcFirstLastPara="1" vertOverflow="ellipsis" wrap="square" lIns="0" tIns="0" rIns="0" bIns="0" anchor="ctr" anchorCtr="1">
                <a:spAutoFit/>
              </a:bodyPr>
              <a:lstStyle/>
              <a:p>
                <a:pPr>
                  <a:defRPr sz="2000">
                    <a:solidFill>
                      <a:schemeClr val="tx1"/>
                    </a:solidFill>
                  </a:defRPr>
                </a:pPr>
                <a:endParaRPr lang="en-US" sz="2000">
                  <a:solidFill>
                    <a:schemeClr val="tx1"/>
                  </a:solidFill>
                </a:endParaRPr>
              </a:p>
            </cx:txPr>
            <cx:visibility seriesName="0" categoryName="1" value="1"/>
            <cx:separator>, </cx:separator>
          </cx:dataLabels>
          <cx:dataId val="0"/>
          <cx:layoutPr>
            <cx:parentLabelLayout val="overlapping"/>
          </cx:layoutPr>
        </cx:series>
        <cx:series layoutId="treemap" hidden="1" uniqueId="{B793508D-C266-4D1F-8CAC-7D174040F967}" formatIdx="1">
          <cx:tx>
            <cx:txData>
              <cx:f>_xlchart.v1.30</cx:f>
              <cx:v>Total Cost of Precaution</cx:v>
            </cx:txData>
          </cx:tx>
          <cx:dataLabels pos="inEnd">
            <cx:visibility seriesName="0" categoryName="1" value="0"/>
          </cx:dataLabels>
          <cx:dataId val="1"/>
          <cx:layoutPr>
            <cx:parentLabelLayout val="overlapping"/>
          </cx:layoutPr>
        </cx:series>
      </cx:plotAreaRegion>
    </cx:plotArea>
    <cx:legend pos="b" align="ctr" overlay="0"/>
  </cx:chart>
  <cx:clrMapOvr bg1="lt1" tx1="dk1" bg2="lt2" tx2="dk2" accent1="accent1" accent2="accent2" accent3="accent3" accent4="accent4" accent5="accent5" accent6="accent6" hlink="hlink" folHlink="folHlink"/>
</cx:chartSpace>
</file>

<file path=xl/charts/chartEx6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_xlchart.v1.24</cx:f>
      </cx:strDim>
      <cx:numDim type="size">
        <cx:f>_xlchart.v1.26</cx:f>
      </cx:numDim>
    </cx:data>
  </cx:chartData>
  <cx:chart>
    <cx:title pos="t" align="ctr" overlay="0">
      <cx:tx>
        <cx:rich>
          <a:bodyPr spcFirstLastPara="1" vertOverflow="ellipsis" wrap="square" lIns="0" tIns="0" rIns="0" bIns="0" anchor="ctr" anchorCtr="1"/>
          <a:lstStyle/>
          <a:p>
            <a:pPr algn="ctr">
              <a:defRPr sz="2800">
                <a:solidFill>
                  <a:sysClr val="windowText" lastClr="000000"/>
                </a:solidFill>
              </a:defRPr>
            </a:pPr>
            <a:r>
              <a:rPr lang="en-US" sz="2800" b="0" i="0" u="none" strike="noStrike" kern="1200" spc="0" baseline="0">
                <a:solidFill>
                  <a:sysClr val="windowText" lastClr="000000"/>
                </a:solidFill>
                <a:effectLst/>
                <a:latin typeface="Calibri" panose="020F0502020204030204"/>
              </a:rPr>
              <a:t>Distribution of Costs to Threats Based on Fixed Budget Optimization</a:t>
            </a:r>
            <a:endParaRPr lang="en-US">
              <a:solidFill>
                <a:sysClr val="windowText" lastClr="000000"/>
              </a:solidFill>
            </a:endParaRPr>
          </a:p>
        </cx:rich>
      </cx:tx>
    </cx:title>
    <cx:plotArea>
      <cx:plotAreaRegion>
        <cx:series layoutId="treemap" uniqueId="{B793508D-C266-4D1F-8CAC-7D174040F967}" formatIdx="1">
          <cx:tx>
            <cx:txData>
              <cx:f>_xlchart.v1.25</cx:f>
              <cx:v>Total Cost of Precaution</cx:v>
            </cx:txData>
          </cx:tx>
          <cx:dataLabels pos="ctr">
            <cx:txPr>
              <a:bodyPr spcFirstLastPara="1" vertOverflow="ellipsis" wrap="square" lIns="0" tIns="0" rIns="0" bIns="0" anchor="ctr" anchorCtr="1">
                <a:spAutoFit/>
              </a:bodyPr>
              <a:lstStyle/>
              <a:p>
                <a:pPr>
                  <a:defRPr sz="2000">
                    <a:solidFill>
                      <a:sysClr val="windowText" lastClr="000000"/>
                    </a:solidFill>
                  </a:defRPr>
                </a:pPr>
                <a:endParaRPr lang="en-US" sz="2000">
                  <a:solidFill>
                    <a:sysClr val="windowText" lastClr="000000"/>
                  </a:solidFill>
                </a:endParaRPr>
              </a:p>
            </cx:txPr>
            <cx:visibility seriesName="0" categoryName="1" value="1"/>
            <cx:separator>, </cx:separator>
          </cx:dataLabels>
          <cx:dataId val="0"/>
          <cx:layoutPr>
            <cx:parentLabelLayout val="overlapping"/>
          </cx:layoutPr>
        </cx:series>
      </cx:plotAreaRegion>
    </cx:plotArea>
    <cx:legend pos="r" align="ctr" overlay="0">
      <cx:txPr>
        <a:bodyPr spcFirstLastPara="1" vertOverflow="ellipsis" wrap="square" lIns="0" tIns="0" rIns="0" bIns="0" anchor="ctr" anchorCtr="1"/>
        <a:lstStyle/>
        <a:p>
          <a:pPr>
            <a:defRPr sz="1800"/>
          </a:pPr>
          <a:endParaRPr lang="en-US" sz="1800"/>
        </a:p>
      </cx:txPr>
    </cx:legend>
  </cx:chart>
  <cx:clrMapOvr bg1="lt1" tx1="dk1" bg2="lt2" tx2="dk2" accent1="accent1" accent2="accent2" accent3="accent3" accent4="accent4" accent5="accent5" accent6="accent6" hlink="hlink" folHlink="folHlink"/>
</cx:chartSpace>
</file>

<file path=xl/charts/chartEx7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_xlchart.v1.37</cx:f>
      </cx:strDim>
      <cx:numDim type="size">
        <cx:f>_xlchart.v1.39</cx:f>
      </cx:numDim>
    </cx:data>
    <cx:data id="1">
      <cx:strDim type="cat">
        <cx:f>_xlchart.v1.37</cx:f>
      </cx:strDim>
      <cx:numDim type="size">
        <cx:f>_xlchart.v1.41</cx:f>
      </cx:numDim>
    </cx:data>
  </cx:chartData>
  <cx:chart>
    <cx:title pos="t" align="ctr" overlay="0">
      <cx:tx>
        <cx:rich>
          <a:bodyPr spcFirstLastPara="1" vertOverflow="ellipsis" wrap="square" lIns="0" tIns="0" rIns="0" bIns="0" anchor="ctr" anchorCtr="1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>
                <a:solidFill>
                  <a:sysClr val="windowText" lastClr="000000"/>
                </a:solidFill>
              </a:defRPr>
            </a:pPr>
            <a:r>
              <a:rPr lang="en-US" sz="2800" b="0" i="0" u="none" strike="noStrike" kern="1200" spc="0" baseline="0">
                <a:solidFill>
                  <a:sysClr val="windowText" lastClr="000000"/>
                </a:solidFill>
                <a:effectLst/>
                <a:latin typeface="Calibri" panose="020F0502020204030204"/>
              </a:rPr>
              <a:t>Distribution of Risk to Precautions Based on Fixed Budget Optimization</a:t>
            </a:r>
            <a:endParaRPr lang="en-US" sz="1400" b="0" i="0" u="none" strike="noStrike" kern="1200" spc="0" baseline="0">
              <a:solidFill>
                <a:sysClr val="windowText" lastClr="000000"/>
              </a:solidFill>
              <a:effectLst/>
              <a:latin typeface="Calibri" panose="020F0502020204030204"/>
            </a:endParaRPr>
          </a:p>
        </cx:rich>
      </cx:tx>
    </cx:title>
    <cx:plotArea>
      <cx:plotAreaRegion>
        <cx:series layoutId="treemap" uniqueId="{8AE3DDCB-8810-4072-85D2-8243371B6C1C}" formatIdx="0">
          <cx:tx>
            <cx:txData>
              <cx:f>_xlchart.v1.38</cx:f>
              <cx:v>Total Prevented Amount of Risk By Precaution</cx:v>
            </cx:txData>
          </cx:tx>
          <cx:dataLabels pos="inEnd">
            <cx:txPr>
              <a:bodyPr spcFirstLastPara="1" vertOverflow="ellipsis" wrap="square" lIns="0" tIns="0" rIns="0" bIns="0" anchor="ctr" anchorCtr="1">
                <a:spAutoFit/>
              </a:bodyPr>
              <a:lstStyle/>
              <a:p>
                <a:pPr>
                  <a:defRPr sz="1050">
                    <a:solidFill>
                      <a:sysClr val="windowText" lastClr="000000"/>
                    </a:solidFill>
                  </a:defRPr>
                </a:pPr>
                <a:endParaRPr lang="en-US" sz="1050">
                  <a:solidFill>
                    <a:sysClr val="windowText" lastClr="000000"/>
                  </a:solidFill>
                </a:endParaRPr>
              </a:p>
            </cx:txPr>
            <cx:visibility seriesName="0" categoryName="1" value="1"/>
            <cx:separator>, </cx:separator>
          </cx:dataLabels>
          <cx:dataId val="0"/>
          <cx:layoutPr>
            <cx:parentLabelLayout val="overlapping"/>
          </cx:layoutPr>
        </cx:series>
        <cx:series layoutId="treemap" hidden="1" uniqueId="{9B40B98F-B205-43E5-B809-CC169AADBB0B}" formatIdx="1">
          <cx:tx>
            <cx:txData>
              <cx:f>_xlchart.v1.40</cx:f>
              <cx:v>Total Cost of Precaution</cx:v>
            </cx:txData>
          </cx:tx>
          <cx:dataLabels pos="inEnd">
            <cx:visibility seriesName="0" categoryName="1" value="0"/>
          </cx:dataLabels>
          <cx:dataId val="1"/>
          <cx:layoutPr>
            <cx:parentLabelLayout val="overlapping"/>
          </cx:layoutPr>
        </cx:series>
      </cx:plotAreaRegion>
    </cx:plotArea>
    <cx:legend pos="t" align="ctr" overlay="0"/>
  </cx:chart>
</cx:chartSpace>
</file>

<file path=xl/charts/chartEx8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_xlchart.v1.32</cx:f>
      </cx:strDim>
      <cx:numDim type="size">
        <cx:f>_xlchart.v1.34</cx:f>
      </cx:numDim>
    </cx:data>
    <cx:data id="1">
      <cx:strDim type="cat">
        <cx:f>_xlchart.v1.32</cx:f>
      </cx:strDim>
      <cx:numDim type="size">
        <cx:f>_xlchart.v1.36</cx:f>
      </cx:numDim>
    </cx:data>
  </cx:chartData>
  <cx:chart>
    <cx:title pos="t" align="ctr" overlay="0">
      <cx:tx>
        <cx:rich>
          <a:bodyPr spcFirstLastPara="1" vertOverflow="ellipsis" wrap="square" lIns="0" tIns="0" rIns="0" bIns="0" anchor="ctr" anchorCtr="1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2400" b="0" i="0" u="none" strike="noStrike" kern="1200" spc="0" baseline="0">
                <a:solidFill>
                  <a:sysClr val="windowText" lastClr="000000"/>
                </a:solidFill>
                <a:effectLst/>
                <a:latin typeface="Calibri" panose="020F0502020204030204"/>
              </a:rPr>
              <a:t>Distribution of Cost to Precautions Based on Fixed Budget Optimization</a:t>
            </a:r>
            <a:endParaRPr lang="en-US" sz="2400">
              <a:solidFill>
                <a:sysClr val="windowText" lastClr="000000"/>
              </a:solidFill>
            </a:endParaRPr>
          </a:p>
        </cx:rich>
      </cx:tx>
    </cx:title>
    <cx:plotArea>
      <cx:plotAreaRegion>
        <cx:series layoutId="treemap" uniqueId="{8AE3DDCB-8810-4072-85D2-8243371B6C1C}" formatIdx="0">
          <cx:tx>
            <cx:txData>
              <cx:f>_xlchart.v1.33</cx:f>
              <cx:v>Total Prevented Amount of Risk By Precaution</cx:v>
            </cx:txData>
          </cx:tx>
          <cx:dataLabels pos="inEnd">
            <cx:txPr>
              <a:bodyPr spcFirstLastPara="1" vertOverflow="ellipsis" wrap="square" lIns="0" tIns="0" rIns="0" bIns="0" anchor="ctr" anchorCtr="1">
                <a:spAutoFit/>
              </a:bodyPr>
              <a:lstStyle/>
              <a:p>
                <a:pPr>
                  <a:defRPr sz="1050">
                    <a:solidFill>
                      <a:sysClr val="windowText" lastClr="000000"/>
                    </a:solidFill>
                  </a:defRPr>
                </a:pPr>
                <a:endParaRPr lang="en-US" sz="1050">
                  <a:solidFill>
                    <a:sysClr val="windowText" lastClr="000000"/>
                  </a:solidFill>
                </a:endParaRPr>
              </a:p>
            </cx:txPr>
            <cx:visibility seriesName="0" categoryName="1" value="1"/>
            <cx:separator>, </cx:separator>
          </cx:dataLabels>
          <cx:dataId val="0"/>
          <cx:layoutPr>
            <cx:parentLabelLayout val="overlapping"/>
          </cx:layoutPr>
        </cx:series>
        <cx:series layoutId="treemap" hidden="1" uniqueId="{9B40B98F-B205-43E5-B809-CC169AADBB0B}" formatIdx="1">
          <cx:tx>
            <cx:txData>
              <cx:f>_xlchart.v1.35</cx:f>
              <cx:v>Total Cost of Precaution</cx:v>
            </cx:txData>
          </cx:tx>
          <cx:dataLabels pos="inEnd">
            <cx:visibility seriesName="0" categoryName="1" value="0"/>
          </cx:dataLabels>
          <cx:dataId val="1"/>
          <cx:layoutPr>
            <cx:parentLabelLayout val="overlapping"/>
          </cx:layoutPr>
        </cx:series>
      </cx:plotAreaRegion>
    </cx:plotArea>
    <cx:legend pos="t" align="ctr" overlay="0">
      <cx:txPr>
        <a:bodyPr spcFirstLastPara="1" vertOverflow="ellipsis" wrap="square" lIns="0" tIns="0" rIns="0" bIns="0" anchor="ctr" anchorCtr="1"/>
        <a:lstStyle/>
        <a:p>
          <a:pPr>
            <a:defRPr/>
          </a:pPr>
          <a:endParaRPr lang="en-US"/>
        </a:p>
      </cx:txPr>
    </cx:legend>
  </cx:chart>
</cx:chartSpace>
</file>

<file path=xl/charts/chartEx9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_xlchart.v1.45</cx:f>
      </cx:strDim>
      <cx:numDim type="size">
        <cx:f>_xlchart.v1.47</cx:f>
      </cx:numDim>
    </cx:data>
    <cx:data id="1">
      <cx:strDim type="cat">
        <cx:f>_xlchart.v1.45</cx:f>
      </cx:strDim>
      <cx:numDim type="size">
        <cx:f>_xlchart.v1.49</cx:f>
      </cx:numDim>
    </cx:data>
  </cx:chartData>
  <cx:chart>
    <cx:title pos="t" align="ctr" overlay="0">
      <cx:tx>
        <cx:rich>
          <a:bodyPr spcFirstLastPara="1" vertOverflow="ellipsis" wrap="square" lIns="0" tIns="0" rIns="0" bIns="0" anchor="ctr" anchorCtr="1"/>
          <a:lstStyle/>
          <a:p>
            <a:pPr algn="ctr">
              <a:defRPr sz="2800">
                <a:solidFill>
                  <a:sysClr val="windowText" lastClr="000000"/>
                </a:solidFill>
              </a:defRPr>
            </a:pPr>
            <a:r>
              <a:rPr lang="en-US" sz="2800" b="0" i="0" u="none" strike="noStrike" kern="1200" spc="0" baseline="0">
                <a:solidFill>
                  <a:sysClr val="windowText" lastClr="000000"/>
                </a:solidFill>
                <a:effectLst/>
                <a:latin typeface="Calibri" panose="020F0502020204030204"/>
              </a:rPr>
              <a:t>Distribution of Risks to Threats Based on Fixed Budget Optimization</a:t>
            </a:r>
            <a:endParaRPr lang="en-US">
              <a:solidFill>
                <a:sysClr val="windowText" lastClr="000000"/>
              </a:solidFill>
            </a:endParaRPr>
          </a:p>
        </cx:rich>
      </cx:tx>
    </cx:title>
    <cx:plotArea>
      <cx:plotAreaRegion>
        <cx:series layoutId="treemap" uniqueId="{C3CCE400-7605-4DED-87BF-C019623CF412}" formatIdx="0">
          <cx:tx>
            <cx:txData>
              <cx:f>_xlchart.v1.46</cx:f>
              <cx:v>Total Risk</cx:v>
            </cx:txData>
          </cx:tx>
          <cx:dataLabels pos="inEnd">
            <cx:txPr>
              <a:bodyPr spcFirstLastPara="1" vertOverflow="ellipsis" wrap="square" lIns="0" tIns="0" rIns="0" bIns="0" anchor="ctr" anchorCtr="1">
                <a:spAutoFit/>
              </a:bodyPr>
              <a:lstStyle/>
              <a:p>
                <a:pPr>
                  <a:defRPr sz="2000">
                    <a:solidFill>
                      <a:schemeClr val="tx1"/>
                    </a:solidFill>
                  </a:defRPr>
                </a:pPr>
                <a:endParaRPr lang="en-US" sz="2000">
                  <a:solidFill>
                    <a:schemeClr val="tx1"/>
                  </a:solidFill>
                </a:endParaRPr>
              </a:p>
            </cx:txPr>
            <cx:visibility seriesName="0" categoryName="1" value="1"/>
            <cx:separator>, </cx:separator>
          </cx:dataLabels>
          <cx:dataId val="0"/>
          <cx:layoutPr>
            <cx:parentLabelLayout val="overlapping"/>
          </cx:layoutPr>
        </cx:series>
        <cx:series layoutId="treemap" hidden="1" uniqueId="{B793508D-C266-4D1F-8CAC-7D174040F967}" formatIdx="1">
          <cx:tx>
            <cx:txData>
              <cx:f>_xlchart.v1.48</cx:f>
              <cx:v>Total Cost of Precaution</cx:v>
            </cx:txData>
          </cx:tx>
          <cx:dataLabels pos="inEnd">
            <cx:visibility seriesName="0" categoryName="1" value="0"/>
          </cx:dataLabels>
          <cx:dataId val="1"/>
          <cx:layoutPr>
            <cx:parentLabelLayout val="overlapping"/>
          </cx:layoutPr>
        </cx:series>
      </cx:plotAreaRegion>
    </cx:plotArea>
    <cx:legend pos="b" align="ctr" overlay="0"/>
  </cx:chart>
  <cx:clrMapOvr bg1="lt1" tx1="dk1" bg2="lt2" tx2="dk2" accent1="accent1" accent2="accent2" accent3="accent3" accent4="accent4" accent5="accent5" accent6="accent6" hlink="hlink" folHlink="folHlink"/>
</cx:chartSpace>
</file>

<file path=xl/charts/chartEx10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_xlchart.v1.42</cx:f>
      </cx:strDim>
      <cx:numDim type="size">
        <cx:f>_xlchart.v1.44</cx:f>
      </cx:numDim>
    </cx:data>
  </cx:chartData>
  <cx:chart>
    <cx:title pos="t" align="ctr" overlay="0">
      <cx:tx>
        <cx:rich>
          <a:bodyPr spcFirstLastPara="1" vertOverflow="ellipsis" wrap="square" lIns="0" tIns="0" rIns="0" bIns="0" anchor="ctr" anchorCtr="1"/>
          <a:lstStyle/>
          <a:p>
            <a:pPr algn="ctr">
              <a:defRPr sz="2800">
                <a:solidFill>
                  <a:sysClr val="windowText" lastClr="000000"/>
                </a:solidFill>
              </a:defRPr>
            </a:pPr>
            <a:r>
              <a:rPr lang="en-US" sz="2800" b="0" i="0" u="none" strike="noStrike" kern="1200" spc="0" baseline="0">
                <a:solidFill>
                  <a:sysClr val="windowText" lastClr="000000"/>
                </a:solidFill>
                <a:effectLst/>
                <a:latin typeface="Calibri" panose="020F0502020204030204"/>
              </a:rPr>
              <a:t>Distribution of Costs to Threats Based on Fixed Budget Optimization</a:t>
            </a:r>
            <a:endParaRPr lang="en-US">
              <a:solidFill>
                <a:sysClr val="windowText" lastClr="000000"/>
              </a:solidFill>
            </a:endParaRPr>
          </a:p>
        </cx:rich>
      </cx:tx>
    </cx:title>
    <cx:plotArea>
      <cx:plotAreaRegion>
        <cx:series layoutId="treemap" uniqueId="{B793508D-C266-4D1F-8CAC-7D174040F967}" formatIdx="1">
          <cx:tx>
            <cx:txData>
              <cx:f>_xlchart.v1.43</cx:f>
              <cx:v>Total Cost of Precaution</cx:v>
            </cx:txData>
          </cx:tx>
          <cx:dataLabels pos="ctr">
            <cx:txPr>
              <a:bodyPr spcFirstLastPara="1" vertOverflow="ellipsis" wrap="square" lIns="0" tIns="0" rIns="0" bIns="0" anchor="ctr" anchorCtr="1">
                <a:spAutoFit/>
              </a:bodyPr>
              <a:lstStyle/>
              <a:p>
                <a:pPr>
                  <a:defRPr sz="2000">
                    <a:solidFill>
                      <a:sysClr val="windowText" lastClr="000000"/>
                    </a:solidFill>
                  </a:defRPr>
                </a:pPr>
                <a:endParaRPr lang="en-US" sz="2000">
                  <a:solidFill>
                    <a:sysClr val="windowText" lastClr="000000"/>
                  </a:solidFill>
                </a:endParaRPr>
              </a:p>
            </cx:txPr>
            <cx:visibility seriesName="0" categoryName="1" value="1"/>
            <cx:separator>, </cx:separator>
          </cx:dataLabels>
          <cx:dataId val="0"/>
          <cx:layoutPr>
            <cx:parentLabelLayout val="overlapping"/>
          </cx:layoutPr>
        </cx:series>
      </cx:plotAreaRegion>
    </cx:plotArea>
    <cx:legend pos="r" align="ctr" overlay="0"/>
  </cx:chart>
  <cx:clrMapOvr bg1="lt1" tx1="dk1" bg2="lt2" tx2="dk2" accent1="accent1" accent2="accent2" accent3="accent3" accent4="accent4" accent5="accent5" accent6="accent6" hlink="hlink" folHlink="folHlink"/>
</cx:chartSpace>
</file>

<file path=xl/charts/chartEx1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_xlchart.v1.50</cx:f>
      </cx:strDim>
      <cx:numDim type="size">
        <cx:f>_xlchart.v1.52</cx:f>
      </cx:numDim>
    </cx:data>
    <cx:data id="1">
      <cx:strDim type="cat">
        <cx:f>_xlchart.v1.50</cx:f>
      </cx:strDim>
      <cx:numDim type="size">
        <cx:f>_xlchart.v1.54</cx:f>
      </cx:numDim>
    </cx:data>
  </cx:chartData>
  <cx:chart>
    <cx:title pos="t" align="ctr" overlay="0">
      <cx:tx>
        <cx:rich>
          <a:bodyPr spcFirstLastPara="1" vertOverflow="ellipsis" wrap="square" lIns="0" tIns="0" rIns="0" bIns="0" anchor="ctr" anchorCtr="1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>
                <a:solidFill>
                  <a:sysClr val="windowText" lastClr="000000"/>
                </a:solidFill>
              </a:defRPr>
            </a:pPr>
            <a:r>
              <a:rPr lang="en-US" sz="2800" b="0" i="0" u="none" strike="noStrike" kern="1200" spc="0" baseline="0">
                <a:solidFill>
                  <a:sysClr val="windowText" lastClr="000000"/>
                </a:solidFill>
                <a:effectLst/>
                <a:latin typeface="Calibri" panose="020F0502020204030204"/>
              </a:rPr>
              <a:t>Distribution of Risk to Precautions Based on Fixed Budget Optimization</a:t>
            </a:r>
            <a:endParaRPr lang="en-US" sz="1400" b="0" i="0" u="none" strike="noStrike" kern="1200" spc="0" baseline="0">
              <a:solidFill>
                <a:sysClr val="windowText" lastClr="000000"/>
              </a:solidFill>
              <a:effectLst/>
              <a:latin typeface="Calibri" panose="020F0502020204030204"/>
            </a:endParaRPr>
          </a:p>
        </cx:rich>
      </cx:tx>
    </cx:title>
    <cx:plotArea>
      <cx:plotAreaRegion>
        <cx:series layoutId="treemap" uniqueId="{8AE3DDCB-8810-4072-85D2-8243371B6C1C}" formatIdx="0">
          <cx:tx>
            <cx:txData>
              <cx:f>_xlchart.v1.51</cx:f>
              <cx:v>Total Prevented Amount of Risk By Precaution</cx:v>
            </cx:txData>
          </cx:tx>
          <cx:dataLabels pos="inEnd">
            <cx:txPr>
              <a:bodyPr spcFirstLastPara="1" vertOverflow="ellipsis" wrap="square" lIns="0" tIns="0" rIns="0" bIns="0" anchor="ctr" anchorCtr="1">
                <a:spAutoFit/>
              </a:bodyPr>
              <a:lstStyle/>
              <a:p>
                <a:pPr>
                  <a:defRPr sz="1050">
                    <a:solidFill>
                      <a:sysClr val="windowText" lastClr="000000"/>
                    </a:solidFill>
                  </a:defRPr>
                </a:pPr>
                <a:endParaRPr lang="en-US" sz="1050">
                  <a:solidFill>
                    <a:sysClr val="windowText" lastClr="000000"/>
                  </a:solidFill>
                </a:endParaRPr>
              </a:p>
            </cx:txPr>
            <cx:visibility seriesName="0" categoryName="1" value="1"/>
            <cx:separator>, </cx:separator>
          </cx:dataLabels>
          <cx:dataId val="0"/>
          <cx:layoutPr>
            <cx:parentLabelLayout val="overlapping"/>
          </cx:layoutPr>
        </cx:series>
        <cx:series layoutId="treemap" hidden="1" uniqueId="{9B40B98F-B205-43E5-B809-CC169AADBB0B}" formatIdx="1">
          <cx:tx>
            <cx:txData>
              <cx:f>_xlchart.v1.53</cx:f>
              <cx:v>Total Cost of Precaution</cx:v>
            </cx:txData>
          </cx:tx>
          <cx:dataLabels pos="inEnd">
            <cx:visibility seriesName="0" categoryName="1" value="0"/>
          </cx:dataLabels>
          <cx:dataId val="1"/>
          <cx:layoutPr>
            <cx:parentLabelLayout val="overlapping"/>
          </cx:layoutPr>
        </cx:series>
      </cx:plotAreaRegion>
    </cx:plotArea>
    <cx:legend pos="t" align="ctr" overlay="0"/>
  </cx:chart>
</cx:chartSpace>
</file>

<file path=xl/charts/chartEx1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_xlchart.v1.55</cx:f>
      </cx:strDim>
      <cx:numDim type="size">
        <cx:f>_xlchart.v1.57</cx:f>
      </cx:numDim>
    </cx:data>
    <cx:data id="1">
      <cx:strDim type="cat">
        <cx:f>_xlchart.v1.55</cx:f>
      </cx:strDim>
      <cx:numDim type="size">
        <cx:f>_xlchart.v1.59</cx:f>
      </cx:numDim>
    </cx:data>
  </cx:chartData>
  <cx:chart>
    <cx:title pos="t" align="ctr" overlay="0">
      <cx:tx>
        <cx:rich>
          <a:bodyPr spcFirstLastPara="1" vertOverflow="ellipsis" wrap="square" lIns="0" tIns="0" rIns="0" bIns="0" anchor="ctr" anchorCtr="1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2400" b="0" i="0" u="none" strike="noStrike" kern="1200" spc="0" baseline="0">
                <a:solidFill>
                  <a:sysClr val="windowText" lastClr="000000"/>
                </a:solidFill>
                <a:effectLst/>
                <a:latin typeface="Calibri" panose="020F0502020204030204"/>
              </a:rPr>
              <a:t>Distribution of Cost to Precautions Based on Fixed Budget Optimization</a:t>
            </a:r>
            <a:endParaRPr lang="en-US" sz="2400">
              <a:solidFill>
                <a:sysClr val="windowText" lastClr="000000"/>
              </a:solidFill>
            </a:endParaRPr>
          </a:p>
        </cx:rich>
      </cx:tx>
    </cx:title>
    <cx:plotArea>
      <cx:plotAreaRegion>
        <cx:series layoutId="treemap" uniqueId="{8AE3DDCB-8810-4072-85D2-8243371B6C1C}" formatIdx="0">
          <cx:tx>
            <cx:txData>
              <cx:f>_xlchart.v1.56</cx:f>
              <cx:v>Total Prevented Amount of Risk By Precaution</cx:v>
            </cx:txData>
          </cx:tx>
          <cx:dataLabels pos="inEnd">
            <cx:txPr>
              <a:bodyPr spcFirstLastPara="1" vertOverflow="ellipsis" wrap="square" lIns="0" tIns="0" rIns="0" bIns="0" anchor="ctr" anchorCtr="1">
                <a:spAutoFit/>
              </a:bodyPr>
              <a:lstStyle/>
              <a:p>
                <a:pPr>
                  <a:defRPr sz="1050">
                    <a:solidFill>
                      <a:sysClr val="windowText" lastClr="000000"/>
                    </a:solidFill>
                  </a:defRPr>
                </a:pPr>
                <a:endParaRPr lang="en-US" sz="1050">
                  <a:solidFill>
                    <a:sysClr val="windowText" lastClr="000000"/>
                  </a:solidFill>
                </a:endParaRPr>
              </a:p>
            </cx:txPr>
            <cx:visibility seriesName="0" categoryName="1" value="1"/>
            <cx:separator>, </cx:separator>
          </cx:dataLabels>
          <cx:dataId val="0"/>
          <cx:layoutPr>
            <cx:parentLabelLayout val="overlapping"/>
          </cx:layoutPr>
        </cx:series>
        <cx:series layoutId="treemap" hidden="1" uniqueId="{9B40B98F-B205-43E5-B809-CC169AADBB0B}" formatIdx="1">
          <cx:tx>
            <cx:txData>
              <cx:f>_xlchart.v1.58</cx:f>
              <cx:v>Total Cost of Precaution</cx:v>
            </cx:txData>
          </cx:tx>
          <cx:dataLabels pos="inEnd">
            <cx:visibility seriesName="0" categoryName="1" value="0"/>
          </cx:dataLabels>
          <cx:dataId val="1"/>
          <cx:layoutPr>
            <cx:parentLabelLayout val="overlapping"/>
          </cx:layoutPr>
        </cx:series>
      </cx:plotAreaRegion>
    </cx:plotArea>
    <cx:legend pos="t" align="ctr" overlay="0"/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6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412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85000"/>
        </a:schemeClr>
      </a:solidFill>
      <a:ln>
        <a:solidFill>
          <a:schemeClr val="bg1">
            <a:lumMod val="75000"/>
          </a:schemeClr>
        </a:solidFill>
      </a:ln>
    </cs:spPr>
    <cs:defRPr sz="900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  <cs:bodyPr lIns="38100" tIns="19050" rIns="38100" bIns="19050">
      <a:spAutoFit/>
    </cs:bodyPr>
  </cs:dataLabel>
  <cs:dataLabelCallout>
    <cs:lnRef idx="0"/>
    <cs:fillRef idx="0"/>
    <cs:effectRef idx="0"/>
    <cs:fontRef idx="minor">
      <a:schemeClr val="tx1">
        <a:lumMod val="50000"/>
        <a:lumOff val="50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dk1"/>
    </cs:fontRef>
  </cs:dropLine>
  <cs:errorBar>
    <cs:lnRef idx="0"/>
    <cs:fillRef idx="0"/>
    <cs:effectRef idx="0"/>
    <cs:fontRef idx="minor">
      <a:schemeClr val="dk1"/>
    </cs:fontRef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</cs:hiLoLine>
  <cs:leaderLine>
    <cs:lnRef idx="0"/>
    <cs:fillRef idx="0"/>
    <cs:effectRef idx="0"/>
    <cs:fontRef idx="minor">
      <a:schemeClr val="dk1"/>
    </cs:fontRef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dk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411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1000" b="1" i="0" u="none" strike="noStrike" kern="1200" baseline="0"/>
    <cs:bodyPr lIns="38100" tIns="19050" rIns="38100" bIns="19050">
      <a:spAutoFit/>
    </cs:bodyPr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dk1"/>
    </cs:fontRef>
  </cs:dropLine>
  <cs:errorBar>
    <cs:lnRef idx="0"/>
    <cs:fillRef idx="0"/>
    <cs:effectRef idx="0"/>
    <cs:fontRef idx="minor">
      <a:schemeClr val="dk1"/>
    </cs:fontRef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  <a:lumOff val="10000"/>
              </a:schemeClr>
            </a:gs>
            <a:gs pos="0">
              <a:schemeClr val="lt1">
                <a:lumMod val="75000"/>
                <a:alpha val="36000"/>
                <a:lumOff val="10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</cs:hiLoLine>
  <cs:leaderLine>
    <cs:lnRef idx="0"/>
    <cs:fillRef idx="0"/>
    <cs:effectRef idx="0"/>
    <cs:fontRef idx="minor">
      <a:schemeClr val="dk1"/>
    </cs:fontRef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dk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defRPr sz="9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bg1"/>
    </cs:fontRef>
    <cs:defRPr sz="900" kern="1200"/>
    <cs:bodyPr lIns="38100" tIns="19050" rIns="38100" bIns="19050">
      <a:spAutoFit/>
    </cs:bodyPr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  <a:lumOff val="10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bg1"/>
    </cs:fontRef>
    <cs:defRPr sz="900" kern="1200"/>
    <cs:bodyPr lIns="38100" tIns="19050" rIns="38100" bIns="19050">
      <a:spAutoFit/>
    </cs:bodyPr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  <a:lumOff val="10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412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85000"/>
        </a:schemeClr>
      </a:solidFill>
      <a:ln>
        <a:solidFill>
          <a:schemeClr val="bg1">
            <a:lumMod val="75000"/>
          </a:schemeClr>
        </a:solidFill>
      </a:ln>
    </cs:spPr>
    <cs:defRPr sz="900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  <cs:bodyPr lIns="38100" tIns="19050" rIns="38100" bIns="19050">
      <a:spAutoFit/>
    </cs:bodyPr>
  </cs:dataLabel>
  <cs:dataLabelCallout>
    <cs:lnRef idx="0"/>
    <cs:fillRef idx="0"/>
    <cs:effectRef idx="0"/>
    <cs:fontRef idx="minor">
      <a:schemeClr val="tx1">
        <a:lumMod val="50000"/>
        <a:lumOff val="50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dk1"/>
    </cs:fontRef>
  </cs:dropLine>
  <cs:errorBar>
    <cs:lnRef idx="0"/>
    <cs:fillRef idx="0"/>
    <cs:effectRef idx="0"/>
    <cs:fontRef idx="minor">
      <a:schemeClr val="dk1"/>
    </cs:fontRef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</cs:hiLoLine>
  <cs:leaderLine>
    <cs:lnRef idx="0"/>
    <cs:fillRef idx="0"/>
    <cs:effectRef idx="0"/>
    <cs:fontRef idx="minor">
      <a:schemeClr val="dk1"/>
    </cs:fontRef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dk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411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1000" b="1" i="0" u="none" strike="noStrike" kern="1200" baseline="0"/>
    <cs:bodyPr lIns="38100" tIns="19050" rIns="38100" bIns="19050">
      <a:spAutoFit/>
    </cs:bodyPr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dk1"/>
    </cs:fontRef>
  </cs:dropLine>
  <cs:errorBar>
    <cs:lnRef idx="0"/>
    <cs:fillRef idx="0"/>
    <cs:effectRef idx="0"/>
    <cs:fontRef idx="minor">
      <a:schemeClr val="dk1"/>
    </cs:fontRef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  <a:lumOff val="10000"/>
              </a:schemeClr>
            </a:gs>
            <a:gs pos="0">
              <a:schemeClr val="lt1">
                <a:lumMod val="75000"/>
                <a:alpha val="36000"/>
                <a:lumOff val="10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</cs:hiLoLine>
  <cs:leaderLine>
    <cs:lnRef idx="0"/>
    <cs:fillRef idx="0"/>
    <cs:effectRef idx="0"/>
    <cs:fontRef idx="minor">
      <a:schemeClr val="dk1"/>
    </cs:fontRef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dk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defRPr sz="9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bg1"/>
    </cs:fontRef>
    <cs:defRPr sz="900" kern="1200"/>
    <cs:bodyPr lIns="38100" tIns="19050" rIns="38100" bIns="19050">
      <a:spAutoFit/>
    </cs:bodyPr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  <a:lumOff val="10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bg1"/>
    </cs:fontRef>
    <cs:defRPr sz="900" kern="1200"/>
    <cs:bodyPr lIns="38100" tIns="19050" rIns="38100" bIns="19050">
      <a:spAutoFit/>
    </cs:bodyPr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  <a:lumOff val="10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412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85000"/>
        </a:schemeClr>
      </a:solidFill>
      <a:ln>
        <a:solidFill>
          <a:schemeClr val="bg1">
            <a:lumMod val="75000"/>
          </a:schemeClr>
        </a:solidFill>
      </a:ln>
    </cs:spPr>
    <cs:defRPr sz="900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  <cs:bodyPr lIns="38100" tIns="19050" rIns="38100" bIns="19050">
      <a:spAutoFit/>
    </cs:bodyPr>
  </cs:dataLabel>
  <cs:dataLabelCallout>
    <cs:lnRef idx="0"/>
    <cs:fillRef idx="0"/>
    <cs:effectRef idx="0"/>
    <cs:fontRef idx="minor">
      <a:schemeClr val="tx1">
        <a:lumMod val="50000"/>
        <a:lumOff val="50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dk1"/>
    </cs:fontRef>
  </cs:dropLine>
  <cs:errorBar>
    <cs:lnRef idx="0"/>
    <cs:fillRef idx="0"/>
    <cs:effectRef idx="0"/>
    <cs:fontRef idx="minor">
      <a:schemeClr val="dk1"/>
    </cs:fontRef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</cs:hiLoLine>
  <cs:leaderLine>
    <cs:lnRef idx="0"/>
    <cs:fillRef idx="0"/>
    <cs:effectRef idx="0"/>
    <cs:fontRef idx="minor">
      <a:schemeClr val="dk1"/>
    </cs:fontRef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dk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/>
  </cs:valueAxis>
  <cs:wall>
    <cs:lnRef idx="0"/>
    <cs:fillRef idx="0"/>
    <cs:effectRef idx="0"/>
    <cs:fontRef idx="minor">
      <a:schemeClr val="dk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411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1000" b="1" i="0" u="none" strike="noStrike" kern="1200" baseline="0"/>
    <cs:bodyPr lIns="38100" tIns="19050" rIns="38100" bIns="19050">
      <a:spAutoFit/>
    </cs:bodyPr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dk1"/>
    </cs:fontRef>
  </cs:dropLine>
  <cs:errorBar>
    <cs:lnRef idx="0"/>
    <cs:fillRef idx="0"/>
    <cs:effectRef idx="0"/>
    <cs:fontRef idx="minor">
      <a:schemeClr val="dk1"/>
    </cs:fontRef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  <a:lumOff val="10000"/>
              </a:schemeClr>
            </a:gs>
            <a:gs pos="0">
              <a:schemeClr val="lt1">
                <a:lumMod val="75000"/>
                <a:alpha val="36000"/>
                <a:lumOff val="10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</cs:hiLoLine>
  <cs:leaderLine>
    <cs:lnRef idx="0"/>
    <cs:fillRef idx="0"/>
    <cs:effectRef idx="0"/>
    <cs:fontRef idx="minor">
      <a:schemeClr val="dk1"/>
    </cs:fontRef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dk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defRPr sz="900"/>
  </cs:valueAxis>
  <cs:wall>
    <cs:lnRef idx="0"/>
    <cs:fillRef idx="0"/>
    <cs:effectRef idx="0"/>
    <cs:fontRef idx="minor">
      <a:schemeClr val="dk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bg1"/>
    </cs:fontRef>
    <cs:defRPr sz="900" kern="1200"/>
    <cs:bodyPr lIns="38100" tIns="19050" rIns="38100" bIns="19050">
      <a:spAutoFit/>
    </cs:bodyPr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  <a:lumOff val="10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bg1"/>
    </cs:fontRef>
    <cs:defRPr sz="900" kern="1200"/>
    <cs:bodyPr lIns="38100" tIns="19050" rIns="38100" bIns="19050">
      <a:spAutoFit/>
    </cs:bodyPr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  <a:lumOff val="10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2" Type="http://schemas.microsoft.com/office/2014/relationships/chartEx" Target="../charts/chartEx2.xml"/><Relationship Id="rId1" Type="http://schemas.microsoft.com/office/2014/relationships/chartEx" Target="../charts/chartEx1.xml"/></Relationships>
</file>

<file path=xl/drawings/_rels/drawing5.xml.rels><?xml version="1.0" encoding="UTF-8" standalone="yes"?>
<Relationships xmlns="http://schemas.openxmlformats.org/package/2006/relationships"><Relationship Id="rId2" Type="http://schemas.microsoft.com/office/2014/relationships/chartEx" Target="../charts/chartEx4.xml"/><Relationship Id="rId1" Type="http://schemas.microsoft.com/office/2014/relationships/chartEx" Target="../charts/chartEx3.xml"/></Relationships>
</file>

<file path=xl/drawings/_rels/drawing6.xml.rels><?xml version="1.0" encoding="UTF-8" standalone="yes"?>
<Relationships xmlns="http://schemas.openxmlformats.org/package/2006/relationships"><Relationship Id="rId2" Type="http://schemas.microsoft.com/office/2014/relationships/chartEx" Target="../charts/chartEx6.xml"/><Relationship Id="rId1" Type="http://schemas.microsoft.com/office/2014/relationships/chartEx" Target="../charts/chartEx5.xml"/></Relationships>
</file>

<file path=xl/drawings/_rels/drawing7.xml.rels><?xml version="1.0" encoding="UTF-8" standalone="yes"?>
<Relationships xmlns="http://schemas.openxmlformats.org/package/2006/relationships"><Relationship Id="rId2" Type="http://schemas.microsoft.com/office/2014/relationships/chartEx" Target="../charts/chartEx8.xml"/><Relationship Id="rId1" Type="http://schemas.microsoft.com/office/2014/relationships/chartEx" Target="../charts/chartEx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9.xml.rels><?xml version="1.0" encoding="UTF-8" standalone="yes"?>
<Relationships xmlns="http://schemas.openxmlformats.org/package/2006/relationships"><Relationship Id="rId2" Type="http://schemas.microsoft.com/office/2014/relationships/chartEx" Target="../charts/chartEx10.xml"/><Relationship Id="rId1" Type="http://schemas.microsoft.com/office/2014/relationships/chartEx" Target="../charts/chartEx9.xml"/></Relationships>
</file>

<file path=xl/drawings/_rels/drawing10.xml.rels><?xml version="1.0" encoding="UTF-8" standalone="yes"?>
<Relationships xmlns="http://schemas.openxmlformats.org/package/2006/relationships"><Relationship Id="rId2" Type="http://schemas.microsoft.com/office/2014/relationships/chartEx" Target="../charts/chartEx12.xml"/><Relationship Id="rId1" Type="http://schemas.microsoft.com/office/2014/relationships/chartEx" Target="../charts/chartEx1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152400</xdr:colOff>
      <xdr:row>5</xdr:row>
      <xdr:rowOff>91989</xdr:rowOff>
    </xdr:from>
    <xdr:to>
      <xdr:col>21</xdr:col>
      <xdr:colOff>601980</xdr:colOff>
      <xdr:row>51</xdr:row>
      <xdr:rowOff>137160</xdr:rowOff>
    </xdr:to>
    <xdr:grpSp>
      <xdr:nvGrpSpPr>
        <xdr:cNvPr id="2" name="Group 1"/>
        <xdr:cNvGrpSpPr/>
      </xdr:nvGrpSpPr>
      <xdr:grpSpPr>
        <a:xfrm>
          <a:off x="1362635" y="876401"/>
          <a:ext cx="11946816" cy="7261759"/>
          <a:chOff x="1371594" y="907870"/>
          <a:chExt cx="12031983" cy="7556867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193" name="Button 1" hidden="1">
                <a:extLst>
                  <a:ext uri="{63B3BB69-23CF-44E3-9099-C40C66FF867C}">
                    <a14:compatExt spid="_x0000_s8193"/>
                  </a:ext>
                </a:extLst>
              </xdr:cNvPr>
              <xdr:cNvSpPr/>
            </xdr:nvSpPr>
            <xdr:spPr bwMode="auto">
              <a:xfrm>
                <a:off x="10553700" y="7682055"/>
                <a:ext cx="1379220" cy="78268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Run LP Optimization for Fixed Risk Optimization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194" name="Button 2" hidden="1">
                <a:extLst>
                  <a:ext uri="{63B3BB69-23CF-44E3-9099-C40C66FF867C}">
                    <a14:compatExt spid="_x0000_s8194"/>
                  </a:ext>
                </a:extLst>
              </xdr:cNvPr>
              <xdr:cNvSpPr/>
            </xdr:nvSpPr>
            <xdr:spPr bwMode="auto">
              <a:xfrm>
                <a:off x="8587740" y="1879963"/>
                <a:ext cx="1363980" cy="65314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Run LP Optimization for Fixed Cost Optimization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195" name="Button 3" hidden="1">
                <a:extLst>
                  <a:ext uri="{63B3BB69-23CF-44E3-9099-C40C66FF867C}">
                    <a14:compatExt spid="_x0000_s8195"/>
                  </a:ext>
                </a:extLst>
              </xdr:cNvPr>
              <xdr:cNvSpPr/>
            </xdr:nvSpPr>
            <xdr:spPr bwMode="auto">
              <a:xfrm>
                <a:off x="1371594" y="5270863"/>
                <a:ext cx="1516380" cy="63790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Navigate to Threat Model Definitions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196" name="Object 4" hidden="1">
                <a:extLst>
                  <a:ext uri="{63B3BB69-23CF-44E3-9099-C40C66FF867C}">
                    <a14:compatExt spid="_x0000_s8196"/>
                  </a:ext>
                </a:extLst>
              </xdr:cNvPr>
              <xdr:cNvSpPr/>
            </xdr:nvSpPr>
            <xdr:spPr bwMode="auto">
              <a:xfrm>
                <a:off x="2682240" y="2088969"/>
                <a:ext cx="9608820" cy="5566954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sp>
        </mc:Choice>
        <mc:Fallback/>
      </mc:AlternateContent>
      <xdr:cxnSp macro="">
        <xdr:nvCxnSpPr>
          <xdr:cNvPr id="3" name="Curved Connector 2"/>
          <xdr:cNvCxnSpPr/>
        </xdr:nvCxnSpPr>
        <xdr:spPr>
          <a:xfrm rot="10800000" flipV="1">
            <a:off x="2848792" y="5029200"/>
            <a:ext cx="784860" cy="604158"/>
          </a:xfrm>
          <a:prstGeom prst="curvedConnector3">
            <a:avLst>
              <a:gd name="adj1" fmla="val 50000"/>
            </a:avLst>
          </a:prstGeom>
          <a:ln w="9525" cap="flat" cmpd="sng" algn="ctr">
            <a:solidFill>
              <a:schemeClr val="accent2"/>
            </a:solidFill>
            <a:prstDash val="dash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</xdr:cxn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197" name="Button 5" hidden="1">
                <a:extLst>
                  <a:ext uri="{63B3BB69-23CF-44E3-9099-C40C66FF867C}">
                    <a14:compatExt spid="_x0000_s8197"/>
                  </a:ext>
                </a:extLst>
              </xdr:cNvPr>
              <xdr:cNvSpPr/>
            </xdr:nvSpPr>
            <xdr:spPr bwMode="auto">
              <a:xfrm>
                <a:off x="3223260" y="6748054"/>
                <a:ext cx="1363980" cy="52033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Navigate to AHP Settings</a:t>
                </a:r>
              </a:p>
            </xdr:txBody>
          </xdr:sp>
        </mc:Choice>
        <mc:Fallback/>
      </mc:AlternateContent>
      <xdr:cxnSp macro="">
        <xdr:nvCxnSpPr>
          <xdr:cNvPr id="13" name="Curved Connector 12"/>
          <xdr:cNvCxnSpPr/>
        </xdr:nvCxnSpPr>
        <xdr:spPr>
          <a:xfrm rot="5400000">
            <a:off x="3293249" y="5487044"/>
            <a:ext cx="1686649" cy="824750"/>
          </a:xfrm>
          <a:prstGeom prst="curvedConnector3">
            <a:avLst>
              <a:gd name="adj1" fmla="val 50000"/>
            </a:avLst>
          </a:prstGeom>
          <a:ln w="9525" cap="flat" cmpd="sng" algn="ctr">
            <a:solidFill>
              <a:schemeClr val="accent2"/>
            </a:solidFill>
            <a:prstDash val="dash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</xdr:cxn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198" name="Button 6" hidden="1">
                <a:extLst>
                  <a:ext uri="{63B3BB69-23CF-44E3-9099-C40C66FF867C}">
                    <a14:compatExt spid="_x0000_s8198"/>
                  </a:ext>
                </a:extLst>
              </xdr:cNvPr>
              <xdr:cNvSpPr/>
            </xdr:nvSpPr>
            <xdr:spPr bwMode="auto">
              <a:xfrm>
                <a:off x="5234940" y="6854734"/>
                <a:ext cx="1203960" cy="53122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Navigate to AHP Likelihood Calculation</a:t>
                </a:r>
              </a:p>
            </xdr:txBody>
          </xdr:sp>
        </mc:Choice>
        <mc:Fallback/>
      </mc:AlternateContent>
      <xdr:cxnSp macro="">
        <xdr:nvCxnSpPr>
          <xdr:cNvPr id="17" name="Curved Connector 16"/>
          <xdr:cNvCxnSpPr/>
        </xdr:nvCxnSpPr>
        <xdr:spPr>
          <a:xfrm rot="16200000" flipH="1">
            <a:off x="4225579" y="5657371"/>
            <a:ext cx="1740433" cy="537881"/>
          </a:xfrm>
          <a:prstGeom prst="curvedConnector3">
            <a:avLst>
              <a:gd name="adj1" fmla="val 50000"/>
            </a:avLst>
          </a:prstGeom>
          <a:ln w="9525" cap="flat" cmpd="sng" algn="ctr">
            <a:solidFill>
              <a:schemeClr val="accent2"/>
            </a:solidFill>
            <a:prstDash val="dash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</xdr:cxn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199" name="Button 7" hidden="1">
                <a:extLst>
                  <a:ext uri="{63B3BB69-23CF-44E3-9099-C40C66FF867C}">
                    <a14:compatExt spid="_x0000_s8199"/>
                  </a:ext>
                </a:extLst>
              </xdr:cNvPr>
              <xdr:cNvSpPr/>
            </xdr:nvSpPr>
            <xdr:spPr bwMode="auto">
              <a:xfrm>
                <a:off x="4067695" y="921914"/>
                <a:ext cx="1100050" cy="54885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Navigate to AHP Severity Calculation</a:t>
                </a:r>
              </a:p>
            </xdr:txBody>
          </xdr:sp>
        </mc:Choice>
        <mc:Fallback/>
      </mc:AlternateContent>
      <xdr:cxnSp macro="">
        <xdr:nvCxnSpPr>
          <xdr:cNvPr id="21" name="Curved Connector 20"/>
          <xdr:cNvCxnSpPr/>
        </xdr:nvCxnSpPr>
        <xdr:spPr>
          <a:xfrm rot="16200000" flipV="1">
            <a:off x="3595136" y="2539221"/>
            <a:ext cx="2944715" cy="903131"/>
          </a:xfrm>
          <a:prstGeom prst="curvedConnector3">
            <a:avLst>
              <a:gd name="adj1" fmla="val 50000"/>
            </a:avLst>
          </a:prstGeom>
          <a:ln w="9525" cap="flat" cmpd="sng" algn="ctr">
            <a:solidFill>
              <a:schemeClr val="accent2"/>
            </a:solidFill>
            <a:prstDash val="dash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</xdr:cxn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00" name="Button 8" hidden="1">
                <a:extLst>
                  <a:ext uri="{63B3BB69-23CF-44E3-9099-C40C66FF867C}">
                    <a14:compatExt spid="_x0000_s8200"/>
                  </a:ext>
                </a:extLst>
              </xdr:cNvPr>
              <xdr:cNvSpPr/>
            </xdr:nvSpPr>
            <xdr:spPr bwMode="auto">
              <a:xfrm>
                <a:off x="5534540" y="955586"/>
                <a:ext cx="985760" cy="58818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Navigate to Precautions</a:t>
                </a:r>
              </a:p>
            </xdr:txBody>
          </xdr:sp>
        </mc:Choice>
        <mc:Fallback/>
      </mc:AlternateContent>
      <xdr:cxnSp macro="">
        <xdr:nvCxnSpPr>
          <xdr:cNvPr id="30" name="Curved Connector 29"/>
          <xdr:cNvCxnSpPr/>
        </xdr:nvCxnSpPr>
        <xdr:spPr>
          <a:xfrm rot="16200000" flipV="1">
            <a:off x="4790261" y="2834030"/>
            <a:ext cx="2823499" cy="343799"/>
          </a:xfrm>
          <a:prstGeom prst="curvedConnector3">
            <a:avLst>
              <a:gd name="adj1" fmla="val 50000"/>
            </a:avLst>
          </a:prstGeom>
          <a:ln w="9525" cap="flat" cmpd="sng" algn="ctr">
            <a:solidFill>
              <a:schemeClr val="accent2"/>
            </a:solidFill>
            <a:prstDash val="dash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</xdr:cxnSp>
      <xdr:sp macro="" textlink="">
        <xdr:nvSpPr>
          <xdr:cNvPr id="25" name="TextBox 24"/>
          <xdr:cNvSpPr txBox="1"/>
        </xdr:nvSpPr>
        <xdr:spPr>
          <a:xfrm>
            <a:off x="12170229" y="2329543"/>
            <a:ext cx="184731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01" name="Button 9" hidden="1">
                <a:extLst>
                  <a:ext uri="{63B3BB69-23CF-44E3-9099-C40C66FF867C}">
                    <a14:compatExt spid="_x0000_s8201"/>
                  </a:ext>
                </a:extLst>
              </xdr:cNvPr>
              <xdr:cNvSpPr/>
            </xdr:nvSpPr>
            <xdr:spPr bwMode="auto">
              <a:xfrm>
                <a:off x="7947660" y="945969"/>
                <a:ext cx="1051560" cy="66076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Navigate to LP Optimization for Max Budget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02" name="Button 10" hidden="1">
                <a:extLst>
                  <a:ext uri="{63B3BB69-23CF-44E3-9099-C40C66FF867C}">
                    <a14:compatExt spid="_x0000_s8202"/>
                  </a:ext>
                </a:extLst>
              </xdr:cNvPr>
              <xdr:cNvSpPr/>
            </xdr:nvSpPr>
            <xdr:spPr bwMode="auto">
              <a:xfrm>
                <a:off x="6728460" y="907870"/>
                <a:ext cx="1051560" cy="66076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Assign Precautions to Threats with Constraints</a:t>
                </a:r>
              </a:p>
            </xdr:txBody>
          </xdr:sp>
        </mc:Choice>
        <mc:Fallback/>
      </mc:AlternateContent>
      <xdr:cxnSp macro="">
        <xdr:nvCxnSpPr>
          <xdr:cNvPr id="18" name="Curved Connector 17"/>
          <xdr:cNvCxnSpPr/>
        </xdr:nvCxnSpPr>
        <xdr:spPr>
          <a:xfrm rot="5400000" flipH="1" flipV="1">
            <a:off x="5572205" y="2773294"/>
            <a:ext cx="2822604" cy="484098"/>
          </a:xfrm>
          <a:prstGeom prst="curvedConnector3">
            <a:avLst>
              <a:gd name="adj1" fmla="val 50000"/>
            </a:avLst>
          </a:prstGeom>
          <a:ln w="9525" cap="flat" cmpd="sng" algn="ctr">
            <a:solidFill>
              <a:schemeClr val="accent2"/>
            </a:solidFill>
            <a:prstDash val="dash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</xdr:cxnSp>
      <xdr:cxnSp macro="">
        <xdr:nvCxnSpPr>
          <xdr:cNvPr id="26" name="Curved Connector 25"/>
          <xdr:cNvCxnSpPr/>
        </xdr:nvCxnSpPr>
        <xdr:spPr>
          <a:xfrm rot="5400000" flipH="1" flipV="1">
            <a:off x="6449467" y="2424311"/>
            <a:ext cx="2839251" cy="1194870"/>
          </a:xfrm>
          <a:prstGeom prst="curvedConnector3">
            <a:avLst>
              <a:gd name="adj1" fmla="val 50000"/>
            </a:avLst>
          </a:prstGeom>
          <a:ln w="9525" cap="flat" cmpd="sng" algn="ctr">
            <a:solidFill>
              <a:schemeClr val="accent2"/>
            </a:solidFill>
            <a:prstDash val="dash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</xdr:cxnSp>
      <xdr:cxnSp macro="">
        <xdr:nvCxnSpPr>
          <xdr:cNvPr id="28" name="Curved Connector 27"/>
          <xdr:cNvCxnSpPr/>
        </xdr:nvCxnSpPr>
        <xdr:spPr>
          <a:xfrm rot="5400000" flipH="1" flipV="1">
            <a:off x="7832273" y="3020786"/>
            <a:ext cx="1926770" cy="827317"/>
          </a:xfrm>
          <a:prstGeom prst="curvedConnector3">
            <a:avLst>
              <a:gd name="adj1" fmla="val 50000"/>
            </a:avLst>
          </a:prstGeom>
          <a:ln w="9525" cap="flat" cmpd="sng" algn="ctr">
            <a:solidFill>
              <a:schemeClr val="accent2"/>
            </a:solidFill>
            <a:prstDash val="dash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</xdr:cxn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03" name="Button 11" hidden="1">
                <a:extLst>
                  <a:ext uri="{63B3BB69-23CF-44E3-9099-C40C66FF867C}">
                    <a14:compatExt spid="_x0000_s8203"/>
                  </a:ext>
                </a:extLst>
              </xdr:cNvPr>
              <xdr:cNvSpPr/>
            </xdr:nvSpPr>
            <xdr:spPr bwMode="auto">
              <a:xfrm>
                <a:off x="10165080" y="1857104"/>
                <a:ext cx="1363980" cy="65314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Prepare Visualization Data For Optimization 1</a:t>
                </a:r>
              </a:p>
            </xdr:txBody>
          </xdr:sp>
        </mc:Choice>
        <mc:Fallback/>
      </mc:AlternateContent>
      <xdr:cxnSp macro="">
        <xdr:nvCxnSpPr>
          <xdr:cNvPr id="32" name="Curved Connector 31"/>
          <xdr:cNvCxnSpPr/>
        </xdr:nvCxnSpPr>
        <xdr:spPr>
          <a:xfrm rot="5400000" flipH="1" flipV="1">
            <a:off x="9052833" y="2591619"/>
            <a:ext cx="1875610" cy="1715041"/>
          </a:xfrm>
          <a:prstGeom prst="curvedConnector3">
            <a:avLst>
              <a:gd name="adj1" fmla="val 50000"/>
            </a:avLst>
          </a:prstGeom>
          <a:ln w="9525" cap="flat" cmpd="sng" algn="ctr">
            <a:solidFill>
              <a:schemeClr val="accent2"/>
            </a:solidFill>
            <a:prstDash val="dash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</xdr:cxn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04" name="Button 12" hidden="1">
                <a:extLst>
                  <a:ext uri="{63B3BB69-23CF-44E3-9099-C40C66FF867C}">
                    <a14:compatExt spid="_x0000_s8204"/>
                  </a:ext>
                </a:extLst>
              </xdr:cNvPr>
              <xdr:cNvSpPr/>
            </xdr:nvSpPr>
            <xdr:spPr bwMode="auto">
              <a:xfrm>
                <a:off x="8709660" y="7781110"/>
                <a:ext cx="1363980" cy="65314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Navigate to LP Optimization for Max Risk</a:t>
                </a:r>
              </a:p>
            </xdr:txBody>
          </xdr:sp>
        </mc:Choice>
        <mc:Fallback/>
      </mc:AlternateContent>
      <xdr:cxnSp macro="">
        <xdr:nvCxnSpPr>
          <xdr:cNvPr id="37" name="Curved Connector 36"/>
          <xdr:cNvCxnSpPr/>
        </xdr:nvCxnSpPr>
        <xdr:spPr>
          <a:xfrm rot="5400000">
            <a:off x="8283215" y="6146346"/>
            <a:ext cx="2739932" cy="527416"/>
          </a:xfrm>
          <a:prstGeom prst="curvedConnector3">
            <a:avLst>
              <a:gd name="adj1" fmla="val 50000"/>
            </a:avLst>
          </a:prstGeom>
          <a:ln w="9525" cap="flat" cmpd="sng" algn="ctr">
            <a:solidFill>
              <a:schemeClr val="accent2"/>
            </a:solidFill>
            <a:prstDash val="dash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</xdr:cxnSp>
      <xdr:cxnSp macro="">
        <xdr:nvCxnSpPr>
          <xdr:cNvPr id="41" name="Curved Connector 40"/>
          <xdr:cNvCxnSpPr/>
        </xdr:nvCxnSpPr>
        <xdr:spPr>
          <a:xfrm rot="16200000" flipH="1">
            <a:off x="9759046" y="6188531"/>
            <a:ext cx="2688769" cy="261254"/>
          </a:xfrm>
          <a:prstGeom prst="curvedConnector3">
            <a:avLst>
              <a:gd name="adj1" fmla="val 50000"/>
            </a:avLst>
          </a:prstGeom>
          <a:ln w="9525" cap="flat" cmpd="sng" algn="ctr">
            <a:solidFill>
              <a:schemeClr val="accent2"/>
            </a:solidFill>
            <a:prstDash val="dash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</xdr:cxn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05" name="Button 13" hidden="1">
                <a:extLst>
                  <a:ext uri="{63B3BB69-23CF-44E3-9099-C40C66FF867C}">
                    <a14:compatExt spid="_x0000_s8205"/>
                  </a:ext>
                </a:extLst>
              </xdr:cNvPr>
              <xdr:cNvSpPr/>
            </xdr:nvSpPr>
            <xdr:spPr bwMode="auto">
              <a:xfrm>
                <a:off x="12039597" y="6854734"/>
                <a:ext cx="1363980" cy="65314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Prepare Visualization Data For Optimization 2</a:t>
                </a:r>
              </a:p>
            </xdr:txBody>
          </xdr:sp>
        </mc:Choice>
        <mc:Fallback/>
      </mc:AlternateContent>
      <xdr:cxnSp macro="">
        <xdr:nvCxnSpPr>
          <xdr:cNvPr id="44" name="Curved Connector 43"/>
          <xdr:cNvCxnSpPr/>
        </xdr:nvCxnSpPr>
        <xdr:spPr>
          <a:xfrm rot="16200000" flipH="1">
            <a:off x="11347544" y="5481777"/>
            <a:ext cx="1813558" cy="930180"/>
          </a:xfrm>
          <a:prstGeom prst="curvedConnector3">
            <a:avLst>
              <a:gd name="adj1" fmla="val 50000"/>
            </a:avLst>
          </a:prstGeom>
          <a:ln w="9525" cap="flat" cmpd="sng" algn="ctr">
            <a:solidFill>
              <a:schemeClr val="accent2"/>
            </a:solidFill>
            <a:prstDash val="dash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</xdr:cxn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40</xdr:col>
      <xdr:colOff>586740</xdr:colOff>
      <xdr:row>73</xdr:row>
      <xdr:rowOff>11430</xdr:rowOff>
    </xdr:from>
    <xdr:to>
      <xdr:col>46</xdr:col>
      <xdr:colOff>403860</xdr:colOff>
      <xdr:row>82</xdr:row>
      <xdr:rowOff>213360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41</xdr:col>
      <xdr:colOff>586740</xdr:colOff>
      <xdr:row>75</xdr:row>
      <xdr:rowOff>11430</xdr:rowOff>
    </xdr:from>
    <xdr:to>
      <xdr:col>47</xdr:col>
      <xdr:colOff>403860</xdr:colOff>
      <xdr:row>84</xdr:row>
      <xdr:rowOff>213360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41</xdr:col>
      <xdr:colOff>586740</xdr:colOff>
      <xdr:row>75</xdr:row>
      <xdr:rowOff>11430</xdr:rowOff>
    </xdr:from>
    <xdr:to>
      <xdr:col>47</xdr:col>
      <xdr:colOff>403860</xdr:colOff>
      <xdr:row>84</xdr:row>
      <xdr:rowOff>213360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40</xdr:col>
      <xdr:colOff>586740</xdr:colOff>
      <xdr:row>73</xdr:row>
      <xdr:rowOff>11430</xdr:rowOff>
    </xdr:from>
    <xdr:to>
      <xdr:col>46</xdr:col>
      <xdr:colOff>403860</xdr:colOff>
      <xdr:row>82</xdr:row>
      <xdr:rowOff>213360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54430</xdr:colOff>
      <xdr:row>0</xdr:row>
      <xdr:rowOff>0</xdr:rowOff>
    </xdr:from>
    <xdr:to>
      <xdr:col>37</xdr:col>
      <xdr:colOff>269450</xdr:colOff>
      <xdr:row>22</xdr:row>
      <xdr:rowOff>315686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5</xdr:col>
      <xdr:colOff>0</xdr:colOff>
      <xdr:row>25</xdr:row>
      <xdr:rowOff>0</xdr:rowOff>
    </xdr:from>
    <xdr:to>
      <xdr:col>37</xdr:col>
      <xdr:colOff>215020</xdr:colOff>
      <xdr:row>71</xdr:row>
      <xdr:rowOff>135577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576943</xdr:colOff>
      <xdr:row>1</xdr:row>
      <xdr:rowOff>0</xdr:rowOff>
    </xdr:from>
    <xdr:to>
      <xdr:col>23</xdr:col>
      <xdr:colOff>538843</xdr:colOff>
      <xdr:row>36</xdr:row>
      <xdr:rowOff>141514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4</xdr:col>
      <xdr:colOff>598715</xdr:colOff>
      <xdr:row>38</xdr:row>
      <xdr:rowOff>32656</xdr:rowOff>
    </xdr:from>
    <xdr:to>
      <xdr:col>23</xdr:col>
      <xdr:colOff>560615</xdr:colOff>
      <xdr:row>71</xdr:row>
      <xdr:rowOff>108856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54430</xdr:colOff>
      <xdr:row>0</xdr:row>
      <xdr:rowOff>0</xdr:rowOff>
    </xdr:from>
    <xdr:to>
      <xdr:col>37</xdr:col>
      <xdr:colOff>269450</xdr:colOff>
      <xdr:row>22</xdr:row>
      <xdr:rowOff>315686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5</xdr:col>
      <xdr:colOff>0</xdr:colOff>
      <xdr:row>25</xdr:row>
      <xdr:rowOff>0</xdr:rowOff>
    </xdr:from>
    <xdr:to>
      <xdr:col>37</xdr:col>
      <xdr:colOff>215020</xdr:colOff>
      <xdr:row>71</xdr:row>
      <xdr:rowOff>135577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6257</xdr:rowOff>
    </xdr:from>
    <xdr:to>
      <xdr:col>23</xdr:col>
      <xdr:colOff>571500</xdr:colOff>
      <xdr:row>48</xdr:row>
      <xdr:rowOff>65315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5</xdr:col>
      <xdr:colOff>0</xdr:colOff>
      <xdr:row>50</xdr:row>
      <xdr:rowOff>10886</xdr:rowOff>
    </xdr:from>
    <xdr:to>
      <xdr:col>23</xdr:col>
      <xdr:colOff>571500</xdr:colOff>
      <xdr:row>77</xdr:row>
      <xdr:rowOff>108858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521970</xdr:colOff>
      <xdr:row>23</xdr:row>
      <xdr:rowOff>2982</xdr:rowOff>
    </xdr:to>
    <xdr:pic>
      <xdr:nvPicPr>
        <xdr:cNvPr id="2" name="Picture 1"/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79570" cy="390906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54430</xdr:colOff>
      <xdr:row>3</xdr:row>
      <xdr:rowOff>0</xdr:rowOff>
    </xdr:from>
    <xdr:to>
      <xdr:col>34</xdr:col>
      <xdr:colOff>269450</xdr:colOff>
      <xdr:row>46</xdr:row>
      <xdr:rowOff>128996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</xdr:col>
      <xdr:colOff>0</xdr:colOff>
      <xdr:row>48</xdr:row>
      <xdr:rowOff>133350</xdr:rowOff>
    </xdr:from>
    <xdr:to>
      <xdr:col>34</xdr:col>
      <xdr:colOff>215020</xdr:colOff>
      <xdr:row>92</xdr:row>
      <xdr:rowOff>108907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Chart 4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19</xdr:col>
      <xdr:colOff>571500</xdr:colOff>
      <xdr:row>22</xdr:row>
      <xdr:rowOff>111306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</xdr:col>
      <xdr:colOff>0</xdr:colOff>
      <xdr:row>27</xdr:row>
      <xdr:rowOff>89536</xdr:rowOff>
    </xdr:from>
    <xdr:to>
      <xdr:col>19</xdr:col>
      <xdr:colOff>571500</xdr:colOff>
      <xdr:row>49</xdr:row>
      <xdr:rowOff>41367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17" Type="http://schemas.openxmlformats.org/officeDocument/2006/relationships/ctrlProp" Target="../ctrlProps/ctrlProp1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0.xml"/><Relationship Id="rId10" Type="http://schemas.openxmlformats.org/officeDocument/2006/relationships/ctrlProp" Target="../ctrlProps/ctrlProp5.xml"/><Relationship Id="rId4" Type="http://schemas.openxmlformats.org/officeDocument/2006/relationships/oleObject" Target="../embeddings/oleObject1.bin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www.worldscientific.com/doi/abs/10.1142/S0218488506004114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"/>
  <sheetViews>
    <sheetView topLeftCell="B13" zoomScale="85" zoomScaleNormal="85" workbookViewId="0">
      <selection activeCell="X46" sqref="X46"/>
    </sheetView>
  </sheetViews>
  <sheetFormatPr defaultRowHeight="13.2" x14ac:dyDescent="0.25"/>
  <sheetData/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Visio.Drawing.11" shapeId="8196" r:id="rId4">
          <objectPr defaultSize="0" autoPict="0" r:id="rId5">
            <anchor moveWithCells="1" sizeWithCells="1">
              <from>
                <xdr:col>4</xdr:col>
                <xdr:colOff>251460</xdr:colOff>
                <xdr:row>12</xdr:row>
                <xdr:rowOff>137160</xdr:rowOff>
              </from>
              <to>
                <xdr:col>20</xdr:col>
                <xdr:colOff>106680</xdr:colOff>
                <xdr:row>46</xdr:row>
                <xdr:rowOff>144780</xdr:rowOff>
              </to>
            </anchor>
          </objectPr>
        </oleObject>
      </mc:Choice>
      <mc:Fallback>
        <oleObject progId="Visio.Drawing.11" shapeId="8196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6" name="Button 1">
              <controlPr defaultSize="0" autoFill="0" autoPict="0" macro="[0]!LPOptimization2">
                <anchor moveWithCells="1" sizeWithCells="1">
                  <from>
                    <xdr:col>17</xdr:col>
                    <xdr:colOff>190500</xdr:colOff>
                    <xdr:row>47</xdr:row>
                    <xdr:rowOff>7620</xdr:rowOff>
                  </from>
                  <to>
                    <xdr:col>19</xdr:col>
                    <xdr:colOff>350520</xdr:colOff>
                    <xdr:row>51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7" name="Button 2">
              <controlPr defaultSize="0" autoFill="0" autoPict="0" macro="[0]!LPOptimization1">
                <anchor moveWithCells="1" sizeWithCells="1">
                  <from>
                    <xdr:col>14</xdr:col>
                    <xdr:colOff>60960</xdr:colOff>
                    <xdr:row>11</xdr:row>
                    <xdr:rowOff>83820</xdr:rowOff>
                  </from>
                  <to>
                    <xdr:col>16</xdr:col>
                    <xdr:colOff>198120</xdr:colOff>
                    <xdr:row>15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8" name="Button 3">
              <controlPr defaultSize="0" autoFill="0" autoPict="0" macro="[0]!NavigateToThreatsAndPrecautions">
                <anchor moveWithCells="1" sizeWithCells="1">
                  <from>
                    <xdr:col>2</xdr:col>
                    <xdr:colOff>152400</xdr:colOff>
                    <xdr:row>32</xdr:row>
                    <xdr:rowOff>45720</xdr:rowOff>
                  </from>
                  <to>
                    <xdr:col>4</xdr:col>
                    <xdr:colOff>449580</xdr:colOff>
                    <xdr:row>36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9" name="Button 5">
              <controlPr defaultSize="0" autoFill="0" autoPict="0" macro="[0]!Button5_Click">
                <anchor moveWithCells="1" sizeWithCells="1">
                  <from>
                    <xdr:col>5</xdr:col>
                    <xdr:colOff>175260</xdr:colOff>
                    <xdr:row>41</xdr:row>
                    <xdr:rowOff>60960</xdr:rowOff>
                  </from>
                  <to>
                    <xdr:col>7</xdr:col>
                    <xdr:colOff>327660</xdr:colOff>
                    <xdr:row>44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10" name="Button 6">
              <controlPr defaultSize="0" autoFill="0" autoPict="0" macro="[0]!Button6_Click">
                <anchor moveWithCells="1" sizeWithCells="1">
                  <from>
                    <xdr:col>8</xdr:col>
                    <xdr:colOff>365760</xdr:colOff>
                    <xdr:row>42</xdr:row>
                    <xdr:rowOff>0</xdr:rowOff>
                  </from>
                  <to>
                    <xdr:col>10</xdr:col>
                    <xdr:colOff>342900</xdr:colOff>
                    <xdr:row>45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11" name="Button 7">
              <controlPr defaultSize="0" autoFill="0" autoPict="0" macro="[0]!NavigateToAHPSeverityCalculation">
                <anchor moveWithCells="1" sizeWithCells="1">
                  <from>
                    <xdr:col>6</xdr:col>
                    <xdr:colOff>411480</xdr:colOff>
                    <xdr:row>5</xdr:row>
                    <xdr:rowOff>106680</xdr:rowOff>
                  </from>
                  <to>
                    <xdr:col>8</xdr:col>
                    <xdr:colOff>297180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12" name="Button 8">
              <controlPr defaultSize="0" autoFill="0" autoPict="0">
                <anchor moveWithCells="1" sizeWithCells="1">
                  <from>
                    <xdr:col>9</xdr:col>
                    <xdr:colOff>45720</xdr:colOff>
                    <xdr:row>5</xdr:row>
                    <xdr:rowOff>137160</xdr:rowOff>
                  </from>
                  <to>
                    <xdr:col>10</xdr:col>
                    <xdr:colOff>419100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13" name="Button 9">
              <controlPr defaultSize="0" autoFill="0" autoPict="0" macro="[0]!NavigatetoMaxBudgetSetting">
                <anchor moveWithCells="1" sizeWithCells="1">
                  <from>
                    <xdr:col>13</xdr:col>
                    <xdr:colOff>30480</xdr:colOff>
                    <xdr:row>5</xdr:row>
                    <xdr:rowOff>137160</xdr:rowOff>
                  </from>
                  <to>
                    <xdr:col>14</xdr:col>
                    <xdr:colOff>464820</xdr:colOff>
                    <xdr:row>9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14" name="Button 10">
              <controlPr defaultSize="0" autoFill="0" autoPict="0" macro="[0]!NavigatetoSetPrecautionConstraints">
                <anchor moveWithCells="1" sizeWithCells="1">
                  <from>
                    <xdr:col>11</xdr:col>
                    <xdr:colOff>30480</xdr:colOff>
                    <xdr:row>5</xdr:row>
                    <xdr:rowOff>99060</xdr:rowOff>
                  </from>
                  <to>
                    <xdr:col>12</xdr:col>
                    <xdr:colOff>464820</xdr:colOff>
                    <xdr:row>9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15" name="Button 11">
              <controlPr defaultSize="0" autoFill="0" autoPict="0" macro="[0]!PrepareVisualizationDataForOptimization1">
                <anchor moveWithCells="1" sizeWithCells="1">
                  <from>
                    <xdr:col>16</xdr:col>
                    <xdr:colOff>411480</xdr:colOff>
                    <xdr:row>11</xdr:row>
                    <xdr:rowOff>68580</xdr:rowOff>
                  </from>
                  <to>
                    <xdr:col>18</xdr:col>
                    <xdr:colOff>556260</xdr:colOff>
                    <xdr:row>15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16" name="Button 12">
              <controlPr defaultSize="0" autoFill="0" autoPict="0" macro="[0]!NavigatetoMaxRiskSetting">
                <anchor moveWithCells="1" sizeWithCells="1">
                  <from>
                    <xdr:col>14</xdr:col>
                    <xdr:colOff>182880</xdr:colOff>
                    <xdr:row>47</xdr:row>
                    <xdr:rowOff>106680</xdr:rowOff>
                  </from>
                  <to>
                    <xdr:col>16</xdr:col>
                    <xdr:colOff>327660</xdr:colOff>
                    <xdr:row>51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17" name="Button 13">
              <controlPr defaultSize="0" autoFill="0" autoPict="0" macro="[0]!PrepareVisualizationDataForOptimization2">
                <anchor moveWithCells="1" sizeWithCells="1">
                  <from>
                    <xdr:col>19</xdr:col>
                    <xdr:colOff>457200</xdr:colOff>
                    <xdr:row>42</xdr:row>
                    <xdr:rowOff>0</xdr:rowOff>
                  </from>
                  <to>
                    <xdr:col>21</xdr:col>
                    <xdr:colOff>601980</xdr:colOff>
                    <xdr:row>46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33"/>
  <sheetViews>
    <sheetView topLeftCell="B1" zoomScale="62" zoomScaleNormal="62" workbookViewId="0">
      <selection activeCell="I1" sqref="I1"/>
    </sheetView>
  </sheetViews>
  <sheetFormatPr defaultRowHeight="13.2" x14ac:dyDescent="0.25"/>
  <cols>
    <col min="1" max="1" width="54.109375" customWidth="1"/>
    <col min="2" max="2" width="35.88671875" customWidth="1"/>
    <col min="3" max="3" width="11.33203125" customWidth="1"/>
    <col min="4" max="4" width="37.88671875" customWidth="1"/>
    <col min="11" max="11" width="30.33203125" customWidth="1"/>
    <col min="13" max="13" width="52.6640625" customWidth="1"/>
  </cols>
  <sheetData>
    <row r="1" spans="1:13" ht="15.6" x14ac:dyDescent="0.25">
      <c r="A1" s="39" t="s">
        <v>203</v>
      </c>
      <c r="B1" s="40" t="s">
        <v>107</v>
      </c>
      <c r="C1" s="41" t="s">
        <v>10</v>
      </c>
      <c r="D1" s="214" t="s">
        <v>107</v>
      </c>
      <c r="E1" s="215">
        <v>1</v>
      </c>
      <c r="F1" s="215">
        <v>9</v>
      </c>
      <c r="G1" s="45">
        <f t="shared" ref="G1:H5" si="0">E1+34</f>
        <v>35</v>
      </c>
      <c r="H1" s="45">
        <f t="shared" si="0"/>
        <v>43</v>
      </c>
      <c r="I1" s="46">
        <f>IF(E1&lt;&gt;0,F1-E1+1,0)</f>
        <v>9</v>
      </c>
      <c r="K1" s="213" t="s">
        <v>301</v>
      </c>
      <c r="M1" s="40" t="s">
        <v>167</v>
      </c>
    </row>
    <row r="2" spans="1:13" ht="15.6" x14ac:dyDescent="0.25">
      <c r="A2" s="39" t="s">
        <v>204</v>
      </c>
      <c r="B2" s="40" t="s">
        <v>107</v>
      </c>
      <c r="C2" s="41" t="s">
        <v>13</v>
      </c>
      <c r="D2" s="214" t="s">
        <v>44</v>
      </c>
      <c r="E2" s="215">
        <v>10</v>
      </c>
      <c r="F2" s="215">
        <v>14</v>
      </c>
      <c r="G2" s="45">
        <f t="shared" si="0"/>
        <v>44</v>
      </c>
      <c r="H2" s="45">
        <f t="shared" si="0"/>
        <v>48</v>
      </c>
      <c r="I2" s="46">
        <f>IF(E2&lt;&gt;0,F2-E2+1,0)</f>
        <v>5</v>
      </c>
      <c r="K2" s="213">
        <v>0.1</v>
      </c>
      <c r="M2" s="40" t="s">
        <v>168</v>
      </c>
    </row>
    <row r="3" spans="1:13" ht="15.6" x14ac:dyDescent="0.25">
      <c r="A3" s="39" t="s">
        <v>205</v>
      </c>
      <c r="B3" s="40" t="s">
        <v>107</v>
      </c>
      <c r="C3" s="41" t="s">
        <v>16</v>
      </c>
      <c r="D3" s="214" t="s">
        <v>58</v>
      </c>
      <c r="E3" s="215">
        <v>15</v>
      </c>
      <c r="F3" s="215">
        <v>23</v>
      </c>
      <c r="G3" s="45">
        <f t="shared" si="0"/>
        <v>49</v>
      </c>
      <c r="H3" s="45">
        <f t="shared" si="0"/>
        <v>57</v>
      </c>
      <c r="I3" s="46">
        <f>IF(E3&lt;&gt;0,F3-E3+1,0)</f>
        <v>9</v>
      </c>
      <c r="M3" s="40" t="s">
        <v>174</v>
      </c>
    </row>
    <row r="4" spans="1:13" ht="31.2" x14ac:dyDescent="0.25">
      <c r="A4" s="39" t="s">
        <v>206</v>
      </c>
      <c r="B4" s="40" t="s">
        <v>107</v>
      </c>
      <c r="C4" s="41" t="s">
        <v>19</v>
      </c>
      <c r="D4" s="214" t="s">
        <v>259</v>
      </c>
      <c r="E4" s="215">
        <v>0</v>
      </c>
      <c r="F4" s="215">
        <v>0</v>
      </c>
      <c r="G4" s="45">
        <f t="shared" si="0"/>
        <v>34</v>
      </c>
      <c r="H4" s="45">
        <f t="shared" si="0"/>
        <v>34</v>
      </c>
      <c r="I4" s="46">
        <f>IF(E4&lt;&gt;0,F4-E4+1,0)</f>
        <v>0</v>
      </c>
      <c r="M4" s="40" t="s">
        <v>170</v>
      </c>
    </row>
    <row r="5" spans="1:13" ht="15.6" x14ac:dyDescent="0.25">
      <c r="A5" s="39" t="s">
        <v>207</v>
      </c>
      <c r="B5" s="40" t="s">
        <v>107</v>
      </c>
      <c r="C5" s="41" t="s">
        <v>26</v>
      </c>
      <c r="D5" s="214" t="s">
        <v>260</v>
      </c>
      <c r="E5" s="215">
        <v>0</v>
      </c>
      <c r="F5" s="215">
        <v>0</v>
      </c>
      <c r="G5" s="45">
        <f t="shared" si="0"/>
        <v>34</v>
      </c>
      <c r="H5" s="45">
        <f t="shared" si="0"/>
        <v>34</v>
      </c>
      <c r="I5" s="46">
        <f>IF(E5&lt;&gt;0,F5-E5+1,0)</f>
        <v>0</v>
      </c>
      <c r="M5" s="40" t="s">
        <v>171</v>
      </c>
    </row>
    <row r="6" spans="1:13" ht="15.6" x14ac:dyDescent="0.25">
      <c r="A6" s="39" t="s">
        <v>208</v>
      </c>
      <c r="B6" s="40" t="s">
        <v>107</v>
      </c>
      <c r="C6" s="41" t="s">
        <v>30</v>
      </c>
      <c r="D6" s="42"/>
      <c r="E6" s="42"/>
      <c r="F6" s="42"/>
      <c r="G6" s="42"/>
      <c r="H6" s="42"/>
      <c r="I6" s="42"/>
      <c r="M6" s="40" t="s">
        <v>176</v>
      </c>
    </row>
    <row r="7" spans="1:13" ht="15.6" x14ac:dyDescent="0.25">
      <c r="A7" s="39" t="s">
        <v>209</v>
      </c>
      <c r="B7" s="40" t="s">
        <v>107</v>
      </c>
      <c r="C7" s="41" t="s">
        <v>35</v>
      </c>
      <c r="D7" s="42"/>
      <c r="E7" s="42"/>
      <c r="F7" s="42"/>
      <c r="G7" s="42"/>
      <c r="H7" s="42"/>
      <c r="I7" s="42"/>
      <c r="M7" s="40" t="s">
        <v>184</v>
      </c>
    </row>
    <row r="8" spans="1:13" ht="20.399999999999999" customHeight="1" x14ac:dyDescent="0.25">
      <c r="A8" s="39" t="s">
        <v>210</v>
      </c>
      <c r="B8" s="40" t="s">
        <v>107</v>
      </c>
      <c r="C8" s="41" t="s">
        <v>43</v>
      </c>
      <c r="D8" s="42"/>
      <c r="E8" s="42"/>
      <c r="F8" s="42"/>
      <c r="G8" s="42"/>
      <c r="H8" s="42"/>
      <c r="I8" s="42"/>
      <c r="M8" s="40" t="s">
        <v>173</v>
      </c>
    </row>
    <row r="9" spans="1:13" ht="19.2" customHeight="1" x14ac:dyDescent="0.25">
      <c r="A9" s="39" t="s">
        <v>211</v>
      </c>
      <c r="B9" s="40" t="s">
        <v>107</v>
      </c>
      <c r="C9" s="41" t="s">
        <v>46</v>
      </c>
      <c r="D9" s="42"/>
      <c r="E9" s="42"/>
      <c r="F9" s="42"/>
      <c r="G9" s="42"/>
      <c r="H9" s="42"/>
      <c r="I9" s="42"/>
      <c r="M9" s="40" t="s">
        <v>172</v>
      </c>
    </row>
    <row r="10" spans="1:13" ht="17.399999999999999" customHeight="1" x14ac:dyDescent="0.25">
      <c r="A10" s="39" t="s">
        <v>212</v>
      </c>
      <c r="B10" s="40" t="s">
        <v>44</v>
      </c>
      <c r="C10" s="41" t="s">
        <v>48</v>
      </c>
      <c r="D10" s="42"/>
      <c r="E10" s="42"/>
      <c r="F10" s="42"/>
      <c r="G10" s="42"/>
      <c r="H10" s="42"/>
      <c r="I10" s="42"/>
      <c r="M10" s="40" t="s">
        <v>190</v>
      </c>
    </row>
    <row r="11" spans="1:13" ht="16.95" customHeight="1" x14ac:dyDescent="0.25">
      <c r="A11" s="39" t="s">
        <v>213</v>
      </c>
      <c r="B11" s="40" t="s">
        <v>44</v>
      </c>
      <c r="C11" s="41" t="s">
        <v>50</v>
      </c>
      <c r="D11" s="42"/>
      <c r="E11" s="42"/>
      <c r="F11" s="42"/>
      <c r="G11" s="42"/>
      <c r="H11" s="42"/>
      <c r="I11" s="42"/>
      <c r="M11" s="40" t="s">
        <v>310</v>
      </c>
    </row>
    <row r="12" spans="1:13" ht="19.95" customHeight="1" x14ac:dyDescent="0.25">
      <c r="A12" s="39" t="s">
        <v>202</v>
      </c>
      <c r="B12" s="40" t="s">
        <v>44</v>
      </c>
      <c r="C12" s="41" t="s">
        <v>52</v>
      </c>
      <c r="D12" s="42"/>
      <c r="E12" s="42"/>
      <c r="F12" s="42"/>
      <c r="G12" s="42"/>
      <c r="H12" s="42"/>
      <c r="I12" s="42"/>
      <c r="M12" s="40" t="s">
        <v>218</v>
      </c>
    </row>
    <row r="13" spans="1:13" ht="21" customHeight="1" x14ac:dyDescent="0.25">
      <c r="A13" s="39" t="s">
        <v>201</v>
      </c>
      <c r="B13" s="40" t="s">
        <v>44</v>
      </c>
      <c r="C13" s="41" t="s">
        <v>54</v>
      </c>
      <c r="D13" s="42"/>
      <c r="E13" s="42"/>
      <c r="F13" s="42"/>
      <c r="G13" s="42"/>
      <c r="H13" s="42"/>
      <c r="I13" s="42"/>
      <c r="M13" s="40" t="s">
        <v>165</v>
      </c>
    </row>
    <row r="14" spans="1:13" ht="15.6" x14ac:dyDescent="0.25">
      <c r="A14" s="43" t="s">
        <v>200</v>
      </c>
      <c r="B14" s="40" t="s">
        <v>44</v>
      </c>
      <c r="C14" s="41" t="s">
        <v>66</v>
      </c>
      <c r="D14" s="42"/>
      <c r="E14" s="42"/>
      <c r="F14" s="42"/>
      <c r="G14" s="42"/>
      <c r="H14" s="42"/>
      <c r="I14" s="42"/>
      <c r="M14" s="40" t="s">
        <v>175</v>
      </c>
    </row>
    <row r="15" spans="1:13" ht="31.2" x14ac:dyDescent="0.25">
      <c r="A15" s="43" t="s">
        <v>199</v>
      </c>
      <c r="B15" s="40" t="s">
        <v>58</v>
      </c>
      <c r="C15" s="41" t="s">
        <v>71</v>
      </c>
      <c r="D15" s="42"/>
      <c r="E15" s="42"/>
      <c r="F15" s="42"/>
      <c r="G15" s="42"/>
      <c r="H15" s="42"/>
      <c r="I15" s="42"/>
      <c r="M15" s="40" t="s">
        <v>311</v>
      </c>
    </row>
    <row r="16" spans="1:13" ht="15.6" x14ac:dyDescent="0.25">
      <c r="A16" s="43" t="s">
        <v>198</v>
      </c>
      <c r="B16" s="40" t="s">
        <v>58</v>
      </c>
      <c r="C16" s="41" t="s">
        <v>73</v>
      </c>
      <c r="D16" s="42"/>
      <c r="E16" s="42"/>
      <c r="F16" s="42"/>
      <c r="G16" s="42"/>
      <c r="H16" s="42"/>
      <c r="I16" s="42"/>
      <c r="M16" s="40" t="s">
        <v>222</v>
      </c>
    </row>
    <row r="17" spans="1:13" ht="15.6" x14ac:dyDescent="0.25">
      <c r="A17" s="43" t="s">
        <v>197</v>
      </c>
      <c r="B17" s="40" t="s">
        <v>58</v>
      </c>
      <c r="C17" s="41" t="s">
        <v>76</v>
      </c>
      <c r="D17" s="42"/>
      <c r="E17" s="42"/>
      <c r="F17" s="42"/>
      <c r="G17" s="42"/>
      <c r="H17" s="42"/>
      <c r="I17" s="42"/>
      <c r="M17" s="40" t="s">
        <v>312</v>
      </c>
    </row>
    <row r="18" spans="1:13" ht="15.6" x14ac:dyDescent="0.25">
      <c r="A18" s="43" t="s">
        <v>196</v>
      </c>
      <c r="B18" s="40" t="s">
        <v>58</v>
      </c>
      <c r="C18" s="41" t="s">
        <v>78</v>
      </c>
      <c r="D18" s="42"/>
      <c r="E18" s="42"/>
      <c r="F18" s="42"/>
      <c r="G18" s="42"/>
      <c r="H18" s="42"/>
      <c r="I18" s="42"/>
      <c r="M18" s="40" t="s">
        <v>313</v>
      </c>
    </row>
    <row r="19" spans="1:13" ht="15.6" x14ac:dyDescent="0.25">
      <c r="A19" s="43" t="s">
        <v>194</v>
      </c>
      <c r="B19" s="40" t="s">
        <v>58</v>
      </c>
      <c r="C19" s="41" t="s">
        <v>82</v>
      </c>
      <c r="D19" s="42"/>
      <c r="E19" s="42"/>
      <c r="F19" s="42"/>
      <c r="G19" s="42"/>
      <c r="H19" s="42"/>
      <c r="I19" s="42"/>
      <c r="M19" s="40" t="s">
        <v>314</v>
      </c>
    </row>
    <row r="20" spans="1:13" ht="15.6" x14ac:dyDescent="0.25">
      <c r="A20" s="43" t="s">
        <v>193</v>
      </c>
      <c r="B20" s="40" t="s">
        <v>58</v>
      </c>
      <c r="C20" s="41" t="s">
        <v>84</v>
      </c>
      <c r="D20" s="42"/>
      <c r="E20" s="42"/>
      <c r="F20" s="42"/>
      <c r="G20" s="42"/>
      <c r="H20" s="42"/>
      <c r="I20" s="42"/>
      <c r="M20" s="40" t="s">
        <v>315</v>
      </c>
    </row>
    <row r="21" spans="1:13" ht="15.6" x14ac:dyDescent="0.25">
      <c r="A21" s="43" t="s">
        <v>192</v>
      </c>
      <c r="B21" s="40" t="s">
        <v>58</v>
      </c>
      <c r="C21" s="41" t="s">
        <v>86</v>
      </c>
      <c r="D21" s="42"/>
      <c r="E21" s="42"/>
      <c r="F21" s="42"/>
      <c r="G21" s="42"/>
      <c r="H21" s="42"/>
      <c r="I21" s="42"/>
      <c r="M21" s="40" t="s">
        <v>316</v>
      </c>
    </row>
    <row r="22" spans="1:13" ht="15.6" x14ac:dyDescent="0.25">
      <c r="A22" s="43" t="s">
        <v>191</v>
      </c>
      <c r="B22" s="40" t="s">
        <v>58</v>
      </c>
      <c r="C22" s="41" t="s">
        <v>88</v>
      </c>
      <c r="D22" s="42"/>
      <c r="E22" s="42"/>
      <c r="F22" s="42"/>
      <c r="G22" s="42"/>
      <c r="H22" s="42"/>
      <c r="I22" s="42"/>
      <c r="M22" s="40" t="s">
        <v>177</v>
      </c>
    </row>
    <row r="23" spans="1:13" ht="15.6" x14ac:dyDescent="0.25">
      <c r="M23" s="40" t="s">
        <v>325</v>
      </c>
    </row>
    <row r="24" spans="1:13" ht="15.6" x14ac:dyDescent="0.25">
      <c r="M24" s="40" t="s">
        <v>217</v>
      </c>
    </row>
    <row r="25" spans="1:13" ht="15.6" x14ac:dyDescent="0.25">
      <c r="M25" s="40" t="s">
        <v>317</v>
      </c>
    </row>
    <row r="26" spans="1:13" ht="15.6" x14ac:dyDescent="0.25">
      <c r="M26" s="40" t="s">
        <v>183</v>
      </c>
    </row>
    <row r="27" spans="1:13" ht="31.2" x14ac:dyDescent="0.25">
      <c r="M27" s="40" t="s">
        <v>318</v>
      </c>
    </row>
    <row r="28" spans="1:13" ht="15.6" x14ac:dyDescent="0.25">
      <c r="M28" s="40" t="s">
        <v>319</v>
      </c>
    </row>
    <row r="29" spans="1:13" ht="31.2" x14ac:dyDescent="0.25">
      <c r="M29" s="40" t="s">
        <v>320</v>
      </c>
    </row>
    <row r="30" spans="1:13" ht="15.6" x14ac:dyDescent="0.25">
      <c r="M30" s="40" t="s">
        <v>179</v>
      </c>
    </row>
    <row r="31" spans="1:13" ht="15.6" x14ac:dyDescent="0.25">
      <c r="M31" s="40" t="s">
        <v>221</v>
      </c>
    </row>
    <row r="32" spans="1:13" ht="15.6" x14ac:dyDescent="0.25">
      <c r="M32" s="40" t="s">
        <v>188</v>
      </c>
    </row>
    <row r="33" spans="13:13" ht="15.6" x14ac:dyDescent="0.25">
      <c r="M33" s="40" t="s">
        <v>186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32"/>
  <sheetViews>
    <sheetView workbookViewId="0">
      <selection activeCell="C22" sqref="C22"/>
    </sheetView>
  </sheetViews>
  <sheetFormatPr defaultRowHeight="13.2" x14ac:dyDescent="0.25"/>
  <cols>
    <col min="1" max="1" width="12.33203125" customWidth="1"/>
    <col min="2" max="2" width="20.88671875" customWidth="1"/>
    <col min="3" max="3" width="74.88671875" customWidth="1"/>
  </cols>
  <sheetData>
    <row r="1" spans="1:3" ht="37.200000000000003" customHeight="1" x14ac:dyDescent="0.25">
      <c r="A1" s="209" t="s">
        <v>275</v>
      </c>
      <c r="B1" s="210" t="s">
        <v>274</v>
      </c>
      <c r="C1" s="36" t="s">
        <v>268</v>
      </c>
    </row>
    <row r="2" spans="1:3" x14ac:dyDescent="0.25">
      <c r="A2" s="210" t="s">
        <v>273</v>
      </c>
      <c r="B2" s="210" t="s">
        <v>272</v>
      </c>
      <c r="C2" s="34" t="s">
        <v>269</v>
      </c>
    </row>
    <row r="3" spans="1:3" x14ac:dyDescent="0.25">
      <c r="A3" s="211">
        <v>1</v>
      </c>
      <c r="B3" s="210">
        <v>1</v>
      </c>
      <c r="C3" s="35"/>
    </row>
    <row r="4" spans="1:3" x14ac:dyDescent="0.25">
      <c r="A4" s="211">
        <v>2</v>
      </c>
      <c r="B4" s="210">
        <v>1</v>
      </c>
      <c r="C4" s="33"/>
    </row>
    <row r="5" spans="1:3" x14ac:dyDescent="0.25">
      <c r="A5" s="211">
        <v>3</v>
      </c>
      <c r="B5" s="211">
        <v>0.52449999999999997</v>
      </c>
      <c r="C5" s="34" t="s">
        <v>270</v>
      </c>
    </row>
    <row r="6" spans="1:3" x14ac:dyDescent="0.25">
      <c r="A6" s="211">
        <v>4</v>
      </c>
      <c r="B6" s="211">
        <v>0.88149999999999995</v>
      </c>
      <c r="C6" s="35" t="s">
        <v>271</v>
      </c>
    </row>
    <row r="7" spans="1:3" x14ac:dyDescent="0.25">
      <c r="A7" s="211">
        <v>5</v>
      </c>
      <c r="B7" s="211">
        <v>1.1086</v>
      </c>
    </row>
    <row r="8" spans="1:3" x14ac:dyDescent="0.25">
      <c r="A8" s="211">
        <v>6</v>
      </c>
      <c r="B8" s="211">
        <v>1.2479</v>
      </c>
    </row>
    <row r="9" spans="1:3" x14ac:dyDescent="0.25">
      <c r="A9" s="211">
        <v>7</v>
      </c>
      <c r="B9" s="211">
        <v>1.3416999999999999</v>
      </c>
    </row>
    <row r="10" spans="1:3" x14ac:dyDescent="0.25">
      <c r="A10" s="211">
        <v>8</v>
      </c>
      <c r="B10" s="211">
        <v>1.4056</v>
      </c>
    </row>
    <row r="11" spans="1:3" x14ac:dyDescent="0.25">
      <c r="A11" s="211">
        <v>9</v>
      </c>
      <c r="B11" s="211">
        <v>1.4499</v>
      </c>
    </row>
    <row r="12" spans="1:3" x14ac:dyDescent="0.25">
      <c r="A12" s="211">
        <v>10</v>
      </c>
      <c r="B12" s="211">
        <v>1.4854000000000001</v>
      </c>
    </row>
    <row r="13" spans="1:3" x14ac:dyDescent="0.25">
      <c r="A13" s="211">
        <v>11</v>
      </c>
      <c r="B13" s="211">
        <v>1.5141</v>
      </c>
    </row>
    <row r="14" spans="1:3" x14ac:dyDescent="0.25">
      <c r="A14" s="211">
        <v>12</v>
      </c>
      <c r="B14" s="211">
        <v>1.5365</v>
      </c>
    </row>
    <row r="15" spans="1:3" x14ac:dyDescent="0.25">
      <c r="A15" s="211">
        <v>13</v>
      </c>
      <c r="B15" s="211">
        <v>1.5550999999999999</v>
      </c>
    </row>
    <row r="16" spans="1:3" x14ac:dyDescent="0.25">
      <c r="A16" s="211">
        <v>14</v>
      </c>
      <c r="B16" s="211">
        <v>1.5712999999999999</v>
      </c>
    </row>
    <row r="17" spans="1:2" x14ac:dyDescent="0.25">
      <c r="A17" s="211">
        <v>15</v>
      </c>
      <c r="B17" s="211">
        <v>1.5838000000000001</v>
      </c>
    </row>
    <row r="18" spans="1:2" x14ac:dyDescent="0.25">
      <c r="A18" s="211">
        <v>16</v>
      </c>
      <c r="B18" s="211">
        <v>1.5978000000000001</v>
      </c>
    </row>
    <row r="19" spans="1:2" x14ac:dyDescent="0.25">
      <c r="A19" s="211">
        <v>17</v>
      </c>
      <c r="B19" s="211">
        <v>1.6086</v>
      </c>
    </row>
    <row r="20" spans="1:2" x14ac:dyDescent="0.25">
      <c r="A20" s="211">
        <v>18</v>
      </c>
      <c r="B20" s="211">
        <v>1.6181000000000001</v>
      </c>
    </row>
    <row r="21" spans="1:2" x14ac:dyDescent="0.25">
      <c r="A21" s="211">
        <v>19</v>
      </c>
      <c r="B21" s="211">
        <v>1.6265000000000001</v>
      </c>
    </row>
    <row r="22" spans="1:2" x14ac:dyDescent="0.25">
      <c r="A22" s="211">
        <v>20</v>
      </c>
      <c r="B22" s="211">
        <v>1.6341000000000001</v>
      </c>
    </row>
    <row r="23" spans="1:2" x14ac:dyDescent="0.25">
      <c r="A23" s="211">
        <v>21</v>
      </c>
      <c r="B23" s="211">
        <v>1.6409</v>
      </c>
    </row>
    <row r="24" spans="1:2" x14ac:dyDescent="0.25">
      <c r="A24" s="211">
        <v>22</v>
      </c>
      <c r="B24" s="211">
        <v>1.647</v>
      </c>
    </row>
    <row r="25" spans="1:2" x14ac:dyDescent="0.25">
      <c r="A25" s="211">
        <v>23</v>
      </c>
      <c r="B25" s="211">
        <v>1.6526000000000001</v>
      </c>
    </row>
    <row r="26" spans="1:2" x14ac:dyDescent="0.25">
      <c r="A26" s="211">
        <v>24</v>
      </c>
      <c r="B26" s="211">
        <v>1.6577</v>
      </c>
    </row>
    <row r="27" spans="1:2" x14ac:dyDescent="0.25">
      <c r="A27" s="211">
        <v>25</v>
      </c>
      <c r="B27" s="211">
        <v>1.6624000000000001</v>
      </c>
    </row>
    <row r="28" spans="1:2" x14ac:dyDescent="0.25">
      <c r="A28" s="211">
        <v>26</v>
      </c>
      <c r="B28" s="211">
        <v>1.6667000000000001</v>
      </c>
    </row>
    <row r="29" spans="1:2" x14ac:dyDescent="0.25">
      <c r="A29" s="211">
        <v>27</v>
      </c>
      <c r="B29" s="211">
        <v>1.6706000000000001</v>
      </c>
    </row>
    <row r="30" spans="1:2" x14ac:dyDescent="0.25">
      <c r="A30" s="211">
        <v>28</v>
      </c>
      <c r="B30" s="211">
        <v>1.6742999999999999</v>
      </c>
    </row>
    <row r="31" spans="1:2" x14ac:dyDescent="0.25">
      <c r="A31" s="211">
        <v>29</v>
      </c>
      <c r="B31" s="211">
        <v>1.6777</v>
      </c>
    </row>
    <row r="32" spans="1:2" x14ac:dyDescent="0.25">
      <c r="A32" s="211">
        <v>30</v>
      </c>
      <c r="B32" s="211">
        <v>1.6809000000000001</v>
      </c>
    </row>
  </sheetData>
  <hyperlinks>
    <hyperlink ref="C2" r:id="rId1" display="http://www.worldscientific.com/doi/abs/10.1142/S0218488506004114"/>
  </hyperlinks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DW1034"/>
  <sheetViews>
    <sheetView topLeftCell="AA25" zoomScale="70" zoomScaleNormal="70" workbookViewId="0">
      <selection activeCell="AD34" sqref="AD34"/>
    </sheetView>
  </sheetViews>
  <sheetFormatPr defaultColWidth="25.109375" defaultRowHeight="13.2" x14ac:dyDescent="0.25"/>
  <cols>
    <col min="1" max="27" width="25.109375" style="44"/>
    <col min="28" max="28" width="25.109375" style="49"/>
    <col min="29" max="31" width="25.109375" style="44"/>
    <col min="32" max="32" width="25.109375" style="49"/>
    <col min="33" max="16384" width="25.109375" style="44"/>
  </cols>
  <sheetData>
    <row r="1" spans="1:127" ht="12.75" customHeight="1" x14ac:dyDescent="0.25">
      <c r="B1" s="348" t="s">
        <v>254</v>
      </c>
      <c r="C1" s="349"/>
      <c r="D1" s="349"/>
      <c r="E1" s="349"/>
      <c r="F1" s="349"/>
      <c r="G1" s="349"/>
      <c r="H1" s="349"/>
      <c r="I1" s="349"/>
      <c r="J1" s="349"/>
      <c r="K1" s="349"/>
      <c r="L1" s="349"/>
      <c r="M1" s="349"/>
      <c r="N1" s="349"/>
      <c r="O1" s="349"/>
      <c r="P1" s="349"/>
      <c r="Q1" s="349"/>
      <c r="R1" s="349"/>
      <c r="S1" s="349"/>
      <c r="T1" s="349"/>
      <c r="U1" s="349"/>
      <c r="V1" s="349"/>
      <c r="W1" s="349"/>
      <c r="X1" s="349"/>
      <c r="Y1" s="349"/>
      <c r="Z1" s="349"/>
      <c r="AA1" s="349"/>
      <c r="AB1" s="349"/>
      <c r="AC1" s="349"/>
      <c r="AD1" s="349"/>
      <c r="AE1" s="349"/>
      <c r="AF1" s="350"/>
      <c r="AG1" s="47"/>
      <c r="AH1" s="47"/>
      <c r="AI1" s="47"/>
      <c r="AJ1" s="47"/>
      <c r="AK1" s="47"/>
      <c r="AL1" s="47"/>
      <c r="AM1" s="47"/>
      <c r="AN1" s="47"/>
      <c r="AO1" s="47"/>
      <c r="AP1" s="47"/>
      <c r="AQ1" s="47"/>
      <c r="AR1" s="47"/>
      <c r="AS1" s="47"/>
      <c r="AT1" s="47"/>
      <c r="AU1" s="47"/>
      <c r="AV1" s="47"/>
      <c r="AW1" s="47"/>
      <c r="AX1" s="47"/>
      <c r="AY1" s="47"/>
      <c r="AZ1" s="47"/>
      <c r="BA1" s="47"/>
      <c r="BB1" s="47"/>
      <c r="BC1" s="47"/>
      <c r="BD1" s="47"/>
      <c r="BE1" s="47"/>
      <c r="BF1" s="47"/>
      <c r="BG1" s="47"/>
      <c r="BH1" s="47"/>
      <c r="BI1" s="47"/>
      <c r="BJ1" s="47"/>
      <c r="BK1" s="47"/>
      <c r="BL1" s="47"/>
      <c r="BM1" s="47"/>
      <c r="BN1" s="47"/>
      <c r="BO1" s="47"/>
      <c r="BP1" s="47"/>
      <c r="BQ1" s="47"/>
      <c r="BR1" s="47"/>
      <c r="BS1" s="47"/>
      <c r="BT1" s="47"/>
      <c r="BU1" s="47"/>
      <c r="BV1" s="47"/>
      <c r="BW1" s="47"/>
      <c r="BX1" s="47"/>
      <c r="BY1" s="47"/>
      <c r="BZ1" s="47"/>
      <c r="CA1" s="47"/>
      <c r="CB1" s="47"/>
      <c r="CC1" s="47"/>
      <c r="CD1" s="47"/>
      <c r="CE1" s="47"/>
      <c r="CF1" s="47"/>
      <c r="CG1" s="47"/>
      <c r="CH1" s="47"/>
      <c r="CI1" s="47"/>
      <c r="CJ1" s="47"/>
      <c r="CK1" s="47"/>
      <c r="CL1" s="47"/>
      <c r="CM1" s="47"/>
      <c r="CN1" s="47"/>
      <c r="CO1" s="47"/>
      <c r="CP1" s="47"/>
      <c r="CQ1" s="47"/>
      <c r="CR1" s="47"/>
      <c r="CS1" s="47"/>
      <c r="CT1" s="47"/>
      <c r="CU1" s="47"/>
      <c r="CV1" s="47"/>
      <c r="CW1" s="47"/>
      <c r="CX1" s="47"/>
      <c r="CY1" s="47"/>
      <c r="CZ1" s="47"/>
      <c r="DA1" s="47"/>
      <c r="DB1" s="47"/>
      <c r="DC1" s="47"/>
      <c r="DD1" s="47"/>
      <c r="DE1" s="47"/>
      <c r="DF1" s="47"/>
      <c r="DG1" s="47"/>
      <c r="DH1" s="47"/>
      <c r="DI1" s="47"/>
      <c r="DJ1" s="47"/>
      <c r="DK1" s="47"/>
      <c r="DL1" s="47"/>
      <c r="DM1" s="47"/>
      <c r="DN1" s="47"/>
      <c r="DO1" s="47"/>
      <c r="DP1" s="47"/>
      <c r="DQ1" s="47"/>
      <c r="DR1" s="47"/>
      <c r="DS1" s="47"/>
      <c r="DT1" s="47"/>
      <c r="DU1" s="47"/>
      <c r="DV1" s="47"/>
      <c r="DW1" s="47"/>
    </row>
    <row r="2" spans="1:127" ht="12.75" customHeight="1" x14ac:dyDescent="0.25">
      <c r="A2" s="48"/>
      <c r="B2" s="351"/>
      <c r="C2" s="352"/>
      <c r="D2" s="352"/>
      <c r="E2" s="352"/>
      <c r="F2" s="352"/>
      <c r="G2" s="352"/>
      <c r="H2" s="352"/>
      <c r="I2" s="352"/>
      <c r="J2" s="352"/>
      <c r="K2" s="352"/>
      <c r="L2" s="352"/>
      <c r="M2" s="352"/>
      <c r="N2" s="352"/>
      <c r="O2" s="352"/>
      <c r="P2" s="352"/>
      <c r="Q2" s="352"/>
      <c r="R2" s="352"/>
      <c r="S2" s="352"/>
      <c r="T2" s="352"/>
      <c r="U2" s="352"/>
      <c r="V2" s="352"/>
      <c r="W2" s="352"/>
      <c r="X2" s="352"/>
      <c r="Y2" s="352"/>
      <c r="Z2" s="352"/>
      <c r="AA2" s="352"/>
      <c r="AB2" s="352"/>
      <c r="AC2" s="352"/>
      <c r="AD2" s="352"/>
      <c r="AE2" s="352"/>
      <c r="AF2" s="353"/>
      <c r="AG2" s="47"/>
      <c r="AH2" s="47"/>
      <c r="AI2" s="47"/>
      <c r="AJ2" s="47"/>
      <c r="AK2" s="47"/>
      <c r="AL2" s="47"/>
      <c r="AM2" s="47"/>
      <c r="AN2" s="47"/>
      <c r="AO2" s="47"/>
      <c r="AP2" s="47"/>
      <c r="AQ2" s="47"/>
      <c r="AR2" s="47"/>
      <c r="AS2" s="47"/>
      <c r="AT2" s="47"/>
      <c r="AU2" s="47"/>
      <c r="AV2" s="47"/>
      <c r="AW2" s="47"/>
      <c r="AX2" s="47"/>
      <c r="AY2" s="47"/>
      <c r="AZ2" s="47"/>
      <c r="BA2" s="47"/>
      <c r="BB2" s="47"/>
      <c r="BC2" s="47"/>
      <c r="BD2" s="47"/>
      <c r="BE2" s="47"/>
      <c r="BF2" s="47"/>
      <c r="BG2" s="47"/>
      <c r="BH2" s="47"/>
      <c r="BI2" s="47"/>
      <c r="BJ2" s="47"/>
      <c r="BK2" s="47"/>
      <c r="BL2" s="47"/>
      <c r="BM2" s="47"/>
      <c r="BN2" s="47"/>
      <c r="BO2" s="47"/>
      <c r="BP2" s="47"/>
      <c r="BQ2" s="47"/>
      <c r="BR2" s="47"/>
      <c r="BS2" s="47"/>
      <c r="BT2" s="47"/>
      <c r="BU2" s="47"/>
      <c r="BV2" s="47"/>
      <c r="BW2" s="47"/>
      <c r="BX2" s="47"/>
      <c r="BY2" s="47"/>
      <c r="BZ2" s="47"/>
      <c r="CA2" s="47"/>
      <c r="CB2" s="47"/>
      <c r="CC2" s="47"/>
      <c r="CD2" s="47"/>
      <c r="CE2" s="47"/>
      <c r="CF2" s="47"/>
      <c r="CG2" s="47"/>
      <c r="CH2" s="47"/>
      <c r="CI2" s="47"/>
      <c r="CJ2" s="47"/>
      <c r="CK2" s="47"/>
      <c r="CL2" s="47"/>
      <c r="CM2" s="47"/>
      <c r="CN2" s="47"/>
      <c r="CO2" s="47"/>
      <c r="CP2" s="47"/>
      <c r="CQ2" s="47"/>
      <c r="CR2" s="47"/>
      <c r="CS2" s="47"/>
      <c r="CT2" s="47"/>
      <c r="CU2" s="47"/>
      <c r="CV2" s="47"/>
      <c r="CW2" s="47"/>
      <c r="CX2" s="47"/>
      <c r="CY2" s="47"/>
      <c r="CZ2" s="47"/>
      <c r="DA2" s="47"/>
      <c r="DB2" s="47"/>
      <c r="DC2" s="47"/>
      <c r="DD2" s="47"/>
      <c r="DE2" s="47"/>
      <c r="DF2" s="47"/>
      <c r="DG2" s="47"/>
      <c r="DH2" s="47"/>
      <c r="DI2" s="47"/>
      <c r="DJ2" s="47"/>
      <c r="DK2" s="47"/>
      <c r="DL2" s="47"/>
      <c r="DM2" s="47"/>
      <c r="DN2" s="47"/>
      <c r="DO2" s="47"/>
      <c r="DP2" s="47"/>
      <c r="DQ2" s="47"/>
      <c r="DR2" s="47"/>
      <c r="DS2" s="47"/>
      <c r="DT2" s="47"/>
      <c r="DU2" s="47"/>
      <c r="DV2" s="47"/>
      <c r="DW2" s="47"/>
    </row>
    <row r="3" spans="1:127" ht="12.75" customHeight="1" x14ac:dyDescent="0.25">
      <c r="A3" s="48"/>
      <c r="B3" s="351"/>
      <c r="C3" s="352"/>
      <c r="D3" s="352"/>
      <c r="E3" s="352"/>
      <c r="F3" s="352"/>
      <c r="G3" s="352"/>
      <c r="H3" s="352"/>
      <c r="I3" s="352"/>
      <c r="J3" s="352"/>
      <c r="K3" s="352"/>
      <c r="L3" s="352"/>
      <c r="M3" s="352"/>
      <c r="N3" s="352"/>
      <c r="O3" s="352"/>
      <c r="P3" s="352"/>
      <c r="Q3" s="352"/>
      <c r="R3" s="352"/>
      <c r="S3" s="352"/>
      <c r="T3" s="352"/>
      <c r="U3" s="352"/>
      <c r="V3" s="352"/>
      <c r="W3" s="352"/>
      <c r="X3" s="352"/>
      <c r="Y3" s="352"/>
      <c r="Z3" s="352"/>
      <c r="AA3" s="352"/>
      <c r="AB3" s="352"/>
      <c r="AC3" s="352"/>
      <c r="AD3" s="352"/>
      <c r="AE3" s="352"/>
      <c r="AF3" s="353"/>
      <c r="AG3" s="47"/>
      <c r="AH3" s="47"/>
      <c r="AI3" s="47"/>
      <c r="AJ3" s="47"/>
      <c r="AK3" s="47"/>
      <c r="AL3" s="47"/>
      <c r="AM3" s="47"/>
      <c r="AN3" s="47"/>
      <c r="AO3" s="47"/>
      <c r="AP3" s="47"/>
      <c r="AQ3" s="47"/>
      <c r="AR3" s="47"/>
      <c r="AS3" s="47"/>
      <c r="AT3" s="47"/>
      <c r="AU3" s="47"/>
      <c r="AV3" s="47"/>
      <c r="AW3" s="47"/>
      <c r="AX3" s="47"/>
      <c r="AY3" s="47"/>
      <c r="AZ3" s="47"/>
      <c r="BA3" s="47"/>
      <c r="BB3" s="47"/>
      <c r="BC3" s="47"/>
      <c r="BD3" s="47"/>
      <c r="BE3" s="47"/>
      <c r="BF3" s="47"/>
      <c r="BG3" s="47"/>
      <c r="BH3" s="47"/>
      <c r="BI3" s="47"/>
      <c r="BJ3" s="47"/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</row>
    <row r="4" spans="1:127" ht="12.75" customHeight="1" thickBot="1" x14ac:dyDescent="0.3">
      <c r="A4" s="48"/>
      <c r="B4" s="354"/>
      <c r="C4" s="355"/>
      <c r="D4" s="355"/>
      <c r="E4" s="355"/>
      <c r="F4" s="355"/>
      <c r="G4" s="355"/>
      <c r="H4" s="355"/>
      <c r="I4" s="355"/>
      <c r="J4" s="355"/>
      <c r="K4" s="355"/>
      <c r="L4" s="355"/>
      <c r="M4" s="355"/>
      <c r="N4" s="355"/>
      <c r="O4" s="355"/>
      <c r="P4" s="355"/>
      <c r="Q4" s="355"/>
      <c r="R4" s="355"/>
      <c r="S4" s="355"/>
      <c r="T4" s="355"/>
      <c r="U4" s="355"/>
      <c r="V4" s="355"/>
      <c r="W4" s="355"/>
      <c r="X4" s="355"/>
      <c r="Y4" s="355"/>
      <c r="Z4" s="355"/>
      <c r="AA4" s="355"/>
      <c r="AB4" s="355"/>
      <c r="AC4" s="355"/>
      <c r="AD4" s="355"/>
      <c r="AE4" s="355"/>
      <c r="AF4" s="356"/>
      <c r="AG4" s="47"/>
      <c r="AH4" s="47"/>
      <c r="AI4" s="47"/>
      <c r="AJ4" s="47"/>
      <c r="AK4" s="47"/>
      <c r="AL4" s="47"/>
      <c r="AM4" s="47"/>
      <c r="AN4" s="47"/>
      <c r="AO4" s="47"/>
      <c r="AP4" s="47"/>
      <c r="AQ4" s="47"/>
      <c r="AR4" s="47"/>
      <c r="AS4" s="47"/>
      <c r="AT4" s="47"/>
      <c r="AU4" s="47"/>
      <c r="AV4" s="47"/>
      <c r="AW4" s="47"/>
      <c r="AX4" s="47"/>
      <c r="AY4" s="47"/>
      <c r="AZ4" s="47"/>
      <c r="BA4" s="47"/>
      <c r="BB4" s="47"/>
      <c r="BC4" s="47"/>
      <c r="BD4" s="47"/>
      <c r="BE4" s="47"/>
      <c r="BF4" s="47"/>
      <c r="BG4" s="47"/>
      <c r="BH4" s="47"/>
      <c r="BI4" s="47"/>
      <c r="BJ4" s="47"/>
      <c r="BK4" s="47"/>
      <c r="BL4" s="47"/>
      <c r="BM4" s="47"/>
      <c r="BN4" s="47"/>
      <c r="BO4" s="47"/>
      <c r="BP4" s="47"/>
      <c r="BQ4" s="47"/>
      <c r="BR4" s="47"/>
      <c r="BS4" s="47"/>
      <c r="BT4" s="47"/>
      <c r="BU4" s="47"/>
      <c r="BV4" s="47"/>
      <c r="BW4" s="47"/>
      <c r="BX4" s="47"/>
      <c r="BY4" s="47"/>
      <c r="BZ4" s="47"/>
      <c r="CA4" s="47"/>
      <c r="CB4" s="47"/>
      <c r="CC4" s="47"/>
      <c r="CD4" s="47"/>
      <c r="CE4" s="47"/>
      <c r="CF4" s="47"/>
      <c r="CG4" s="47"/>
      <c r="CH4" s="47"/>
      <c r="CI4" s="47"/>
      <c r="CJ4" s="47"/>
      <c r="CK4" s="47"/>
      <c r="CL4" s="47"/>
      <c r="CM4" s="47"/>
      <c r="CN4" s="47"/>
      <c r="CO4" s="47"/>
      <c r="CP4" s="47"/>
      <c r="CQ4" s="47"/>
      <c r="CR4" s="47"/>
      <c r="CS4" s="47"/>
      <c r="CT4" s="47"/>
      <c r="CU4" s="47"/>
      <c r="CV4" s="47"/>
      <c r="CW4" s="47"/>
      <c r="CX4" s="47"/>
      <c r="CY4" s="47"/>
      <c r="CZ4" s="47"/>
      <c r="DA4" s="47"/>
      <c r="DB4" s="47"/>
      <c r="DC4" s="47"/>
      <c r="DD4" s="47"/>
      <c r="DE4" s="47"/>
      <c r="DF4" s="47"/>
      <c r="DG4" s="47"/>
      <c r="DH4" s="47"/>
      <c r="DI4" s="47"/>
      <c r="DJ4" s="47"/>
      <c r="DK4" s="47"/>
      <c r="DL4" s="47"/>
      <c r="DM4" s="47"/>
      <c r="DN4" s="47"/>
      <c r="DO4" s="47"/>
      <c r="DP4" s="47"/>
      <c r="DQ4" s="47"/>
      <c r="DR4" s="47"/>
      <c r="DS4" s="47"/>
      <c r="DT4" s="47"/>
      <c r="DU4" s="47"/>
      <c r="DV4" s="47"/>
      <c r="DW4" s="47"/>
    </row>
    <row r="5" spans="1:127" ht="24.75" customHeight="1" x14ac:dyDescent="0.25">
      <c r="A5" s="48"/>
      <c r="B5" s="48"/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  <c r="AA5" s="48"/>
      <c r="AC5" s="50"/>
      <c r="AD5" s="50"/>
      <c r="AE5" s="50"/>
      <c r="AG5" s="50"/>
      <c r="AH5" s="50"/>
    </row>
    <row r="6" spans="1:127" ht="107.25" customHeight="1" x14ac:dyDescent="0.3">
      <c r="A6" s="48"/>
      <c r="B6" s="47"/>
      <c r="C6" s="51" t="s">
        <v>277</v>
      </c>
      <c r="D6" s="52" t="str">
        <f>Threats!A1</f>
        <v>T1-Power Loss</v>
      </c>
      <c r="E6" s="52" t="str">
        <f>Threats!A2</f>
        <v>T2-Hardware Failure</v>
      </c>
      <c r="F6" s="52" t="str">
        <f>Threats!A3</f>
        <v>T3-Software Crash</v>
      </c>
      <c r="G6" s="52" t="str">
        <f>Threats!A4</f>
        <v>T4-Operator Errors</v>
      </c>
      <c r="H6" s="52" t="str">
        <f>Threats!A5</f>
        <v>T5-Malicious Inside Action</v>
      </c>
      <c r="I6" s="52" t="str">
        <f>Threats!A6</f>
        <v>T6-Trojan and Worms</v>
      </c>
      <c r="J6" s="52" t="str">
        <f>Threats!A7</f>
        <v>T7-Fire</v>
      </c>
      <c r="K6" s="52" t="str">
        <f>Threats!A8</f>
        <v>T8-Other Enviromental Disasters</v>
      </c>
      <c r="L6" s="52" t="str">
        <f>Threats!A9</f>
        <v>T9-Availability Threats(DDOS)</v>
      </c>
      <c r="M6" s="52" t="str">
        <f>Threats!A10</f>
        <v>T10-Disk Failure</v>
      </c>
      <c r="N6" s="52" t="str">
        <f>Threats!A11</f>
        <v>T11-Data Corruption</v>
      </c>
      <c r="O6" s="52" t="str">
        <f>Threats!A12</f>
        <v>T12-Inaccurrate Data</v>
      </c>
      <c r="P6" s="52" t="str">
        <f>Threats!A13</f>
        <v>T13-Un-authorized Access</v>
      </c>
      <c r="Q6" s="52" t="str">
        <f>Threats!A14</f>
        <v>T14-Virus and Spyware</v>
      </c>
      <c r="R6" s="52" t="str">
        <f>Threats!A15</f>
        <v>T15-Hacking</v>
      </c>
      <c r="S6" s="52" t="str">
        <f>Threats!A16</f>
        <v>T16-Media Leakage</v>
      </c>
      <c r="T6" s="52" t="str">
        <f>Threats!A17</f>
        <v>T17-Communication Preventers(Botnet, Dialer)</v>
      </c>
      <c r="U6" s="52" t="str">
        <f>Threats!A18</f>
        <v>T18-Authentication Threats</v>
      </c>
      <c r="V6" s="52" t="str">
        <f>Threats!A19</f>
        <v>T19-Non Repudiation Threats</v>
      </c>
      <c r="W6" s="52" t="str">
        <f>Threats!A20</f>
        <v>T20-Separation of Duties</v>
      </c>
      <c r="X6" s="52" t="str">
        <f>Threats!A21</f>
        <v>T21-Configuration Threats</v>
      </c>
      <c r="Y6" s="52" t="str">
        <f>Threats!A22</f>
        <v>T22- Communications Threats</v>
      </c>
      <c r="Z6" s="52" t="s">
        <v>256</v>
      </c>
      <c r="AA6" s="53"/>
      <c r="AB6" s="357" t="s">
        <v>266</v>
      </c>
      <c r="AC6" s="357"/>
      <c r="AD6" s="357"/>
      <c r="AE6" s="54"/>
      <c r="AF6" s="54"/>
      <c r="AG6" s="54"/>
      <c r="AH6" s="47"/>
      <c r="AI6" s="47"/>
      <c r="AJ6" s="47"/>
      <c r="AK6" s="47"/>
      <c r="AL6" s="47"/>
      <c r="AM6" s="47"/>
      <c r="AN6" s="47"/>
      <c r="AO6" s="47"/>
      <c r="AP6" s="47"/>
      <c r="AQ6" s="47"/>
      <c r="AR6" s="47"/>
      <c r="AS6" s="47"/>
      <c r="AT6" s="47"/>
      <c r="AU6" s="47"/>
      <c r="AV6" s="47"/>
      <c r="AW6" s="47"/>
      <c r="AX6" s="47"/>
      <c r="AY6" s="47"/>
      <c r="AZ6" s="47"/>
      <c r="BA6" s="47"/>
      <c r="BB6" s="47"/>
      <c r="BC6" s="47"/>
      <c r="BD6" s="47"/>
      <c r="BE6" s="47"/>
      <c r="BF6" s="47"/>
      <c r="BG6" s="47"/>
      <c r="BH6" s="47"/>
      <c r="BI6" s="47"/>
      <c r="BJ6" s="47"/>
      <c r="BK6" s="47"/>
      <c r="BL6" s="47"/>
      <c r="BM6" s="47"/>
      <c r="BN6" s="47"/>
      <c r="BO6" s="47"/>
      <c r="BP6" s="47"/>
      <c r="BQ6" s="47"/>
      <c r="BR6" s="47"/>
      <c r="BS6" s="47"/>
      <c r="BT6" s="47"/>
      <c r="BU6" s="47"/>
      <c r="BV6" s="47"/>
      <c r="BW6" s="47"/>
      <c r="BX6" s="47"/>
      <c r="BY6" s="47"/>
      <c r="BZ6" s="47"/>
      <c r="CA6" s="47"/>
      <c r="CB6" s="47"/>
      <c r="CC6" s="47"/>
      <c r="CD6" s="47"/>
      <c r="CE6" s="47"/>
      <c r="CF6" s="47"/>
      <c r="CG6" s="47"/>
      <c r="CH6" s="47"/>
      <c r="CI6" s="47"/>
      <c r="CJ6" s="47"/>
      <c r="CK6" s="47"/>
      <c r="CL6" s="47"/>
      <c r="CM6" s="47"/>
      <c r="CN6" s="47"/>
      <c r="CO6" s="47"/>
      <c r="CP6" s="47"/>
      <c r="CQ6" s="47"/>
      <c r="CR6" s="47"/>
      <c r="CS6" s="47"/>
      <c r="CT6" s="47"/>
      <c r="CU6" s="47"/>
      <c r="CV6" s="47"/>
      <c r="CW6" s="47"/>
      <c r="CX6" s="47"/>
      <c r="CY6" s="47"/>
      <c r="CZ6" s="47"/>
      <c r="DA6" s="47"/>
      <c r="DB6" s="47"/>
      <c r="DC6" s="47"/>
      <c r="DD6" s="47"/>
      <c r="DE6" s="47"/>
      <c r="DF6" s="47"/>
      <c r="DG6" s="47"/>
      <c r="DH6" s="47"/>
      <c r="DI6" s="47"/>
      <c r="DJ6" s="47"/>
      <c r="DK6" s="47"/>
      <c r="DL6" s="47"/>
      <c r="DM6" s="47"/>
      <c r="DN6" s="47"/>
      <c r="DO6" s="47"/>
      <c r="DP6" s="47"/>
      <c r="DQ6" s="47"/>
      <c r="DR6" s="47"/>
      <c r="DS6" s="47"/>
      <c r="DT6" s="47"/>
      <c r="DU6" s="47"/>
      <c r="DV6" s="47"/>
    </row>
    <row r="7" spans="1:127" ht="12.75" customHeight="1" thickBot="1" x14ac:dyDescent="0.3">
      <c r="A7" s="48"/>
      <c r="B7" s="47"/>
      <c r="C7" s="55" t="str">
        <f>Threats!A1</f>
        <v>T1-Power Loss</v>
      </c>
      <c r="D7" s="56">
        <v>1</v>
      </c>
      <c r="E7" s="37">
        <v>6</v>
      </c>
      <c r="F7" s="37">
        <v>6</v>
      </c>
      <c r="G7" s="37">
        <v>6</v>
      </c>
      <c r="H7" s="37">
        <v>9</v>
      </c>
      <c r="I7" s="37">
        <v>8</v>
      </c>
      <c r="J7" s="37">
        <v>9</v>
      </c>
      <c r="K7" s="37">
        <v>9</v>
      </c>
      <c r="L7" s="37">
        <v>9</v>
      </c>
      <c r="M7" s="37">
        <v>0</v>
      </c>
      <c r="N7" s="37">
        <v>0</v>
      </c>
      <c r="O7" s="37">
        <v>0</v>
      </c>
      <c r="P7" s="37">
        <v>0</v>
      </c>
      <c r="Q7" s="37">
        <v>0</v>
      </c>
      <c r="R7" s="37">
        <v>0</v>
      </c>
      <c r="S7" s="37">
        <v>0</v>
      </c>
      <c r="T7" s="37">
        <v>0</v>
      </c>
      <c r="U7" s="37">
        <v>0</v>
      </c>
      <c r="V7" s="37">
        <v>0</v>
      </c>
      <c r="W7" s="37">
        <v>0</v>
      </c>
      <c r="X7" s="37">
        <v>0</v>
      </c>
      <c r="Y7" s="37">
        <v>0</v>
      </c>
      <c r="Z7" s="57" t="str">
        <f>Threats!B1</f>
        <v>Threats to The Level of Service</v>
      </c>
      <c r="AA7" s="47"/>
      <c r="AB7" s="358" t="s">
        <v>255</v>
      </c>
      <c r="AC7" s="359"/>
      <c r="AD7" s="359"/>
      <c r="AE7" s="47"/>
      <c r="AF7" s="47"/>
      <c r="AG7" s="47"/>
      <c r="AH7" s="47"/>
      <c r="AI7" s="47"/>
      <c r="AJ7" s="47"/>
      <c r="AK7" s="47"/>
      <c r="AL7" s="47"/>
      <c r="AM7" s="47"/>
      <c r="AN7" s="47"/>
      <c r="AO7" s="47"/>
      <c r="AP7" s="47"/>
      <c r="AQ7" s="47"/>
      <c r="AR7" s="47"/>
      <c r="AS7" s="47"/>
      <c r="AT7" s="47"/>
      <c r="AU7" s="47"/>
      <c r="AV7" s="47"/>
      <c r="AW7" s="47"/>
      <c r="AX7" s="47"/>
      <c r="AY7" s="47"/>
      <c r="AZ7" s="47"/>
      <c r="BA7" s="47"/>
      <c r="BB7" s="47"/>
      <c r="BC7" s="47"/>
      <c r="BD7" s="47"/>
      <c r="BE7" s="47"/>
      <c r="BF7" s="47"/>
      <c r="BG7" s="47"/>
      <c r="BH7" s="47"/>
      <c r="BI7" s="47"/>
      <c r="BJ7" s="47"/>
      <c r="BK7" s="47"/>
      <c r="BL7" s="47"/>
      <c r="BM7" s="47"/>
      <c r="BN7" s="47"/>
      <c r="BO7" s="47"/>
      <c r="BP7" s="47"/>
      <c r="BQ7" s="47"/>
      <c r="BR7" s="47"/>
      <c r="BS7" s="47"/>
      <c r="BT7" s="47"/>
      <c r="BU7" s="47"/>
      <c r="BV7" s="47"/>
      <c r="BW7" s="47"/>
      <c r="BX7" s="47"/>
      <c r="BY7" s="47"/>
      <c r="BZ7" s="47"/>
      <c r="CA7" s="47"/>
      <c r="CB7" s="47"/>
      <c r="CC7" s="47"/>
      <c r="CD7" s="47"/>
      <c r="CE7" s="47"/>
      <c r="CF7" s="47"/>
      <c r="CG7" s="47"/>
      <c r="CH7" s="47"/>
      <c r="CI7" s="47"/>
      <c r="CJ7" s="47"/>
      <c r="CK7" s="47"/>
      <c r="CL7" s="47"/>
      <c r="CM7" s="47"/>
      <c r="CN7" s="47"/>
      <c r="CO7" s="47"/>
      <c r="CP7" s="47"/>
      <c r="CQ7" s="47"/>
      <c r="CR7" s="47"/>
      <c r="CS7" s="47"/>
      <c r="CT7" s="47"/>
      <c r="CU7" s="47"/>
      <c r="CV7" s="47"/>
      <c r="CW7" s="47"/>
      <c r="CX7" s="47"/>
      <c r="CY7" s="47"/>
      <c r="CZ7" s="47"/>
      <c r="DA7" s="47"/>
      <c r="DB7" s="47"/>
      <c r="DC7" s="47"/>
      <c r="DD7" s="47"/>
      <c r="DE7" s="47"/>
      <c r="DF7" s="47"/>
      <c r="DG7" s="47"/>
      <c r="DH7" s="47"/>
      <c r="DI7" s="47"/>
      <c r="DJ7" s="47"/>
      <c r="DK7" s="47"/>
      <c r="DL7" s="47"/>
      <c r="DM7" s="47"/>
      <c r="DN7" s="47"/>
      <c r="DO7" s="58"/>
      <c r="DP7" s="58"/>
      <c r="DQ7" s="58"/>
      <c r="DR7" s="58"/>
      <c r="DS7" s="58"/>
      <c r="DT7" s="58"/>
      <c r="DU7" s="59"/>
      <c r="DV7" s="59"/>
    </row>
    <row r="8" spans="1:127" ht="12.75" customHeight="1" thickBot="1" x14ac:dyDescent="0.3">
      <c r="A8" s="48"/>
      <c r="B8" s="47"/>
      <c r="C8" s="60" t="str">
        <f>Threats!A2</f>
        <v>T2-Hardware Failure</v>
      </c>
      <c r="D8" s="61">
        <f>IF(E$7 &lt;&gt;0, ($D$7/E$7), 0)</f>
        <v>0.16666666666666666</v>
      </c>
      <c r="E8" s="62">
        <v>1</v>
      </c>
      <c r="F8" s="38">
        <v>0.5</v>
      </c>
      <c r="G8" s="38">
        <v>0.25</v>
      </c>
      <c r="H8" s="38">
        <v>0.16666666666666666</v>
      </c>
      <c r="I8" s="38">
        <v>0.16666666666666666</v>
      </c>
      <c r="J8" s="38">
        <v>2</v>
      </c>
      <c r="K8" s="38">
        <v>2</v>
      </c>
      <c r="L8" s="38">
        <v>1</v>
      </c>
      <c r="M8" s="38">
        <v>0</v>
      </c>
      <c r="N8" s="38">
        <v>0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63" t="str">
        <f>Threats!B2</f>
        <v>Threats to The Level of Service</v>
      </c>
      <c r="AA8" s="47"/>
      <c r="AB8" s="360" t="s">
        <v>255</v>
      </c>
      <c r="AC8" s="361"/>
      <c r="AD8" s="361"/>
      <c r="AE8" s="47"/>
      <c r="AF8" s="47"/>
      <c r="AG8" s="47"/>
      <c r="AH8" s="47"/>
      <c r="AI8" s="47"/>
      <c r="AJ8" s="47"/>
      <c r="AK8" s="47"/>
      <c r="AL8" s="47"/>
      <c r="AM8" s="47"/>
      <c r="AN8" s="47"/>
      <c r="AO8" s="47"/>
      <c r="AP8" s="47"/>
      <c r="AQ8" s="47"/>
      <c r="AR8" s="47"/>
      <c r="AS8" s="47"/>
      <c r="AT8" s="47"/>
      <c r="AU8" s="47"/>
      <c r="AV8" s="47"/>
      <c r="AW8" s="47"/>
      <c r="AX8" s="47"/>
      <c r="AY8" s="47"/>
      <c r="AZ8" s="47"/>
      <c r="BA8" s="47"/>
      <c r="BB8" s="47"/>
      <c r="BC8" s="47"/>
      <c r="BD8" s="47"/>
      <c r="BE8" s="47"/>
      <c r="BF8" s="47"/>
      <c r="BG8" s="47"/>
      <c r="BH8" s="47"/>
      <c r="BI8" s="47"/>
      <c r="BJ8" s="47"/>
      <c r="BK8" s="47"/>
      <c r="BL8" s="47"/>
      <c r="BM8" s="47"/>
      <c r="BN8" s="47"/>
      <c r="BO8" s="47"/>
      <c r="BP8" s="47"/>
      <c r="BQ8" s="47"/>
      <c r="BR8" s="47"/>
      <c r="BS8" s="47"/>
      <c r="BT8" s="47"/>
      <c r="BU8" s="47"/>
      <c r="BV8" s="47"/>
      <c r="BW8" s="47"/>
      <c r="BX8" s="47"/>
      <c r="BY8" s="47"/>
      <c r="BZ8" s="47"/>
      <c r="CA8" s="47"/>
      <c r="CB8" s="47"/>
      <c r="CC8" s="47"/>
      <c r="CD8" s="47"/>
      <c r="CE8" s="47"/>
      <c r="CF8" s="47"/>
      <c r="CG8" s="47"/>
      <c r="CH8" s="47"/>
      <c r="CI8" s="47"/>
      <c r="CJ8" s="47"/>
      <c r="CK8" s="47"/>
      <c r="CL8" s="47"/>
      <c r="CM8" s="47"/>
      <c r="CN8" s="47"/>
      <c r="CO8" s="47"/>
      <c r="CP8" s="47"/>
      <c r="CQ8" s="47"/>
      <c r="CR8" s="47"/>
      <c r="CS8" s="47"/>
      <c r="CT8" s="47"/>
      <c r="CU8" s="47"/>
      <c r="CV8" s="47"/>
      <c r="CW8" s="47"/>
      <c r="CX8" s="47"/>
      <c r="CY8" s="47"/>
      <c r="CZ8" s="47"/>
      <c r="DA8" s="47"/>
      <c r="DB8" s="47"/>
      <c r="DC8" s="47"/>
      <c r="DD8" s="47"/>
      <c r="DE8" s="47"/>
      <c r="DF8" s="47"/>
      <c r="DG8" s="47"/>
      <c r="DH8" s="47"/>
      <c r="DI8" s="47"/>
      <c r="DJ8" s="47"/>
      <c r="DK8" s="47"/>
      <c r="DL8" s="47"/>
      <c r="DM8" s="47"/>
      <c r="DN8" s="47"/>
      <c r="DO8" s="58"/>
      <c r="DP8" s="58"/>
      <c r="DQ8" s="58"/>
      <c r="DR8" s="58"/>
      <c r="DS8" s="58"/>
      <c r="DT8" s="58"/>
      <c r="DU8" s="59"/>
      <c r="DV8" s="59"/>
    </row>
    <row r="9" spans="1:127" ht="12.75" customHeight="1" thickBot="1" x14ac:dyDescent="0.3">
      <c r="A9" s="48"/>
      <c r="B9" s="47"/>
      <c r="C9" s="60" t="str">
        <f>Threats!A3</f>
        <v>T3-Software Crash</v>
      </c>
      <c r="D9" s="64">
        <f>IF($F7&lt;&gt;0, $D$7/F$7, 0)</f>
        <v>0.16666666666666666</v>
      </c>
      <c r="E9" s="65">
        <f>IF(F$8 &lt;&gt;0,$E$8/F$8,0)</f>
        <v>2</v>
      </c>
      <c r="F9" s="62">
        <v>1</v>
      </c>
      <c r="G9" s="190">
        <v>6</v>
      </c>
      <c r="H9" s="190">
        <v>3</v>
      </c>
      <c r="I9" s="190">
        <v>0.25</v>
      </c>
      <c r="J9" s="190">
        <v>5</v>
      </c>
      <c r="K9" s="190">
        <v>6</v>
      </c>
      <c r="L9" s="190">
        <v>6</v>
      </c>
      <c r="M9" s="190">
        <v>0</v>
      </c>
      <c r="N9" s="190">
        <v>0</v>
      </c>
      <c r="O9" s="190">
        <v>0</v>
      </c>
      <c r="P9" s="190">
        <v>0</v>
      </c>
      <c r="Q9" s="190">
        <v>0</v>
      </c>
      <c r="R9" s="190">
        <v>0</v>
      </c>
      <c r="S9" s="190">
        <v>0</v>
      </c>
      <c r="T9" s="190">
        <v>0</v>
      </c>
      <c r="U9" s="190">
        <v>0</v>
      </c>
      <c r="V9" s="190">
        <v>0</v>
      </c>
      <c r="W9" s="190">
        <v>0</v>
      </c>
      <c r="X9" s="190">
        <v>0</v>
      </c>
      <c r="Y9" s="190">
        <v>0</v>
      </c>
      <c r="Z9" s="66" t="str">
        <f>Threats!B3</f>
        <v>Threats to The Level of Service</v>
      </c>
      <c r="AA9" s="47"/>
      <c r="AB9" s="362" t="s">
        <v>255</v>
      </c>
      <c r="AC9" s="363"/>
      <c r="AD9" s="363"/>
      <c r="AE9" s="47"/>
      <c r="AF9" s="47"/>
      <c r="AG9" s="47"/>
      <c r="AH9" s="47"/>
      <c r="AI9" s="47"/>
      <c r="AJ9" s="47"/>
      <c r="AK9" s="47"/>
      <c r="AL9" s="47"/>
      <c r="AM9" s="47"/>
      <c r="AN9" s="47"/>
      <c r="AO9" s="47"/>
      <c r="AP9" s="47"/>
      <c r="AQ9" s="47"/>
      <c r="AR9" s="47"/>
      <c r="AS9" s="47"/>
      <c r="AT9" s="47"/>
      <c r="AU9" s="47"/>
      <c r="AV9" s="47"/>
      <c r="AW9" s="47"/>
      <c r="AX9" s="47"/>
      <c r="AY9" s="47"/>
      <c r="AZ9" s="47"/>
      <c r="BA9" s="47"/>
      <c r="BB9" s="47"/>
      <c r="BC9" s="47"/>
      <c r="BD9" s="47"/>
      <c r="BE9" s="47"/>
      <c r="BF9" s="47"/>
      <c r="BG9" s="47"/>
      <c r="BH9" s="47"/>
      <c r="BI9" s="47"/>
      <c r="BJ9" s="47"/>
      <c r="BK9" s="47"/>
      <c r="BL9" s="47"/>
      <c r="BM9" s="47"/>
      <c r="BN9" s="47"/>
      <c r="BO9" s="47"/>
      <c r="BP9" s="47"/>
      <c r="BQ9" s="47"/>
      <c r="BR9" s="47"/>
      <c r="BS9" s="47"/>
      <c r="BT9" s="47"/>
      <c r="BU9" s="47"/>
      <c r="BV9" s="47"/>
      <c r="BW9" s="47"/>
      <c r="BX9" s="47"/>
      <c r="BY9" s="47"/>
      <c r="BZ9" s="47"/>
      <c r="CA9" s="47"/>
      <c r="CB9" s="47"/>
      <c r="CC9" s="47"/>
      <c r="CD9" s="47"/>
      <c r="CE9" s="47"/>
      <c r="CF9" s="47"/>
      <c r="CG9" s="47"/>
      <c r="CH9" s="47"/>
      <c r="CI9" s="47"/>
      <c r="CJ9" s="47"/>
      <c r="CK9" s="47"/>
      <c r="CL9" s="47"/>
      <c r="CM9" s="47"/>
      <c r="CN9" s="47"/>
      <c r="CO9" s="47"/>
      <c r="CP9" s="47"/>
      <c r="CQ9" s="47"/>
      <c r="CR9" s="47"/>
      <c r="CS9" s="47"/>
      <c r="CT9" s="47"/>
      <c r="CU9" s="47"/>
      <c r="CV9" s="47"/>
      <c r="CW9" s="47"/>
      <c r="CX9" s="47"/>
      <c r="CY9" s="47"/>
      <c r="CZ9" s="47"/>
      <c r="DA9" s="47"/>
      <c r="DB9" s="47"/>
      <c r="DC9" s="47"/>
      <c r="DD9" s="47"/>
      <c r="DE9" s="47"/>
      <c r="DF9" s="47"/>
      <c r="DG9" s="47"/>
      <c r="DH9" s="47"/>
      <c r="DI9" s="47"/>
      <c r="DJ9" s="47"/>
      <c r="DK9" s="47"/>
      <c r="DL9" s="47"/>
      <c r="DM9" s="47"/>
      <c r="DN9" s="47"/>
      <c r="DO9" s="58"/>
      <c r="DP9" s="58"/>
      <c r="DQ9" s="58"/>
      <c r="DR9" s="58"/>
      <c r="DS9" s="58"/>
      <c r="DT9" s="58"/>
      <c r="DU9" s="59"/>
      <c r="DV9" s="59"/>
    </row>
    <row r="10" spans="1:127" ht="12.75" customHeight="1" thickBot="1" x14ac:dyDescent="0.3">
      <c r="A10" s="48"/>
      <c r="B10" s="47"/>
      <c r="C10" s="60" t="str">
        <f>Threats!A4</f>
        <v>T4-Operator Errors</v>
      </c>
      <c r="D10" s="64">
        <f>IF(G$7&lt;&gt;0, $D$7/G$7, 0)</f>
        <v>0.16666666666666666</v>
      </c>
      <c r="E10" s="67">
        <f>IF(G$8 &lt;&gt; 0, $E$8/G$8, 0)</f>
        <v>4</v>
      </c>
      <c r="F10" s="65">
        <f>IF(G$9 &lt;&gt; 0, ($F$9/G$9), 0)</f>
        <v>0.16666666666666666</v>
      </c>
      <c r="G10" s="62">
        <v>1</v>
      </c>
      <c r="H10" s="191">
        <v>4</v>
      </c>
      <c r="I10" s="191">
        <v>1</v>
      </c>
      <c r="J10" s="191">
        <v>6</v>
      </c>
      <c r="K10" s="191">
        <v>6</v>
      </c>
      <c r="L10" s="191">
        <v>2</v>
      </c>
      <c r="M10" s="191">
        <v>0</v>
      </c>
      <c r="N10" s="191">
        <v>0</v>
      </c>
      <c r="O10" s="191">
        <v>0</v>
      </c>
      <c r="P10" s="191">
        <v>0</v>
      </c>
      <c r="Q10" s="191">
        <v>0</v>
      </c>
      <c r="R10" s="191">
        <v>0</v>
      </c>
      <c r="S10" s="191">
        <v>0</v>
      </c>
      <c r="T10" s="191">
        <v>0</v>
      </c>
      <c r="U10" s="191">
        <v>0</v>
      </c>
      <c r="V10" s="191">
        <v>0</v>
      </c>
      <c r="W10" s="191">
        <v>0</v>
      </c>
      <c r="X10" s="191">
        <v>0</v>
      </c>
      <c r="Y10" s="191">
        <v>0</v>
      </c>
      <c r="Z10" s="68" t="str">
        <f>Threats!B4</f>
        <v>Threats to The Level of Service</v>
      </c>
      <c r="AA10" s="47"/>
      <c r="AB10" s="346" t="s">
        <v>255</v>
      </c>
      <c r="AC10" s="347"/>
      <c r="AD10" s="347"/>
      <c r="AE10" s="47"/>
      <c r="AF10" s="47"/>
      <c r="AG10" s="47"/>
      <c r="AH10" s="47"/>
      <c r="AI10" s="47"/>
      <c r="AJ10" s="47"/>
      <c r="AK10" s="47"/>
      <c r="AL10" s="47"/>
      <c r="AM10" s="47"/>
      <c r="AN10" s="47"/>
      <c r="AO10" s="47"/>
      <c r="AP10" s="47"/>
      <c r="AQ10" s="47"/>
      <c r="AR10" s="47"/>
      <c r="AS10" s="47"/>
      <c r="AT10" s="47"/>
      <c r="AU10" s="47"/>
      <c r="AV10" s="47"/>
      <c r="AW10" s="47"/>
      <c r="AX10" s="47"/>
      <c r="AY10" s="47"/>
      <c r="AZ10" s="47"/>
      <c r="BA10" s="47"/>
      <c r="BB10" s="47"/>
      <c r="BC10" s="47"/>
      <c r="BD10" s="47"/>
      <c r="BE10" s="47"/>
      <c r="BF10" s="47"/>
      <c r="BG10" s="47"/>
      <c r="BH10" s="47"/>
      <c r="BI10" s="47"/>
      <c r="BJ10" s="47"/>
      <c r="BK10" s="47"/>
      <c r="BL10" s="47"/>
      <c r="BM10" s="47"/>
      <c r="BN10" s="47"/>
      <c r="BO10" s="47"/>
      <c r="BP10" s="47"/>
      <c r="BQ10" s="47"/>
      <c r="BR10" s="47"/>
      <c r="BS10" s="47"/>
      <c r="BT10" s="47"/>
      <c r="BU10" s="47"/>
      <c r="BV10" s="47"/>
      <c r="BW10" s="47"/>
      <c r="BX10" s="47"/>
      <c r="BY10" s="47"/>
      <c r="BZ10" s="47"/>
      <c r="CA10" s="47"/>
      <c r="CB10" s="47"/>
      <c r="CC10" s="47"/>
      <c r="CD10" s="47"/>
      <c r="CE10" s="47"/>
      <c r="CF10" s="47"/>
      <c r="CG10" s="47"/>
      <c r="CH10" s="47"/>
      <c r="CI10" s="47"/>
      <c r="CJ10" s="47"/>
      <c r="CK10" s="47"/>
      <c r="CL10" s="47"/>
      <c r="CM10" s="47"/>
      <c r="CN10" s="47"/>
      <c r="CO10" s="47"/>
      <c r="CP10" s="47"/>
      <c r="CQ10" s="47"/>
      <c r="CR10" s="47"/>
      <c r="CS10" s="47"/>
      <c r="CT10" s="47"/>
      <c r="CU10" s="47"/>
      <c r="CV10" s="47"/>
      <c r="CW10" s="47"/>
      <c r="CX10" s="47"/>
      <c r="CY10" s="47"/>
      <c r="CZ10" s="47"/>
      <c r="DA10" s="47"/>
      <c r="DB10" s="47"/>
      <c r="DC10" s="47"/>
      <c r="DD10" s="47"/>
      <c r="DE10" s="47"/>
      <c r="DF10" s="47"/>
      <c r="DG10" s="47"/>
      <c r="DH10" s="47"/>
      <c r="DI10" s="47"/>
      <c r="DJ10" s="47"/>
      <c r="DK10" s="47"/>
      <c r="DL10" s="47"/>
      <c r="DM10" s="47"/>
      <c r="DN10" s="47"/>
      <c r="DO10" s="58"/>
      <c r="DP10" s="58"/>
      <c r="DQ10" s="58"/>
      <c r="DR10" s="58"/>
      <c r="DS10" s="58"/>
      <c r="DT10" s="58"/>
      <c r="DU10" s="59"/>
      <c r="DV10" s="59"/>
    </row>
    <row r="11" spans="1:127" ht="12.75" customHeight="1" thickBot="1" x14ac:dyDescent="0.3">
      <c r="A11" s="48"/>
      <c r="B11" s="47"/>
      <c r="C11" s="60" t="str">
        <f>Threats!A5</f>
        <v>T5-Malicious Inside Action</v>
      </c>
      <c r="D11" s="64">
        <f>IF(H$7&lt;&gt;0, ($D$7/H$7), 0)</f>
        <v>0.1111111111111111</v>
      </c>
      <c r="E11" s="67">
        <f>IF(H$8 &lt;&gt; 0, $E$8/H$8, 0)</f>
        <v>6</v>
      </c>
      <c r="F11" s="67">
        <f>IF(H9&lt;&gt;0, (F9/H9),0)</f>
        <v>0.33333333333333331</v>
      </c>
      <c r="G11" s="65">
        <f>IF(H$10&lt;&gt;0, ($G$10/H$10),0)</f>
        <v>0.25</v>
      </c>
      <c r="H11" s="62">
        <v>1</v>
      </c>
      <c r="I11" s="192">
        <v>0.33333333333333331</v>
      </c>
      <c r="J11" s="192">
        <v>3</v>
      </c>
      <c r="K11" s="192">
        <v>3</v>
      </c>
      <c r="L11" s="192">
        <v>1</v>
      </c>
      <c r="M11" s="192">
        <v>0</v>
      </c>
      <c r="N11" s="192">
        <v>0</v>
      </c>
      <c r="O11" s="192">
        <v>0</v>
      </c>
      <c r="P11" s="192">
        <v>0</v>
      </c>
      <c r="Q11" s="192">
        <v>0</v>
      </c>
      <c r="R11" s="192">
        <v>0</v>
      </c>
      <c r="S11" s="192">
        <v>0</v>
      </c>
      <c r="T11" s="192">
        <v>0</v>
      </c>
      <c r="U11" s="192">
        <v>0</v>
      </c>
      <c r="V11" s="192">
        <v>0</v>
      </c>
      <c r="W11" s="192">
        <v>0</v>
      </c>
      <c r="X11" s="192">
        <v>0</v>
      </c>
      <c r="Y11" s="192">
        <v>0</v>
      </c>
      <c r="Z11" s="69" t="str">
        <f>Threats!B5</f>
        <v>Threats to The Level of Service</v>
      </c>
      <c r="AA11" s="47"/>
      <c r="AB11" s="366" t="s">
        <v>255</v>
      </c>
      <c r="AC11" s="367"/>
      <c r="AD11" s="367"/>
      <c r="AE11" s="47"/>
      <c r="AF11" s="47"/>
      <c r="AG11" s="47"/>
      <c r="AH11" s="47"/>
      <c r="AI11" s="47"/>
      <c r="AJ11" s="47"/>
      <c r="AK11" s="47"/>
      <c r="AL11" s="47"/>
      <c r="AM11" s="47"/>
      <c r="AN11" s="47"/>
      <c r="AO11" s="47"/>
      <c r="AP11" s="47"/>
      <c r="AQ11" s="47"/>
      <c r="AR11" s="47"/>
      <c r="AS11" s="47"/>
      <c r="AT11" s="47"/>
      <c r="AU11" s="47"/>
      <c r="AV11" s="47"/>
      <c r="AW11" s="47"/>
      <c r="AX11" s="47"/>
      <c r="AY11" s="47"/>
      <c r="AZ11" s="47"/>
      <c r="BA11" s="47"/>
      <c r="BB11" s="47"/>
      <c r="BC11" s="47"/>
      <c r="BD11" s="47"/>
      <c r="BE11" s="47"/>
      <c r="BF11" s="47"/>
      <c r="BG11" s="47"/>
      <c r="BH11" s="47"/>
      <c r="BI11" s="47"/>
      <c r="BJ11" s="47"/>
      <c r="BK11" s="47"/>
      <c r="BL11" s="47"/>
      <c r="BM11" s="47"/>
      <c r="BN11" s="47"/>
      <c r="BO11" s="47"/>
      <c r="BP11" s="47"/>
      <c r="BQ11" s="47"/>
      <c r="BR11" s="47"/>
      <c r="BS11" s="47"/>
      <c r="BT11" s="47"/>
      <c r="BU11" s="47"/>
      <c r="BV11" s="47"/>
      <c r="BW11" s="47"/>
      <c r="BX11" s="47"/>
      <c r="BY11" s="47"/>
      <c r="BZ11" s="47"/>
      <c r="CA11" s="47"/>
      <c r="CB11" s="47"/>
      <c r="CC11" s="47"/>
      <c r="CD11" s="47"/>
      <c r="CE11" s="47"/>
      <c r="CF11" s="47"/>
      <c r="CG11" s="47"/>
      <c r="CH11" s="47"/>
      <c r="CI11" s="47"/>
      <c r="CJ11" s="47"/>
      <c r="CK11" s="47"/>
      <c r="CL11" s="47"/>
      <c r="CM11" s="47"/>
      <c r="CN11" s="47"/>
      <c r="CO11" s="47"/>
      <c r="CP11" s="47"/>
      <c r="CQ11" s="47"/>
      <c r="CR11" s="47"/>
      <c r="CS11" s="47"/>
      <c r="CT11" s="47"/>
      <c r="CU11" s="47"/>
      <c r="CV11" s="47"/>
      <c r="CW11" s="47"/>
      <c r="CX11" s="47"/>
      <c r="CY11" s="47"/>
      <c r="CZ11" s="47"/>
      <c r="DA11" s="47"/>
      <c r="DB11" s="47"/>
      <c r="DC11" s="47"/>
      <c r="DD11" s="47"/>
      <c r="DE11" s="47"/>
      <c r="DF11" s="47"/>
      <c r="DG11" s="47"/>
      <c r="DH11" s="47"/>
      <c r="DI11" s="47"/>
      <c r="DJ11" s="47"/>
      <c r="DK11" s="47"/>
      <c r="DL11" s="47"/>
      <c r="DM11" s="47"/>
      <c r="DN11" s="47"/>
      <c r="DO11" s="58"/>
      <c r="DP11" s="58"/>
      <c r="DQ11" s="58"/>
      <c r="DR11" s="58"/>
      <c r="DS11" s="58"/>
      <c r="DT11" s="58"/>
      <c r="DU11" s="59"/>
      <c r="DV11" s="59"/>
    </row>
    <row r="12" spans="1:127" ht="12.75" customHeight="1" thickBot="1" x14ac:dyDescent="0.3">
      <c r="A12" s="48"/>
      <c r="B12" s="47"/>
      <c r="C12" s="60" t="str">
        <f>Threats!A6</f>
        <v>T6-Trojan and Worms</v>
      </c>
      <c r="D12" s="64">
        <f>IF(I$7 &lt;&gt; 0, $D$7/I$7, 0)</f>
        <v>0.125</v>
      </c>
      <c r="E12" s="67">
        <f>IF(I$8 &lt;&gt;0, $E$8/I$8, 0)</f>
        <v>6</v>
      </c>
      <c r="F12" s="67">
        <f>IF(I9&lt;&gt;0, (F9/I9),0)</f>
        <v>4</v>
      </c>
      <c r="G12" s="67">
        <f>IF(I$10&lt;&gt;0, ($G$10/I$10),0)</f>
        <v>1</v>
      </c>
      <c r="H12" s="65">
        <f>IF($I$11&lt;&gt;0, $H$11/$I$11,0)</f>
        <v>3</v>
      </c>
      <c r="I12" s="62">
        <v>1</v>
      </c>
      <c r="J12" s="193">
        <v>8</v>
      </c>
      <c r="K12" s="193">
        <v>8</v>
      </c>
      <c r="L12" s="193">
        <v>5</v>
      </c>
      <c r="M12" s="193">
        <v>0</v>
      </c>
      <c r="N12" s="193">
        <v>0</v>
      </c>
      <c r="O12" s="193">
        <v>0</v>
      </c>
      <c r="P12" s="193">
        <v>0</v>
      </c>
      <c r="Q12" s="193">
        <v>0</v>
      </c>
      <c r="R12" s="193">
        <v>0</v>
      </c>
      <c r="S12" s="193">
        <v>0</v>
      </c>
      <c r="T12" s="193">
        <v>0</v>
      </c>
      <c r="U12" s="193">
        <v>0</v>
      </c>
      <c r="V12" s="193">
        <v>0</v>
      </c>
      <c r="W12" s="193">
        <v>0</v>
      </c>
      <c r="X12" s="193">
        <v>0</v>
      </c>
      <c r="Y12" s="193">
        <v>0</v>
      </c>
      <c r="Z12" s="70" t="str">
        <f>Threats!B6</f>
        <v>Threats to The Level of Service</v>
      </c>
      <c r="AA12" s="47"/>
      <c r="AB12" s="368" t="s">
        <v>255</v>
      </c>
      <c r="AC12" s="369"/>
      <c r="AD12" s="369"/>
      <c r="AE12" s="47"/>
      <c r="AF12" s="47"/>
      <c r="AG12" s="47"/>
      <c r="AH12" s="47"/>
      <c r="AI12" s="47"/>
      <c r="AJ12" s="47"/>
      <c r="AK12" s="47"/>
      <c r="AL12" s="47"/>
      <c r="AM12" s="47"/>
      <c r="AN12" s="47"/>
      <c r="AO12" s="47"/>
      <c r="AP12" s="47"/>
      <c r="AQ12" s="47"/>
      <c r="AR12" s="47"/>
      <c r="AS12" s="47"/>
      <c r="AT12" s="47"/>
      <c r="AU12" s="47"/>
      <c r="AV12" s="47"/>
      <c r="AW12" s="47"/>
      <c r="AX12" s="47"/>
      <c r="AY12" s="47"/>
      <c r="AZ12" s="47"/>
      <c r="BA12" s="47"/>
      <c r="BB12" s="47"/>
      <c r="BC12" s="47"/>
      <c r="BD12" s="47"/>
      <c r="BE12" s="47"/>
      <c r="BF12" s="47"/>
      <c r="BG12" s="47"/>
      <c r="BH12" s="47"/>
      <c r="BI12" s="47"/>
      <c r="BJ12" s="47"/>
      <c r="BK12" s="47"/>
      <c r="BL12" s="47"/>
      <c r="BM12" s="47"/>
      <c r="BN12" s="47"/>
      <c r="BO12" s="47"/>
      <c r="BP12" s="47"/>
      <c r="BQ12" s="47"/>
      <c r="BR12" s="47"/>
      <c r="BS12" s="47"/>
      <c r="BT12" s="47"/>
      <c r="BU12" s="47"/>
      <c r="BV12" s="47"/>
      <c r="BW12" s="47"/>
      <c r="BX12" s="47"/>
      <c r="BY12" s="47"/>
      <c r="BZ12" s="47"/>
      <c r="CA12" s="47"/>
      <c r="CB12" s="47"/>
      <c r="CC12" s="47"/>
      <c r="CD12" s="47"/>
      <c r="CE12" s="47"/>
      <c r="CF12" s="47"/>
      <c r="CG12" s="47"/>
      <c r="CH12" s="47"/>
      <c r="CI12" s="47"/>
      <c r="CJ12" s="47"/>
      <c r="CK12" s="47"/>
      <c r="CL12" s="47"/>
      <c r="CM12" s="47"/>
      <c r="CN12" s="47"/>
      <c r="CO12" s="47"/>
      <c r="CP12" s="47"/>
      <c r="CQ12" s="47"/>
      <c r="CR12" s="47"/>
      <c r="CS12" s="47"/>
      <c r="CT12" s="47"/>
      <c r="CU12" s="47"/>
      <c r="CV12" s="47"/>
      <c r="CW12" s="47"/>
      <c r="CX12" s="47"/>
      <c r="CY12" s="47"/>
      <c r="CZ12" s="47"/>
      <c r="DA12" s="47"/>
      <c r="DB12" s="47"/>
      <c r="DC12" s="47"/>
      <c r="DD12" s="47"/>
      <c r="DE12" s="47"/>
      <c r="DF12" s="47"/>
      <c r="DG12" s="47"/>
      <c r="DH12" s="47"/>
      <c r="DI12" s="47"/>
      <c r="DJ12" s="47"/>
      <c r="DK12" s="47"/>
      <c r="DL12" s="47"/>
      <c r="DM12" s="47"/>
      <c r="DN12" s="47"/>
      <c r="DO12" s="58"/>
      <c r="DP12" s="58"/>
      <c r="DQ12" s="58"/>
      <c r="DR12" s="58"/>
      <c r="DS12" s="58"/>
      <c r="DT12" s="58"/>
      <c r="DU12" s="59"/>
      <c r="DV12" s="59"/>
    </row>
    <row r="13" spans="1:127" ht="12.75" customHeight="1" thickBot="1" x14ac:dyDescent="0.3">
      <c r="A13" s="48"/>
      <c r="B13" s="47"/>
      <c r="C13" s="60" t="str">
        <f>Threats!A7</f>
        <v>T7-Fire</v>
      </c>
      <c r="D13" s="64">
        <f>IF(J$7 &lt;&gt; 0, $D$7/J$7,0)</f>
        <v>0.1111111111111111</v>
      </c>
      <c r="E13" s="67">
        <f>IF(J$8 &lt;&gt;0, $E$8/J$8, 0)</f>
        <v>0.5</v>
      </c>
      <c r="F13" s="67">
        <f>(IF(J$9&lt;&gt;0, $F$9/J$9, 0))</f>
        <v>0.2</v>
      </c>
      <c r="G13" s="67">
        <f>IF(J$10&lt;&gt;0, ($G$10/J$10),0)</f>
        <v>0.16666666666666666</v>
      </c>
      <c r="H13" s="67">
        <f>IF($J$11&lt;&gt;0,$H$11/$J$11,0)</f>
        <v>0.33333333333333331</v>
      </c>
      <c r="I13" s="65">
        <f>IF($J$12&lt;&gt;0,$I$12/$J$12,0)</f>
        <v>0.125</v>
      </c>
      <c r="J13" s="62">
        <v>1</v>
      </c>
      <c r="K13" s="194">
        <v>2</v>
      </c>
      <c r="L13" s="194">
        <v>1</v>
      </c>
      <c r="M13" s="194">
        <v>0</v>
      </c>
      <c r="N13" s="194">
        <v>0</v>
      </c>
      <c r="O13" s="194">
        <v>0</v>
      </c>
      <c r="P13" s="194">
        <v>0</v>
      </c>
      <c r="Q13" s="194">
        <v>0</v>
      </c>
      <c r="R13" s="194">
        <v>0</v>
      </c>
      <c r="S13" s="194">
        <v>0</v>
      </c>
      <c r="T13" s="194">
        <v>0</v>
      </c>
      <c r="U13" s="194">
        <v>0</v>
      </c>
      <c r="V13" s="194">
        <v>0</v>
      </c>
      <c r="W13" s="194">
        <v>0</v>
      </c>
      <c r="X13" s="194">
        <v>0</v>
      </c>
      <c r="Y13" s="194">
        <v>0</v>
      </c>
      <c r="Z13" s="71" t="str">
        <f>Threats!B7</f>
        <v>Threats to The Level of Service</v>
      </c>
      <c r="AA13" s="47"/>
      <c r="AB13" s="370" t="s">
        <v>255</v>
      </c>
      <c r="AC13" s="371"/>
      <c r="AD13" s="371"/>
      <c r="AE13" s="47"/>
      <c r="AF13" s="47"/>
      <c r="AG13" s="47"/>
      <c r="AH13" s="47"/>
      <c r="AI13" s="47"/>
      <c r="AJ13" s="47"/>
      <c r="AK13" s="47"/>
      <c r="AL13" s="47"/>
      <c r="AM13" s="47"/>
      <c r="AN13" s="47"/>
      <c r="AO13" s="47"/>
      <c r="AP13" s="47"/>
      <c r="AQ13" s="47"/>
      <c r="AR13" s="47"/>
      <c r="AS13" s="47"/>
      <c r="AT13" s="47"/>
      <c r="AU13" s="47"/>
      <c r="AV13" s="47"/>
      <c r="AW13" s="47"/>
      <c r="AX13" s="47"/>
      <c r="AY13" s="47"/>
      <c r="AZ13" s="47"/>
      <c r="BA13" s="47"/>
      <c r="BB13" s="47"/>
      <c r="BC13" s="47"/>
      <c r="BD13" s="47"/>
      <c r="BE13" s="47"/>
      <c r="BF13" s="47"/>
      <c r="BG13" s="47"/>
      <c r="BH13" s="47"/>
      <c r="BI13" s="47"/>
      <c r="BJ13" s="47"/>
      <c r="BK13" s="47"/>
      <c r="BL13" s="47"/>
      <c r="BM13" s="47"/>
      <c r="BN13" s="47"/>
      <c r="BO13" s="47"/>
      <c r="BP13" s="47"/>
      <c r="BQ13" s="47"/>
      <c r="BR13" s="47"/>
      <c r="BS13" s="47"/>
      <c r="BT13" s="47"/>
      <c r="BU13" s="47"/>
      <c r="BV13" s="47"/>
      <c r="BW13" s="47"/>
      <c r="BX13" s="47"/>
      <c r="BY13" s="47"/>
      <c r="BZ13" s="47"/>
      <c r="CA13" s="47"/>
      <c r="CB13" s="47"/>
      <c r="CC13" s="47"/>
      <c r="CD13" s="47"/>
      <c r="CE13" s="47"/>
      <c r="CF13" s="47"/>
      <c r="CG13" s="47"/>
      <c r="CH13" s="47"/>
      <c r="CI13" s="47"/>
      <c r="CJ13" s="47"/>
      <c r="CK13" s="47"/>
      <c r="CL13" s="47"/>
      <c r="CM13" s="47"/>
      <c r="CN13" s="47"/>
      <c r="CO13" s="47"/>
      <c r="CP13" s="47"/>
      <c r="CQ13" s="47"/>
      <c r="CR13" s="47"/>
      <c r="CS13" s="47"/>
      <c r="CT13" s="47"/>
      <c r="CU13" s="47"/>
      <c r="CV13" s="47"/>
      <c r="CW13" s="47"/>
      <c r="CX13" s="47"/>
      <c r="CY13" s="47"/>
      <c r="CZ13" s="47"/>
      <c r="DA13" s="47"/>
      <c r="DB13" s="47"/>
      <c r="DC13" s="47"/>
      <c r="DD13" s="47"/>
      <c r="DE13" s="47"/>
      <c r="DF13" s="47"/>
      <c r="DG13" s="47"/>
      <c r="DH13" s="47"/>
      <c r="DI13" s="47"/>
      <c r="DJ13" s="47"/>
      <c r="DK13" s="47"/>
      <c r="DL13" s="47"/>
      <c r="DM13" s="47"/>
      <c r="DN13" s="47"/>
      <c r="DO13" s="58"/>
      <c r="DP13" s="58"/>
      <c r="DQ13" s="58"/>
      <c r="DR13" s="58"/>
      <c r="DS13" s="58"/>
      <c r="DT13" s="58"/>
      <c r="DU13" s="59"/>
      <c r="DV13" s="59"/>
    </row>
    <row r="14" spans="1:127" ht="12.75" customHeight="1" thickBot="1" x14ac:dyDescent="0.3">
      <c r="A14" s="48"/>
      <c r="B14" s="47"/>
      <c r="C14" s="60" t="str">
        <f>Threats!A8</f>
        <v>T8-Other Enviromental Disasters</v>
      </c>
      <c r="D14" s="64">
        <f>IF(K$7 &lt;&gt;0,$D$7/K$7,0)</f>
        <v>0.1111111111111111</v>
      </c>
      <c r="E14" s="67">
        <f>IF(K$8 &lt;&gt;0, $E$8/K$8, 0)</f>
        <v>0.5</v>
      </c>
      <c r="F14" s="67">
        <f>IF(K$9&lt;&gt;0, $F$9/K$9, 0)</f>
        <v>0.16666666666666666</v>
      </c>
      <c r="G14" s="67">
        <f>IF(K$10&lt;&gt;0, ($G$10/K$10),0)</f>
        <v>0.16666666666666666</v>
      </c>
      <c r="H14" s="67">
        <f>IF($K$11&lt;&gt;0,$H$11/$K$11,0)</f>
        <v>0.33333333333333331</v>
      </c>
      <c r="I14" s="67">
        <f>IF($K$12&lt;&gt;0,$I$12/$K$12,0)</f>
        <v>0.125</v>
      </c>
      <c r="J14" s="65">
        <f>IF($K$13&lt;&gt;0,$J$13/$K$13,0)</f>
        <v>0.5</v>
      </c>
      <c r="K14" s="62">
        <v>1</v>
      </c>
      <c r="L14" s="195">
        <v>0.33333333333333331</v>
      </c>
      <c r="M14" s="195">
        <v>0</v>
      </c>
      <c r="N14" s="195">
        <v>0</v>
      </c>
      <c r="O14" s="195">
        <v>0</v>
      </c>
      <c r="P14" s="195">
        <v>0</v>
      </c>
      <c r="Q14" s="195">
        <v>0</v>
      </c>
      <c r="R14" s="195">
        <v>0</v>
      </c>
      <c r="S14" s="195">
        <v>0</v>
      </c>
      <c r="T14" s="195">
        <v>0</v>
      </c>
      <c r="U14" s="195">
        <v>0</v>
      </c>
      <c r="V14" s="195">
        <v>0</v>
      </c>
      <c r="W14" s="195">
        <v>0</v>
      </c>
      <c r="X14" s="195">
        <v>0</v>
      </c>
      <c r="Y14" s="195">
        <v>0</v>
      </c>
      <c r="Z14" s="72" t="str">
        <f>Threats!B8</f>
        <v>Threats to The Level of Service</v>
      </c>
      <c r="AA14" s="47"/>
      <c r="AB14" s="372" t="s">
        <v>255</v>
      </c>
      <c r="AC14" s="373"/>
      <c r="AD14" s="373"/>
      <c r="AE14" s="47"/>
      <c r="AF14" s="47"/>
      <c r="AG14" s="47"/>
      <c r="AH14" s="47"/>
      <c r="AI14" s="47"/>
      <c r="AJ14" s="47"/>
      <c r="AK14" s="47"/>
      <c r="AL14" s="47"/>
      <c r="AM14" s="47"/>
      <c r="AN14" s="47"/>
      <c r="AO14" s="47"/>
      <c r="AP14" s="47"/>
      <c r="AQ14" s="47"/>
      <c r="AR14" s="47"/>
      <c r="AS14" s="47"/>
      <c r="AT14" s="47"/>
      <c r="AU14" s="47"/>
      <c r="AV14" s="47"/>
      <c r="AW14" s="47"/>
      <c r="AX14" s="47"/>
      <c r="AY14" s="47"/>
      <c r="AZ14" s="47"/>
      <c r="BA14" s="47"/>
      <c r="BB14" s="47"/>
      <c r="BC14" s="47"/>
      <c r="BD14" s="47"/>
      <c r="BE14" s="47"/>
      <c r="BF14" s="47"/>
      <c r="BG14" s="47"/>
      <c r="BH14" s="47"/>
      <c r="BI14" s="47"/>
      <c r="BJ14" s="47"/>
      <c r="BK14" s="47"/>
      <c r="BL14" s="47"/>
      <c r="BM14" s="47"/>
      <c r="BN14" s="47"/>
      <c r="BO14" s="47"/>
      <c r="BP14" s="47"/>
      <c r="BQ14" s="47"/>
      <c r="BR14" s="47"/>
      <c r="BS14" s="47"/>
      <c r="BT14" s="47"/>
      <c r="BU14" s="47"/>
      <c r="BV14" s="47"/>
      <c r="BW14" s="47"/>
      <c r="BX14" s="47"/>
      <c r="BY14" s="47"/>
      <c r="BZ14" s="47"/>
      <c r="CA14" s="47"/>
      <c r="CB14" s="47"/>
      <c r="CC14" s="47"/>
      <c r="CD14" s="47"/>
      <c r="CE14" s="47"/>
      <c r="CF14" s="47"/>
      <c r="CG14" s="47"/>
      <c r="CH14" s="47"/>
      <c r="CI14" s="47"/>
      <c r="CJ14" s="47"/>
      <c r="CK14" s="47"/>
      <c r="CL14" s="47"/>
      <c r="CM14" s="47"/>
      <c r="CN14" s="47"/>
      <c r="CO14" s="47"/>
      <c r="CP14" s="47"/>
      <c r="CQ14" s="47"/>
      <c r="CR14" s="47"/>
      <c r="CS14" s="47"/>
      <c r="CT14" s="47"/>
      <c r="CU14" s="47"/>
      <c r="CV14" s="47"/>
      <c r="CW14" s="47"/>
      <c r="CX14" s="47"/>
      <c r="CY14" s="47"/>
      <c r="CZ14" s="47"/>
      <c r="DA14" s="47"/>
      <c r="DB14" s="47"/>
      <c r="DC14" s="47"/>
      <c r="DD14" s="47"/>
      <c r="DE14" s="47"/>
      <c r="DF14" s="47"/>
      <c r="DG14" s="47"/>
      <c r="DH14" s="47"/>
      <c r="DI14" s="47"/>
      <c r="DJ14" s="47"/>
      <c r="DK14" s="47"/>
      <c r="DL14" s="47"/>
      <c r="DM14" s="47"/>
      <c r="DN14" s="47"/>
      <c r="DO14" s="58"/>
      <c r="DP14" s="58"/>
      <c r="DQ14" s="58"/>
      <c r="DR14" s="58"/>
      <c r="DS14" s="58"/>
      <c r="DT14" s="58"/>
      <c r="DU14" s="59"/>
      <c r="DV14" s="59"/>
    </row>
    <row r="15" spans="1:127" ht="12.75" customHeight="1" thickBot="1" x14ac:dyDescent="0.3">
      <c r="A15" s="48"/>
      <c r="B15" s="47"/>
      <c r="C15" s="60" t="str">
        <f>Threats!A9</f>
        <v>T9-Availability Threats(DDOS)</v>
      </c>
      <c r="D15" s="64">
        <f>IF(L$7 &lt;&gt; 0, $D$7/L$7, 0)</f>
        <v>0.1111111111111111</v>
      </c>
      <c r="E15" s="67">
        <f>IF(L$8 &lt;&gt;0, $E$8/L$8,0)</f>
        <v>1</v>
      </c>
      <c r="F15" s="67">
        <f>IF(L$9&lt;&gt;0, $F$9/L$9, 0)</f>
        <v>0.16666666666666666</v>
      </c>
      <c r="G15" s="67">
        <f>IF(L$10&lt;&gt;0,($G$10/L$10),0)</f>
        <v>0.5</v>
      </c>
      <c r="H15" s="67">
        <f>IF($L$11&lt;&gt;0, $H$11/$L$11,0)</f>
        <v>1</v>
      </c>
      <c r="I15" s="67">
        <f>IF($L$12&lt;&gt;0, $I$12/$L$12,0)</f>
        <v>0.2</v>
      </c>
      <c r="J15" s="67">
        <f>IF($L$13&lt;&gt;0,$J$13/$L$13,0)</f>
        <v>1</v>
      </c>
      <c r="K15" s="65">
        <f>IF($L$14&lt;&gt;0,$K$14/$L$14,0)</f>
        <v>3</v>
      </c>
      <c r="L15" s="62">
        <v>1</v>
      </c>
      <c r="M15" s="196">
        <v>0</v>
      </c>
      <c r="N15" s="196">
        <v>0</v>
      </c>
      <c r="O15" s="196">
        <v>0</v>
      </c>
      <c r="P15" s="196">
        <v>0</v>
      </c>
      <c r="Q15" s="196">
        <v>0</v>
      </c>
      <c r="R15" s="196">
        <v>0</v>
      </c>
      <c r="S15" s="196">
        <v>0</v>
      </c>
      <c r="T15" s="196">
        <v>0</v>
      </c>
      <c r="U15" s="196">
        <v>0</v>
      </c>
      <c r="V15" s="196">
        <v>0</v>
      </c>
      <c r="W15" s="196">
        <v>0</v>
      </c>
      <c r="X15" s="196">
        <v>0</v>
      </c>
      <c r="Y15" s="196">
        <v>0</v>
      </c>
      <c r="Z15" s="73" t="str">
        <f>Threats!B9</f>
        <v>Threats to The Level of Service</v>
      </c>
      <c r="AA15" s="47"/>
      <c r="AB15" s="374" t="s">
        <v>255</v>
      </c>
      <c r="AC15" s="375"/>
      <c r="AD15" s="375"/>
      <c r="AE15" s="47"/>
      <c r="AF15" s="47"/>
      <c r="AG15" s="47"/>
      <c r="AH15" s="47"/>
      <c r="AI15" s="47"/>
      <c r="AJ15" s="47"/>
      <c r="AK15" s="47"/>
      <c r="AL15" s="47"/>
      <c r="AM15" s="47"/>
      <c r="AN15" s="47"/>
      <c r="AO15" s="47"/>
      <c r="AP15" s="47"/>
      <c r="AQ15" s="47"/>
      <c r="AR15" s="47"/>
      <c r="AS15" s="47"/>
      <c r="AT15" s="47"/>
      <c r="AU15" s="47"/>
      <c r="AV15" s="47"/>
      <c r="AW15" s="47"/>
      <c r="AX15" s="47"/>
      <c r="AY15" s="47"/>
      <c r="AZ15" s="47"/>
      <c r="BA15" s="47"/>
      <c r="BB15" s="47"/>
      <c r="BC15" s="47"/>
      <c r="BD15" s="47"/>
      <c r="BE15" s="47"/>
      <c r="BF15" s="47"/>
      <c r="BG15" s="47"/>
      <c r="BH15" s="47"/>
      <c r="BI15" s="47"/>
      <c r="BJ15" s="47"/>
      <c r="BK15" s="47"/>
      <c r="BL15" s="47"/>
      <c r="BM15" s="47"/>
      <c r="BN15" s="47"/>
      <c r="BO15" s="47"/>
      <c r="BP15" s="47"/>
      <c r="BQ15" s="47"/>
      <c r="BR15" s="47"/>
      <c r="BS15" s="47"/>
      <c r="BT15" s="47"/>
      <c r="BU15" s="47"/>
      <c r="BV15" s="47"/>
      <c r="BW15" s="47"/>
      <c r="BX15" s="47"/>
      <c r="BY15" s="47"/>
      <c r="BZ15" s="47"/>
      <c r="CA15" s="47"/>
      <c r="CB15" s="47"/>
      <c r="CC15" s="47"/>
      <c r="CD15" s="47"/>
      <c r="CE15" s="47"/>
      <c r="CF15" s="47"/>
      <c r="CG15" s="47"/>
      <c r="CH15" s="47"/>
      <c r="CI15" s="47"/>
      <c r="CJ15" s="47"/>
      <c r="CK15" s="47"/>
      <c r="CL15" s="47"/>
      <c r="CM15" s="47"/>
      <c r="CN15" s="47"/>
      <c r="CO15" s="47"/>
      <c r="CP15" s="47"/>
      <c r="CQ15" s="47"/>
      <c r="CR15" s="47"/>
      <c r="CS15" s="47"/>
      <c r="CT15" s="47"/>
      <c r="CU15" s="47"/>
      <c r="CV15" s="47"/>
      <c r="CW15" s="47"/>
      <c r="CX15" s="47"/>
      <c r="CY15" s="47"/>
      <c r="CZ15" s="47"/>
      <c r="DA15" s="47"/>
      <c r="DB15" s="47"/>
      <c r="DC15" s="47"/>
      <c r="DD15" s="47"/>
      <c r="DE15" s="47"/>
      <c r="DF15" s="47"/>
      <c r="DG15" s="47"/>
      <c r="DH15" s="47"/>
      <c r="DI15" s="47"/>
      <c r="DJ15" s="47"/>
      <c r="DK15" s="47"/>
      <c r="DL15" s="47"/>
      <c r="DM15" s="47"/>
      <c r="DN15" s="47"/>
      <c r="DO15" s="58"/>
      <c r="DP15" s="58"/>
      <c r="DQ15" s="58"/>
      <c r="DR15" s="58"/>
      <c r="DS15" s="58"/>
      <c r="DT15" s="58"/>
      <c r="DU15" s="59"/>
      <c r="DV15" s="59"/>
    </row>
    <row r="16" spans="1:127" ht="12.75" customHeight="1" thickBot="1" x14ac:dyDescent="0.3">
      <c r="A16" s="48"/>
      <c r="B16" s="47"/>
      <c r="C16" s="60" t="str">
        <f>Threats!A10</f>
        <v>T10-Disk Failure</v>
      </c>
      <c r="D16" s="64">
        <f>IF(M$7 &lt;&gt;0, $D$7/M$7,0)</f>
        <v>0</v>
      </c>
      <c r="E16" s="67">
        <f>IF(M$8 &lt;&gt; 0, $E$8/M$8, 0)</f>
        <v>0</v>
      </c>
      <c r="F16" s="67">
        <f>IF(M$9&lt;&gt;0, ($F$9/M$9),0)</f>
        <v>0</v>
      </c>
      <c r="G16" s="67">
        <f>IF(M$10&lt;&gt;0, ($G$10/M$10),0)</f>
        <v>0</v>
      </c>
      <c r="H16" s="67">
        <f>IF($M$11&lt;&gt;0,$H$11/$M$11,0)</f>
        <v>0</v>
      </c>
      <c r="I16" s="67">
        <f>IF($M$12&lt;&gt;0,$I$12/$M$12,0)</f>
        <v>0</v>
      </c>
      <c r="J16" s="67">
        <f>IF(M$13&lt;&gt;0, $J$13/M$13,0)</f>
        <v>0</v>
      </c>
      <c r="K16" s="67">
        <f>IF($M$14&lt;&gt;0,$K$14/$M$14,0)</f>
        <v>0</v>
      </c>
      <c r="L16" s="65">
        <f>IF($M$15&lt;&gt;0,$L$15/$M$15,0)</f>
        <v>0</v>
      </c>
      <c r="M16" s="62">
        <v>1</v>
      </c>
      <c r="N16" s="197">
        <v>0.5</v>
      </c>
      <c r="O16" s="197">
        <v>1</v>
      </c>
      <c r="P16" s="197">
        <v>0.25</v>
      </c>
      <c r="Q16" s="197">
        <v>0.16666666666666666</v>
      </c>
      <c r="R16" s="197">
        <v>0</v>
      </c>
      <c r="S16" s="197">
        <v>0</v>
      </c>
      <c r="T16" s="197">
        <v>0</v>
      </c>
      <c r="U16" s="197">
        <v>0</v>
      </c>
      <c r="V16" s="197">
        <v>0</v>
      </c>
      <c r="W16" s="197">
        <v>0</v>
      </c>
      <c r="X16" s="197">
        <v>0</v>
      </c>
      <c r="Y16" s="197">
        <v>0</v>
      </c>
      <c r="Z16" s="74" t="str">
        <f>Threats!B10</f>
        <v>Threats to the Information Base</v>
      </c>
      <c r="AA16" s="47"/>
      <c r="AB16" s="376" t="s">
        <v>255</v>
      </c>
      <c r="AC16" s="377"/>
      <c r="AD16" s="377"/>
      <c r="AE16" s="47"/>
      <c r="AF16" s="47"/>
      <c r="AG16" s="47"/>
      <c r="AH16" s="47"/>
      <c r="AI16" s="47"/>
      <c r="AJ16" s="47"/>
      <c r="AK16" s="47"/>
      <c r="AL16" s="47"/>
      <c r="AM16" s="47"/>
      <c r="AN16" s="47"/>
      <c r="AO16" s="47"/>
      <c r="AP16" s="47"/>
      <c r="AQ16" s="47"/>
      <c r="AR16" s="47"/>
      <c r="AS16" s="47"/>
      <c r="AT16" s="47"/>
      <c r="AU16" s="47"/>
      <c r="AV16" s="47"/>
      <c r="AW16" s="47"/>
      <c r="AX16" s="47"/>
      <c r="AY16" s="47"/>
      <c r="AZ16" s="47"/>
      <c r="BA16" s="47"/>
      <c r="BB16" s="47"/>
      <c r="BC16" s="47"/>
      <c r="BD16" s="47"/>
      <c r="BE16" s="47"/>
      <c r="BF16" s="47"/>
      <c r="BG16" s="47"/>
      <c r="BH16" s="47"/>
      <c r="BI16" s="47"/>
      <c r="BJ16" s="47"/>
      <c r="BK16" s="47"/>
      <c r="BL16" s="47"/>
      <c r="BM16" s="47"/>
      <c r="BN16" s="47"/>
      <c r="BO16" s="47"/>
      <c r="BP16" s="47"/>
      <c r="BQ16" s="47"/>
      <c r="BR16" s="47"/>
      <c r="BS16" s="47"/>
      <c r="BT16" s="47"/>
      <c r="BU16" s="47"/>
      <c r="BV16" s="47"/>
      <c r="BW16" s="47"/>
      <c r="BX16" s="47"/>
      <c r="BY16" s="47"/>
      <c r="BZ16" s="47"/>
      <c r="CA16" s="47"/>
      <c r="CB16" s="47"/>
      <c r="CC16" s="47"/>
      <c r="CD16" s="47"/>
      <c r="CE16" s="47"/>
      <c r="CF16" s="47"/>
      <c r="CG16" s="47"/>
      <c r="CH16" s="47"/>
      <c r="CI16" s="47"/>
      <c r="CJ16" s="47"/>
      <c r="CK16" s="47"/>
      <c r="CL16" s="47"/>
      <c r="CM16" s="47"/>
      <c r="CN16" s="47"/>
      <c r="CO16" s="47"/>
      <c r="CP16" s="47"/>
      <c r="CQ16" s="47"/>
      <c r="CR16" s="47"/>
      <c r="CS16" s="47"/>
      <c r="CT16" s="47"/>
      <c r="CU16" s="47"/>
      <c r="CV16" s="47"/>
      <c r="CW16" s="47"/>
      <c r="CX16" s="47"/>
      <c r="CY16" s="47"/>
      <c r="CZ16" s="47"/>
      <c r="DA16" s="47"/>
      <c r="DB16" s="47"/>
      <c r="DC16" s="47"/>
      <c r="DD16" s="47"/>
      <c r="DE16" s="47"/>
      <c r="DF16" s="47"/>
      <c r="DG16" s="47"/>
      <c r="DH16" s="47"/>
      <c r="DI16" s="47"/>
      <c r="DJ16" s="47"/>
      <c r="DK16" s="47"/>
      <c r="DL16" s="47"/>
      <c r="DM16" s="47"/>
      <c r="DN16" s="47"/>
      <c r="DO16" s="58"/>
      <c r="DP16" s="58"/>
      <c r="DQ16" s="58"/>
      <c r="DR16" s="58"/>
      <c r="DS16" s="58"/>
      <c r="DT16" s="58"/>
      <c r="DU16" s="59"/>
      <c r="DV16" s="59"/>
    </row>
    <row r="17" spans="1:126" ht="12.75" customHeight="1" thickBot="1" x14ac:dyDescent="0.3">
      <c r="A17" s="48"/>
      <c r="B17" s="47"/>
      <c r="C17" s="60" t="str">
        <f>Threats!A11</f>
        <v>T11-Data Corruption</v>
      </c>
      <c r="D17" s="64">
        <f>IF(N$7 &lt;&gt;0, $D$7/N$7, 0)</f>
        <v>0</v>
      </c>
      <c r="E17" s="67">
        <f>IF(N$8&lt;&gt;0, E$8/N$8,0)</f>
        <v>0</v>
      </c>
      <c r="F17" s="67">
        <f>IF(N$9&lt;&gt;0,($F$9/N$9),0)</f>
        <v>0</v>
      </c>
      <c r="G17" s="67">
        <f>IF(N$10&lt;&gt;0, ($G$10/N$10),0)</f>
        <v>0</v>
      </c>
      <c r="H17" s="67">
        <f>IF($N$11&lt;&gt;0,$H$11/$N$11,0)</f>
        <v>0</v>
      </c>
      <c r="I17" s="67">
        <f>IF($N$12&lt;&gt;0,$I$12/$N$12,0)</f>
        <v>0</v>
      </c>
      <c r="J17" s="67">
        <f>IF($N$13&lt;&gt;0,$J$13/$N$13,0)</f>
        <v>0</v>
      </c>
      <c r="K17" s="67">
        <f>IF($N$14&lt;&gt;0,$K$14/$N$14,0)</f>
        <v>0</v>
      </c>
      <c r="L17" s="67">
        <f>IF($N$15&lt;&gt;0,$L$15/$N$15,0)</f>
        <v>0</v>
      </c>
      <c r="M17" s="65">
        <f>IF($N$16&lt;&gt;0,$M$16/$N$16,0)</f>
        <v>2</v>
      </c>
      <c r="N17" s="62">
        <v>1</v>
      </c>
      <c r="O17" s="198">
        <v>1</v>
      </c>
      <c r="P17" s="198">
        <v>0.2</v>
      </c>
      <c r="Q17" s="198">
        <v>0.14285714285714285</v>
      </c>
      <c r="R17" s="198">
        <v>0</v>
      </c>
      <c r="S17" s="198">
        <v>0</v>
      </c>
      <c r="T17" s="198">
        <v>0</v>
      </c>
      <c r="U17" s="198">
        <v>0</v>
      </c>
      <c r="V17" s="198">
        <v>0</v>
      </c>
      <c r="W17" s="198">
        <v>0</v>
      </c>
      <c r="X17" s="198">
        <v>0</v>
      </c>
      <c r="Y17" s="198">
        <v>0</v>
      </c>
      <c r="Z17" s="75" t="str">
        <f>Threats!B11</f>
        <v>Threats to the Information Base</v>
      </c>
      <c r="AA17" s="47"/>
      <c r="AB17" s="378" t="s">
        <v>255</v>
      </c>
      <c r="AC17" s="379"/>
      <c r="AD17" s="379"/>
      <c r="AE17" s="47"/>
      <c r="AF17" s="47"/>
      <c r="AG17" s="47"/>
      <c r="AH17" s="47"/>
      <c r="AI17" s="47"/>
      <c r="AJ17" s="47"/>
      <c r="AK17" s="47"/>
      <c r="AL17" s="47"/>
      <c r="AM17" s="47"/>
      <c r="AN17" s="47"/>
      <c r="AO17" s="47"/>
      <c r="AP17" s="47"/>
      <c r="AQ17" s="47"/>
      <c r="AR17" s="47"/>
      <c r="AS17" s="47"/>
      <c r="AT17" s="47"/>
      <c r="AU17" s="47"/>
      <c r="AV17" s="47"/>
      <c r="AW17" s="47"/>
      <c r="AX17" s="47"/>
      <c r="AY17" s="47"/>
      <c r="AZ17" s="47"/>
      <c r="BA17" s="47"/>
      <c r="BB17" s="47"/>
      <c r="BC17" s="47"/>
      <c r="BD17" s="47"/>
      <c r="BE17" s="47"/>
      <c r="BF17" s="47"/>
      <c r="BG17" s="47"/>
      <c r="BH17" s="47"/>
      <c r="BI17" s="47"/>
      <c r="BJ17" s="47"/>
      <c r="BK17" s="47"/>
      <c r="BL17" s="47"/>
      <c r="BM17" s="47"/>
      <c r="BN17" s="47"/>
      <c r="BO17" s="47"/>
      <c r="BP17" s="47"/>
      <c r="BQ17" s="47"/>
      <c r="BR17" s="47"/>
      <c r="BS17" s="47"/>
      <c r="BT17" s="47"/>
      <c r="BU17" s="47"/>
      <c r="BV17" s="47"/>
      <c r="BW17" s="47"/>
      <c r="BX17" s="47"/>
      <c r="BY17" s="47"/>
      <c r="BZ17" s="47"/>
      <c r="CA17" s="47"/>
      <c r="CB17" s="47"/>
      <c r="CC17" s="47"/>
      <c r="CD17" s="47"/>
      <c r="CE17" s="47"/>
      <c r="CF17" s="47"/>
      <c r="CG17" s="47"/>
      <c r="CH17" s="47"/>
      <c r="CI17" s="47"/>
      <c r="CJ17" s="47"/>
      <c r="CK17" s="47"/>
      <c r="CL17" s="47"/>
      <c r="CM17" s="47"/>
      <c r="CN17" s="47"/>
      <c r="CO17" s="47"/>
      <c r="CP17" s="47"/>
      <c r="CQ17" s="47"/>
      <c r="CR17" s="47"/>
      <c r="CS17" s="47"/>
      <c r="CT17" s="47"/>
      <c r="CU17" s="47"/>
      <c r="CV17" s="47"/>
      <c r="CW17" s="47"/>
      <c r="CX17" s="47"/>
      <c r="CY17" s="47"/>
      <c r="CZ17" s="47"/>
      <c r="DA17" s="47"/>
      <c r="DB17" s="47"/>
      <c r="DC17" s="47"/>
      <c r="DD17" s="47"/>
      <c r="DE17" s="47"/>
      <c r="DF17" s="47"/>
      <c r="DG17" s="47"/>
      <c r="DH17" s="47"/>
      <c r="DI17" s="47"/>
      <c r="DJ17" s="47"/>
      <c r="DK17" s="47"/>
      <c r="DL17" s="47"/>
      <c r="DM17" s="47"/>
      <c r="DN17" s="47"/>
      <c r="DO17" s="58"/>
      <c r="DP17" s="58"/>
      <c r="DQ17" s="58"/>
      <c r="DR17" s="58"/>
      <c r="DS17" s="58"/>
      <c r="DT17" s="58"/>
      <c r="DU17" s="59"/>
      <c r="DV17" s="59"/>
    </row>
    <row r="18" spans="1:126" ht="12.75" customHeight="1" thickBot="1" x14ac:dyDescent="0.3">
      <c r="A18" s="48"/>
      <c r="B18" s="47"/>
      <c r="C18" s="60" t="str">
        <f>Threats!A12</f>
        <v>T12-Inaccurrate Data</v>
      </c>
      <c r="D18" s="64">
        <f>IF(O$7 &lt;&gt; 0, $D$7/O$7, 0)</f>
        <v>0</v>
      </c>
      <c r="E18" s="67">
        <f>IF(O$8&lt;&gt;0, $E$8/O$8,0)</f>
        <v>0</v>
      </c>
      <c r="F18" s="67">
        <f>IF(O$9&lt;&gt;0, ($F$9/O$9),0)</f>
        <v>0</v>
      </c>
      <c r="G18" s="67">
        <f>IF(O$10&lt;&gt;0,($G$10/O$10),0)</f>
        <v>0</v>
      </c>
      <c r="H18" s="67">
        <f>IF($O$11&lt;&gt;0,$H$11/$O$11,0)</f>
        <v>0</v>
      </c>
      <c r="I18" s="67">
        <f>IF($O$12&lt;&gt;0,$I$12/$O$12,0)</f>
        <v>0</v>
      </c>
      <c r="J18" s="67">
        <f>IF($O$13&lt;&gt;0,$J$13/$O$13,0)</f>
        <v>0</v>
      </c>
      <c r="K18" s="67">
        <f>IF($O$14&lt;&gt;0,$K$14/$O$14,0)</f>
        <v>0</v>
      </c>
      <c r="L18" s="67">
        <f>IF($O$15&lt;&gt;0,$L$15/$O$15,0)</f>
        <v>0</v>
      </c>
      <c r="M18" s="67">
        <f>IF($O$16&lt;&gt;0,$M$16/$O$16,0)</f>
        <v>1</v>
      </c>
      <c r="N18" s="65">
        <f>IF($O$17&lt;&gt;0,$N$17/$O$17,0)</f>
        <v>1</v>
      </c>
      <c r="O18" s="62">
        <v>1</v>
      </c>
      <c r="P18" s="199">
        <v>0.2</v>
      </c>
      <c r="Q18" s="199">
        <v>0.125</v>
      </c>
      <c r="R18" s="199">
        <v>0</v>
      </c>
      <c r="S18" s="199">
        <v>0</v>
      </c>
      <c r="T18" s="199">
        <v>0</v>
      </c>
      <c r="U18" s="199">
        <v>0</v>
      </c>
      <c r="V18" s="199">
        <v>0</v>
      </c>
      <c r="W18" s="199">
        <v>0</v>
      </c>
      <c r="X18" s="199">
        <v>0</v>
      </c>
      <c r="Y18" s="199">
        <v>0</v>
      </c>
      <c r="Z18" s="76" t="str">
        <f>Threats!B12</f>
        <v>Threats to the Information Base</v>
      </c>
      <c r="AA18" s="47"/>
      <c r="AB18" s="380" t="s">
        <v>255</v>
      </c>
      <c r="AC18" s="381"/>
      <c r="AD18" s="381"/>
      <c r="AE18" s="47"/>
      <c r="AF18" s="47"/>
      <c r="AG18" s="47"/>
      <c r="AH18" s="47"/>
      <c r="AI18" s="47"/>
      <c r="AJ18" s="47"/>
      <c r="AK18" s="47"/>
      <c r="AL18" s="47"/>
      <c r="AM18" s="47"/>
      <c r="AN18" s="47"/>
      <c r="AO18" s="47"/>
      <c r="AP18" s="47"/>
      <c r="AQ18" s="47"/>
      <c r="AR18" s="47"/>
      <c r="AS18" s="47"/>
      <c r="AT18" s="47"/>
      <c r="AU18" s="47"/>
      <c r="AV18" s="47"/>
      <c r="AW18" s="47"/>
      <c r="AX18" s="47"/>
      <c r="AY18" s="47"/>
      <c r="AZ18" s="47"/>
      <c r="BA18" s="47"/>
      <c r="BB18" s="47"/>
      <c r="BC18" s="47"/>
      <c r="BD18" s="47"/>
      <c r="BE18" s="47"/>
      <c r="BF18" s="47"/>
      <c r="BG18" s="47"/>
      <c r="BH18" s="47"/>
      <c r="BI18" s="47"/>
      <c r="BJ18" s="47"/>
      <c r="BK18" s="47"/>
      <c r="BL18" s="47"/>
      <c r="BM18" s="47"/>
      <c r="BN18" s="47"/>
      <c r="BO18" s="47"/>
      <c r="BP18" s="47"/>
      <c r="BQ18" s="47"/>
      <c r="BR18" s="47"/>
      <c r="BS18" s="47"/>
      <c r="BT18" s="47"/>
      <c r="BU18" s="47"/>
      <c r="BV18" s="47"/>
      <c r="BW18" s="47"/>
      <c r="BX18" s="47"/>
      <c r="BY18" s="47"/>
      <c r="BZ18" s="47"/>
      <c r="CA18" s="47"/>
      <c r="CB18" s="47"/>
      <c r="CC18" s="47"/>
      <c r="CD18" s="47"/>
      <c r="CE18" s="47"/>
      <c r="CF18" s="47"/>
      <c r="CG18" s="47"/>
      <c r="CH18" s="47"/>
      <c r="CI18" s="47"/>
      <c r="CJ18" s="47"/>
      <c r="CK18" s="47"/>
      <c r="CL18" s="47"/>
      <c r="CM18" s="47"/>
      <c r="CN18" s="47"/>
      <c r="CO18" s="47"/>
      <c r="CP18" s="47"/>
      <c r="CQ18" s="47"/>
      <c r="CR18" s="47"/>
      <c r="CS18" s="47"/>
      <c r="CT18" s="47"/>
      <c r="CU18" s="47"/>
      <c r="CV18" s="47"/>
      <c r="CW18" s="47"/>
      <c r="CX18" s="47"/>
      <c r="CY18" s="47"/>
      <c r="CZ18" s="47"/>
      <c r="DA18" s="47"/>
      <c r="DB18" s="47"/>
      <c r="DC18" s="47"/>
      <c r="DD18" s="47"/>
      <c r="DE18" s="47"/>
      <c r="DF18" s="47"/>
      <c r="DG18" s="47"/>
      <c r="DH18" s="47"/>
      <c r="DI18" s="47"/>
      <c r="DJ18" s="47"/>
      <c r="DK18" s="47"/>
      <c r="DL18" s="47"/>
      <c r="DM18" s="47"/>
      <c r="DN18" s="47"/>
      <c r="DO18" s="58"/>
      <c r="DP18" s="58"/>
      <c r="DQ18" s="58"/>
      <c r="DR18" s="58"/>
      <c r="DS18" s="58"/>
      <c r="DT18" s="58"/>
      <c r="DU18" s="59"/>
      <c r="DV18" s="59"/>
    </row>
    <row r="19" spans="1:126" ht="12.75" customHeight="1" thickBot="1" x14ac:dyDescent="0.3">
      <c r="A19" s="48"/>
      <c r="B19" s="47"/>
      <c r="C19" s="60" t="str">
        <f>Threats!A13</f>
        <v>T13-Un-authorized Access</v>
      </c>
      <c r="D19" s="64">
        <f>IF(P$7 &lt;&gt;0, $D$7/P$7, 0)</f>
        <v>0</v>
      </c>
      <c r="E19" s="67">
        <f>IF(P$8&lt;&gt;0, $E$8/P$8,0)</f>
        <v>0</v>
      </c>
      <c r="F19" s="67">
        <f>IF(P$9&lt;&gt;0, ($F$9/P$9),0)</f>
        <v>0</v>
      </c>
      <c r="G19" s="67">
        <f>IF(P$10&lt;&gt;0, ($G$10/P$10),0)</f>
        <v>0</v>
      </c>
      <c r="H19" s="67">
        <f>IF($P$11&lt;&gt;0, $H$11/$P$11,0)</f>
        <v>0</v>
      </c>
      <c r="I19" s="67">
        <f>IF($P$12&lt;&gt;0,$I$12/$P$12,0)</f>
        <v>0</v>
      </c>
      <c r="J19" s="67">
        <f>IF($P$13&lt;&gt;0,$J$13/$P$13,0)</f>
        <v>0</v>
      </c>
      <c r="K19" s="67">
        <f>IF($P$14&lt;&gt;0,$K$14/$P$14,0)</f>
        <v>0</v>
      </c>
      <c r="L19" s="67">
        <f>IF($P$15&lt;&gt;0,$L$15/$P$15,0)</f>
        <v>0</v>
      </c>
      <c r="M19" s="67">
        <f>IF($P$16&lt;&gt;0,$M$16/$P$16,0)</f>
        <v>4</v>
      </c>
      <c r="N19" s="67">
        <f>IF($P$17&lt;&gt;0,$N$17/$P$17,0)</f>
        <v>5</v>
      </c>
      <c r="O19" s="65">
        <f>IF($P$18&lt;&gt;0,$O$18/$P$18,0)</f>
        <v>5</v>
      </c>
      <c r="P19" s="62">
        <v>1</v>
      </c>
      <c r="Q19" s="200">
        <v>0.1111111111111111</v>
      </c>
      <c r="R19" s="200">
        <v>0</v>
      </c>
      <c r="S19" s="200">
        <v>0</v>
      </c>
      <c r="T19" s="200">
        <v>0</v>
      </c>
      <c r="U19" s="200">
        <v>0</v>
      </c>
      <c r="V19" s="200">
        <v>0</v>
      </c>
      <c r="W19" s="200">
        <v>0</v>
      </c>
      <c r="X19" s="200">
        <v>0</v>
      </c>
      <c r="Y19" s="200">
        <v>0</v>
      </c>
      <c r="Z19" s="77" t="str">
        <f>Threats!B13</f>
        <v>Threats to the Information Base</v>
      </c>
      <c r="AA19" s="47"/>
      <c r="AB19" s="382" t="s">
        <v>255</v>
      </c>
      <c r="AC19" s="383"/>
      <c r="AD19" s="383"/>
      <c r="AE19" s="47"/>
      <c r="AF19" s="47"/>
      <c r="AG19" s="47"/>
      <c r="AH19" s="47"/>
      <c r="AI19" s="47"/>
      <c r="AJ19" s="47"/>
      <c r="AK19" s="47"/>
      <c r="AL19" s="47"/>
      <c r="AM19" s="47"/>
      <c r="AN19" s="47"/>
      <c r="AO19" s="47"/>
      <c r="AP19" s="47"/>
      <c r="AQ19" s="47"/>
      <c r="AR19" s="47"/>
      <c r="AS19" s="47"/>
      <c r="AT19" s="47"/>
      <c r="AU19" s="47"/>
      <c r="AV19" s="47"/>
      <c r="AW19" s="47"/>
      <c r="AX19" s="47"/>
      <c r="AY19" s="47"/>
      <c r="AZ19" s="47"/>
      <c r="BA19" s="47"/>
      <c r="BB19" s="47"/>
      <c r="BC19" s="47"/>
      <c r="BD19" s="47"/>
      <c r="BE19" s="47"/>
      <c r="BF19" s="47"/>
      <c r="BG19" s="47"/>
      <c r="BH19" s="47"/>
      <c r="BI19" s="47"/>
      <c r="BJ19" s="47"/>
      <c r="BK19" s="47"/>
      <c r="BL19" s="47"/>
      <c r="BM19" s="47"/>
      <c r="BN19" s="47"/>
      <c r="BO19" s="47"/>
      <c r="BP19" s="47"/>
      <c r="BQ19" s="47"/>
      <c r="BR19" s="47"/>
      <c r="BS19" s="47"/>
      <c r="BT19" s="47"/>
      <c r="BU19" s="47"/>
      <c r="BV19" s="47"/>
      <c r="BW19" s="47"/>
      <c r="BX19" s="47"/>
      <c r="BY19" s="47"/>
      <c r="BZ19" s="47"/>
      <c r="CA19" s="47"/>
      <c r="CB19" s="47"/>
      <c r="CC19" s="47"/>
      <c r="CD19" s="47"/>
      <c r="CE19" s="47"/>
      <c r="CF19" s="47"/>
      <c r="CG19" s="47"/>
      <c r="CH19" s="47"/>
      <c r="CI19" s="47"/>
      <c r="CJ19" s="47"/>
      <c r="CK19" s="47"/>
      <c r="CL19" s="47"/>
      <c r="CM19" s="47"/>
      <c r="CN19" s="47"/>
      <c r="CO19" s="47"/>
      <c r="CP19" s="47"/>
      <c r="CQ19" s="47"/>
      <c r="CR19" s="47"/>
      <c r="CS19" s="47"/>
      <c r="CT19" s="47"/>
      <c r="CU19" s="47"/>
      <c r="CV19" s="47"/>
      <c r="CW19" s="47"/>
      <c r="CX19" s="47"/>
      <c r="CY19" s="47"/>
      <c r="CZ19" s="47"/>
      <c r="DA19" s="47"/>
      <c r="DB19" s="47"/>
      <c r="DC19" s="47"/>
      <c r="DD19" s="47"/>
      <c r="DE19" s="47"/>
      <c r="DF19" s="47"/>
      <c r="DG19" s="47"/>
      <c r="DH19" s="47"/>
      <c r="DI19" s="47"/>
      <c r="DJ19" s="47"/>
      <c r="DK19" s="47"/>
      <c r="DL19" s="47"/>
      <c r="DM19" s="47"/>
      <c r="DN19" s="47"/>
      <c r="DO19" s="58"/>
      <c r="DP19" s="58"/>
      <c r="DQ19" s="58"/>
      <c r="DR19" s="58"/>
      <c r="DS19" s="58"/>
      <c r="DT19" s="58"/>
      <c r="DU19" s="59"/>
      <c r="DV19" s="59"/>
    </row>
    <row r="20" spans="1:126" ht="12.75" customHeight="1" thickBot="1" x14ac:dyDescent="0.3">
      <c r="A20" s="48"/>
      <c r="B20" s="47"/>
      <c r="C20" s="60" t="str">
        <f>Threats!A14</f>
        <v>T14-Virus and Spyware</v>
      </c>
      <c r="D20" s="64">
        <f>IF(O$7 &lt;&gt; 0, $D$7/Q$7, 0)</f>
        <v>0</v>
      </c>
      <c r="E20" s="67">
        <f>IF(Q$8&lt;&gt;0, $E$8/Q$8, 0)</f>
        <v>0</v>
      </c>
      <c r="F20" s="67">
        <f>IF(Q$9&lt;&gt;0,($F$9/Q$9),0)</f>
        <v>0</v>
      </c>
      <c r="G20" s="67">
        <f>IF(Q$10&lt;&gt;0, ($G$10/Q$10),0)</f>
        <v>0</v>
      </c>
      <c r="H20" s="67">
        <f>IF($Q$11&lt;&gt;0,$H$11/$Q$11,0)</f>
        <v>0</v>
      </c>
      <c r="I20" s="67">
        <f>IF($Q$12&lt;&gt;0,$I$12/$Q$12,0)</f>
        <v>0</v>
      </c>
      <c r="J20" s="67">
        <f>IF($Q$13&lt;&gt;0,$J$13/$Q$13,0)</f>
        <v>0</v>
      </c>
      <c r="K20" s="67">
        <f>IF($Q$14&lt;&gt;0,$K$14/$Q$14,0)</f>
        <v>0</v>
      </c>
      <c r="L20" s="67">
        <f>IF($Q$15&lt;&gt;0,$L$15/$Q$15,0)</f>
        <v>0</v>
      </c>
      <c r="M20" s="67">
        <f>IF($Q$16&lt;&gt;0,$M$16/$Q$16,0)</f>
        <v>6</v>
      </c>
      <c r="N20" s="67">
        <f>IF($Q$17&lt;&gt;0,$N$17/$Q$17,0)</f>
        <v>7</v>
      </c>
      <c r="O20" s="67">
        <f>IF($Q$18&lt;&gt;0,$O$18/$Q$18,0)</f>
        <v>8</v>
      </c>
      <c r="P20" s="65">
        <f>IF($Q$19&lt;&gt;0,$P$19/$Q$19,0)</f>
        <v>9</v>
      </c>
      <c r="Q20" s="62">
        <v>1</v>
      </c>
      <c r="R20" s="201">
        <v>0</v>
      </c>
      <c r="S20" s="201">
        <v>0</v>
      </c>
      <c r="T20" s="201">
        <v>0</v>
      </c>
      <c r="U20" s="201">
        <v>0</v>
      </c>
      <c r="V20" s="201">
        <v>0</v>
      </c>
      <c r="W20" s="201">
        <v>0</v>
      </c>
      <c r="X20" s="201">
        <v>0</v>
      </c>
      <c r="Y20" s="201">
        <v>0</v>
      </c>
      <c r="Z20" s="78" t="str">
        <f>Threats!B14</f>
        <v>Threats to the Information Base</v>
      </c>
      <c r="AA20" s="47"/>
      <c r="AB20" s="384" t="s">
        <v>255</v>
      </c>
      <c r="AC20" s="385"/>
      <c r="AD20" s="385"/>
      <c r="AE20" s="47"/>
      <c r="AF20" s="47"/>
      <c r="AG20" s="47"/>
      <c r="AH20" s="47"/>
      <c r="AI20" s="47"/>
      <c r="AJ20" s="47"/>
      <c r="AK20" s="47"/>
      <c r="AL20" s="47"/>
      <c r="AM20" s="47"/>
      <c r="AN20" s="47"/>
      <c r="AO20" s="47"/>
      <c r="AP20" s="47"/>
      <c r="AQ20" s="47"/>
      <c r="AR20" s="47"/>
      <c r="AS20" s="47"/>
      <c r="AT20" s="47"/>
      <c r="AU20" s="47"/>
      <c r="AV20" s="47"/>
      <c r="AW20" s="47"/>
      <c r="AX20" s="47"/>
      <c r="AY20" s="47"/>
      <c r="AZ20" s="47"/>
      <c r="BA20" s="47"/>
      <c r="BB20" s="47"/>
      <c r="BC20" s="47"/>
      <c r="BD20" s="47"/>
      <c r="BE20" s="47"/>
      <c r="BF20" s="47"/>
      <c r="BG20" s="47"/>
      <c r="BH20" s="47"/>
      <c r="BI20" s="47"/>
      <c r="BJ20" s="47"/>
      <c r="BK20" s="47"/>
      <c r="BL20" s="47"/>
      <c r="BM20" s="47"/>
      <c r="BN20" s="47"/>
      <c r="BO20" s="47"/>
      <c r="BP20" s="47"/>
      <c r="BQ20" s="47"/>
      <c r="BR20" s="47"/>
      <c r="BS20" s="47"/>
      <c r="BT20" s="47"/>
      <c r="BU20" s="47"/>
      <c r="BV20" s="47"/>
      <c r="BW20" s="47"/>
      <c r="BX20" s="47"/>
      <c r="BY20" s="47"/>
      <c r="BZ20" s="47"/>
      <c r="CA20" s="47"/>
      <c r="CB20" s="47"/>
      <c r="CC20" s="47"/>
      <c r="CD20" s="47"/>
      <c r="CE20" s="47"/>
      <c r="CF20" s="47"/>
      <c r="CG20" s="47"/>
      <c r="CH20" s="47"/>
      <c r="CI20" s="47"/>
      <c r="CJ20" s="47"/>
      <c r="CK20" s="47"/>
      <c r="CL20" s="47"/>
      <c r="CM20" s="47"/>
      <c r="CN20" s="47"/>
      <c r="CO20" s="47"/>
      <c r="CP20" s="47"/>
      <c r="CQ20" s="47"/>
      <c r="CR20" s="47"/>
      <c r="CS20" s="47"/>
      <c r="CT20" s="47"/>
      <c r="CU20" s="47"/>
      <c r="CV20" s="47"/>
      <c r="CW20" s="47"/>
      <c r="CX20" s="47"/>
      <c r="CY20" s="47"/>
      <c r="CZ20" s="47"/>
      <c r="DA20" s="47"/>
      <c r="DB20" s="47"/>
      <c r="DC20" s="47"/>
      <c r="DD20" s="47"/>
      <c r="DE20" s="47"/>
      <c r="DF20" s="47"/>
      <c r="DG20" s="47"/>
      <c r="DH20" s="47"/>
      <c r="DI20" s="47"/>
      <c r="DJ20" s="47"/>
      <c r="DK20" s="47"/>
      <c r="DL20" s="47"/>
      <c r="DM20" s="47"/>
      <c r="DN20" s="47"/>
      <c r="DO20" s="58"/>
      <c r="DP20" s="58"/>
      <c r="DQ20" s="58"/>
      <c r="DR20" s="58"/>
      <c r="DS20" s="58"/>
      <c r="DT20" s="58"/>
      <c r="DU20" s="59"/>
      <c r="DV20" s="59"/>
    </row>
    <row r="21" spans="1:126" ht="12.75" customHeight="1" thickBot="1" x14ac:dyDescent="0.3">
      <c r="A21" s="48"/>
      <c r="B21" s="47"/>
      <c r="C21" s="60" t="str">
        <f>Threats!A15</f>
        <v>T15-Hacking</v>
      </c>
      <c r="D21" s="64">
        <f>IF(R$7 &lt;&gt; 0, $D$7/R$7, 0)</f>
        <v>0</v>
      </c>
      <c r="E21" s="67">
        <f>IF(R$8&lt;&gt;0, $E$8/R$8, 0)</f>
        <v>0</v>
      </c>
      <c r="F21" s="67">
        <f>IF(R$9 &lt;&gt;0, ($F$9/R$9),0)</f>
        <v>0</v>
      </c>
      <c r="G21" s="67">
        <f>IF(R$10&lt;&gt;0, ($G$10/R$10),0)</f>
        <v>0</v>
      </c>
      <c r="H21" s="67">
        <f>IF($R$11&lt;&gt;0,$H$11/$R$11,0)</f>
        <v>0</v>
      </c>
      <c r="I21" s="67">
        <f>IF($R$12&lt;&gt;0, $I$12/$R$12,0)</f>
        <v>0</v>
      </c>
      <c r="J21" s="67">
        <f>IF($R$13&lt;&gt;0,$J$13/$R$13,0)</f>
        <v>0</v>
      </c>
      <c r="K21" s="67">
        <f>IF($R$14&lt;&gt;0,$K$14/$R$14,0)</f>
        <v>0</v>
      </c>
      <c r="L21" s="67">
        <f>IF($R$15&lt;&gt;0,$L$15/$R$15,0)</f>
        <v>0</v>
      </c>
      <c r="M21" s="67">
        <f>IF($R$16&lt;&gt;0,$M$16/$R$16,0)</f>
        <v>0</v>
      </c>
      <c r="N21" s="67">
        <f>IF($R$17&lt;&gt;0,$N$17/$R$17,0)</f>
        <v>0</v>
      </c>
      <c r="O21" s="67">
        <f>IF($R$18&lt;&gt;0,$O$18/$R$18,0)</f>
        <v>0</v>
      </c>
      <c r="P21" s="67">
        <f>IF($R$19&lt;&gt;0,$P$19/$R$19,0)</f>
        <v>0</v>
      </c>
      <c r="Q21" s="65">
        <f>IF($R$20&lt;&gt;0,$Q$20/$R$20,0)</f>
        <v>0</v>
      </c>
      <c r="R21" s="62">
        <v>1</v>
      </c>
      <c r="S21" s="202">
        <v>2</v>
      </c>
      <c r="T21" s="202">
        <v>0.33333333333333331</v>
      </c>
      <c r="U21" s="202">
        <v>0.2</v>
      </c>
      <c r="V21" s="202">
        <v>0.2</v>
      </c>
      <c r="W21" s="202">
        <v>0.33333333333333331</v>
      </c>
      <c r="X21" s="202">
        <v>0.33333333333333331</v>
      </c>
      <c r="Y21" s="202">
        <v>0.25</v>
      </c>
      <c r="Z21" s="79" t="str">
        <f>Threats!B15</f>
        <v>Threats to Information Leakage</v>
      </c>
      <c r="AA21" s="47"/>
      <c r="AB21" s="386" t="s">
        <v>255</v>
      </c>
      <c r="AC21" s="387"/>
      <c r="AD21" s="387"/>
      <c r="AE21" s="47"/>
      <c r="AF21" s="47"/>
      <c r="AG21" s="47"/>
      <c r="AH21" s="47"/>
      <c r="AI21" s="47"/>
      <c r="AJ21" s="47"/>
      <c r="AK21" s="47"/>
      <c r="AL21" s="47"/>
      <c r="AM21" s="47"/>
      <c r="AN21" s="47"/>
      <c r="AO21" s="47"/>
      <c r="AP21" s="47"/>
      <c r="AQ21" s="47"/>
      <c r="AR21" s="47"/>
      <c r="AS21" s="47"/>
      <c r="AT21" s="47"/>
      <c r="AU21" s="47"/>
      <c r="AV21" s="47"/>
      <c r="AW21" s="47"/>
      <c r="AX21" s="47"/>
      <c r="AY21" s="47"/>
      <c r="AZ21" s="47"/>
      <c r="BA21" s="47"/>
      <c r="BB21" s="47"/>
      <c r="BC21" s="47"/>
      <c r="BD21" s="47"/>
      <c r="BE21" s="47"/>
      <c r="BF21" s="47"/>
      <c r="BG21" s="47"/>
      <c r="BH21" s="47"/>
      <c r="BI21" s="47"/>
      <c r="BJ21" s="47"/>
      <c r="BK21" s="47"/>
      <c r="BL21" s="47"/>
      <c r="BM21" s="47"/>
      <c r="BN21" s="47"/>
      <c r="BO21" s="47"/>
      <c r="BP21" s="47"/>
      <c r="BQ21" s="47"/>
      <c r="BR21" s="47"/>
      <c r="BS21" s="47"/>
      <c r="BT21" s="47"/>
      <c r="BU21" s="47"/>
      <c r="BV21" s="47"/>
      <c r="BW21" s="47"/>
      <c r="BX21" s="47"/>
      <c r="BY21" s="47"/>
      <c r="BZ21" s="47"/>
      <c r="CA21" s="47"/>
      <c r="CB21" s="47"/>
      <c r="CC21" s="47"/>
      <c r="CD21" s="47"/>
      <c r="CE21" s="47"/>
      <c r="CF21" s="47"/>
      <c r="CG21" s="47"/>
      <c r="CH21" s="47"/>
      <c r="CI21" s="47"/>
      <c r="CJ21" s="47"/>
      <c r="CK21" s="47"/>
      <c r="CL21" s="47"/>
      <c r="CM21" s="47"/>
      <c r="CN21" s="47"/>
      <c r="CO21" s="47"/>
      <c r="CP21" s="47"/>
      <c r="CQ21" s="47"/>
      <c r="CR21" s="47"/>
      <c r="CS21" s="47"/>
      <c r="CT21" s="47"/>
      <c r="CU21" s="47"/>
      <c r="CV21" s="47"/>
      <c r="CW21" s="47"/>
      <c r="CX21" s="47"/>
      <c r="CY21" s="47"/>
      <c r="CZ21" s="47"/>
      <c r="DA21" s="47"/>
      <c r="DB21" s="47"/>
      <c r="DC21" s="47"/>
      <c r="DD21" s="47"/>
      <c r="DE21" s="47"/>
      <c r="DF21" s="47"/>
      <c r="DG21" s="47"/>
      <c r="DH21" s="47"/>
      <c r="DI21" s="47"/>
      <c r="DJ21" s="47"/>
      <c r="DK21" s="47"/>
      <c r="DL21" s="47"/>
      <c r="DM21" s="47"/>
      <c r="DN21" s="47"/>
      <c r="DO21" s="58"/>
      <c r="DP21" s="58"/>
      <c r="DQ21" s="58"/>
      <c r="DR21" s="58"/>
      <c r="DS21" s="58"/>
      <c r="DT21" s="58"/>
      <c r="DU21" s="59"/>
      <c r="DV21" s="59"/>
    </row>
    <row r="22" spans="1:126" ht="12.75" customHeight="1" thickBot="1" x14ac:dyDescent="0.3">
      <c r="A22" s="48"/>
      <c r="B22" s="47"/>
      <c r="C22" s="60" t="str">
        <f>Threats!A16</f>
        <v>T16-Media Leakage</v>
      </c>
      <c r="D22" s="64">
        <f>IF(S$7 &lt;&gt; 0, $D$7/S$7, 0)</f>
        <v>0</v>
      </c>
      <c r="E22" s="67">
        <f>IF(S$8&lt;&gt;0, ($E$8/S$8), 0)</f>
        <v>0</v>
      </c>
      <c r="F22" s="67">
        <f>IF(S$9&lt;&gt;0, ($F$9/S$9),0)</f>
        <v>0</v>
      </c>
      <c r="G22" s="67">
        <f>IF(S$10&lt;&gt;0,($G$10/S$10),0)</f>
        <v>0</v>
      </c>
      <c r="H22" s="67">
        <f>IF($S$11&lt;&gt;0,$H$11/$S$11,0)</f>
        <v>0</v>
      </c>
      <c r="I22" s="67">
        <f>IF($S$12&lt;&gt;0,$I$12/$S$12,0)</f>
        <v>0</v>
      </c>
      <c r="J22" s="67">
        <f>IF($S$13&lt;&gt;0,$J$13/$S$13,0)</f>
        <v>0</v>
      </c>
      <c r="K22" s="67">
        <f>IF($S$14&lt;&gt;0,$K$14/$S$14,0)</f>
        <v>0</v>
      </c>
      <c r="L22" s="67">
        <f>IF($S$15&lt;&gt;0,$L$15/$S$15,0)</f>
        <v>0</v>
      </c>
      <c r="M22" s="67">
        <f>IF($S$16&lt;&gt;0,$M$16/$S$16,0)</f>
        <v>0</v>
      </c>
      <c r="N22" s="67">
        <f>IF($S$17&lt;&gt;0,$N$17/$S$17,0)</f>
        <v>0</v>
      </c>
      <c r="O22" s="67">
        <f>IF($S$18&lt;&gt;0,$O$18/$S$18,0)</f>
        <v>0</v>
      </c>
      <c r="P22" s="67">
        <f>IF($S$19&lt;&gt;0,$P$19/$S$19,0)</f>
        <v>0</v>
      </c>
      <c r="Q22" s="67">
        <f>IF($S$20&lt;&gt;0,$Q$20/$S$20,0)</f>
        <v>0</v>
      </c>
      <c r="R22" s="65">
        <f>IF($S$21&lt;&gt;0,$R$21/$S$21,0)</f>
        <v>0.5</v>
      </c>
      <c r="S22" s="62">
        <v>1</v>
      </c>
      <c r="T22" s="203">
        <v>0.2</v>
      </c>
      <c r="U22" s="203">
        <v>0.16666666666666666</v>
      </c>
      <c r="V22" s="203">
        <v>0.16666666666666666</v>
      </c>
      <c r="W22" s="203">
        <v>0.16666666666666666</v>
      </c>
      <c r="X22" s="203">
        <v>0.16666666666666666</v>
      </c>
      <c r="Y22" s="203">
        <v>0.2</v>
      </c>
      <c r="Z22" s="80" t="str">
        <f>Threats!B16</f>
        <v>Threats to Information Leakage</v>
      </c>
      <c r="AA22" s="47"/>
      <c r="AB22" s="364" t="s">
        <v>255</v>
      </c>
      <c r="AC22" s="365"/>
      <c r="AD22" s="365"/>
      <c r="AE22" s="47"/>
      <c r="AF22" s="47"/>
      <c r="AG22" s="47"/>
      <c r="AH22" s="47"/>
      <c r="AI22" s="47"/>
      <c r="AJ22" s="47"/>
      <c r="AK22" s="47"/>
      <c r="AL22" s="47"/>
      <c r="AM22" s="47"/>
      <c r="AN22" s="47"/>
      <c r="AO22" s="47"/>
      <c r="AP22" s="47"/>
      <c r="AQ22" s="47"/>
      <c r="AR22" s="47"/>
      <c r="AS22" s="47"/>
      <c r="AT22" s="47"/>
      <c r="AU22" s="47"/>
      <c r="AV22" s="47"/>
      <c r="AW22" s="47"/>
      <c r="AX22" s="47"/>
      <c r="AY22" s="47"/>
      <c r="AZ22" s="47"/>
      <c r="BA22" s="47"/>
      <c r="BB22" s="47"/>
      <c r="BC22" s="47"/>
      <c r="BD22" s="47"/>
      <c r="BE22" s="47"/>
      <c r="BF22" s="47"/>
      <c r="BG22" s="47"/>
      <c r="BH22" s="47"/>
      <c r="BI22" s="47"/>
      <c r="BJ22" s="47"/>
      <c r="BK22" s="47"/>
      <c r="BL22" s="47"/>
      <c r="BM22" s="47"/>
      <c r="BN22" s="47"/>
      <c r="BO22" s="47"/>
      <c r="BP22" s="47"/>
      <c r="BQ22" s="47"/>
      <c r="BR22" s="47"/>
      <c r="BS22" s="47"/>
      <c r="BT22" s="47"/>
      <c r="BU22" s="47"/>
      <c r="BV22" s="47"/>
      <c r="BW22" s="47"/>
      <c r="BX22" s="47"/>
      <c r="BY22" s="47"/>
      <c r="BZ22" s="47"/>
      <c r="CA22" s="47"/>
      <c r="CB22" s="47"/>
      <c r="CC22" s="47"/>
      <c r="CD22" s="47"/>
      <c r="CE22" s="47"/>
      <c r="CF22" s="47"/>
      <c r="CG22" s="47"/>
      <c r="CH22" s="47"/>
      <c r="CI22" s="47"/>
      <c r="CJ22" s="47"/>
      <c r="CK22" s="47"/>
      <c r="CL22" s="47"/>
      <c r="CM22" s="47"/>
      <c r="CN22" s="47"/>
      <c r="CO22" s="47"/>
      <c r="CP22" s="47"/>
      <c r="CQ22" s="47"/>
      <c r="CR22" s="47"/>
      <c r="CS22" s="47"/>
      <c r="CT22" s="47"/>
      <c r="CU22" s="47"/>
      <c r="CV22" s="47"/>
      <c r="CW22" s="47"/>
      <c r="CX22" s="47"/>
      <c r="CY22" s="47"/>
      <c r="CZ22" s="47"/>
      <c r="DA22" s="47"/>
      <c r="DB22" s="47"/>
      <c r="DC22" s="47"/>
      <c r="DD22" s="47"/>
      <c r="DE22" s="47"/>
      <c r="DF22" s="47"/>
      <c r="DG22" s="47"/>
      <c r="DH22" s="47"/>
      <c r="DI22" s="47"/>
      <c r="DJ22" s="47"/>
      <c r="DK22" s="47"/>
      <c r="DL22" s="47"/>
      <c r="DM22" s="47"/>
      <c r="DN22" s="47"/>
      <c r="DO22" s="58"/>
      <c r="DP22" s="58"/>
      <c r="DQ22" s="58"/>
      <c r="DR22" s="58"/>
      <c r="DS22" s="58"/>
      <c r="DT22" s="58"/>
      <c r="DU22" s="59"/>
      <c r="DV22" s="59"/>
    </row>
    <row r="23" spans="1:126" ht="12.75" customHeight="1" thickBot="1" x14ac:dyDescent="0.3">
      <c r="A23" s="48"/>
      <c r="B23" s="47"/>
      <c r="C23" s="60" t="str">
        <f>Threats!A17</f>
        <v>T17-Communication Preventers(Botnet, Dialer)</v>
      </c>
      <c r="D23" s="64">
        <f>IF(T$7 &lt;&gt;0, $D$7/T$7, 0)</f>
        <v>0</v>
      </c>
      <c r="E23" s="67">
        <f>IF(T$8&lt;&gt;0, ($E$8/T$8), 0)</f>
        <v>0</v>
      </c>
      <c r="F23" s="67">
        <f>IF(T$9, ($F$9/T$9),0)</f>
        <v>0</v>
      </c>
      <c r="G23" s="67">
        <f>IF(T$10&lt;&gt;0, ($G$10/T$10),0)</f>
        <v>0</v>
      </c>
      <c r="H23" s="67">
        <f>IF($T$11&lt;&gt;0,$H$11/$T$11,0)</f>
        <v>0</v>
      </c>
      <c r="I23" s="67">
        <f>IF($T$12&lt;&gt;0,$I$12/$T$12,0)</f>
        <v>0</v>
      </c>
      <c r="J23" s="67">
        <f>IF($T$13&lt;&gt;0, $J$13/$T$13,0)</f>
        <v>0</v>
      </c>
      <c r="K23" s="67">
        <f>IF($T$14&lt;&gt;0,$K$14/$T$14,0)</f>
        <v>0</v>
      </c>
      <c r="L23" s="67">
        <f>IF($T$15&lt;&gt;0,$L$15/$T$15,0)</f>
        <v>0</v>
      </c>
      <c r="M23" s="67">
        <f>IF($T$16&lt;&gt;0,$M$16/$T$16,0)</f>
        <v>0</v>
      </c>
      <c r="N23" s="67">
        <f>IF($T$17&lt;&gt;0,$N$17/$T$17,0)</f>
        <v>0</v>
      </c>
      <c r="O23" s="67">
        <f>IF($T$18&lt;&gt;0,$O$18/$T$18,0)</f>
        <v>0</v>
      </c>
      <c r="P23" s="67">
        <f>IF($T$19&lt;&gt;0,$P$19/$T$19,0)</f>
        <v>0</v>
      </c>
      <c r="Q23" s="67">
        <f>IF($T$20&lt;&gt;0,$Q$20/$T$20,0)</f>
        <v>0</v>
      </c>
      <c r="R23" s="67">
        <f>IF($T$21&lt;&gt;0,$R$21/$T$21,0)</f>
        <v>3</v>
      </c>
      <c r="S23" s="65">
        <f>IF($T$22&lt;&gt;0,$S$22/$T$22,0)</f>
        <v>5</v>
      </c>
      <c r="T23" s="62">
        <v>1</v>
      </c>
      <c r="U23" s="204">
        <v>0.5</v>
      </c>
      <c r="V23" s="204">
        <v>1</v>
      </c>
      <c r="W23" s="204">
        <v>1</v>
      </c>
      <c r="X23" s="204">
        <v>0.5</v>
      </c>
      <c r="Y23" s="204">
        <v>1</v>
      </c>
      <c r="Z23" s="81" t="str">
        <f>Threats!B17</f>
        <v>Threats to Information Leakage</v>
      </c>
      <c r="AA23" s="47"/>
      <c r="AB23" s="390" t="s">
        <v>255</v>
      </c>
      <c r="AC23" s="391"/>
      <c r="AD23" s="391"/>
      <c r="AE23" s="47"/>
      <c r="AF23" s="47"/>
      <c r="AG23" s="47"/>
      <c r="AH23" s="47"/>
      <c r="AI23" s="47"/>
      <c r="AJ23" s="47"/>
      <c r="AK23" s="47"/>
      <c r="AL23" s="47"/>
      <c r="AM23" s="47"/>
      <c r="AN23" s="47"/>
      <c r="AO23" s="47"/>
      <c r="AP23" s="47"/>
      <c r="AQ23" s="47"/>
      <c r="AR23" s="47"/>
      <c r="AS23" s="47"/>
      <c r="AT23" s="47"/>
      <c r="AU23" s="47"/>
      <c r="AV23" s="47"/>
      <c r="AW23" s="47"/>
      <c r="AX23" s="47"/>
      <c r="AY23" s="47"/>
      <c r="AZ23" s="47"/>
      <c r="BA23" s="47"/>
      <c r="BB23" s="47"/>
      <c r="BC23" s="47"/>
      <c r="BD23" s="47"/>
      <c r="BE23" s="47"/>
      <c r="BF23" s="47"/>
      <c r="BG23" s="47"/>
      <c r="BH23" s="47"/>
      <c r="BI23" s="47"/>
      <c r="BJ23" s="47"/>
      <c r="BK23" s="47"/>
      <c r="BL23" s="47"/>
      <c r="BM23" s="47"/>
      <c r="BN23" s="47"/>
      <c r="BO23" s="47"/>
      <c r="BP23" s="47"/>
      <c r="BQ23" s="47"/>
      <c r="BR23" s="47"/>
      <c r="BS23" s="47"/>
      <c r="BT23" s="47"/>
      <c r="BU23" s="47"/>
      <c r="BV23" s="47"/>
      <c r="BW23" s="47"/>
      <c r="BX23" s="47"/>
      <c r="BY23" s="47"/>
      <c r="BZ23" s="47"/>
      <c r="CA23" s="47"/>
      <c r="CB23" s="47"/>
      <c r="CC23" s="47"/>
      <c r="CD23" s="47"/>
      <c r="CE23" s="47"/>
      <c r="CF23" s="47"/>
      <c r="CG23" s="47"/>
      <c r="CH23" s="47"/>
      <c r="CI23" s="47"/>
      <c r="CJ23" s="47"/>
      <c r="CK23" s="47"/>
      <c r="CL23" s="47"/>
      <c r="CM23" s="47"/>
      <c r="CN23" s="47"/>
      <c r="CO23" s="47"/>
      <c r="CP23" s="47"/>
      <c r="CQ23" s="47"/>
      <c r="CR23" s="47"/>
      <c r="CS23" s="47"/>
      <c r="CT23" s="47"/>
      <c r="CU23" s="47"/>
      <c r="CV23" s="47"/>
      <c r="CW23" s="47"/>
      <c r="CX23" s="47"/>
      <c r="CY23" s="47"/>
      <c r="CZ23" s="47"/>
      <c r="DA23" s="47"/>
      <c r="DB23" s="47"/>
      <c r="DC23" s="47"/>
      <c r="DD23" s="47"/>
      <c r="DE23" s="47"/>
      <c r="DF23" s="47"/>
      <c r="DG23" s="47"/>
      <c r="DH23" s="47"/>
      <c r="DI23" s="47"/>
      <c r="DJ23" s="47"/>
      <c r="DK23" s="47"/>
      <c r="DL23" s="47"/>
      <c r="DM23" s="47"/>
      <c r="DN23" s="47"/>
      <c r="DO23" s="58"/>
      <c r="DP23" s="58"/>
      <c r="DQ23" s="58"/>
      <c r="DR23" s="58"/>
      <c r="DS23" s="58"/>
      <c r="DT23" s="58"/>
      <c r="DU23" s="59"/>
      <c r="DV23" s="59"/>
    </row>
    <row r="24" spans="1:126" ht="12.75" customHeight="1" thickBot="1" x14ac:dyDescent="0.3">
      <c r="A24" s="48"/>
      <c r="B24" s="47"/>
      <c r="C24" s="60" t="str">
        <f>Threats!A18</f>
        <v>T18-Authentication Threats</v>
      </c>
      <c r="D24" s="64">
        <f>IF(U$7 &lt;&gt; 0, $D$7/U$7, 0)</f>
        <v>0</v>
      </c>
      <c r="E24" s="67">
        <f>IF(U$8 &lt;&gt;0, ($E$8/U$8), 0)</f>
        <v>0</v>
      </c>
      <c r="F24" s="67">
        <f>IF(U$9 &lt;&gt;0, ($F$9/U$9),0)</f>
        <v>0</v>
      </c>
      <c r="G24" s="67">
        <f>IF(U$10&lt;&gt;0,($G$10/U$10),0)</f>
        <v>0</v>
      </c>
      <c r="H24" s="67">
        <f>IF($U$11&lt;&gt;0,$H$11/$U$11,0)</f>
        <v>0</v>
      </c>
      <c r="I24" s="67">
        <f>IF($U$12&lt;&gt;0,$I$12/$U$12,0)</f>
        <v>0</v>
      </c>
      <c r="J24" s="67">
        <f>IF($U$13&lt;&gt;0,$J$13/$U$13,0)</f>
        <v>0</v>
      </c>
      <c r="K24" s="67">
        <f>IF($U$14&lt;&gt;0,$K$14/$U$14,0)</f>
        <v>0</v>
      </c>
      <c r="L24" s="67">
        <f>IF($U$15&lt;&gt;0,$L$15/$U$15,0)</f>
        <v>0</v>
      </c>
      <c r="M24" s="67">
        <f>IF($U$16&lt;&gt;0,$M$16/$U$16,0)</f>
        <v>0</v>
      </c>
      <c r="N24" s="67">
        <f>IF($U$17&lt;&gt;0,$N$17/$U$17,0)</f>
        <v>0</v>
      </c>
      <c r="O24" s="67">
        <f>IF($U$18&lt;&gt;0,$O$18/$U$18,0)</f>
        <v>0</v>
      </c>
      <c r="P24" s="67">
        <f>IF($U$19&lt;&gt;0,$P$19/$U$19,0)</f>
        <v>0</v>
      </c>
      <c r="Q24" s="67">
        <f>IF($U$20&lt;&gt;0,$Q$20/$U$20,0)</f>
        <v>0</v>
      </c>
      <c r="R24" s="67">
        <f>IF($U$21&lt;&gt;0,$R$21/$U$21,0)</f>
        <v>5</v>
      </c>
      <c r="S24" s="67">
        <f>IF($U$22&lt;&gt;0,$S$22/$U$22,0)</f>
        <v>6</v>
      </c>
      <c r="T24" s="65">
        <f>IF($U$23&lt;&gt;0,$T$23/$U$23,0)</f>
        <v>2</v>
      </c>
      <c r="U24" s="62">
        <v>1</v>
      </c>
      <c r="V24" s="205">
        <v>2</v>
      </c>
      <c r="W24" s="205">
        <v>2</v>
      </c>
      <c r="X24" s="205">
        <v>3</v>
      </c>
      <c r="Y24" s="205">
        <v>2</v>
      </c>
      <c r="Z24" s="82" t="str">
        <f>Threats!B18</f>
        <v>Threats to Information Leakage</v>
      </c>
      <c r="AA24" s="47"/>
      <c r="AB24" s="392" t="s">
        <v>255</v>
      </c>
      <c r="AC24" s="393"/>
      <c r="AD24" s="393"/>
      <c r="AE24" s="47"/>
      <c r="AF24" s="47"/>
      <c r="AG24" s="47"/>
      <c r="AH24" s="47"/>
      <c r="AI24" s="47"/>
      <c r="AJ24" s="47"/>
      <c r="AK24" s="47"/>
      <c r="AL24" s="47"/>
      <c r="AM24" s="47"/>
      <c r="AN24" s="47"/>
      <c r="AO24" s="47"/>
      <c r="AP24" s="47"/>
      <c r="AQ24" s="47"/>
      <c r="AR24" s="47"/>
      <c r="AS24" s="47"/>
      <c r="AT24" s="47"/>
      <c r="AU24" s="47"/>
      <c r="AV24" s="47"/>
      <c r="AW24" s="47"/>
      <c r="AX24" s="47"/>
      <c r="AY24" s="47"/>
      <c r="AZ24" s="47"/>
      <c r="BA24" s="47"/>
      <c r="BB24" s="47"/>
      <c r="BC24" s="47"/>
      <c r="BD24" s="47"/>
      <c r="BE24" s="47"/>
      <c r="BF24" s="47"/>
      <c r="BG24" s="47"/>
      <c r="BH24" s="47"/>
      <c r="BI24" s="47"/>
      <c r="BJ24" s="47"/>
      <c r="BK24" s="47"/>
      <c r="BL24" s="47"/>
      <c r="BM24" s="47"/>
      <c r="BN24" s="47"/>
      <c r="BO24" s="47"/>
      <c r="BP24" s="47"/>
      <c r="BQ24" s="47"/>
      <c r="BR24" s="47"/>
      <c r="BS24" s="47"/>
      <c r="BT24" s="47"/>
      <c r="BU24" s="47"/>
      <c r="BV24" s="47"/>
      <c r="BW24" s="47"/>
      <c r="BX24" s="47"/>
      <c r="BY24" s="47"/>
      <c r="BZ24" s="47"/>
      <c r="CA24" s="47"/>
      <c r="CB24" s="47"/>
      <c r="CC24" s="47"/>
      <c r="CD24" s="47"/>
      <c r="CE24" s="47"/>
      <c r="CF24" s="47"/>
      <c r="CG24" s="47"/>
      <c r="CH24" s="47"/>
      <c r="CI24" s="47"/>
      <c r="CJ24" s="47"/>
      <c r="CK24" s="47"/>
      <c r="CL24" s="47"/>
      <c r="CM24" s="47"/>
      <c r="CN24" s="47"/>
      <c r="CO24" s="47"/>
      <c r="CP24" s="47"/>
      <c r="CQ24" s="47"/>
      <c r="CR24" s="47"/>
      <c r="CS24" s="47"/>
      <c r="CT24" s="47"/>
      <c r="CU24" s="47"/>
      <c r="CV24" s="47"/>
      <c r="CW24" s="47"/>
      <c r="CX24" s="47"/>
      <c r="CY24" s="47"/>
      <c r="CZ24" s="47"/>
      <c r="DA24" s="47"/>
      <c r="DB24" s="47"/>
      <c r="DC24" s="47"/>
      <c r="DD24" s="47"/>
      <c r="DE24" s="47"/>
      <c r="DF24" s="47"/>
      <c r="DG24" s="47"/>
      <c r="DH24" s="47"/>
      <c r="DI24" s="47"/>
      <c r="DJ24" s="47"/>
      <c r="DK24" s="47"/>
      <c r="DL24" s="47"/>
      <c r="DM24" s="47"/>
      <c r="DN24" s="47"/>
      <c r="DO24" s="58"/>
      <c r="DP24" s="58"/>
      <c r="DQ24" s="58"/>
      <c r="DR24" s="58"/>
      <c r="DS24" s="58"/>
      <c r="DT24" s="58"/>
      <c r="DU24" s="59"/>
      <c r="DV24" s="59"/>
    </row>
    <row r="25" spans="1:126" ht="12.75" customHeight="1" thickBot="1" x14ac:dyDescent="0.3">
      <c r="A25" s="48"/>
      <c r="B25" s="47"/>
      <c r="C25" s="60" t="str">
        <f>Threats!A19</f>
        <v>T19-Non Repudiation Threats</v>
      </c>
      <c r="D25" s="64">
        <f>IF(V$7 &lt;&gt; 0, $D$7/V$7, 0)</f>
        <v>0</v>
      </c>
      <c r="E25" s="67">
        <f>IF(V$8 &lt;&gt; 0, ($E$8/V$8), 0)</f>
        <v>0</v>
      </c>
      <c r="F25" s="67">
        <f>IF(V$9&lt;&gt;0,($F$9/V$9),0)</f>
        <v>0</v>
      </c>
      <c r="G25" s="67">
        <f>IF(V$10&lt;&gt;0,($G$10/V$10),0)</f>
        <v>0</v>
      </c>
      <c r="H25" s="67">
        <f>IF($V$11&lt;&gt;0,$H$11/$V$11,0)</f>
        <v>0</v>
      </c>
      <c r="I25" s="67">
        <f>IF($V$12&lt;&gt;0,$I$12/$V$12,0)</f>
        <v>0</v>
      </c>
      <c r="J25" s="67">
        <f>IF($V$13&lt;&gt;0,$J$13/$V$13,0)</f>
        <v>0</v>
      </c>
      <c r="K25" s="67">
        <f>IF($V$14&lt;&gt;0,$K$14/$V$14,0)</f>
        <v>0</v>
      </c>
      <c r="L25" s="67">
        <f>IF($V$15&lt;&gt;0,$L$15/$V$15,0)</f>
        <v>0</v>
      </c>
      <c r="M25" s="67">
        <f>IF($V$16&lt;&gt;0,$M$16/$V$16,0)</f>
        <v>0</v>
      </c>
      <c r="N25" s="67">
        <f>IF($V$17&lt;&gt;0,$N$17/$V$17,0)</f>
        <v>0</v>
      </c>
      <c r="O25" s="67">
        <f>IF($V$18&lt;&gt;0,$O$18/$V$18,0)</f>
        <v>0</v>
      </c>
      <c r="P25" s="67">
        <f>IF($V$19&lt;&gt;0,$P$19/$V$19,0)</f>
        <v>0</v>
      </c>
      <c r="Q25" s="67">
        <f>IF($V$20&lt;&gt;0,$Q$20/$V$20,0)</f>
        <v>0</v>
      </c>
      <c r="R25" s="67">
        <f>IF($V$21&lt;&gt;0,$R$21/$V$21)</f>
        <v>5</v>
      </c>
      <c r="S25" s="67">
        <f>IF($V$22&lt;&gt;0,$S$22/$V$22,0)</f>
        <v>6</v>
      </c>
      <c r="T25" s="67">
        <f>IF($V$23&lt;&gt;0,$T$23/$V$23,0)</f>
        <v>1</v>
      </c>
      <c r="U25" s="65">
        <f>IF($V$24&lt;&gt;0,$U$24/$V$24,0)</f>
        <v>0.5</v>
      </c>
      <c r="V25" s="62">
        <v>1</v>
      </c>
      <c r="W25" s="206">
        <v>1</v>
      </c>
      <c r="X25" s="206">
        <v>0.5</v>
      </c>
      <c r="Y25" s="206">
        <v>0.5</v>
      </c>
      <c r="Z25" s="83" t="str">
        <f>Threats!B19</f>
        <v>Threats to Information Leakage</v>
      </c>
      <c r="AA25" s="47"/>
      <c r="AB25" s="394" t="s">
        <v>255</v>
      </c>
      <c r="AC25" s="395"/>
      <c r="AD25" s="395"/>
      <c r="AE25" s="47"/>
      <c r="AF25" s="47"/>
      <c r="AG25" s="47"/>
      <c r="AH25" s="47"/>
      <c r="AI25" s="47"/>
      <c r="AJ25" s="47"/>
      <c r="AK25" s="47"/>
      <c r="AL25" s="47"/>
      <c r="AM25" s="47"/>
      <c r="AN25" s="47"/>
      <c r="AO25" s="47"/>
      <c r="AP25" s="47"/>
      <c r="AQ25" s="47"/>
      <c r="AR25" s="47"/>
      <c r="AS25" s="47"/>
      <c r="AT25" s="47"/>
      <c r="AU25" s="47"/>
      <c r="AV25" s="47"/>
      <c r="AW25" s="47"/>
      <c r="AX25" s="47"/>
      <c r="AY25" s="47"/>
      <c r="AZ25" s="47"/>
      <c r="BA25" s="47"/>
      <c r="BB25" s="47"/>
      <c r="BC25" s="47"/>
      <c r="BD25" s="47"/>
      <c r="BE25" s="47"/>
      <c r="BF25" s="47"/>
      <c r="BG25" s="47"/>
      <c r="BH25" s="47"/>
      <c r="BI25" s="47"/>
      <c r="BJ25" s="47"/>
      <c r="BK25" s="47"/>
      <c r="BL25" s="47"/>
      <c r="BM25" s="47"/>
      <c r="BN25" s="47"/>
      <c r="BO25" s="47"/>
      <c r="BP25" s="47"/>
      <c r="BQ25" s="47"/>
      <c r="BR25" s="47"/>
      <c r="BS25" s="47"/>
      <c r="BT25" s="47"/>
      <c r="BU25" s="47"/>
      <c r="BV25" s="47"/>
      <c r="BW25" s="47"/>
      <c r="BX25" s="47"/>
      <c r="BY25" s="47"/>
      <c r="BZ25" s="47"/>
      <c r="CA25" s="47"/>
      <c r="CB25" s="47"/>
      <c r="CC25" s="47"/>
      <c r="CD25" s="47"/>
      <c r="CE25" s="47"/>
      <c r="CF25" s="47"/>
      <c r="CG25" s="47"/>
      <c r="CH25" s="47"/>
      <c r="CI25" s="47"/>
      <c r="CJ25" s="47"/>
      <c r="CK25" s="47"/>
      <c r="CL25" s="47"/>
      <c r="CM25" s="47"/>
      <c r="CN25" s="47"/>
      <c r="CO25" s="47"/>
      <c r="CP25" s="47"/>
      <c r="CQ25" s="47"/>
      <c r="CR25" s="47"/>
      <c r="CS25" s="47"/>
      <c r="CT25" s="47"/>
      <c r="CU25" s="47"/>
      <c r="CV25" s="47"/>
      <c r="CW25" s="47"/>
      <c r="CX25" s="47"/>
      <c r="CY25" s="47"/>
      <c r="CZ25" s="47"/>
      <c r="DA25" s="47"/>
      <c r="DB25" s="47"/>
      <c r="DC25" s="47"/>
      <c r="DD25" s="47"/>
      <c r="DE25" s="47"/>
      <c r="DF25" s="47"/>
      <c r="DG25" s="47"/>
      <c r="DH25" s="47"/>
      <c r="DI25" s="47"/>
      <c r="DJ25" s="47"/>
      <c r="DK25" s="47"/>
      <c r="DL25" s="47"/>
      <c r="DM25" s="47"/>
      <c r="DN25" s="47"/>
      <c r="DO25" s="58"/>
      <c r="DP25" s="58"/>
      <c r="DQ25" s="58"/>
      <c r="DR25" s="58"/>
      <c r="DS25" s="58"/>
      <c r="DT25" s="58"/>
      <c r="DU25" s="59"/>
      <c r="DV25" s="59"/>
    </row>
    <row r="26" spans="1:126" ht="12.75" customHeight="1" thickBot="1" x14ac:dyDescent="0.3">
      <c r="A26" s="48"/>
      <c r="B26" s="47"/>
      <c r="C26" s="60" t="str">
        <f>Threats!A20</f>
        <v>T20-Separation of Duties</v>
      </c>
      <c r="D26" s="64">
        <f>IF(W$7 &lt;&gt; 0, $D$7/W$7, 0)</f>
        <v>0</v>
      </c>
      <c r="E26" s="67">
        <f>IF(W$8 &lt;&gt; 0, ($E$8/W$8), 0)</f>
        <v>0</v>
      </c>
      <c r="F26" s="67">
        <f>IF(W$9&lt;&gt;0, ($F$9/W$9),0)</f>
        <v>0</v>
      </c>
      <c r="G26" s="67">
        <f>IF(W$10&lt;&gt;0,($G$10/W$10),0)</f>
        <v>0</v>
      </c>
      <c r="H26" s="67">
        <f>IF($W$11&lt;&gt;0,$H$11/$W$11,0)</f>
        <v>0</v>
      </c>
      <c r="I26" s="67">
        <f>IF($W$12&lt;&gt;0,$I$12/$W$12,0)</f>
        <v>0</v>
      </c>
      <c r="J26" s="67">
        <f>IF($W$13&lt;&gt;0,$J$13/$W$13,0)</f>
        <v>0</v>
      </c>
      <c r="K26" s="67">
        <f>IF($W$14&lt;&gt;0,$K$14/$W$14,0)</f>
        <v>0</v>
      </c>
      <c r="L26" s="67">
        <f>IF(W$15&lt;&gt;0,$L$15/W$15,0)</f>
        <v>0</v>
      </c>
      <c r="M26" s="67">
        <f>IF($W$16&lt;&gt;0,$M$16/$W$16,0)</f>
        <v>0</v>
      </c>
      <c r="N26" s="67">
        <f>IF($W$17&lt;&gt;0,$N$17/$W$17,0)</f>
        <v>0</v>
      </c>
      <c r="O26" s="67">
        <f>IF($W$18&lt;&gt;0,$O$18/$W$18,0)</f>
        <v>0</v>
      </c>
      <c r="P26" s="67">
        <f>IF($W$19&lt;&gt;0,$P$19/$W$19,0)</f>
        <v>0</v>
      </c>
      <c r="Q26" s="67">
        <f>IF($W$20&lt;&gt;0,$Q$20/$W$20,0)</f>
        <v>0</v>
      </c>
      <c r="R26" s="67">
        <f>IF($W$21&lt;&gt;0,$R$21/$W$21,0)</f>
        <v>3</v>
      </c>
      <c r="S26" s="67">
        <f>IF($W$22&lt;&gt;0,$S$22/$W$22)</f>
        <v>6</v>
      </c>
      <c r="T26" s="67">
        <f>IF($W$23&lt;&gt;0,$T$23/$W$23,0)</f>
        <v>1</v>
      </c>
      <c r="U26" s="67">
        <f>IF($W$24&lt;&gt;0,$U$24/$W$24,0)</f>
        <v>0.5</v>
      </c>
      <c r="V26" s="65">
        <f>IF($W$25&lt;&gt;0,$V$25/$W$25,0)</f>
        <v>1</v>
      </c>
      <c r="W26" s="62">
        <v>1</v>
      </c>
      <c r="X26" s="207">
        <v>1</v>
      </c>
      <c r="Y26" s="207">
        <v>2</v>
      </c>
      <c r="Z26" s="84" t="str">
        <f>Threats!B20</f>
        <v>Threats to Information Leakage</v>
      </c>
      <c r="AA26" s="47"/>
      <c r="AB26" s="396" t="s">
        <v>255</v>
      </c>
      <c r="AC26" s="397"/>
      <c r="AD26" s="397"/>
      <c r="AE26" s="47"/>
      <c r="AF26" s="47"/>
      <c r="AG26" s="47"/>
      <c r="AH26" s="47"/>
      <c r="AI26" s="47"/>
      <c r="AJ26" s="47"/>
      <c r="AK26" s="47"/>
      <c r="AL26" s="47"/>
      <c r="AM26" s="47"/>
      <c r="AN26" s="47"/>
      <c r="AO26" s="47"/>
      <c r="AP26" s="47"/>
      <c r="AQ26" s="47"/>
      <c r="AR26" s="47"/>
      <c r="AS26" s="47"/>
      <c r="AT26" s="47"/>
      <c r="AU26" s="47"/>
      <c r="AV26" s="47"/>
      <c r="AW26" s="47"/>
      <c r="AX26" s="47"/>
      <c r="AY26" s="47"/>
      <c r="AZ26" s="47"/>
      <c r="BA26" s="47"/>
      <c r="BB26" s="47"/>
      <c r="BC26" s="47"/>
      <c r="BD26" s="47"/>
      <c r="BE26" s="47"/>
      <c r="BF26" s="47"/>
      <c r="BG26" s="47"/>
      <c r="BH26" s="47"/>
      <c r="BI26" s="47"/>
      <c r="BJ26" s="47"/>
      <c r="BK26" s="47"/>
      <c r="BL26" s="47"/>
      <c r="BM26" s="47"/>
      <c r="BN26" s="47"/>
      <c r="BO26" s="47"/>
      <c r="BP26" s="47"/>
      <c r="BQ26" s="47"/>
      <c r="BR26" s="47"/>
      <c r="BS26" s="47"/>
      <c r="BT26" s="47"/>
      <c r="BU26" s="47"/>
      <c r="BV26" s="47"/>
      <c r="BW26" s="47"/>
      <c r="BX26" s="47"/>
      <c r="BY26" s="47"/>
      <c r="BZ26" s="47"/>
      <c r="CA26" s="47"/>
      <c r="CB26" s="47"/>
      <c r="CC26" s="47"/>
      <c r="CD26" s="47"/>
      <c r="CE26" s="47"/>
      <c r="CF26" s="47"/>
      <c r="CG26" s="47"/>
      <c r="CH26" s="47"/>
      <c r="CI26" s="47"/>
      <c r="CJ26" s="47"/>
      <c r="CK26" s="47"/>
      <c r="CL26" s="47"/>
      <c r="CM26" s="47"/>
      <c r="CN26" s="47"/>
      <c r="CO26" s="47"/>
      <c r="CP26" s="47"/>
      <c r="CQ26" s="47"/>
      <c r="CR26" s="47"/>
      <c r="CS26" s="47"/>
      <c r="CT26" s="47"/>
      <c r="CU26" s="47"/>
      <c r="CV26" s="47"/>
      <c r="CW26" s="47"/>
      <c r="CX26" s="47"/>
      <c r="CY26" s="47"/>
      <c r="CZ26" s="47"/>
      <c r="DA26" s="47"/>
      <c r="DB26" s="47"/>
      <c r="DC26" s="47"/>
      <c r="DD26" s="47"/>
      <c r="DE26" s="47"/>
      <c r="DF26" s="47"/>
      <c r="DG26" s="47"/>
      <c r="DH26" s="47"/>
      <c r="DI26" s="47"/>
      <c r="DJ26" s="47"/>
      <c r="DK26" s="47"/>
      <c r="DL26" s="47"/>
      <c r="DM26" s="47"/>
      <c r="DN26" s="47"/>
      <c r="DO26" s="58"/>
      <c r="DP26" s="58"/>
      <c r="DQ26" s="58"/>
      <c r="DR26" s="58"/>
      <c r="DS26" s="58"/>
      <c r="DT26" s="58"/>
      <c r="DU26" s="59"/>
      <c r="DV26" s="59"/>
    </row>
    <row r="27" spans="1:126" ht="12.75" customHeight="1" thickBot="1" x14ac:dyDescent="0.3">
      <c r="A27" s="48"/>
      <c r="B27" s="47"/>
      <c r="C27" s="60" t="str">
        <f>Threats!A21</f>
        <v>T21-Configuration Threats</v>
      </c>
      <c r="D27" s="64">
        <f>IF(X$7 &lt;&gt; 0, $D$7/X$7, 0)</f>
        <v>0</v>
      </c>
      <c r="E27" s="67">
        <f>IF(X$8 &lt;&gt;0, ($E$8/X$8), 0)</f>
        <v>0</v>
      </c>
      <c r="F27" s="67">
        <f>IF(X$9&lt;&gt;0, ($F$9/X$9),0)</f>
        <v>0</v>
      </c>
      <c r="G27" s="67">
        <f>IF(X$10&lt;&gt;0, ($G$10/X$10), 0)</f>
        <v>0</v>
      </c>
      <c r="H27" s="67">
        <f>IF($X$11&lt;&gt;0,$H$11/$X$11,0)</f>
        <v>0</v>
      </c>
      <c r="I27" s="67">
        <f>IF($X$12&lt;&gt;0,$I$12/$X$12,0)</f>
        <v>0</v>
      </c>
      <c r="J27" s="67">
        <f>IF($X$13&lt;&gt;0,$J$13/$X$13,0)</f>
        <v>0</v>
      </c>
      <c r="K27" s="67">
        <f>IF($X$14&lt;&gt;0,$K$14/$X$14,0)</f>
        <v>0</v>
      </c>
      <c r="L27" s="67">
        <f>IF($X$15&lt;&gt;0,$L$15/$X$15,0)</f>
        <v>0</v>
      </c>
      <c r="M27" s="67">
        <f>IF($X$16&lt;&gt;0,$M$16/$X$16,0)</f>
        <v>0</v>
      </c>
      <c r="N27" s="67">
        <f>IF($X$17&lt;&gt;0,$N$17/$X$17,0)</f>
        <v>0</v>
      </c>
      <c r="O27" s="67">
        <f>IF($X$18&lt;&gt;0,$O$18/$X$18,0)</f>
        <v>0</v>
      </c>
      <c r="P27" s="67">
        <f>IF($X$19&lt;&gt;0,$P$19/$X$19,0)</f>
        <v>0</v>
      </c>
      <c r="Q27" s="67">
        <f>IF($X$20&lt;&gt;0,$Q$20/$X$20,0)</f>
        <v>0</v>
      </c>
      <c r="R27" s="67">
        <f>IF($X$21&lt;&gt;0,$R$21/$X$21,0)</f>
        <v>3</v>
      </c>
      <c r="S27" s="67">
        <f>IF($X$22&lt;&gt;0,$S$22/$X$22,0)</f>
        <v>6</v>
      </c>
      <c r="T27" s="67">
        <f>IF($X$23&lt;&gt;0,$T$23/$X$23,0)</f>
        <v>2</v>
      </c>
      <c r="U27" s="67">
        <f>IF($X$24&lt;&gt;0,$U$24/$X$24,0)</f>
        <v>0.33333333333333331</v>
      </c>
      <c r="V27" s="67">
        <f>IF($X$25&lt;&gt;0,$V$25/$X$25,0)</f>
        <v>2</v>
      </c>
      <c r="W27" s="65">
        <f>IF($X$26&lt;&gt;0,$W$26/$X$26,0)</f>
        <v>1</v>
      </c>
      <c r="X27" s="62">
        <v>1</v>
      </c>
      <c r="Y27" s="208">
        <v>2</v>
      </c>
      <c r="Z27" s="85" t="str">
        <f>Threats!B21</f>
        <v>Threats to Information Leakage</v>
      </c>
      <c r="AA27" s="47"/>
      <c r="AB27" s="398" t="s">
        <v>255</v>
      </c>
      <c r="AC27" s="399"/>
      <c r="AD27" s="399"/>
      <c r="AE27" s="47"/>
      <c r="AF27" s="47"/>
      <c r="AG27" s="47"/>
      <c r="AH27" s="47"/>
      <c r="AI27" s="47"/>
      <c r="AJ27" s="47"/>
      <c r="AK27" s="47"/>
      <c r="AL27" s="47"/>
      <c r="AM27" s="47"/>
      <c r="AN27" s="47"/>
      <c r="AO27" s="47"/>
      <c r="AP27" s="47"/>
      <c r="AQ27" s="47"/>
      <c r="AR27" s="47"/>
      <c r="AS27" s="47"/>
      <c r="AT27" s="47"/>
      <c r="AU27" s="47"/>
      <c r="AV27" s="47"/>
      <c r="AW27" s="47"/>
      <c r="AX27" s="47"/>
      <c r="AY27" s="47"/>
      <c r="AZ27" s="47"/>
      <c r="BA27" s="47"/>
      <c r="BB27" s="47"/>
      <c r="BC27" s="47"/>
      <c r="BD27" s="47"/>
      <c r="BE27" s="47"/>
      <c r="BF27" s="47"/>
      <c r="BG27" s="47"/>
      <c r="BH27" s="47"/>
      <c r="BI27" s="47"/>
      <c r="BJ27" s="47"/>
      <c r="BK27" s="47"/>
      <c r="BL27" s="47"/>
      <c r="BM27" s="47"/>
      <c r="BN27" s="47"/>
      <c r="BO27" s="47"/>
      <c r="BP27" s="47"/>
      <c r="BQ27" s="47"/>
      <c r="BR27" s="47"/>
      <c r="BS27" s="47"/>
      <c r="BT27" s="47"/>
      <c r="BU27" s="47"/>
      <c r="BV27" s="47"/>
      <c r="BW27" s="47"/>
      <c r="BX27" s="47"/>
      <c r="BY27" s="47"/>
      <c r="BZ27" s="47"/>
      <c r="CA27" s="47"/>
      <c r="CB27" s="47"/>
      <c r="CC27" s="47"/>
      <c r="CD27" s="47"/>
      <c r="CE27" s="47"/>
      <c r="CF27" s="47"/>
      <c r="CG27" s="47"/>
      <c r="CH27" s="47"/>
      <c r="CI27" s="47"/>
      <c r="CJ27" s="47"/>
      <c r="CK27" s="47"/>
      <c r="CL27" s="47"/>
      <c r="CM27" s="47"/>
      <c r="CN27" s="47"/>
      <c r="CO27" s="47"/>
      <c r="CP27" s="47"/>
      <c r="CQ27" s="47"/>
      <c r="CR27" s="47"/>
      <c r="CS27" s="47"/>
      <c r="CT27" s="47"/>
      <c r="CU27" s="47"/>
      <c r="CV27" s="47"/>
      <c r="CW27" s="47"/>
      <c r="CX27" s="47"/>
      <c r="CY27" s="47"/>
      <c r="CZ27" s="47"/>
      <c r="DA27" s="47"/>
      <c r="DB27" s="47"/>
      <c r="DC27" s="47"/>
      <c r="DD27" s="47"/>
      <c r="DE27" s="47"/>
      <c r="DF27" s="47"/>
      <c r="DG27" s="47"/>
      <c r="DH27" s="47"/>
      <c r="DI27" s="47"/>
      <c r="DJ27" s="47"/>
      <c r="DK27" s="47"/>
      <c r="DL27" s="47"/>
      <c r="DM27" s="47"/>
      <c r="DN27" s="47"/>
      <c r="DO27" s="58"/>
      <c r="DP27" s="58"/>
      <c r="DQ27" s="58"/>
      <c r="DR27" s="58"/>
      <c r="DS27" s="58"/>
      <c r="DT27" s="58"/>
      <c r="DU27" s="59"/>
      <c r="DV27" s="59"/>
    </row>
    <row r="28" spans="1:126" ht="12.75" customHeight="1" thickBot="1" x14ac:dyDescent="0.3">
      <c r="A28" s="48"/>
      <c r="B28" s="47"/>
      <c r="C28" s="60" t="str">
        <f>Threats!A22</f>
        <v>T22- Communications Threats</v>
      </c>
      <c r="D28" s="64">
        <f>IF(Y$7 &lt;&gt; 0, $D$7/Y$7, 0)</f>
        <v>0</v>
      </c>
      <c r="E28" s="67">
        <f>IF(Y$8 &lt;&gt;0, ($E$8/Y$8),0)</f>
        <v>0</v>
      </c>
      <c r="F28" s="67">
        <f>IF(Y$9&lt;&gt;0, ($F$9/Y$9),0)</f>
        <v>0</v>
      </c>
      <c r="G28" s="67">
        <f>IF(Y$10&lt;&gt;0, ($G$10/Y$10),0)</f>
        <v>0</v>
      </c>
      <c r="H28" s="67">
        <f>IF($Y$11&lt;&gt;0,$H$11/$Y$11,0)</f>
        <v>0</v>
      </c>
      <c r="I28" s="67">
        <f>IF($Y$12&lt;&gt;0,$I$12/$Y$12,0)</f>
        <v>0</v>
      </c>
      <c r="J28" s="67">
        <f>IF($Y$13&lt;&gt;0,$J$13/$Y$13,0)</f>
        <v>0</v>
      </c>
      <c r="K28" s="67">
        <f>IF($Y$14&lt;&gt;0,$K$14/$Y$14,0)</f>
        <v>0</v>
      </c>
      <c r="L28" s="67">
        <f>IF($Y$15&lt;&gt;0,$L$15/$Y$15,0)</f>
        <v>0</v>
      </c>
      <c r="M28" s="67">
        <f>IF($Y$16&lt;&gt;0,$M$16/$Y$16,0)</f>
        <v>0</v>
      </c>
      <c r="N28" s="67">
        <f>IF($Y$17&lt;&gt;0,$N$17/$Y$17,0)</f>
        <v>0</v>
      </c>
      <c r="O28" s="67">
        <f>IF($Y$18&lt;&gt;0,$O$18/$Y$18,0)</f>
        <v>0</v>
      </c>
      <c r="P28" s="67">
        <f>IF($Y$19&lt;&gt;0,$P$19/$Y$19,0)</f>
        <v>0</v>
      </c>
      <c r="Q28" s="67">
        <f>IF($Y$20&lt;&gt;0,$Q$20/$Y$20,0)</f>
        <v>0</v>
      </c>
      <c r="R28" s="67">
        <f>IF($Y$21&lt;&gt;0,$R$21/$Y$21,0)</f>
        <v>4</v>
      </c>
      <c r="S28" s="67">
        <f>IF($Y$22&lt;&gt;0,$S$22/$Y$22,0)</f>
        <v>5</v>
      </c>
      <c r="T28" s="67">
        <f>IF($Y$23&lt;&gt;0,$T$23/$Y$23,0)</f>
        <v>1</v>
      </c>
      <c r="U28" s="67">
        <f>IF($Y$24&lt;&gt;0,$U$24/$Y$24,0)</f>
        <v>0.5</v>
      </c>
      <c r="V28" s="67">
        <f>IF($Y$25&lt;&gt;0,$V$25/$Y$25,0)</f>
        <v>2</v>
      </c>
      <c r="W28" s="67">
        <f>IF($Y$26&lt;&gt;0,$W$26/$Y$26,0)</f>
        <v>0.5</v>
      </c>
      <c r="X28" s="65">
        <f>IF($Y$27&lt;&gt;0,$X$27/$Y$27,0)</f>
        <v>0.5</v>
      </c>
      <c r="Y28" s="62">
        <v>1</v>
      </c>
      <c r="Z28" s="86" t="str">
        <f>Threats!B22</f>
        <v>Threats to Information Leakage</v>
      </c>
      <c r="AA28" s="47"/>
      <c r="AB28" s="400" t="s">
        <v>255</v>
      </c>
      <c r="AC28" s="401"/>
      <c r="AD28" s="401"/>
      <c r="AE28" s="47"/>
      <c r="AF28" s="47"/>
      <c r="AG28" s="47"/>
      <c r="AH28" s="47"/>
      <c r="AI28" s="47"/>
      <c r="AJ28" s="47"/>
      <c r="AK28" s="47"/>
      <c r="AL28" s="47"/>
      <c r="AM28" s="47"/>
      <c r="AN28" s="47"/>
      <c r="AO28" s="47"/>
      <c r="AP28" s="47"/>
      <c r="AQ28" s="47"/>
      <c r="AR28" s="47"/>
      <c r="AS28" s="47"/>
      <c r="AT28" s="47"/>
      <c r="AU28" s="47"/>
      <c r="AV28" s="47"/>
      <c r="AW28" s="47"/>
      <c r="AX28" s="47"/>
      <c r="AY28" s="47"/>
      <c r="AZ28" s="47"/>
      <c r="BA28" s="47"/>
      <c r="BB28" s="47"/>
      <c r="BC28" s="47"/>
      <c r="BD28" s="47"/>
      <c r="BE28" s="47"/>
      <c r="BF28" s="47"/>
      <c r="BG28" s="47"/>
      <c r="BH28" s="47"/>
      <c r="BI28" s="47"/>
      <c r="BJ28" s="47"/>
      <c r="BK28" s="47"/>
      <c r="BL28" s="47"/>
      <c r="BM28" s="47"/>
      <c r="BN28" s="47"/>
      <c r="BO28" s="47"/>
      <c r="BP28" s="47"/>
      <c r="BQ28" s="47"/>
      <c r="BR28" s="47"/>
      <c r="BS28" s="47"/>
      <c r="BT28" s="47"/>
      <c r="BU28" s="47"/>
      <c r="BV28" s="47"/>
      <c r="BW28" s="47"/>
      <c r="BX28" s="47"/>
      <c r="BY28" s="47"/>
      <c r="BZ28" s="47"/>
      <c r="CA28" s="47"/>
      <c r="CB28" s="47"/>
      <c r="CC28" s="47"/>
      <c r="CD28" s="47"/>
      <c r="CE28" s="47"/>
      <c r="CF28" s="47"/>
      <c r="CG28" s="47"/>
      <c r="CH28" s="47"/>
      <c r="CI28" s="47"/>
      <c r="CJ28" s="47"/>
      <c r="CK28" s="47"/>
      <c r="CL28" s="47"/>
      <c r="CM28" s="47"/>
      <c r="CN28" s="47"/>
      <c r="CO28" s="47"/>
      <c r="CP28" s="47"/>
      <c r="CQ28" s="47"/>
      <c r="CR28" s="47"/>
      <c r="CS28" s="47"/>
      <c r="CT28" s="47"/>
      <c r="CU28" s="47"/>
      <c r="CV28" s="47"/>
      <c r="CW28" s="47"/>
      <c r="CX28" s="47"/>
      <c r="CY28" s="47"/>
      <c r="CZ28" s="47"/>
      <c r="DA28" s="47"/>
      <c r="DB28" s="47"/>
      <c r="DC28" s="47"/>
      <c r="DD28" s="47"/>
      <c r="DE28" s="47"/>
      <c r="DF28" s="47"/>
      <c r="DG28" s="47"/>
      <c r="DH28" s="47"/>
      <c r="DI28" s="47"/>
      <c r="DJ28" s="47"/>
      <c r="DK28" s="47"/>
      <c r="DL28" s="47"/>
      <c r="DM28" s="47"/>
      <c r="DN28" s="47"/>
      <c r="DO28" s="58"/>
      <c r="DP28" s="58"/>
      <c r="DQ28" s="58"/>
      <c r="DR28" s="58"/>
      <c r="DS28" s="58"/>
      <c r="DT28" s="58"/>
      <c r="DU28" s="59"/>
      <c r="DV28" s="59"/>
    </row>
    <row r="29" spans="1:126" ht="12.75" customHeight="1" x14ac:dyDescent="0.25">
      <c r="A29" s="48"/>
      <c r="B29" s="47"/>
      <c r="C29" s="87" t="s">
        <v>251</v>
      </c>
      <c r="D29" s="88">
        <f t="shared" ref="D29:Y29" si="0">SUM(D7:D28)</f>
        <v>2.0694444444444446</v>
      </c>
      <c r="E29" s="89">
        <f t="shared" si="0"/>
        <v>27</v>
      </c>
      <c r="F29" s="89">
        <f t="shared" si="0"/>
        <v>12.533333333333331</v>
      </c>
      <c r="G29" s="89">
        <f t="shared" si="0"/>
        <v>15.333333333333332</v>
      </c>
      <c r="H29" s="89">
        <f t="shared" si="0"/>
        <v>21.833333333333329</v>
      </c>
      <c r="I29" s="89">
        <f t="shared" si="0"/>
        <v>11.2</v>
      </c>
      <c r="J29" s="89">
        <f t="shared" si="0"/>
        <v>35.5</v>
      </c>
      <c r="K29" s="89">
        <f t="shared" si="0"/>
        <v>40</v>
      </c>
      <c r="L29" s="89">
        <f t="shared" si="0"/>
        <v>26.333333333333332</v>
      </c>
      <c r="M29" s="89">
        <f t="shared" si="0"/>
        <v>14</v>
      </c>
      <c r="N29" s="89">
        <f t="shared" si="0"/>
        <v>14.5</v>
      </c>
      <c r="O29" s="89">
        <f t="shared" si="0"/>
        <v>16</v>
      </c>
      <c r="P29" s="89">
        <f t="shared" si="0"/>
        <v>10.65</v>
      </c>
      <c r="Q29" s="89">
        <f t="shared" si="0"/>
        <v>1.5456349206349207</v>
      </c>
      <c r="R29" s="89">
        <f t="shared" si="0"/>
        <v>24.5</v>
      </c>
      <c r="S29" s="89">
        <f t="shared" si="0"/>
        <v>37</v>
      </c>
      <c r="T29" s="89">
        <f t="shared" si="0"/>
        <v>8.5333333333333332</v>
      </c>
      <c r="U29" s="89">
        <f t="shared" si="0"/>
        <v>3.7</v>
      </c>
      <c r="V29" s="89">
        <f t="shared" si="0"/>
        <v>9.3666666666666671</v>
      </c>
      <c r="W29" s="89">
        <f t="shared" si="0"/>
        <v>7</v>
      </c>
      <c r="X29" s="89">
        <f t="shared" si="0"/>
        <v>7</v>
      </c>
      <c r="Y29" s="89">
        <f t="shared" si="0"/>
        <v>8.9499999999999993</v>
      </c>
      <c r="Z29" s="47"/>
      <c r="AA29" s="47"/>
      <c r="AC29" s="47"/>
      <c r="AD29" s="47"/>
      <c r="AE29" s="47"/>
      <c r="AF29" s="47"/>
      <c r="AG29" s="47"/>
      <c r="AH29" s="47"/>
      <c r="AI29" s="47"/>
      <c r="AJ29" s="47"/>
      <c r="AK29" s="47"/>
      <c r="AL29" s="47"/>
      <c r="AM29" s="47"/>
      <c r="AN29" s="47"/>
      <c r="AO29" s="47"/>
      <c r="AP29" s="47"/>
      <c r="AQ29" s="47"/>
      <c r="AR29" s="47"/>
      <c r="AS29" s="47"/>
      <c r="AT29" s="47"/>
      <c r="AU29" s="47"/>
      <c r="AV29" s="47"/>
      <c r="AW29" s="47"/>
      <c r="AX29" s="47"/>
      <c r="AY29" s="47"/>
      <c r="AZ29" s="47"/>
      <c r="BA29" s="47"/>
      <c r="BB29" s="47"/>
      <c r="BC29" s="47"/>
      <c r="BD29" s="47"/>
      <c r="BE29" s="47"/>
      <c r="BF29" s="47"/>
      <c r="BG29" s="47"/>
      <c r="BH29" s="47"/>
      <c r="BI29" s="47"/>
      <c r="BJ29" s="47"/>
      <c r="BK29" s="47"/>
      <c r="BL29" s="47"/>
      <c r="BM29" s="47"/>
      <c r="BN29" s="47"/>
      <c r="BO29" s="47"/>
      <c r="BP29" s="47"/>
      <c r="BQ29" s="47"/>
      <c r="BR29" s="47"/>
      <c r="BS29" s="47"/>
      <c r="BT29" s="47"/>
      <c r="BU29" s="47"/>
      <c r="BV29" s="47"/>
      <c r="BW29" s="47"/>
      <c r="BX29" s="47"/>
      <c r="BY29" s="47"/>
      <c r="BZ29" s="47"/>
      <c r="CA29" s="47"/>
      <c r="CB29" s="47"/>
      <c r="CC29" s="47"/>
      <c r="CD29" s="47"/>
      <c r="CE29" s="47"/>
      <c r="CF29" s="47"/>
      <c r="CG29" s="47"/>
      <c r="CH29" s="47"/>
      <c r="CI29" s="47"/>
      <c r="CJ29" s="47"/>
      <c r="CK29" s="47"/>
      <c r="CL29" s="47"/>
      <c r="CM29" s="47"/>
      <c r="CN29" s="47"/>
      <c r="CO29" s="47"/>
      <c r="CP29" s="47"/>
      <c r="CQ29" s="47"/>
      <c r="CR29" s="47"/>
      <c r="CS29" s="47"/>
      <c r="CT29" s="47"/>
      <c r="CU29" s="47"/>
      <c r="CV29" s="47"/>
      <c r="CW29" s="47"/>
      <c r="CX29" s="47"/>
      <c r="CY29" s="47"/>
      <c r="CZ29" s="47"/>
      <c r="DA29" s="47"/>
      <c r="DB29" s="47"/>
      <c r="DC29" s="47"/>
      <c r="DD29" s="47"/>
      <c r="DE29" s="47"/>
      <c r="DF29" s="47"/>
      <c r="DG29" s="47"/>
      <c r="DH29" s="47"/>
      <c r="DI29" s="47"/>
      <c r="DJ29" s="47"/>
      <c r="DK29" s="47"/>
      <c r="DL29" s="47"/>
      <c r="DM29" s="47"/>
      <c r="DN29" s="47"/>
      <c r="DO29" s="58"/>
      <c r="DP29" s="58"/>
      <c r="DQ29" s="58"/>
      <c r="DR29" s="58"/>
      <c r="DS29" s="58"/>
      <c r="DT29" s="58"/>
      <c r="DU29" s="59"/>
      <c r="DV29" s="59"/>
    </row>
    <row r="30" spans="1:126" s="50" customFormat="1" ht="12.75" customHeight="1" x14ac:dyDescent="0.25">
      <c r="A30" s="90"/>
      <c r="B30" s="54"/>
      <c r="C30" s="91"/>
      <c r="D30" s="92"/>
      <c r="E30" s="92"/>
      <c r="F30" s="92"/>
      <c r="G30" s="92"/>
      <c r="H30" s="92"/>
      <c r="I30" s="92"/>
      <c r="J30" s="92"/>
      <c r="K30" s="92"/>
      <c r="L30" s="92"/>
      <c r="M30" s="92"/>
      <c r="N30" s="92"/>
      <c r="O30" s="92"/>
      <c r="P30" s="92"/>
      <c r="Q30" s="92"/>
      <c r="R30" s="92"/>
      <c r="S30" s="92"/>
      <c r="T30" s="92"/>
      <c r="U30" s="92"/>
      <c r="V30" s="92"/>
      <c r="W30" s="92"/>
      <c r="X30" s="92"/>
      <c r="Y30" s="92"/>
      <c r="Z30" s="54"/>
      <c r="AA30" s="54"/>
      <c r="AB30" s="93"/>
      <c r="AC30" s="54"/>
      <c r="AD30" s="54"/>
      <c r="AE30" s="54"/>
      <c r="AF30" s="54"/>
      <c r="AG30" s="54"/>
      <c r="AH30" s="54"/>
      <c r="AI30" s="54"/>
      <c r="AJ30" s="54"/>
      <c r="AK30" s="54"/>
      <c r="AL30" s="54"/>
      <c r="AM30" s="54"/>
      <c r="AN30" s="54"/>
      <c r="AO30" s="54"/>
      <c r="AP30" s="54"/>
      <c r="AQ30" s="54"/>
      <c r="AR30" s="54"/>
      <c r="AS30" s="54"/>
      <c r="AT30" s="54"/>
      <c r="AU30" s="54"/>
      <c r="AV30" s="54"/>
      <c r="AW30" s="54"/>
      <c r="AX30" s="54"/>
      <c r="AY30" s="54"/>
      <c r="AZ30" s="54"/>
      <c r="BA30" s="54"/>
      <c r="BB30" s="54"/>
      <c r="BC30" s="54"/>
      <c r="BD30" s="54"/>
      <c r="BE30" s="54"/>
      <c r="BF30" s="54"/>
      <c r="BG30" s="54"/>
      <c r="BH30" s="54"/>
      <c r="BI30" s="54"/>
      <c r="BJ30" s="54"/>
      <c r="BK30" s="54"/>
      <c r="BL30" s="54"/>
      <c r="BM30" s="54"/>
      <c r="BN30" s="54"/>
      <c r="BO30" s="54"/>
      <c r="BP30" s="54"/>
      <c r="BQ30" s="54"/>
      <c r="BR30" s="54"/>
      <c r="BS30" s="54"/>
      <c r="BT30" s="54"/>
      <c r="BU30" s="54"/>
      <c r="BV30" s="54"/>
      <c r="BW30" s="54"/>
      <c r="BX30" s="54"/>
      <c r="BY30" s="54"/>
      <c r="BZ30" s="54"/>
      <c r="CA30" s="54"/>
      <c r="CB30" s="54"/>
      <c r="CC30" s="54"/>
      <c r="CD30" s="54"/>
      <c r="CE30" s="54"/>
      <c r="CF30" s="54"/>
      <c r="CG30" s="54"/>
      <c r="CH30" s="54"/>
      <c r="CI30" s="54"/>
      <c r="CJ30" s="54"/>
      <c r="CK30" s="54"/>
      <c r="CL30" s="54"/>
      <c r="CM30" s="54"/>
      <c r="CN30" s="54"/>
      <c r="CO30" s="54"/>
      <c r="CP30" s="54"/>
      <c r="CQ30" s="54"/>
      <c r="CR30" s="54"/>
      <c r="CS30" s="54"/>
      <c r="CT30" s="54"/>
      <c r="CU30" s="54"/>
      <c r="CV30" s="54"/>
      <c r="CW30" s="54"/>
      <c r="CX30" s="54"/>
      <c r="CY30" s="54"/>
      <c r="CZ30" s="54"/>
      <c r="DA30" s="54"/>
      <c r="DB30" s="54"/>
      <c r="DC30" s="54"/>
      <c r="DD30" s="54"/>
      <c r="DE30" s="54"/>
      <c r="DF30" s="54"/>
      <c r="DG30" s="54"/>
      <c r="DH30" s="54"/>
      <c r="DI30" s="54"/>
      <c r="DJ30" s="54"/>
      <c r="DK30" s="54"/>
      <c r="DL30" s="54"/>
      <c r="DM30" s="54"/>
      <c r="DN30" s="54"/>
      <c r="DO30" s="94"/>
      <c r="DP30" s="94"/>
      <c r="DQ30" s="94"/>
      <c r="DR30" s="94"/>
      <c r="DS30" s="94"/>
      <c r="DT30" s="94"/>
      <c r="DU30" s="95"/>
      <c r="DV30" s="95"/>
    </row>
    <row r="31" spans="1:126" s="50" customFormat="1" ht="12.75" customHeight="1" thickBot="1" x14ac:dyDescent="0.3">
      <c r="A31" s="90"/>
      <c r="B31" s="54"/>
      <c r="C31" s="91"/>
      <c r="D31" s="92"/>
      <c r="E31" s="92"/>
      <c r="F31" s="92"/>
      <c r="G31" s="92"/>
      <c r="H31" s="92"/>
      <c r="I31" s="92"/>
      <c r="J31" s="92"/>
      <c r="K31" s="92"/>
      <c r="L31" s="92"/>
      <c r="M31" s="92"/>
      <c r="N31" s="92"/>
      <c r="O31" s="92"/>
      <c r="P31" s="92"/>
      <c r="Q31" s="92"/>
      <c r="R31" s="92"/>
      <c r="S31" s="92"/>
      <c r="T31" s="92"/>
      <c r="U31" s="92"/>
      <c r="V31" s="92"/>
      <c r="W31" s="92"/>
      <c r="X31" s="92"/>
      <c r="Y31" s="92"/>
      <c r="Z31" s="54"/>
      <c r="AB31" s="93"/>
      <c r="AC31" s="54"/>
      <c r="AD31" s="54"/>
      <c r="AE31" s="54"/>
      <c r="AF31" s="54"/>
      <c r="AG31" s="54"/>
      <c r="AH31" s="54"/>
      <c r="AI31" s="54"/>
      <c r="AJ31" s="54"/>
      <c r="AK31" s="54"/>
      <c r="AL31" s="54"/>
      <c r="AM31" s="54"/>
      <c r="AN31" s="54"/>
      <c r="AO31" s="54"/>
      <c r="AP31" s="54"/>
      <c r="AQ31" s="54"/>
      <c r="AR31" s="54"/>
      <c r="AS31" s="54"/>
      <c r="AT31" s="54"/>
      <c r="AU31" s="54"/>
      <c r="AV31" s="54"/>
      <c r="AW31" s="54"/>
      <c r="AX31" s="54"/>
      <c r="AY31" s="54"/>
      <c r="AZ31" s="54"/>
      <c r="BA31" s="54"/>
      <c r="BB31" s="54"/>
      <c r="BC31" s="54"/>
      <c r="BD31" s="54"/>
      <c r="BE31" s="54"/>
      <c r="BF31" s="54"/>
      <c r="BG31" s="54"/>
      <c r="BH31" s="54"/>
      <c r="BI31" s="54"/>
      <c r="BJ31" s="54"/>
      <c r="BK31" s="54"/>
      <c r="BL31" s="54"/>
      <c r="BM31" s="54"/>
      <c r="BN31" s="54"/>
      <c r="BO31" s="54"/>
      <c r="BP31" s="54"/>
      <c r="BQ31" s="54"/>
      <c r="BR31" s="54"/>
      <c r="BS31" s="54"/>
      <c r="BT31" s="54"/>
      <c r="BU31" s="54"/>
      <c r="BV31" s="54"/>
      <c r="BW31" s="54"/>
      <c r="BX31" s="54"/>
      <c r="BY31" s="54"/>
      <c r="BZ31" s="54"/>
      <c r="CA31" s="54"/>
      <c r="CB31" s="54"/>
      <c r="CC31" s="54"/>
      <c r="CD31" s="54"/>
      <c r="CE31" s="54"/>
      <c r="CF31" s="54"/>
      <c r="CG31" s="54"/>
      <c r="CH31" s="54"/>
      <c r="CI31" s="54"/>
      <c r="CJ31" s="54"/>
      <c r="CK31" s="54"/>
      <c r="CL31" s="54"/>
      <c r="CM31" s="54"/>
      <c r="CN31" s="54"/>
      <c r="CO31" s="54"/>
      <c r="CP31" s="54"/>
      <c r="CQ31" s="54"/>
      <c r="CR31" s="54"/>
      <c r="CS31" s="54"/>
      <c r="CT31" s="54"/>
      <c r="CU31" s="54"/>
      <c r="CV31" s="54"/>
      <c r="CW31" s="54"/>
      <c r="CX31" s="54"/>
      <c r="CY31" s="54"/>
      <c r="CZ31" s="54"/>
      <c r="DA31" s="54"/>
      <c r="DB31" s="54"/>
      <c r="DC31" s="54"/>
      <c r="DD31" s="54"/>
      <c r="DE31" s="54"/>
      <c r="DF31" s="54"/>
      <c r="DG31" s="54"/>
      <c r="DH31" s="54"/>
      <c r="DI31" s="54"/>
      <c r="DJ31" s="54"/>
      <c r="DK31" s="54"/>
      <c r="DL31" s="54"/>
      <c r="DM31" s="54"/>
      <c r="DN31" s="54"/>
      <c r="DO31" s="94"/>
      <c r="DP31" s="94"/>
      <c r="DQ31" s="94"/>
      <c r="DR31" s="94"/>
      <c r="DS31" s="94"/>
      <c r="DT31" s="94"/>
      <c r="DU31" s="95"/>
      <c r="DV31" s="95"/>
    </row>
    <row r="32" spans="1:126" ht="12.75" customHeight="1" thickTop="1" x14ac:dyDescent="0.3">
      <c r="A32" s="48"/>
      <c r="B32" s="47"/>
      <c r="C32" s="402" t="s">
        <v>277</v>
      </c>
      <c r="D32" s="388" t="str">
        <f>"Normalized Score "&amp;Threats!A1</f>
        <v>Normalized Score T1-Power Loss</v>
      </c>
      <c r="E32" s="388" t="str">
        <f>"Normalized Score "&amp;Threats!A2</f>
        <v>Normalized Score T2-Hardware Failure</v>
      </c>
      <c r="F32" s="388" t="str">
        <f>"Normalized Score "&amp;Threats!A3</f>
        <v>Normalized Score T3-Software Crash</v>
      </c>
      <c r="G32" s="388" t="str">
        <f>"Normalized Score "&amp;Threats!A4</f>
        <v>Normalized Score T4-Operator Errors</v>
      </c>
      <c r="H32" s="388" t="str">
        <f>"Normalized Score "&amp;Threats!A5</f>
        <v>Normalized Score T5-Malicious Inside Action</v>
      </c>
      <c r="I32" s="388" t="str">
        <f>"Normalized Score "&amp;Threats!A6</f>
        <v>Normalized Score T6-Trojan and Worms</v>
      </c>
      <c r="J32" s="388" t="str">
        <f>"Normalized Score "&amp;Threats!A7</f>
        <v>Normalized Score T7-Fire</v>
      </c>
      <c r="K32" s="388" t="str">
        <f>"Normalized Score "&amp;Threats!A8</f>
        <v>Normalized Score T8-Other Enviromental Disasters</v>
      </c>
      <c r="L32" s="388" t="str">
        <f>"Normalized Score"&amp;Threats!A9</f>
        <v>Normalized ScoreT9-Availability Threats(DDOS)</v>
      </c>
      <c r="M32" s="388" t="str">
        <f>"Normalized Score "&amp;Threats!A10</f>
        <v>Normalized Score T10-Disk Failure</v>
      </c>
      <c r="N32" s="388" t="str">
        <f>"Normalized Score "&amp;Threats!A11</f>
        <v>Normalized Score T11-Data Corruption</v>
      </c>
      <c r="O32" s="388" t="str">
        <f>"Normalized Score "&amp;Threats!A12</f>
        <v>Normalized Score T12-Inaccurrate Data</v>
      </c>
      <c r="P32" s="388" t="str">
        <f>"Normalized Score "&amp;Threats!A13</f>
        <v>Normalized Score T13-Un-authorized Access</v>
      </c>
      <c r="Q32" s="388" t="str">
        <f>"Normalized Score "&amp;Threats!A14</f>
        <v>Normalized Score T14-Virus and Spyware</v>
      </c>
      <c r="R32" s="388" t="str">
        <f>"Normalized Score "&amp;Threats!A15</f>
        <v>Normalized Score T15-Hacking</v>
      </c>
      <c r="S32" s="388" t="str">
        <f>"Normalized Score "&amp;Threats!A16</f>
        <v>Normalized Score T16-Media Leakage</v>
      </c>
      <c r="T32" s="388" t="str">
        <f>"Normalized Score "&amp;Threats!A17</f>
        <v>Normalized Score T17-Communication Preventers(Botnet, Dialer)</v>
      </c>
      <c r="U32" s="388" t="str">
        <f>"Normalized Score "&amp;Threats!A18</f>
        <v>Normalized Score T18-Authentication Threats</v>
      </c>
      <c r="V32" s="388" t="str">
        <f>"Normalized Score "&amp;Threats!A19</f>
        <v>Normalized Score T19-Non Repudiation Threats</v>
      </c>
      <c r="W32" s="388" t="str">
        <f>"Normalized Score "&amp;Threats!A20</f>
        <v>Normalized Score T20-Separation of Duties</v>
      </c>
      <c r="X32" s="388" t="str">
        <f>"Normalized Score"&amp;Threats!A21</f>
        <v>Normalized ScoreT21-Configuration Threats</v>
      </c>
      <c r="Y32" s="388" t="str">
        <f>"Normalized Score"&amp;Threats!A22</f>
        <v>Normalized ScoreT22- Communications Threats</v>
      </c>
      <c r="Z32" s="406" t="s">
        <v>252</v>
      </c>
      <c r="AA32" s="96"/>
      <c r="AB32" s="96"/>
      <c r="AC32" s="97"/>
      <c r="AD32" s="98"/>
      <c r="AE32" s="408" t="s">
        <v>264</v>
      </c>
      <c r="AF32" s="402" t="s">
        <v>277</v>
      </c>
      <c r="AG32" s="47"/>
      <c r="AH32" s="47"/>
      <c r="AI32" s="47"/>
      <c r="AJ32" s="47"/>
      <c r="AK32" s="47"/>
      <c r="AL32" s="47"/>
      <c r="AM32" s="47"/>
      <c r="AN32" s="47"/>
      <c r="AO32" s="47"/>
      <c r="AP32" s="47"/>
      <c r="AQ32" s="47"/>
      <c r="AR32" s="47"/>
      <c r="AS32" s="47"/>
      <c r="AT32" s="47"/>
      <c r="AU32" s="47"/>
      <c r="AV32" s="47"/>
      <c r="AW32" s="47"/>
      <c r="AX32" s="47"/>
      <c r="AY32" s="47"/>
      <c r="AZ32" s="47"/>
      <c r="BA32" s="47"/>
      <c r="BB32" s="47"/>
      <c r="BC32" s="47"/>
      <c r="BD32" s="47"/>
      <c r="BE32" s="47"/>
      <c r="BF32" s="47"/>
      <c r="BG32" s="47"/>
      <c r="BH32" s="47"/>
      <c r="BI32" s="47"/>
      <c r="BJ32" s="47"/>
      <c r="BK32" s="47"/>
      <c r="BL32" s="47"/>
      <c r="BM32" s="47"/>
      <c r="BN32" s="47"/>
      <c r="BO32" s="47"/>
      <c r="BP32" s="47"/>
      <c r="BQ32" s="47"/>
      <c r="BR32" s="47"/>
      <c r="BS32" s="47"/>
      <c r="BT32" s="47"/>
      <c r="BU32" s="47"/>
      <c r="BV32" s="47"/>
      <c r="BW32" s="47"/>
      <c r="BX32" s="47"/>
      <c r="BY32" s="47"/>
      <c r="BZ32" s="47"/>
      <c r="CA32" s="47"/>
      <c r="CB32" s="47"/>
      <c r="CC32" s="47"/>
      <c r="CD32" s="47"/>
      <c r="CE32" s="47"/>
      <c r="CF32" s="47"/>
      <c r="CG32" s="47"/>
      <c r="CH32" s="47"/>
      <c r="CI32" s="47"/>
      <c r="CJ32" s="47"/>
      <c r="CK32" s="47"/>
      <c r="CL32" s="47"/>
      <c r="CM32" s="47"/>
      <c r="CN32" s="47"/>
      <c r="CO32" s="47"/>
      <c r="CP32" s="47"/>
      <c r="CQ32" s="47"/>
      <c r="CR32" s="47"/>
      <c r="CS32" s="47"/>
      <c r="CT32" s="47"/>
      <c r="CU32" s="47"/>
      <c r="CV32" s="47"/>
      <c r="CW32" s="47"/>
      <c r="CX32" s="47"/>
      <c r="CY32" s="47"/>
      <c r="CZ32" s="47"/>
      <c r="DA32" s="47"/>
      <c r="DB32" s="47"/>
      <c r="DC32" s="47"/>
      <c r="DD32" s="47"/>
      <c r="DE32" s="47"/>
      <c r="DF32" s="47"/>
      <c r="DG32" s="47"/>
      <c r="DH32" s="47"/>
      <c r="DI32" s="47"/>
      <c r="DJ32" s="47"/>
      <c r="DK32" s="47"/>
      <c r="DL32" s="47"/>
      <c r="DM32" s="47"/>
      <c r="DN32" s="47"/>
      <c r="DO32" s="410"/>
      <c r="DP32" s="404"/>
      <c r="DQ32" s="404"/>
      <c r="DR32" s="404"/>
      <c r="DS32" s="404"/>
      <c r="DT32" s="404"/>
      <c r="DU32" s="404"/>
      <c r="DV32" s="404"/>
    </row>
    <row r="33" spans="1:126" ht="115.5" customHeight="1" x14ac:dyDescent="0.25">
      <c r="A33" s="48"/>
      <c r="B33" s="47"/>
      <c r="C33" s="403"/>
      <c r="D33" s="389"/>
      <c r="E33" s="389"/>
      <c r="F33" s="389"/>
      <c r="G33" s="389"/>
      <c r="H33" s="389"/>
      <c r="I33" s="389"/>
      <c r="J33" s="389"/>
      <c r="K33" s="389"/>
      <c r="L33" s="389"/>
      <c r="M33" s="389"/>
      <c r="N33" s="389"/>
      <c r="O33" s="389"/>
      <c r="P33" s="389"/>
      <c r="Q33" s="389"/>
      <c r="R33" s="389"/>
      <c r="S33" s="389"/>
      <c r="T33" s="389"/>
      <c r="U33" s="389"/>
      <c r="V33" s="389"/>
      <c r="W33" s="389"/>
      <c r="X33" s="389"/>
      <c r="Y33" s="389"/>
      <c r="Z33" s="407"/>
      <c r="AA33" s="99" t="s">
        <v>253</v>
      </c>
      <c r="AB33" s="100" t="s">
        <v>256</v>
      </c>
      <c r="AC33" s="101" t="s">
        <v>257</v>
      </c>
      <c r="AD33" s="102" t="s">
        <v>258</v>
      </c>
      <c r="AE33" s="409"/>
      <c r="AF33" s="403"/>
      <c r="AG33" s="47"/>
      <c r="AH33" s="47"/>
      <c r="AI33" s="47"/>
      <c r="AJ33" s="47"/>
      <c r="AK33" s="47"/>
      <c r="AL33" s="103"/>
      <c r="AM33" s="103"/>
      <c r="AO33" s="47"/>
      <c r="AP33" s="47"/>
      <c r="AQ33" s="47"/>
      <c r="AR33" s="47"/>
      <c r="AS33" s="47"/>
      <c r="AT33" s="47"/>
      <c r="AU33" s="47"/>
      <c r="AV33" s="47"/>
      <c r="AW33" s="47"/>
      <c r="AX33" s="47"/>
      <c r="AY33" s="47"/>
      <c r="AZ33" s="47"/>
      <c r="BA33" s="47"/>
      <c r="BB33" s="47"/>
      <c r="BC33" s="47"/>
      <c r="BD33" s="47"/>
      <c r="BE33" s="47"/>
      <c r="BF33" s="47"/>
      <c r="BG33" s="47"/>
      <c r="BH33" s="47"/>
      <c r="BI33" s="47"/>
      <c r="BJ33" s="47"/>
      <c r="BK33" s="47"/>
      <c r="BL33" s="47"/>
      <c r="BM33" s="47"/>
      <c r="BN33" s="47"/>
      <c r="BO33" s="47"/>
      <c r="BP33" s="47"/>
      <c r="BQ33" s="47"/>
      <c r="BR33" s="47"/>
      <c r="BS33" s="47"/>
      <c r="BT33" s="47"/>
      <c r="BU33" s="47"/>
      <c r="BV33" s="47"/>
      <c r="BW33" s="47"/>
      <c r="BX33" s="47"/>
      <c r="BY33" s="47"/>
      <c r="BZ33" s="47"/>
      <c r="CA33" s="47"/>
      <c r="CB33" s="47"/>
      <c r="CC33" s="47"/>
      <c r="CD33" s="47"/>
      <c r="CE33" s="47"/>
      <c r="CF33" s="47"/>
      <c r="CG33" s="47"/>
      <c r="CH33" s="47"/>
      <c r="CI33" s="47"/>
      <c r="CJ33" s="47"/>
      <c r="CK33" s="47"/>
      <c r="CL33" s="47"/>
      <c r="CM33" s="47"/>
      <c r="CN33" s="47"/>
      <c r="CO33" s="47"/>
      <c r="CP33" s="47"/>
      <c r="CQ33" s="47"/>
      <c r="CR33" s="47"/>
      <c r="CS33" s="47"/>
      <c r="CT33" s="47"/>
      <c r="CU33" s="47"/>
      <c r="CV33" s="47"/>
      <c r="CW33" s="47"/>
      <c r="CX33" s="47"/>
      <c r="CY33" s="47"/>
      <c r="CZ33" s="47"/>
      <c r="DA33" s="47"/>
      <c r="DB33" s="47"/>
      <c r="DC33" s="47"/>
      <c r="DD33" s="47"/>
      <c r="DE33" s="47"/>
      <c r="DF33" s="47"/>
      <c r="DG33" s="47"/>
      <c r="DH33" s="47"/>
      <c r="DI33" s="47"/>
      <c r="DJ33" s="47"/>
      <c r="DK33" s="47"/>
      <c r="DL33" s="47"/>
      <c r="DM33" s="47"/>
      <c r="DN33" s="47"/>
      <c r="DO33" s="410"/>
      <c r="DP33" s="404"/>
      <c r="DQ33" s="404"/>
      <c r="DR33" s="404"/>
      <c r="DS33" s="404"/>
      <c r="DT33" s="404"/>
      <c r="DU33" s="404"/>
      <c r="DV33" s="404"/>
    </row>
    <row r="34" spans="1:126" ht="12.75" customHeight="1" x14ac:dyDescent="0.3">
      <c r="A34" s="48"/>
      <c r="B34" s="47"/>
      <c r="C34" s="104" t="str">
        <f xml:space="preserve"> Threats!A1</f>
        <v>T1-Power Loss</v>
      </c>
      <c r="D34" s="105">
        <f t="shared" ref="D34:Y34" si="1">(D$7/D$29)</f>
        <v>0.48322147651006708</v>
      </c>
      <c r="E34" s="106">
        <f t="shared" si="1"/>
        <v>0.22222222222222221</v>
      </c>
      <c r="F34" s="105">
        <f t="shared" si="1"/>
        <v>0.47872340425531923</v>
      </c>
      <c r="G34" s="105">
        <f t="shared" si="1"/>
        <v>0.39130434782608697</v>
      </c>
      <c r="H34" s="105">
        <f t="shared" si="1"/>
        <v>0.41221374045801534</v>
      </c>
      <c r="I34" s="105">
        <f t="shared" si="1"/>
        <v>0.7142857142857143</v>
      </c>
      <c r="J34" s="105">
        <f t="shared" si="1"/>
        <v>0.25352112676056338</v>
      </c>
      <c r="K34" s="105">
        <f t="shared" si="1"/>
        <v>0.22500000000000001</v>
      </c>
      <c r="L34" s="105">
        <f t="shared" si="1"/>
        <v>0.34177215189873417</v>
      </c>
      <c r="M34" s="105">
        <f t="shared" si="1"/>
        <v>0</v>
      </c>
      <c r="N34" s="105">
        <f t="shared" si="1"/>
        <v>0</v>
      </c>
      <c r="O34" s="105">
        <f t="shared" si="1"/>
        <v>0</v>
      </c>
      <c r="P34" s="105">
        <f t="shared" si="1"/>
        <v>0</v>
      </c>
      <c r="Q34" s="105">
        <f t="shared" si="1"/>
        <v>0</v>
      </c>
      <c r="R34" s="105">
        <f t="shared" si="1"/>
        <v>0</v>
      </c>
      <c r="S34" s="105">
        <f t="shared" si="1"/>
        <v>0</v>
      </c>
      <c r="T34" s="105">
        <f t="shared" si="1"/>
        <v>0</v>
      </c>
      <c r="U34" s="105">
        <f t="shared" si="1"/>
        <v>0</v>
      </c>
      <c r="V34" s="105">
        <f t="shared" si="1"/>
        <v>0</v>
      </c>
      <c r="W34" s="105">
        <f t="shared" si="1"/>
        <v>0</v>
      </c>
      <c r="X34" s="105">
        <f t="shared" si="1"/>
        <v>0</v>
      </c>
      <c r="Y34" s="105">
        <f t="shared" si="1"/>
        <v>0</v>
      </c>
      <c r="Z34" s="105">
        <f t="shared" ref="Z34:Z55" si="2">SUM(D34:Y34)</f>
        <v>3.522264184216723</v>
      </c>
      <c r="AA34" s="105">
        <f t="shared" ref="AA34:AA55" si="3">(Z34/$Z$56)</f>
        <v>0.15971675509714034</v>
      </c>
      <c r="AB34" s="105" t="str">
        <f>Threats!B1</f>
        <v>Threats to The Level of Service</v>
      </c>
      <c r="AC34" s="107">
        <f>INDEX(I69:I73,MATCH(AB34,B59:B63,0))</f>
        <v>6.8975468975468981E-2</v>
      </c>
      <c r="AD34" s="108">
        <f t="shared" ref="AD34:AD55" si="4">Z34*AC34</f>
        <v>0.24294982396184614</v>
      </c>
      <c r="AE34" s="109">
        <f>MMULT(D7:Y7, AA34:AA55)/AA34</f>
        <v>12.473105660141156</v>
      </c>
      <c r="AF34" s="104" t="str">
        <f xml:space="preserve"> Threats!A1</f>
        <v>T1-Power Loss</v>
      </c>
      <c r="AG34" s="47"/>
      <c r="AH34" s="47"/>
      <c r="AI34" s="47"/>
      <c r="AK34" s="47"/>
      <c r="AL34" s="47"/>
      <c r="AM34" s="47"/>
      <c r="AO34" s="47"/>
      <c r="AP34" s="47"/>
      <c r="AQ34" s="47"/>
      <c r="AR34" s="47"/>
      <c r="AS34" s="47"/>
      <c r="AT34" s="47"/>
      <c r="AU34" s="47"/>
      <c r="AV34" s="47"/>
      <c r="AW34" s="47"/>
      <c r="AX34" s="47"/>
      <c r="AY34" s="47"/>
      <c r="AZ34" s="47"/>
      <c r="BA34" s="47"/>
      <c r="BB34" s="47"/>
      <c r="BC34" s="47"/>
      <c r="BD34" s="47"/>
      <c r="BE34" s="47"/>
      <c r="BF34" s="47"/>
      <c r="BG34" s="47"/>
      <c r="BH34" s="47"/>
      <c r="BI34" s="47"/>
      <c r="BJ34" s="47"/>
      <c r="BK34" s="47"/>
      <c r="BL34" s="47"/>
      <c r="BM34" s="47"/>
      <c r="BN34" s="47"/>
      <c r="BO34" s="47"/>
      <c r="BP34" s="47"/>
      <c r="BQ34" s="47"/>
      <c r="BR34" s="47"/>
      <c r="BS34" s="47"/>
      <c r="BT34" s="47"/>
      <c r="BU34" s="47"/>
      <c r="BV34" s="47"/>
      <c r="BW34" s="47"/>
      <c r="BX34" s="47"/>
      <c r="BY34" s="47"/>
      <c r="BZ34" s="47"/>
      <c r="CA34" s="47"/>
      <c r="CB34" s="47"/>
      <c r="CC34" s="47"/>
      <c r="CD34" s="47"/>
      <c r="CE34" s="47"/>
      <c r="CF34" s="47"/>
      <c r="CG34" s="47"/>
      <c r="CH34" s="47"/>
      <c r="CI34" s="47"/>
      <c r="CJ34" s="47"/>
      <c r="CK34" s="47"/>
      <c r="CL34" s="47"/>
      <c r="CM34" s="47"/>
      <c r="CN34" s="47"/>
      <c r="CO34" s="47"/>
      <c r="CP34" s="47"/>
      <c r="CQ34" s="47"/>
      <c r="CR34" s="47"/>
      <c r="CS34" s="47"/>
      <c r="CT34" s="47"/>
      <c r="CU34" s="47"/>
      <c r="CV34" s="47"/>
      <c r="CW34" s="47"/>
      <c r="CX34" s="47"/>
      <c r="CY34" s="47"/>
      <c r="CZ34" s="47"/>
      <c r="DA34" s="47"/>
      <c r="DB34" s="47"/>
      <c r="DC34" s="47"/>
      <c r="DD34" s="47"/>
      <c r="DE34" s="47"/>
      <c r="DF34" s="47"/>
      <c r="DG34" s="47"/>
      <c r="DH34" s="47"/>
      <c r="DI34" s="47"/>
      <c r="DJ34" s="47"/>
      <c r="DK34" s="47"/>
      <c r="DL34" s="47"/>
      <c r="DM34" s="47"/>
      <c r="DN34" s="47"/>
      <c r="DO34" s="58"/>
      <c r="DP34" s="58"/>
      <c r="DQ34" s="58"/>
      <c r="DR34" s="58"/>
      <c r="DS34" s="58"/>
      <c r="DT34" s="58"/>
      <c r="DU34" s="58"/>
      <c r="DV34" s="58"/>
    </row>
    <row r="35" spans="1:126" ht="12.75" customHeight="1" x14ac:dyDescent="0.3">
      <c r="A35" s="48"/>
      <c r="B35" s="48"/>
      <c r="C35" s="104" t="str">
        <f>Threats!A2</f>
        <v>T2-Hardware Failure</v>
      </c>
      <c r="D35" s="63">
        <f t="shared" ref="D35:Y35" si="5">(D$8/D$29)</f>
        <v>8.0536912751677847E-2</v>
      </c>
      <c r="E35" s="110">
        <f t="shared" si="5"/>
        <v>3.7037037037037035E-2</v>
      </c>
      <c r="F35" s="63">
        <f t="shared" si="5"/>
        <v>3.9893617021276605E-2</v>
      </c>
      <c r="G35" s="63">
        <f t="shared" si="5"/>
        <v>1.6304347826086956E-2</v>
      </c>
      <c r="H35" s="63">
        <f t="shared" si="5"/>
        <v>7.6335877862595434E-3</v>
      </c>
      <c r="I35" s="63">
        <f t="shared" si="5"/>
        <v>1.4880952380952382E-2</v>
      </c>
      <c r="J35" s="63">
        <f t="shared" si="5"/>
        <v>5.6338028169014086E-2</v>
      </c>
      <c r="K35" s="63">
        <f t="shared" si="5"/>
        <v>0.05</v>
      </c>
      <c r="L35" s="63">
        <f t="shared" si="5"/>
        <v>3.7974683544303799E-2</v>
      </c>
      <c r="M35" s="63">
        <f t="shared" si="5"/>
        <v>0</v>
      </c>
      <c r="N35" s="63">
        <f t="shared" si="5"/>
        <v>0</v>
      </c>
      <c r="O35" s="63">
        <f t="shared" si="5"/>
        <v>0</v>
      </c>
      <c r="P35" s="63">
        <f t="shared" si="5"/>
        <v>0</v>
      </c>
      <c r="Q35" s="63">
        <f t="shared" si="5"/>
        <v>0</v>
      </c>
      <c r="R35" s="63">
        <f t="shared" si="5"/>
        <v>0</v>
      </c>
      <c r="S35" s="63">
        <f t="shared" si="5"/>
        <v>0</v>
      </c>
      <c r="T35" s="63">
        <f t="shared" si="5"/>
        <v>0</v>
      </c>
      <c r="U35" s="63">
        <f t="shared" si="5"/>
        <v>0</v>
      </c>
      <c r="V35" s="63">
        <f t="shared" si="5"/>
        <v>0</v>
      </c>
      <c r="W35" s="63">
        <f t="shared" si="5"/>
        <v>0</v>
      </c>
      <c r="X35" s="63">
        <f t="shared" si="5"/>
        <v>0</v>
      </c>
      <c r="Y35" s="63">
        <f t="shared" si="5"/>
        <v>0</v>
      </c>
      <c r="Z35" s="63">
        <f t="shared" si="2"/>
        <v>0.34059916651660821</v>
      </c>
      <c r="AA35" s="63">
        <f t="shared" si="3"/>
        <v>1.5444438809725599E-2</v>
      </c>
      <c r="AB35" s="63" t="str">
        <f>Threats!B2</f>
        <v>Threats to The Level of Service</v>
      </c>
      <c r="AC35" s="63">
        <f>INDEX(I69:I73,MATCH(AB35,B59:B63,0))</f>
        <v>6.8975468975468981E-2</v>
      </c>
      <c r="AD35" s="111">
        <f t="shared" si="4"/>
        <v>2.3492987243136903E-2</v>
      </c>
      <c r="AE35" s="109">
        <f>MMULT(D8:Y8, AA34:AA55)/AA35</f>
        <v>9.8535490671069361</v>
      </c>
      <c r="AF35" s="104" t="str">
        <f>Threats!A2</f>
        <v>T2-Hardware Failure</v>
      </c>
      <c r="AG35" s="47"/>
      <c r="AH35" s="47"/>
      <c r="AI35" s="47"/>
      <c r="AK35" s="47"/>
      <c r="AL35" s="47"/>
      <c r="AM35" s="47"/>
      <c r="AO35" s="47"/>
      <c r="AP35" s="47"/>
      <c r="AQ35" s="47"/>
      <c r="AR35" s="47"/>
      <c r="AS35" s="47"/>
      <c r="AT35" s="47"/>
      <c r="AU35" s="47"/>
      <c r="AV35" s="47"/>
      <c r="AW35" s="47"/>
      <c r="AX35" s="47"/>
      <c r="AY35" s="47"/>
      <c r="AZ35" s="47"/>
      <c r="BA35" s="47"/>
      <c r="BB35" s="47"/>
      <c r="BC35" s="47"/>
      <c r="BD35" s="47"/>
      <c r="BE35" s="47"/>
      <c r="BF35" s="47"/>
      <c r="BG35" s="47"/>
      <c r="BH35" s="47"/>
      <c r="BI35" s="47"/>
      <c r="BJ35" s="47"/>
      <c r="BK35" s="47"/>
      <c r="BL35" s="47"/>
      <c r="BM35" s="47"/>
      <c r="BN35" s="47"/>
      <c r="BO35" s="47"/>
      <c r="BP35" s="47"/>
      <c r="BQ35" s="47"/>
      <c r="BR35" s="47"/>
      <c r="BS35" s="47"/>
      <c r="BT35" s="47"/>
      <c r="BU35" s="47"/>
      <c r="BV35" s="47"/>
      <c r="BW35" s="47"/>
      <c r="BX35" s="47"/>
      <c r="BY35" s="47"/>
      <c r="BZ35" s="47"/>
      <c r="CA35" s="47"/>
      <c r="CB35" s="47"/>
      <c r="CC35" s="47"/>
      <c r="CD35" s="47"/>
      <c r="CE35" s="47"/>
      <c r="CF35" s="47"/>
      <c r="CG35" s="47"/>
      <c r="CH35" s="47"/>
      <c r="CI35" s="47"/>
      <c r="CJ35" s="47"/>
      <c r="CK35" s="47"/>
      <c r="CL35" s="47"/>
      <c r="CM35" s="47"/>
      <c r="CN35" s="47"/>
      <c r="CO35" s="47"/>
      <c r="CP35" s="47"/>
      <c r="CQ35" s="47"/>
      <c r="CR35" s="47"/>
      <c r="CS35" s="47"/>
      <c r="CT35" s="47"/>
      <c r="CU35" s="47"/>
      <c r="CV35" s="47"/>
      <c r="CW35" s="47"/>
      <c r="CX35" s="47"/>
      <c r="CY35" s="47"/>
      <c r="CZ35" s="47"/>
      <c r="DA35" s="47"/>
      <c r="DB35" s="47"/>
      <c r="DC35" s="47"/>
      <c r="DD35" s="47"/>
      <c r="DE35" s="47"/>
      <c r="DF35" s="47"/>
      <c r="DG35" s="47"/>
      <c r="DH35" s="47"/>
      <c r="DI35" s="47"/>
      <c r="DJ35" s="47"/>
      <c r="DK35" s="47"/>
      <c r="DL35" s="47"/>
      <c r="DM35" s="47"/>
      <c r="DN35" s="47"/>
      <c r="DO35" s="58"/>
      <c r="DP35" s="58"/>
      <c r="DQ35" s="58"/>
      <c r="DR35" s="58"/>
      <c r="DS35" s="58"/>
      <c r="DT35" s="58"/>
      <c r="DU35" s="58"/>
      <c r="DV35" s="58"/>
    </row>
    <row r="36" spans="1:126" ht="12.75" customHeight="1" x14ac:dyDescent="0.3">
      <c r="A36" s="48"/>
      <c r="B36" s="48"/>
      <c r="C36" s="104" t="str">
        <f>Threats!A3</f>
        <v>T3-Software Crash</v>
      </c>
      <c r="D36" s="66">
        <f t="shared" ref="D36:Y36" si="6">(D$9/D$29)</f>
        <v>8.0536912751677847E-2</v>
      </c>
      <c r="E36" s="112">
        <f t="shared" si="6"/>
        <v>7.407407407407407E-2</v>
      </c>
      <c r="F36" s="66">
        <f t="shared" si="6"/>
        <v>7.978723404255321E-2</v>
      </c>
      <c r="G36" s="66">
        <f t="shared" si="6"/>
        <v>0.39130434782608697</v>
      </c>
      <c r="H36" s="66">
        <f t="shared" si="6"/>
        <v>0.13740458015267179</v>
      </c>
      <c r="I36" s="66">
        <f t="shared" si="6"/>
        <v>2.2321428571428572E-2</v>
      </c>
      <c r="J36" s="66">
        <f t="shared" si="6"/>
        <v>0.14084507042253522</v>
      </c>
      <c r="K36" s="66">
        <f t="shared" si="6"/>
        <v>0.15</v>
      </c>
      <c r="L36" s="66">
        <f t="shared" si="6"/>
        <v>0.22784810126582281</v>
      </c>
      <c r="M36" s="66">
        <f t="shared" si="6"/>
        <v>0</v>
      </c>
      <c r="N36" s="66">
        <f t="shared" si="6"/>
        <v>0</v>
      </c>
      <c r="O36" s="66">
        <f t="shared" si="6"/>
        <v>0</v>
      </c>
      <c r="P36" s="66">
        <f t="shared" si="6"/>
        <v>0</v>
      </c>
      <c r="Q36" s="66">
        <f t="shared" si="6"/>
        <v>0</v>
      </c>
      <c r="R36" s="66">
        <f t="shared" si="6"/>
        <v>0</v>
      </c>
      <c r="S36" s="66">
        <f t="shared" si="6"/>
        <v>0</v>
      </c>
      <c r="T36" s="66">
        <f t="shared" si="6"/>
        <v>0</v>
      </c>
      <c r="U36" s="66">
        <f t="shared" si="6"/>
        <v>0</v>
      </c>
      <c r="V36" s="66">
        <f t="shared" si="6"/>
        <v>0</v>
      </c>
      <c r="W36" s="66">
        <f t="shared" si="6"/>
        <v>0</v>
      </c>
      <c r="X36" s="66">
        <f t="shared" si="6"/>
        <v>0</v>
      </c>
      <c r="Y36" s="66">
        <f t="shared" si="6"/>
        <v>0</v>
      </c>
      <c r="Z36" s="66">
        <f t="shared" si="2"/>
        <v>1.3041217491068506</v>
      </c>
      <c r="AA36" s="66">
        <f t="shared" si="3"/>
        <v>5.9135284329977784E-2</v>
      </c>
      <c r="AB36" s="66" t="str">
        <f>Threats!B3</f>
        <v>Threats to The Level of Service</v>
      </c>
      <c r="AC36" s="66">
        <f>INDEX(I69:I73,MATCH(AB36,B59:B63,0))</f>
        <v>6.8975468975468981E-2</v>
      </c>
      <c r="AD36" s="113">
        <f t="shared" si="4"/>
        <v>8.9952409245753914E-2</v>
      </c>
      <c r="AE36" s="109">
        <f>MMULT(D9:Y9, AA34:AA55)/AA36</f>
        <v>11.530079739608757</v>
      </c>
      <c r="AF36" s="104" t="str">
        <f xml:space="preserve"> Threats!A3</f>
        <v>T3-Software Crash</v>
      </c>
      <c r="AG36" s="47"/>
      <c r="AH36" s="47"/>
      <c r="AI36" s="47"/>
      <c r="AK36" s="47"/>
      <c r="AL36" s="47"/>
      <c r="AM36" s="47"/>
      <c r="AO36" s="47"/>
      <c r="AP36" s="47"/>
      <c r="AQ36" s="47"/>
      <c r="AR36" s="47"/>
      <c r="AS36" s="47"/>
      <c r="AT36" s="47"/>
      <c r="AU36" s="47"/>
      <c r="AV36" s="47"/>
      <c r="AW36" s="47"/>
      <c r="AX36" s="47"/>
      <c r="AY36" s="47"/>
      <c r="AZ36" s="47"/>
      <c r="BA36" s="47"/>
      <c r="BB36" s="47"/>
      <c r="BC36" s="47"/>
      <c r="BD36" s="47"/>
      <c r="BE36" s="47"/>
      <c r="BF36" s="47"/>
      <c r="BG36" s="47"/>
      <c r="BH36" s="47"/>
      <c r="BI36" s="47"/>
      <c r="BJ36" s="47"/>
      <c r="BK36" s="47"/>
      <c r="BL36" s="47"/>
      <c r="BM36" s="47"/>
      <c r="BN36" s="47"/>
      <c r="BO36" s="47"/>
      <c r="BP36" s="47"/>
      <c r="BQ36" s="47"/>
      <c r="BR36" s="47"/>
      <c r="BS36" s="47"/>
      <c r="BT36" s="47"/>
      <c r="BU36" s="47"/>
      <c r="BV36" s="47"/>
      <c r="BW36" s="47"/>
      <c r="BX36" s="47"/>
      <c r="BY36" s="47"/>
      <c r="BZ36" s="47"/>
      <c r="CA36" s="47"/>
      <c r="CB36" s="47"/>
      <c r="CC36" s="47"/>
      <c r="CD36" s="47"/>
      <c r="CE36" s="47"/>
      <c r="CF36" s="47"/>
      <c r="CG36" s="47"/>
      <c r="CH36" s="47"/>
      <c r="CI36" s="47"/>
      <c r="CJ36" s="47"/>
      <c r="CK36" s="47"/>
      <c r="CL36" s="47"/>
      <c r="CM36" s="47"/>
      <c r="CN36" s="47"/>
      <c r="CO36" s="47"/>
      <c r="CP36" s="47"/>
      <c r="CQ36" s="47"/>
      <c r="CR36" s="47"/>
      <c r="CS36" s="47"/>
      <c r="CT36" s="47"/>
      <c r="CU36" s="47"/>
      <c r="CV36" s="47"/>
      <c r="CW36" s="47"/>
      <c r="CX36" s="47"/>
      <c r="CY36" s="47"/>
      <c r="CZ36" s="47"/>
      <c r="DA36" s="47"/>
      <c r="DB36" s="47"/>
      <c r="DC36" s="47"/>
      <c r="DD36" s="47"/>
      <c r="DE36" s="47"/>
      <c r="DF36" s="47"/>
      <c r="DG36" s="47"/>
      <c r="DH36" s="47"/>
      <c r="DI36" s="47"/>
      <c r="DJ36" s="47"/>
      <c r="DK36" s="47"/>
      <c r="DL36" s="47"/>
      <c r="DM36" s="47"/>
      <c r="DN36" s="47"/>
      <c r="DO36" s="58"/>
      <c r="DP36" s="58"/>
      <c r="DQ36" s="58"/>
      <c r="DR36" s="58"/>
      <c r="DS36" s="58"/>
      <c r="DT36" s="58"/>
      <c r="DU36" s="58"/>
      <c r="DV36" s="58"/>
    </row>
    <row r="37" spans="1:126" ht="12.75" customHeight="1" x14ac:dyDescent="0.3">
      <c r="A37" s="48"/>
      <c r="B37" s="48"/>
      <c r="C37" s="104" t="str">
        <f>Threats!A4</f>
        <v>T4-Operator Errors</v>
      </c>
      <c r="D37" s="68">
        <f t="shared" ref="D37:Y37" si="7">(D$10/D$29)</f>
        <v>8.0536912751677847E-2</v>
      </c>
      <c r="E37" s="114">
        <f t="shared" si="7"/>
        <v>0.14814814814814814</v>
      </c>
      <c r="F37" s="68">
        <f t="shared" si="7"/>
        <v>1.3297872340425534E-2</v>
      </c>
      <c r="G37" s="68">
        <f t="shared" si="7"/>
        <v>6.5217391304347824E-2</v>
      </c>
      <c r="H37" s="68">
        <f t="shared" si="7"/>
        <v>0.18320610687022904</v>
      </c>
      <c r="I37" s="68">
        <f t="shared" si="7"/>
        <v>8.9285714285714288E-2</v>
      </c>
      <c r="J37" s="68">
        <f t="shared" si="7"/>
        <v>0.16901408450704225</v>
      </c>
      <c r="K37" s="68">
        <f t="shared" si="7"/>
        <v>0.15</v>
      </c>
      <c r="L37" s="68">
        <f t="shared" si="7"/>
        <v>7.5949367088607597E-2</v>
      </c>
      <c r="M37" s="68">
        <f t="shared" si="7"/>
        <v>0</v>
      </c>
      <c r="N37" s="68">
        <f t="shared" si="7"/>
        <v>0</v>
      </c>
      <c r="O37" s="68">
        <f t="shared" si="7"/>
        <v>0</v>
      </c>
      <c r="P37" s="68">
        <f t="shared" si="7"/>
        <v>0</v>
      </c>
      <c r="Q37" s="68">
        <f t="shared" si="7"/>
        <v>0</v>
      </c>
      <c r="R37" s="68">
        <f t="shared" si="7"/>
        <v>0</v>
      </c>
      <c r="S37" s="68">
        <f t="shared" si="7"/>
        <v>0</v>
      </c>
      <c r="T37" s="68">
        <f t="shared" si="7"/>
        <v>0</v>
      </c>
      <c r="U37" s="68">
        <f t="shared" si="7"/>
        <v>0</v>
      </c>
      <c r="V37" s="68">
        <f t="shared" si="7"/>
        <v>0</v>
      </c>
      <c r="W37" s="68">
        <f t="shared" si="7"/>
        <v>0</v>
      </c>
      <c r="X37" s="68">
        <f t="shared" si="7"/>
        <v>0</v>
      </c>
      <c r="Y37" s="68">
        <f t="shared" si="7"/>
        <v>0</v>
      </c>
      <c r="Z37" s="68">
        <f t="shared" si="2"/>
        <v>0.97465559729619244</v>
      </c>
      <c r="AA37" s="68">
        <f t="shared" si="3"/>
        <v>4.4195671078553822E-2</v>
      </c>
      <c r="AB37" s="68" t="str">
        <f>Threats!B4</f>
        <v>Threats to The Level of Service</v>
      </c>
      <c r="AC37" s="68">
        <f>INDEX(I69:I73,MATCH(AB37,B59:B63,0))</f>
        <v>6.8975468975468981E-2</v>
      </c>
      <c r="AD37" s="115">
        <f t="shared" si="4"/>
        <v>6.7227326913070706E-2</v>
      </c>
      <c r="AE37" s="109">
        <f>MMULT(D10:Y10, AA34:AA55)/AA37</f>
        <v>10.681075390107011</v>
      </c>
      <c r="AF37" s="104" t="str">
        <f>Threats!A4</f>
        <v>T4-Operator Errors</v>
      </c>
      <c r="AG37" s="47"/>
      <c r="AH37" s="47"/>
      <c r="AI37" s="47"/>
      <c r="AK37" s="47"/>
      <c r="AL37" s="47"/>
      <c r="AM37" s="47"/>
      <c r="AO37" s="47"/>
      <c r="AP37" s="47"/>
      <c r="AQ37" s="47"/>
      <c r="AR37" s="47"/>
      <c r="AS37" s="47"/>
      <c r="AT37" s="47"/>
      <c r="AU37" s="47"/>
      <c r="AV37" s="47"/>
      <c r="AW37" s="47"/>
      <c r="AX37" s="47"/>
      <c r="AY37" s="47"/>
      <c r="AZ37" s="47"/>
      <c r="BA37" s="47"/>
      <c r="BB37" s="47"/>
      <c r="BC37" s="47"/>
      <c r="BD37" s="47"/>
      <c r="BE37" s="47"/>
      <c r="BF37" s="47"/>
      <c r="BG37" s="47"/>
      <c r="BH37" s="47"/>
      <c r="BI37" s="47"/>
      <c r="BJ37" s="47"/>
      <c r="BK37" s="47"/>
      <c r="BL37" s="47"/>
      <c r="BM37" s="47"/>
      <c r="BN37" s="47"/>
      <c r="BO37" s="47"/>
      <c r="BP37" s="47"/>
      <c r="BQ37" s="47"/>
      <c r="BR37" s="47"/>
      <c r="BS37" s="47"/>
      <c r="BT37" s="47"/>
      <c r="BU37" s="47"/>
      <c r="BV37" s="47"/>
      <c r="BW37" s="47"/>
      <c r="BX37" s="47"/>
      <c r="BY37" s="47"/>
      <c r="BZ37" s="47"/>
      <c r="CA37" s="47"/>
      <c r="CB37" s="47"/>
      <c r="CC37" s="47"/>
      <c r="CD37" s="47"/>
      <c r="CE37" s="47"/>
      <c r="CF37" s="47"/>
      <c r="CG37" s="47"/>
      <c r="CH37" s="47"/>
      <c r="CI37" s="47"/>
      <c r="CJ37" s="47"/>
      <c r="CK37" s="47"/>
      <c r="CL37" s="47"/>
      <c r="CM37" s="47"/>
      <c r="CN37" s="47"/>
      <c r="CO37" s="47"/>
      <c r="CP37" s="47"/>
      <c r="CQ37" s="47"/>
      <c r="CR37" s="47"/>
      <c r="CS37" s="47"/>
      <c r="CT37" s="47"/>
      <c r="CU37" s="47"/>
      <c r="CV37" s="47"/>
      <c r="CW37" s="47"/>
      <c r="CX37" s="47"/>
      <c r="CY37" s="47"/>
      <c r="CZ37" s="47"/>
      <c r="DA37" s="47"/>
      <c r="DB37" s="47"/>
      <c r="DC37" s="47"/>
      <c r="DD37" s="47"/>
      <c r="DE37" s="47"/>
      <c r="DF37" s="47"/>
      <c r="DG37" s="47"/>
      <c r="DH37" s="47"/>
      <c r="DI37" s="47"/>
      <c r="DJ37" s="47"/>
      <c r="DK37" s="47"/>
      <c r="DL37" s="47"/>
      <c r="DM37" s="47"/>
      <c r="DN37" s="47"/>
      <c r="DO37" s="58"/>
      <c r="DP37" s="58"/>
      <c r="DQ37" s="58"/>
      <c r="DR37" s="58"/>
      <c r="DS37" s="58"/>
      <c r="DT37" s="58"/>
      <c r="DU37" s="58"/>
      <c r="DV37" s="58"/>
    </row>
    <row r="38" spans="1:126" ht="12.75" customHeight="1" x14ac:dyDescent="0.3">
      <c r="A38" s="48"/>
      <c r="B38" s="48"/>
      <c r="C38" s="104" t="str">
        <f>Threats!A5</f>
        <v>T5-Malicious Inside Action</v>
      </c>
      <c r="D38" s="69">
        <f>($D11/$D$29)</f>
        <v>5.3691275167785227E-2</v>
      </c>
      <c r="E38" s="116">
        <f>($E11/$E$29)</f>
        <v>0.22222222222222221</v>
      </c>
      <c r="F38" s="69">
        <f>($F9/$F$29)</f>
        <v>7.978723404255321E-2</v>
      </c>
      <c r="G38" s="69">
        <f>($G11/$G$29)</f>
        <v>1.6304347826086956E-2</v>
      </c>
      <c r="H38" s="69">
        <f>($H11/$H$29)</f>
        <v>4.5801526717557259E-2</v>
      </c>
      <c r="I38" s="69">
        <f>($I11/$I$29)</f>
        <v>2.9761904761904764E-2</v>
      </c>
      <c r="J38" s="69">
        <f>($J11/$J$29)</f>
        <v>8.4507042253521125E-2</v>
      </c>
      <c r="K38" s="69">
        <f>($K11/$K$29)</f>
        <v>7.4999999999999997E-2</v>
      </c>
      <c r="L38" s="69">
        <f>($L11/$L$29)</f>
        <v>3.7974683544303799E-2</v>
      </c>
      <c r="M38" s="69">
        <f>($M11/$M$29)</f>
        <v>0</v>
      </c>
      <c r="N38" s="69">
        <f>($N11/$N$29)</f>
        <v>0</v>
      </c>
      <c r="O38" s="69">
        <f>($O11/$O$29)</f>
        <v>0</v>
      </c>
      <c r="P38" s="69">
        <f>($P11/$P$29)</f>
        <v>0</v>
      </c>
      <c r="Q38" s="69">
        <f>($Q11/$Q$29)</f>
        <v>0</v>
      </c>
      <c r="R38" s="69">
        <f>($R11/$R$29)</f>
        <v>0</v>
      </c>
      <c r="S38" s="69">
        <f>($S11/$S$29)</f>
        <v>0</v>
      </c>
      <c r="T38" s="69">
        <f>($T11/$T$29)</f>
        <v>0</v>
      </c>
      <c r="U38" s="69">
        <f>($U11/$U$29)</f>
        <v>0</v>
      </c>
      <c r="V38" s="69">
        <f>($V11/$V$29)</f>
        <v>0</v>
      </c>
      <c r="W38" s="69">
        <f>($W11/$W$29)</f>
        <v>0</v>
      </c>
      <c r="X38" s="69">
        <f>($X11/$X$29)</f>
        <v>0</v>
      </c>
      <c r="Y38" s="69">
        <f>($Y11/$Y$29)</f>
        <v>0</v>
      </c>
      <c r="Z38" s="69">
        <f t="shared" si="2"/>
        <v>0.64505023653593452</v>
      </c>
      <c r="AA38" s="69">
        <f t="shared" si="3"/>
        <v>2.924974540973364E-2</v>
      </c>
      <c r="AB38" s="69" t="str">
        <f>Threats!B5</f>
        <v>Threats to The Level of Service</v>
      </c>
      <c r="AC38" s="69">
        <f>INDEX(I69:I73,MATCH(AB38,B59:B63,0))</f>
        <v>6.8975468975468981E-2</v>
      </c>
      <c r="AD38" s="117">
        <f t="shared" si="4"/>
        <v>4.4492642577803276E-2</v>
      </c>
      <c r="AE38" s="109">
        <f>MMULT(D11:Y11, AA34:AA55)/AA38</f>
        <v>9.0710052567305528</v>
      </c>
      <c r="AF38" s="104" t="str">
        <f xml:space="preserve"> Threats!A5</f>
        <v>T5-Malicious Inside Action</v>
      </c>
      <c r="AG38" s="47"/>
      <c r="AH38" s="47"/>
      <c r="AI38" s="47"/>
      <c r="AK38" s="47"/>
      <c r="AL38" s="47"/>
      <c r="AM38" s="47"/>
      <c r="AO38" s="47"/>
      <c r="AP38" s="47"/>
      <c r="AQ38" s="47"/>
      <c r="AR38" s="47"/>
      <c r="AS38" s="47"/>
      <c r="AT38" s="47"/>
      <c r="AU38" s="47"/>
      <c r="AV38" s="47"/>
      <c r="AW38" s="47"/>
      <c r="AX38" s="47"/>
      <c r="AY38" s="47"/>
      <c r="AZ38" s="47"/>
      <c r="BA38" s="47"/>
      <c r="BB38" s="47"/>
      <c r="BC38" s="47"/>
      <c r="BD38" s="47"/>
      <c r="BE38" s="47"/>
      <c r="BF38" s="47"/>
      <c r="BG38" s="47"/>
      <c r="BH38" s="47"/>
      <c r="BI38" s="47"/>
      <c r="BJ38" s="47"/>
      <c r="BK38" s="47"/>
      <c r="BL38" s="47"/>
      <c r="BM38" s="47"/>
      <c r="BN38" s="47"/>
      <c r="BO38" s="47"/>
      <c r="BP38" s="47"/>
      <c r="BQ38" s="47"/>
      <c r="BR38" s="47"/>
      <c r="BS38" s="47"/>
      <c r="BT38" s="47"/>
      <c r="BU38" s="47"/>
      <c r="BV38" s="47"/>
      <c r="BW38" s="47"/>
      <c r="BX38" s="47"/>
      <c r="BY38" s="47"/>
      <c r="BZ38" s="47"/>
      <c r="CA38" s="47"/>
      <c r="CB38" s="47"/>
      <c r="CC38" s="47"/>
      <c r="CD38" s="47"/>
      <c r="CE38" s="47"/>
      <c r="CF38" s="47"/>
      <c r="CG38" s="47"/>
      <c r="CH38" s="47"/>
      <c r="CI38" s="47"/>
      <c r="CJ38" s="47"/>
      <c r="CK38" s="47"/>
      <c r="CL38" s="47"/>
      <c r="CM38" s="47"/>
      <c r="CN38" s="47"/>
      <c r="CO38" s="47"/>
      <c r="CP38" s="47"/>
      <c r="CQ38" s="47"/>
      <c r="CR38" s="47"/>
      <c r="CS38" s="47"/>
      <c r="CT38" s="47"/>
      <c r="CU38" s="47"/>
      <c r="CV38" s="47"/>
      <c r="CW38" s="47"/>
      <c r="CX38" s="47"/>
      <c r="CY38" s="47"/>
      <c r="CZ38" s="47"/>
      <c r="DA38" s="47"/>
      <c r="DB38" s="47"/>
      <c r="DC38" s="47"/>
      <c r="DD38" s="47"/>
      <c r="DE38" s="47"/>
      <c r="DF38" s="47"/>
      <c r="DG38" s="47"/>
      <c r="DH38" s="47"/>
      <c r="DI38" s="47"/>
      <c r="DJ38" s="47"/>
      <c r="DK38" s="47"/>
      <c r="DL38" s="47"/>
      <c r="DM38" s="47"/>
      <c r="DN38" s="47"/>
      <c r="DO38" s="58"/>
      <c r="DP38" s="58"/>
      <c r="DQ38" s="58"/>
      <c r="DR38" s="58"/>
      <c r="DS38" s="58"/>
      <c r="DT38" s="58"/>
      <c r="DU38" s="58"/>
      <c r="DV38" s="58"/>
    </row>
    <row r="39" spans="1:126" ht="12.75" customHeight="1" x14ac:dyDescent="0.3">
      <c r="A39" s="48"/>
      <c r="B39" s="48"/>
      <c r="C39" s="104" t="str">
        <f>Threats!A6</f>
        <v>T6-Trojan and Worms</v>
      </c>
      <c r="D39" s="70">
        <f t="shared" ref="D39:Y39" si="8">(D$12/D$29)</f>
        <v>6.0402684563758385E-2</v>
      </c>
      <c r="E39" s="118">
        <f t="shared" si="8"/>
        <v>0.22222222222222221</v>
      </c>
      <c r="F39" s="70">
        <f t="shared" si="8"/>
        <v>0.31914893617021284</v>
      </c>
      <c r="G39" s="70">
        <f t="shared" si="8"/>
        <v>6.5217391304347824E-2</v>
      </c>
      <c r="H39" s="70">
        <f t="shared" si="8"/>
        <v>0.13740458015267179</v>
      </c>
      <c r="I39" s="70">
        <f t="shared" si="8"/>
        <v>8.9285714285714288E-2</v>
      </c>
      <c r="J39" s="70">
        <f t="shared" si="8"/>
        <v>0.22535211267605634</v>
      </c>
      <c r="K39" s="70">
        <f t="shared" si="8"/>
        <v>0.2</v>
      </c>
      <c r="L39" s="70">
        <f t="shared" si="8"/>
        <v>0.189873417721519</v>
      </c>
      <c r="M39" s="70">
        <f t="shared" si="8"/>
        <v>0</v>
      </c>
      <c r="N39" s="70">
        <f t="shared" si="8"/>
        <v>0</v>
      </c>
      <c r="O39" s="70">
        <f t="shared" si="8"/>
        <v>0</v>
      </c>
      <c r="P39" s="70">
        <f t="shared" si="8"/>
        <v>0</v>
      </c>
      <c r="Q39" s="70">
        <f t="shared" si="8"/>
        <v>0</v>
      </c>
      <c r="R39" s="70">
        <f t="shared" si="8"/>
        <v>0</v>
      </c>
      <c r="S39" s="70">
        <f t="shared" si="8"/>
        <v>0</v>
      </c>
      <c r="T39" s="70">
        <f t="shared" si="8"/>
        <v>0</v>
      </c>
      <c r="U39" s="70">
        <f t="shared" si="8"/>
        <v>0</v>
      </c>
      <c r="V39" s="70">
        <f t="shared" si="8"/>
        <v>0</v>
      </c>
      <c r="W39" s="70">
        <f t="shared" si="8"/>
        <v>0</v>
      </c>
      <c r="X39" s="70">
        <f t="shared" si="8"/>
        <v>0</v>
      </c>
      <c r="Y39" s="70">
        <f t="shared" si="8"/>
        <v>0</v>
      </c>
      <c r="Z39" s="70">
        <f t="shared" si="2"/>
        <v>1.5089070590965026</v>
      </c>
      <c r="AA39" s="70">
        <f t="shared" si="3"/>
        <v>6.8421255935876127E-2</v>
      </c>
      <c r="AB39" s="70" t="str">
        <f>Threats!B6</f>
        <v>Threats to The Level of Service</v>
      </c>
      <c r="AC39" s="70">
        <f>INDEX(I69:I73,MATCH(AB39,B59:B63,0))</f>
        <v>6.8975468975468981E-2</v>
      </c>
      <c r="AD39" s="119">
        <f t="shared" si="4"/>
        <v>0.10407757204157696</v>
      </c>
      <c r="AE39" s="109">
        <f>MMULT(D12:Y12, AA34:AA55)/AA39</f>
        <v>11.369497220966867</v>
      </c>
      <c r="AF39" s="104" t="str">
        <f>Threats!A6</f>
        <v>T6-Trojan and Worms</v>
      </c>
      <c r="AG39" s="47"/>
      <c r="AH39" s="47"/>
      <c r="AI39" s="47"/>
      <c r="AK39" s="47"/>
      <c r="AL39" s="47"/>
      <c r="AM39" s="47"/>
      <c r="AO39" s="47"/>
      <c r="AP39" s="47"/>
      <c r="AQ39" s="47"/>
      <c r="AR39" s="47"/>
      <c r="AS39" s="47"/>
      <c r="AT39" s="47"/>
      <c r="AU39" s="47"/>
      <c r="AV39" s="47"/>
      <c r="AW39" s="47"/>
      <c r="AX39" s="47"/>
      <c r="AY39" s="47"/>
      <c r="AZ39" s="47"/>
      <c r="BA39" s="47"/>
      <c r="BB39" s="47"/>
      <c r="BC39" s="47"/>
      <c r="BD39" s="47"/>
      <c r="BE39" s="47"/>
      <c r="BF39" s="47"/>
      <c r="BG39" s="47"/>
      <c r="BH39" s="47"/>
      <c r="BI39" s="47"/>
      <c r="BJ39" s="47"/>
      <c r="BK39" s="47"/>
      <c r="BL39" s="47"/>
      <c r="BM39" s="47"/>
      <c r="BN39" s="47"/>
      <c r="BO39" s="47"/>
      <c r="BP39" s="47"/>
      <c r="BQ39" s="47"/>
      <c r="BR39" s="47"/>
      <c r="BS39" s="47"/>
      <c r="BT39" s="47"/>
      <c r="BU39" s="47"/>
      <c r="BV39" s="47"/>
      <c r="BW39" s="47"/>
      <c r="BX39" s="47"/>
      <c r="BY39" s="47"/>
      <c r="BZ39" s="47"/>
      <c r="CA39" s="47"/>
      <c r="CB39" s="47"/>
      <c r="CC39" s="47"/>
      <c r="CD39" s="47"/>
      <c r="CE39" s="47"/>
      <c r="CF39" s="47"/>
      <c r="CG39" s="47"/>
      <c r="CH39" s="47"/>
      <c r="CI39" s="47"/>
      <c r="CJ39" s="47"/>
      <c r="CK39" s="47"/>
      <c r="CL39" s="47"/>
      <c r="CM39" s="47"/>
      <c r="CN39" s="47"/>
      <c r="CO39" s="47"/>
      <c r="CP39" s="47"/>
      <c r="CQ39" s="47"/>
      <c r="CR39" s="47"/>
      <c r="CS39" s="47"/>
      <c r="CT39" s="47"/>
      <c r="CU39" s="47"/>
      <c r="CV39" s="47"/>
      <c r="CW39" s="47"/>
      <c r="CX39" s="47"/>
      <c r="CY39" s="47"/>
      <c r="CZ39" s="47"/>
      <c r="DA39" s="47"/>
      <c r="DB39" s="47"/>
      <c r="DC39" s="47"/>
      <c r="DD39" s="47"/>
      <c r="DE39" s="47"/>
      <c r="DF39" s="47"/>
      <c r="DG39" s="47"/>
      <c r="DH39" s="47"/>
      <c r="DI39" s="47"/>
      <c r="DJ39" s="47"/>
      <c r="DK39" s="47"/>
      <c r="DL39" s="47"/>
      <c r="DM39" s="47"/>
      <c r="DN39" s="47"/>
      <c r="DO39" s="58"/>
      <c r="DP39" s="58"/>
      <c r="DQ39" s="58"/>
      <c r="DR39" s="58"/>
      <c r="DS39" s="58"/>
      <c r="DT39" s="58"/>
      <c r="DU39" s="58"/>
      <c r="DV39" s="58"/>
    </row>
    <row r="40" spans="1:126" ht="12.75" customHeight="1" x14ac:dyDescent="0.3">
      <c r="A40" s="48"/>
      <c r="B40" s="48"/>
      <c r="C40" s="104" t="str">
        <f>Threats!A7</f>
        <v>T7-Fire</v>
      </c>
      <c r="D40" s="71">
        <f t="shared" ref="D40:Y40" si="9">(D$13/D$29)</f>
        <v>5.3691275167785227E-2</v>
      </c>
      <c r="E40" s="120">
        <f t="shared" si="9"/>
        <v>1.8518518518518517E-2</v>
      </c>
      <c r="F40" s="71">
        <f t="shared" si="9"/>
        <v>1.5957446808510641E-2</v>
      </c>
      <c r="G40" s="71">
        <f t="shared" si="9"/>
        <v>1.0869565217391304E-2</v>
      </c>
      <c r="H40" s="71">
        <f t="shared" si="9"/>
        <v>1.5267175572519087E-2</v>
      </c>
      <c r="I40" s="71">
        <f t="shared" si="9"/>
        <v>1.1160714285714286E-2</v>
      </c>
      <c r="J40" s="71">
        <f t="shared" si="9"/>
        <v>2.8169014084507043E-2</v>
      </c>
      <c r="K40" s="71">
        <f t="shared" si="9"/>
        <v>0.05</v>
      </c>
      <c r="L40" s="71">
        <f t="shared" si="9"/>
        <v>3.7974683544303799E-2</v>
      </c>
      <c r="M40" s="71">
        <f t="shared" si="9"/>
        <v>0</v>
      </c>
      <c r="N40" s="71">
        <f t="shared" si="9"/>
        <v>0</v>
      </c>
      <c r="O40" s="71">
        <f t="shared" si="9"/>
        <v>0</v>
      </c>
      <c r="P40" s="71">
        <f t="shared" si="9"/>
        <v>0</v>
      </c>
      <c r="Q40" s="71">
        <f t="shared" si="9"/>
        <v>0</v>
      </c>
      <c r="R40" s="71">
        <f t="shared" si="9"/>
        <v>0</v>
      </c>
      <c r="S40" s="71">
        <f t="shared" si="9"/>
        <v>0</v>
      </c>
      <c r="T40" s="71">
        <f t="shared" si="9"/>
        <v>0</v>
      </c>
      <c r="U40" s="71">
        <f t="shared" si="9"/>
        <v>0</v>
      </c>
      <c r="V40" s="71">
        <f t="shared" si="9"/>
        <v>0</v>
      </c>
      <c r="W40" s="71">
        <f t="shared" si="9"/>
        <v>0</v>
      </c>
      <c r="X40" s="71">
        <f t="shared" si="9"/>
        <v>0</v>
      </c>
      <c r="Y40" s="71">
        <f t="shared" si="9"/>
        <v>0</v>
      </c>
      <c r="Z40" s="71">
        <f t="shared" si="2"/>
        <v>0.2416083931992499</v>
      </c>
      <c r="AA40" s="71">
        <f t="shared" si="3"/>
        <v>1.0955711027848281E-2</v>
      </c>
      <c r="AB40" s="71" t="str">
        <f>Threats!B7</f>
        <v>Threats to The Level of Service</v>
      </c>
      <c r="AC40" s="71">
        <f>INDEX(I69:I73,MATCH(AB40,B59:B63,0))</f>
        <v>6.8975468975468981E-2</v>
      </c>
      <c r="AD40" s="121">
        <f t="shared" si="4"/>
        <v>1.6665052229327772E-2</v>
      </c>
      <c r="AE40" s="109">
        <f>MMULT(D13:Y13, AA34:AA55)/AA40</f>
        <v>9.6052155702017945</v>
      </c>
      <c r="AF40" s="104" t="str">
        <f xml:space="preserve"> Threats!A7</f>
        <v>T7-Fire</v>
      </c>
      <c r="AG40" s="47"/>
      <c r="AH40" s="47"/>
      <c r="AI40" s="47"/>
      <c r="AK40" s="47"/>
      <c r="AL40" s="47"/>
      <c r="AM40" s="47"/>
      <c r="AO40" s="47"/>
      <c r="AP40" s="47"/>
      <c r="AQ40" s="47"/>
      <c r="AR40" s="47"/>
      <c r="AS40" s="47"/>
      <c r="AT40" s="47"/>
      <c r="AU40" s="47"/>
      <c r="AV40" s="47"/>
      <c r="AW40" s="47"/>
      <c r="AX40" s="47"/>
      <c r="AY40" s="47"/>
      <c r="AZ40" s="47"/>
      <c r="BA40" s="47"/>
      <c r="BB40" s="47"/>
      <c r="BC40" s="47"/>
      <c r="BD40" s="47"/>
      <c r="BE40" s="47"/>
      <c r="BF40" s="47"/>
      <c r="BG40" s="47"/>
      <c r="BH40" s="47"/>
      <c r="BI40" s="47"/>
      <c r="BJ40" s="47"/>
      <c r="BK40" s="47"/>
      <c r="BL40" s="47"/>
      <c r="BM40" s="47"/>
      <c r="BN40" s="47"/>
      <c r="BO40" s="47"/>
      <c r="BP40" s="47"/>
      <c r="BQ40" s="47"/>
      <c r="BR40" s="47"/>
      <c r="BS40" s="47"/>
      <c r="BT40" s="47"/>
      <c r="BU40" s="47"/>
      <c r="BV40" s="47"/>
      <c r="BW40" s="47"/>
      <c r="BX40" s="47"/>
      <c r="BY40" s="47"/>
      <c r="BZ40" s="47"/>
      <c r="CA40" s="47"/>
      <c r="CB40" s="47"/>
      <c r="CC40" s="47"/>
      <c r="CD40" s="47"/>
      <c r="CE40" s="47"/>
      <c r="CF40" s="47"/>
      <c r="CG40" s="47"/>
      <c r="CH40" s="47"/>
      <c r="CI40" s="47"/>
      <c r="CJ40" s="47"/>
      <c r="CK40" s="47"/>
      <c r="CL40" s="47"/>
      <c r="CM40" s="47"/>
      <c r="CN40" s="47"/>
      <c r="CO40" s="47"/>
      <c r="CP40" s="47"/>
      <c r="CQ40" s="47"/>
      <c r="CR40" s="47"/>
      <c r="CS40" s="47"/>
      <c r="CT40" s="47"/>
      <c r="CU40" s="47"/>
      <c r="CV40" s="47"/>
      <c r="CW40" s="47"/>
      <c r="CX40" s="47"/>
      <c r="CY40" s="47"/>
      <c r="CZ40" s="47"/>
      <c r="DA40" s="47"/>
      <c r="DB40" s="47"/>
      <c r="DC40" s="47"/>
      <c r="DD40" s="47"/>
      <c r="DE40" s="47"/>
      <c r="DF40" s="47"/>
      <c r="DG40" s="47"/>
      <c r="DH40" s="47"/>
      <c r="DI40" s="47"/>
      <c r="DJ40" s="47"/>
      <c r="DK40" s="47"/>
      <c r="DL40" s="47"/>
      <c r="DM40" s="47"/>
      <c r="DN40" s="47"/>
      <c r="DO40" s="58"/>
      <c r="DP40" s="58"/>
      <c r="DQ40" s="58"/>
      <c r="DR40" s="58"/>
      <c r="DS40" s="58"/>
      <c r="DT40" s="58"/>
      <c r="DU40" s="58"/>
      <c r="DV40" s="58"/>
    </row>
    <row r="41" spans="1:126" ht="12.75" customHeight="1" x14ac:dyDescent="0.3">
      <c r="A41" s="48"/>
      <c r="B41" s="48"/>
      <c r="C41" s="104" t="str">
        <f>Threats!A8</f>
        <v>T8-Other Enviromental Disasters</v>
      </c>
      <c r="D41" s="72">
        <f t="shared" ref="D41:Y41" si="10">(D$14/D$29)</f>
        <v>5.3691275167785227E-2</v>
      </c>
      <c r="E41" s="122">
        <f t="shared" si="10"/>
        <v>1.8518518518518517E-2</v>
      </c>
      <c r="F41" s="72">
        <f t="shared" si="10"/>
        <v>1.3297872340425534E-2</v>
      </c>
      <c r="G41" s="72">
        <f t="shared" si="10"/>
        <v>1.0869565217391304E-2</v>
      </c>
      <c r="H41" s="72">
        <f t="shared" si="10"/>
        <v>1.5267175572519087E-2</v>
      </c>
      <c r="I41" s="72">
        <f t="shared" si="10"/>
        <v>1.1160714285714286E-2</v>
      </c>
      <c r="J41" s="72">
        <f t="shared" si="10"/>
        <v>1.4084507042253521E-2</v>
      </c>
      <c r="K41" s="72">
        <f t="shared" si="10"/>
        <v>2.5000000000000001E-2</v>
      </c>
      <c r="L41" s="72">
        <f t="shared" si="10"/>
        <v>1.2658227848101266E-2</v>
      </c>
      <c r="M41" s="72">
        <f t="shared" si="10"/>
        <v>0</v>
      </c>
      <c r="N41" s="72">
        <f t="shared" si="10"/>
        <v>0</v>
      </c>
      <c r="O41" s="72">
        <f t="shared" si="10"/>
        <v>0</v>
      </c>
      <c r="P41" s="72">
        <f t="shared" si="10"/>
        <v>0</v>
      </c>
      <c r="Q41" s="72">
        <f t="shared" si="10"/>
        <v>0</v>
      </c>
      <c r="R41" s="72">
        <f t="shared" si="10"/>
        <v>0</v>
      </c>
      <c r="S41" s="72">
        <f t="shared" si="10"/>
        <v>0</v>
      </c>
      <c r="T41" s="72">
        <f t="shared" si="10"/>
        <v>0</v>
      </c>
      <c r="U41" s="72">
        <f t="shared" si="10"/>
        <v>0</v>
      </c>
      <c r="V41" s="72">
        <f t="shared" si="10"/>
        <v>0</v>
      </c>
      <c r="W41" s="72">
        <f t="shared" si="10"/>
        <v>0</v>
      </c>
      <c r="X41" s="72">
        <f t="shared" si="10"/>
        <v>0</v>
      </c>
      <c r="Y41" s="72">
        <f t="shared" si="10"/>
        <v>0</v>
      </c>
      <c r="Z41" s="72">
        <f t="shared" si="2"/>
        <v>0.17454785599270875</v>
      </c>
      <c r="AA41" s="72">
        <f t="shared" si="3"/>
        <v>7.9148569528772889E-3</v>
      </c>
      <c r="AB41" s="72" t="str">
        <f>Threats!B8</f>
        <v>Threats to The Level of Service</v>
      </c>
      <c r="AC41" s="72">
        <f>INDEX(I69:I73,MATCH(AB41,B59:B63,0))</f>
        <v>6.8975468975468981E-2</v>
      </c>
      <c r="AD41" s="123">
        <f t="shared" si="4"/>
        <v>1.2039520225759709E-2</v>
      </c>
      <c r="AE41" s="109">
        <f>MMULT(D14:Y14, AA34:AA55)/AA41</f>
        <v>10.050270059799342</v>
      </c>
      <c r="AF41" s="104" t="str">
        <f>Threats!A8</f>
        <v>T8-Other Enviromental Disasters</v>
      </c>
      <c r="AG41" s="47"/>
      <c r="AH41" s="47"/>
      <c r="AI41" s="47"/>
      <c r="AK41" s="47"/>
      <c r="AL41" s="47"/>
      <c r="AM41" s="47"/>
      <c r="AO41" s="47"/>
      <c r="AP41" s="47"/>
      <c r="AQ41" s="47"/>
      <c r="AR41" s="47"/>
      <c r="AS41" s="47"/>
      <c r="AT41" s="47"/>
      <c r="AU41" s="47"/>
      <c r="AV41" s="47"/>
      <c r="AW41" s="47"/>
      <c r="AX41" s="47"/>
      <c r="AY41" s="47"/>
      <c r="AZ41" s="47"/>
      <c r="BA41" s="47"/>
      <c r="BB41" s="47"/>
      <c r="BC41" s="47"/>
      <c r="BD41" s="47"/>
      <c r="BE41" s="47"/>
      <c r="BF41" s="47"/>
      <c r="BG41" s="47"/>
      <c r="BH41" s="47"/>
      <c r="BI41" s="47"/>
      <c r="BJ41" s="47"/>
      <c r="BK41" s="47"/>
      <c r="BL41" s="47"/>
      <c r="BM41" s="47"/>
      <c r="BN41" s="47"/>
      <c r="BO41" s="47"/>
      <c r="BP41" s="47"/>
      <c r="BQ41" s="47"/>
      <c r="BR41" s="47"/>
      <c r="BS41" s="47"/>
      <c r="BT41" s="47"/>
      <c r="BU41" s="47"/>
      <c r="BV41" s="47"/>
      <c r="BW41" s="47"/>
      <c r="BX41" s="47"/>
      <c r="BY41" s="47"/>
      <c r="BZ41" s="47"/>
      <c r="CA41" s="47"/>
      <c r="CB41" s="47"/>
      <c r="CC41" s="47"/>
      <c r="CD41" s="47"/>
      <c r="CE41" s="47"/>
      <c r="CF41" s="47"/>
      <c r="CG41" s="47"/>
      <c r="CH41" s="47"/>
      <c r="CI41" s="47"/>
      <c r="CJ41" s="47"/>
      <c r="CK41" s="47"/>
      <c r="CL41" s="47"/>
      <c r="CM41" s="47"/>
      <c r="CN41" s="47"/>
      <c r="CO41" s="47"/>
      <c r="CP41" s="47"/>
      <c r="CQ41" s="47"/>
      <c r="CR41" s="47"/>
      <c r="CS41" s="47"/>
      <c r="CT41" s="47"/>
      <c r="CU41" s="47"/>
      <c r="CV41" s="47"/>
      <c r="CW41" s="47"/>
      <c r="CX41" s="47"/>
      <c r="CY41" s="47"/>
      <c r="CZ41" s="47"/>
      <c r="DA41" s="47"/>
      <c r="DB41" s="47"/>
      <c r="DC41" s="47"/>
      <c r="DD41" s="47"/>
      <c r="DE41" s="47"/>
      <c r="DF41" s="47"/>
      <c r="DG41" s="47"/>
      <c r="DH41" s="47"/>
      <c r="DI41" s="47"/>
      <c r="DJ41" s="47"/>
      <c r="DK41" s="47"/>
      <c r="DL41" s="47"/>
      <c r="DM41" s="47"/>
      <c r="DN41" s="47"/>
      <c r="DO41" s="58"/>
      <c r="DP41" s="58"/>
      <c r="DQ41" s="58"/>
      <c r="DR41" s="58"/>
      <c r="DS41" s="58"/>
      <c r="DT41" s="58"/>
      <c r="DU41" s="58"/>
      <c r="DV41" s="58"/>
    </row>
    <row r="42" spans="1:126" ht="12.75" customHeight="1" x14ac:dyDescent="0.3">
      <c r="A42" s="48"/>
      <c r="B42" s="48"/>
      <c r="C42" s="104" t="str">
        <f>Threats!A9</f>
        <v>T9-Availability Threats(DDOS)</v>
      </c>
      <c r="D42" s="73">
        <f t="shared" ref="D42:Y42" si="11">(D$15/D$29)</f>
        <v>5.3691275167785227E-2</v>
      </c>
      <c r="E42" s="124">
        <f t="shared" si="11"/>
        <v>3.7037037037037035E-2</v>
      </c>
      <c r="F42" s="73">
        <f t="shared" si="11"/>
        <v>1.3297872340425534E-2</v>
      </c>
      <c r="G42" s="73">
        <f t="shared" si="11"/>
        <v>3.2608695652173912E-2</v>
      </c>
      <c r="H42" s="73">
        <f t="shared" si="11"/>
        <v>4.5801526717557259E-2</v>
      </c>
      <c r="I42" s="73">
        <f t="shared" si="11"/>
        <v>1.785714285714286E-2</v>
      </c>
      <c r="J42" s="73">
        <f t="shared" si="11"/>
        <v>2.8169014084507043E-2</v>
      </c>
      <c r="K42" s="73">
        <f t="shared" si="11"/>
        <v>7.4999999999999997E-2</v>
      </c>
      <c r="L42" s="73">
        <f t="shared" si="11"/>
        <v>3.7974683544303799E-2</v>
      </c>
      <c r="M42" s="73">
        <f t="shared" si="11"/>
        <v>0</v>
      </c>
      <c r="N42" s="73">
        <f t="shared" si="11"/>
        <v>0</v>
      </c>
      <c r="O42" s="73">
        <f t="shared" si="11"/>
        <v>0</v>
      </c>
      <c r="P42" s="73">
        <f t="shared" si="11"/>
        <v>0</v>
      </c>
      <c r="Q42" s="73">
        <f t="shared" si="11"/>
        <v>0</v>
      </c>
      <c r="R42" s="73">
        <f t="shared" si="11"/>
        <v>0</v>
      </c>
      <c r="S42" s="73">
        <f t="shared" si="11"/>
        <v>0</v>
      </c>
      <c r="T42" s="73">
        <f t="shared" si="11"/>
        <v>0</v>
      </c>
      <c r="U42" s="73">
        <f t="shared" si="11"/>
        <v>0</v>
      </c>
      <c r="V42" s="73">
        <f t="shared" si="11"/>
        <v>0</v>
      </c>
      <c r="W42" s="73">
        <f t="shared" si="11"/>
        <v>0</v>
      </c>
      <c r="X42" s="73">
        <f t="shared" si="11"/>
        <v>0</v>
      </c>
      <c r="Y42" s="73">
        <f t="shared" si="11"/>
        <v>0</v>
      </c>
      <c r="Z42" s="73">
        <f t="shared" si="2"/>
        <v>0.34143724740093262</v>
      </c>
      <c r="AA42" s="73">
        <f t="shared" si="3"/>
        <v>1.5482441512632736E-2</v>
      </c>
      <c r="AB42" s="73" t="str">
        <f>Threats!B9</f>
        <v>Threats to The Level of Service</v>
      </c>
      <c r="AC42" s="73">
        <f>INDEX(I69:I73,MATCH(AB42,B59:B63,0))</f>
        <v>6.8975468975468981E-2</v>
      </c>
      <c r="AD42" s="125">
        <f t="shared" si="4"/>
        <v>2.3550794265172554E-2</v>
      </c>
      <c r="AE42" s="109">
        <f>MMULT(D15:Y15, AA34:AA55)/AA42</f>
        <v>10.221978300997304</v>
      </c>
      <c r="AF42" s="104" t="str">
        <f xml:space="preserve"> Threats!A9</f>
        <v>T9-Availability Threats(DDOS)</v>
      </c>
      <c r="AG42" s="47"/>
      <c r="AH42" s="47"/>
      <c r="AI42" s="47"/>
      <c r="AK42" s="47"/>
      <c r="AL42" s="47"/>
      <c r="AM42" s="47"/>
      <c r="AO42" s="47"/>
      <c r="AP42" s="47"/>
      <c r="AQ42" s="47"/>
      <c r="AR42" s="47"/>
      <c r="AS42" s="47"/>
      <c r="AT42" s="47"/>
      <c r="AU42" s="47"/>
      <c r="AV42" s="47"/>
      <c r="AW42" s="47"/>
      <c r="AX42" s="47"/>
      <c r="AY42" s="47"/>
      <c r="AZ42" s="47"/>
      <c r="BA42" s="47"/>
      <c r="BB42" s="47"/>
      <c r="BC42" s="47"/>
      <c r="BD42" s="47"/>
      <c r="BE42" s="47"/>
      <c r="BF42" s="47"/>
      <c r="BG42" s="47"/>
      <c r="BH42" s="47"/>
      <c r="BI42" s="47"/>
      <c r="BJ42" s="47"/>
      <c r="BK42" s="47"/>
      <c r="BL42" s="47"/>
      <c r="BM42" s="47"/>
      <c r="BN42" s="47"/>
      <c r="BO42" s="47"/>
      <c r="BP42" s="47"/>
      <c r="BQ42" s="47"/>
      <c r="BR42" s="47"/>
      <c r="BS42" s="47"/>
      <c r="BT42" s="47"/>
      <c r="BU42" s="47"/>
      <c r="BV42" s="47"/>
      <c r="BW42" s="47"/>
      <c r="BX42" s="47"/>
      <c r="BY42" s="47"/>
      <c r="BZ42" s="47"/>
      <c r="CA42" s="47"/>
      <c r="CB42" s="47"/>
      <c r="CC42" s="47"/>
      <c r="CD42" s="47"/>
      <c r="CE42" s="47"/>
      <c r="CF42" s="47"/>
      <c r="CG42" s="47"/>
      <c r="CH42" s="47"/>
      <c r="CI42" s="47"/>
      <c r="CJ42" s="47"/>
      <c r="CK42" s="47"/>
      <c r="CL42" s="47"/>
      <c r="CM42" s="47"/>
      <c r="CN42" s="47"/>
      <c r="CO42" s="47"/>
      <c r="CP42" s="47"/>
      <c r="CQ42" s="47"/>
      <c r="CR42" s="47"/>
      <c r="CS42" s="47"/>
      <c r="CT42" s="47"/>
      <c r="CU42" s="47"/>
      <c r="CV42" s="47"/>
      <c r="CW42" s="47"/>
      <c r="CX42" s="47"/>
      <c r="CY42" s="47"/>
      <c r="CZ42" s="47"/>
      <c r="DA42" s="47"/>
      <c r="DB42" s="47"/>
      <c r="DC42" s="47"/>
      <c r="DD42" s="47"/>
      <c r="DE42" s="47"/>
      <c r="DF42" s="47"/>
      <c r="DG42" s="47"/>
      <c r="DH42" s="47"/>
      <c r="DI42" s="47"/>
      <c r="DJ42" s="47"/>
      <c r="DK42" s="47"/>
      <c r="DL42" s="47"/>
      <c r="DM42" s="47"/>
      <c r="DN42" s="47"/>
      <c r="DO42" s="58"/>
      <c r="DP42" s="58"/>
      <c r="DQ42" s="58"/>
      <c r="DR42" s="58"/>
      <c r="DS42" s="58"/>
      <c r="DT42" s="58"/>
      <c r="DU42" s="58"/>
      <c r="DV42" s="58"/>
    </row>
    <row r="43" spans="1:126" ht="12.75" customHeight="1" x14ac:dyDescent="0.3">
      <c r="A43" s="48"/>
      <c r="B43" s="48"/>
      <c r="C43" s="104" t="str">
        <f>Threats!A10</f>
        <v>T10-Disk Failure</v>
      </c>
      <c r="D43" s="74">
        <f t="shared" ref="D43:Y43" si="12">(D$16/D$29)</f>
        <v>0</v>
      </c>
      <c r="E43" s="126">
        <f t="shared" si="12"/>
        <v>0</v>
      </c>
      <c r="F43" s="74">
        <f t="shared" si="12"/>
        <v>0</v>
      </c>
      <c r="G43" s="74">
        <f t="shared" si="12"/>
        <v>0</v>
      </c>
      <c r="H43" s="74">
        <f t="shared" si="12"/>
        <v>0</v>
      </c>
      <c r="I43" s="74">
        <f t="shared" si="12"/>
        <v>0</v>
      </c>
      <c r="J43" s="74">
        <f t="shared" si="12"/>
        <v>0</v>
      </c>
      <c r="K43" s="74">
        <f t="shared" si="12"/>
        <v>0</v>
      </c>
      <c r="L43" s="74">
        <f t="shared" si="12"/>
        <v>0</v>
      </c>
      <c r="M43" s="74">
        <f t="shared" si="12"/>
        <v>7.1428571428571425E-2</v>
      </c>
      <c r="N43" s="74">
        <f t="shared" si="12"/>
        <v>3.4482758620689655E-2</v>
      </c>
      <c r="O43" s="74">
        <f t="shared" si="12"/>
        <v>6.25E-2</v>
      </c>
      <c r="P43" s="74">
        <f t="shared" si="12"/>
        <v>2.3474178403755867E-2</v>
      </c>
      <c r="Q43" s="74">
        <f t="shared" si="12"/>
        <v>0.10783055198973042</v>
      </c>
      <c r="R43" s="74">
        <f t="shared" si="12"/>
        <v>0</v>
      </c>
      <c r="S43" s="74">
        <f t="shared" si="12"/>
        <v>0</v>
      </c>
      <c r="T43" s="74">
        <f t="shared" si="12"/>
        <v>0</v>
      </c>
      <c r="U43" s="74">
        <f t="shared" si="12"/>
        <v>0</v>
      </c>
      <c r="V43" s="74">
        <f t="shared" si="12"/>
        <v>0</v>
      </c>
      <c r="W43" s="74">
        <f t="shared" si="12"/>
        <v>0</v>
      </c>
      <c r="X43" s="74">
        <f t="shared" si="12"/>
        <v>0</v>
      </c>
      <c r="Y43" s="74">
        <f t="shared" si="12"/>
        <v>0</v>
      </c>
      <c r="Z43" s="74">
        <f t="shared" si="2"/>
        <v>0.29971606044274735</v>
      </c>
      <c r="AA43" s="74">
        <f t="shared" si="3"/>
        <v>1.359059801332284E-2</v>
      </c>
      <c r="AB43" s="74" t="str">
        <f>Threats!B10</f>
        <v>Threats to the Information Base</v>
      </c>
      <c r="AC43" s="74">
        <f>INDEX(I69:I73,MATCH(AB43,B59:B63,0))</f>
        <v>0.24329004329004328</v>
      </c>
      <c r="AD43" s="127">
        <f t="shared" si="4"/>
        <v>7.291793331983723E-2</v>
      </c>
      <c r="AE43" s="109">
        <f>MMULT(D16:Y16, AA34:AA55)/AA43</f>
        <v>5.1920147388432136</v>
      </c>
      <c r="AF43" s="104" t="str">
        <f>Threats!A10</f>
        <v>T10-Disk Failure</v>
      </c>
      <c r="AG43" s="47"/>
      <c r="AH43" s="47"/>
      <c r="AI43" s="47"/>
      <c r="AK43" s="47"/>
      <c r="AL43" s="47"/>
      <c r="AM43" s="47"/>
      <c r="AO43" s="47"/>
      <c r="AP43" s="47"/>
      <c r="AQ43" s="47"/>
      <c r="AR43" s="47"/>
      <c r="AS43" s="47"/>
      <c r="AT43" s="47"/>
      <c r="AU43" s="47"/>
      <c r="AV43" s="47"/>
      <c r="AW43" s="47"/>
      <c r="AX43" s="47"/>
      <c r="AY43" s="47"/>
      <c r="AZ43" s="47"/>
      <c r="BA43" s="47"/>
      <c r="BB43" s="47"/>
      <c r="BC43" s="47"/>
      <c r="BD43" s="47"/>
      <c r="BE43" s="47"/>
      <c r="BF43" s="47"/>
      <c r="BG43" s="47"/>
      <c r="BH43" s="47"/>
      <c r="BI43" s="47"/>
      <c r="BJ43" s="47"/>
      <c r="BK43" s="47"/>
      <c r="BL43" s="47"/>
      <c r="BM43" s="47"/>
      <c r="BN43" s="47"/>
      <c r="BO43" s="47"/>
      <c r="BP43" s="47"/>
      <c r="BQ43" s="47"/>
      <c r="BR43" s="47"/>
      <c r="BS43" s="47"/>
      <c r="BT43" s="47"/>
      <c r="BU43" s="47"/>
      <c r="BV43" s="47"/>
      <c r="BW43" s="47"/>
      <c r="BX43" s="47"/>
      <c r="BY43" s="47"/>
      <c r="BZ43" s="47"/>
      <c r="CA43" s="47"/>
      <c r="CB43" s="47"/>
      <c r="CC43" s="47"/>
      <c r="CD43" s="47"/>
      <c r="CE43" s="47"/>
      <c r="CF43" s="47"/>
      <c r="CG43" s="47"/>
      <c r="CH43" s="47"/>
      <c r="CI43" s="47"/>
      <c r="CJ43" s="47"/>
      <c r="CK43" s="47"/>
      <c r="CL43" s="47"/>
      <c r="CM43" s="47"/>
      <c r="CN43" s="47"/>
      <c r="CO43" s="47"/>
      <c r="CP43" s="47"/>
      <c r="CQ43" s="47"/>
      <c r="CR43" s="47"/>
      <c r="CS43" s="47"/>
      <c r="CT43" s="47"/>
      <c r="CU43" s="47"/>
      <c r="CV43" s="47"/>
      <c r="CW43" s="47"/>
      <c r="CX43" s="47"/>
      <c r="CY43" s="47"/>
      <c r="CZ43" s="47"/>
      <c r="DA43" s="47"/>
      <c r="DB43" s="47"/>
      <c r="DC43" s="47"/>
      <c r="DD43" s="47"/>
      <c r="DE43" s="47"/>
      <c r="DF43" s="47"/>
      <c r="DG43" s="47"/>
      <c r="DH43" s="47"/>
      <c r="DI43" s="47"/>
      <c r="DJ43" s="47"/>
      <c r="DK43" s="47"/>
      <c r="DL43" s="47"/>
      <c r="DM43" s="47"/>
      <c r="DN43" s="47"/>
      <c r="DO43" s="58"/>
      <c r="DP43" s="58"/>
      <c r="DQ43" s="58"/>
      <c r="DR43" s="58"/>
      <c r="DS43" s="58"/>
      <c r="DT43" s="58"/>
      <c r="DU43" s="58"/>
      <c r="DV43" s="58"/>
    </row>
    <row r="44" spans="1:126" ht="12.75" customHeight="1" x14ac:dyDescent="0.3">
      <c r="A44" s="48"/>
      <c r="B44" s="48"/>
      <c r="C44" s="104" t="str">
        <f>Threats!A11</f>
        <v>T11-Data Corruption</v>
      </c>
      <c r="D44" s="75">
        <f t="shared" ref="D44:Y44" si="13">(D$17/D$29)</f>
        <v>0</v>
      </c>
      <c r="E44" s="128">
        <f t="shared" si="13"/>
        <v>0</v>
      </c>
      <c r="F44" s="75">
        <f t="shared" si="13"/>
        <v>0</v>
      </c>
      <c r="G44" s="75">
        <f t="shared" si="13"/>
        <v>0</v>
      </c>
      <c r="H44" s="75">
        <f t="shared" si="13"/>
        <v>0</v>
      </c>
      <c r="I44" s="75">
        <f t="shared" si="13"/>
        <v>0</v>
      </c>
      <c r="J44" s="75">
        <f t="shared" si="13"/>
        <v>0</v>
      </c>
      <c r="K44" s="75">
        <f t="shared" si="13"/>
        <v>0</v>
      </c>
      <c r="L44" s="75">
        <f t="shared" si="13"/>
        <v>0</v>
      </c>
      <c r="M44" s="75">
        <f t="shared" si="13"/>
        <v>0.14285714285714285</v>
      </c>
      <c r="N44" s="75">
        <f t="shared" si="13"/>
        <v>6.8965517241379309E-2</v>
      </c>
      <c r="O44" s="75">
        <f t="shared" si="13"/>
        <v>6.25E-2</v>
      </c>
      <c r="P44" s="75">
        <f t="shared" si="13"/>
        <v>1.8779342723004695E-2</v>
      </c>
      <c r="Q44" s="75">
        <f t="shared" si="13"/>
        <v>9.2426187419768921E-2</v>
      </c>
      <c r="R44" s="75">
        <f t="shared" si="13"/>
        <v>0</v>
      </c>
      <c r="S44" s="75">
        <f t="shared" si="13"/>
        <v>0</v>
      </c>
      <c r="T44" s="75">
        <f t="shared" si="13"/>
        <v>0</v>
      </c>
      <c r="U44" s="75">
        <f t="shared" si="13"/>
        <v>0</v>
      </c>
      <c r="V44" s="75">
        <f t="shared" si="13"/>
        <v>0</v>
      </c>
      <c r="W44" s="75">
        <f t="shared" si="13"/>
        <v>0</v>
      </c>
      <c r="X44" s="75">
        <f t="shared" si="13"/>
        <v>0</v>
      </c>
      <c r="Y44" s="75">
        <f t="shared" si="13"/>
        <v>0</v>
      </c>
      <c r="Z44" s="75">
        <f t="shared" si="2"/>
        <v>0.38552819024129575</v>
      </c>
      <c r="AA44" s="75">
        <f t="shared" si="3"/>
        <v>1.7481741380936708E-2</v>
      </c>
      <c r="AB44" s="75" t="str">
        <f>Threats!B11</f>
        <v>Threats to the Information Base</v>
      </c>
      <c r="AC44" s="75">
        <f>INDEX(I69:I73,MATCH(AB44,B59:B63,0))</f>
        <v>0.24329004329004328</v>
      </c>
      <c r="AD44" s="129">
        <f t="shared" si="4"/>
        <v>9.3795170093336891E-2</v>
      </c>
      <c r="AE44" s="109">
        <f>MMULT(D17:Y17, AA34:AA55)/AA44</f>
        <v>4.9906620092012473</v>
      </c>
      <c r="AF44" s="104" t="str">
        <f xml:space="preserve"> Threats!A11</f>
        <v>T11-Data Corruption</v>
      </c>
      <c r="AG44" s="47"/>
      <c r="AH44" s="47"/>
      <c r="AI44" s="47"/>
      <c r="AK44" s="47"/>
      <c r="AL44" s="47"/>
      <c r="AM44" s="47"/>
      <c r="AO44" s="47"/>
      <c r="AP44" s="47"/>
      <c r="AQ44" s="47"/>
      <c r="AR44" s="47"/>
      <c r="AS44" s="47"/>
      <c r="AT44" s="47"/>
      <c r="AU44" s="47"/>
      <c r="AV44" s="47"/>
      <c r="AW44" s="47"/>
      <c r="AX44" s="47"/>
      <c r="AY44" s="47"/>
      <c r="AZ44" s="47"/>
      <c r="BA44" s="47"/>
      <c r="BB44" s="47"/>
      <c r="BC44" s="47"/>
      <c r="BD44" s="47"/>
      <c r="BE44" s="47"/>
      <c r="BF44" s="47"/>
      <c r="BG44" s="47"/>
      <c r="BH44" s="47"/>
      <c r="BI44" s="47"/>
      <c r="BJ44" s="47"/>
      <c r="BK44" s="47"/>
      <c r="BL44" s="47"/>
      <c r="BM44" s="47"/>
      <c r="BN44" s="47"/>
      <c r="BO44" s="47"/>
      <c r="BP44" s="47"/>
      <c r="BQ44" s="47"/>
      <c r="BR44" s="47"/>
      <c r="BS44" s="47"/>
      <c r="BT44" s="47"/>
      <c r="BU44" s="47"/>
      <c r="BV44" s="47"/>
      <c r="BW44" s="47"/>
      <c r="BX44" s="47"/>
      <c r="BY44" s="47"/>
      <c r="BZ44" s="47"/>
      <c r="CA44" s="47"/>
      <c r="CB44" s="47"/>
      <c r="CC44" s="47"/>
      <c r="CD44" s="47"/>
      <c r="CE44" s="47"/>
      <c r="CF44" s="47"/>
      <c r="CG44" s="47"/>
      <c r="CH44" s="47"/>
      <c r="CI44" s="47"/>
      <c r="CJ44" s="47"/>
      <c r="CK44" s="47"/>
      <c r="CL44" s="47"/>
      <c r="CM44" s="47"/>
      <c r="CN44" s="47"/>
      <c r="CO44" s="47"/>
      <c r="CP44" s="47"/>
      <c r="CQ44" s="47"/>
      <c r="CR44" s="47"/>
      <c r="CS44" s="47"/>
      <c r="CT44" s="47"/>
      <c r="CU44" s="47"/>
      <c r="CV44" s="47"/>
      <c r="CW44" s="47"/>
      <c r="CX44" s="47"/>
      <c r="CY44" s="47"/>
      <c r="CZ44" s="47"/>
      <c r="DA44" s="47"/>
      <c r="DB44" s="47"/>
      <c r="DC44" s="47"/>
      <c r="DD44" s="47"/>
      <c r="DE44" s="47"/>
      <c r="DF44" s="47"/>
      <c r="DG44" s="47"/>
      <c r="DH44" s="47"/>
      <c r="DI44" s="47"/>
      <c r="DJ44" s="47"/>
      <c r="DK44" s="47"/>
      <c r="DL44" s="47"/>
      <c r="DM44" s="47"/>
      <c r="DN44" s="47"/>
      <c r="DO44" s="58"/>
      <c r="DP44" s="58"/>
      <c r="DQ44" s="58"/>
      <c r="DR44" s="58"/>
      <c r="DS44" s="58"/>
      <c r="DT44" s="58"/>
      <c r="DU44" s="58"/>
      <c r="DV44" s="58"/>
    </row>
    <row r="45" spans="1:126" ht="12.75" customHeight="1" x14ac:dyDescent="0.3">
      <c r="A45" s="48"/>
      <c r="B45" s="48"/>
      <c r="C45" s="104" t="str">
        <f>Threats!A12</f>
        <v>T12-Inaccurrate Data</v>
      </c>
      <c r="D45" s="76">
        <f t="shared" ref="D45:Y45" si="14">(D$18/D$29)</f>
        <v>0</v>
      </c>
      <c r="E45" s="130">
        <f t="shared" si="14"/>
        <v>0</v>
      </c>
      <c r="F45" s="76">
        <f t="shared" si="14"/>
        <v>0</v>
      </c>
      <c r="G45" s="76">
        <f t="shared" si="14"/>
        <v>0</v>
      </c>
      <c r="H45" s="76">
        <f t="shared" si="14"/>
        <v>0</v>
      </c>
      <c r="I45" s="76">
        <f t="shared" si="14"/>
        <v>0</v>
      </c>
      <c r="J45" s="76">
        <f t="shared" si="14"/>
        <v>0</v>
      </c>
      <c r="K45" s="76">
        <f t="shared" si="14"/>
        <v>0</v>
      </c>
      <c r="L45" s="76">
        <f t="shared" si="14"/>
        <v>0</v>
      </c>
      <c r="M45" s="76">
        <f t="shared" si="14"/>
        <v>7.1428571428571425E-2</v>
      </c>
      <c r="N45" s="76">
        <f t="shared" si="14"/>
        <v>6.8965517241379309E-2</v>
      </c>
      <c r="O45" s="76">
        <f t="shared" si="14"/>
        <v>6.25E-2</v>
      </c>
      <c r="P45" s="76">
        <f t="shared" si="14"/>
        <v>1.8779342723004695E-2</v>
      </c>
      <c r="Q45" s="76">
        <f t="shared" si="14"/>
        <v>8.0872913992297818E-2</v>
      </c>
      <c r="R45" s="76">
        <f t="shared" si="14"/>
        <v>0</v>
      </c>
      <c r="S45" s="76">
        <f t="shared" si="14"/>
        <v>0</v>
      </c>
      <c r="T45" s="76">
        <f t="shared" si="14"/>
        <v>0</v>
      </c>
      <c r="U45" s="76">
        <f t="shared" si="14"/>
        <v>0</v>
      </c>
      <c r="V45" s="76">
        <f t="shared" si="14"/>
        <v>0</v>
      </c>
      <c r="W45" s="76">
        <f t="shared" si="14"/>
        <v>0</v>
      </c>
      <c r="X45" s="76">
        <f t="shared" si="14"/>
        <v>0</v>
      </c>
      <c r="Y45" s="76">
        <f t="shared" si="14"/>
        <v>0</v>
      </c>
      <c r="Z45" s="76">
        <f t="shared" si="2"/>
        <v>0.30254634538525327</v>
      </c>
      <c r="AA45" s="76">
        <f t="shared" si="3"/>
        <v>1.3718937031458661E-2</v>
      </c>
      <c r="AB45" s="76" t="str">
        <f>Threats!B12</f>
        <v>Threats to the Information Base</v>
      </c>
      <c r="AC45" s="76">
        <f>INDEX(I69:I73,MATCH(AB45,B59:B63,0))</f>
        <v>0.24329004329004328</v>
      </c>
      <c r="AD45" s="131">
        <f t="shared" si="4"/>
        <v>7.3606513466022649E-2</v>
      </c>
      <c r="AE45" s="109">
        <f>MMULT(D18:Y18, AA34:AA55)/AA45</f>
        <v>5.1974803763469355</v>
      </c>
      <c r="AF45" s="104" t="str">
        <f>Threats!A12</f>
        <v>T12-Inaccurrate Data</v>
      </c>
      <c r="AG45" s="47"/>
      <c r="AH45" s="47"/>
      <c r="AI45" s="47"/>
      <c r="AK45" s="47"/>
      <c r="AL45" s="47"/>
      <c r="AM45" s="47"/>
      <c r="AO45" s="47"/>
      <c r="AP45" s="47"/>
      <c r="AQ45" s="47"/>
      <c r="AR45" s="47"/>
      <c r="AS45" s="47"/>
      <c r="AT45" s="47"/>
      <c r="AU45" s="47"/>
      <c r="AV45" s="47"/>
      <c r="AW45" s="47"/>
      <c r="AX45" s="47"/>
      <c r="AY45" s="47"/>
      <c r="AZ45" s="47"/>
      <c r="BA45" s="47"/>
      <c r="BB45" s="47"/>
      <c r="BC45" s="47"/>
      <c r="BD45" s="47"/>
      <c r="BE45" s="47"/>
      <c r="BF45" s="47"/>
      <c r="BG45" s="47"/>
      <c r="BH45" s="47"/>
      <c r="BI45" s="47"/>
      <c r="BJ45" s="47"/>
      <c r="BK45" s="47"/>
      <c r="BL45" s="47"/>
      <c r="BM45" s="47"/>
      <c r="BN45" s="47"/>
      <c r="BO45" s="47"/>
      <c r="BP45" s="47"/>
      <c r="BQ45" s="47"/>
      <c r="BR45" s="47"/>
      <c r="BS45" s="47"/>
      <c r="BT45" s="47"/>
      <c r="BU45" s="47"/>
      <c r="BV45" s="47"/>
      <c r="BW45" s="47"/>
      <c r="BX45" s="47"/>
      <c r="BY45" s="47"/>
      <c r="BZ45" s="47"/>
      <c r="CA45" s="47"/>
      <c r="CB45" s="47"/>
      <c r="CC45" s="47"/>
      <c r="CD45" s="47"/>
      <c r="CE45" s="47"/>
      <c r="CF45" s="47"/>
      <c r="CG45" s="47"/>
      <c r="CH45" s="47"/>
      <c r="CI45" s="47"/>
      <c r="CJ45" s="47"/>
      <c r="CK45" s="47"/>
      <c r="CL45" s="47"/>
      <c r="CM45" s="47"/>
      <c r="CN45" s="47"/>
      <c r="CO45" s="47"/>
      <c r="CP45" s="47"/>
      <c r="CQ45" s="47"/>
      <c r="CR45" s="47"/>
      <c r="CS45" s="47"/>
      <c r="CT45" s="47"/>
      <c r="CU45" s="47"/>
      <c r="CV45" s="47"/>
      <c r="CW45" s="47"/>
      <c r="CX45" s="47"/>
      <c r="CY45" s="47"/>
      <c r="CZ45" s="47"/>
      <c r="DA45" s="47"/>
      <c r="DB45" s="47"/>
      <c r="DC45" s="47"/>
      <c r="DD45" s="47"/>
      <c r="DE45" s="47"/>
      <c r="DF45" s="47"/>
      <c r="DG45" s="47"/>
      <c r="DH45" s="47"/>
      <c r="DI45" s="47"/>
      <c r="DJ45" s="47"/>
      <c r="DK45" s="47"/>
      <c r="DL45" s="47"/>
      <c r="DM45" s="47"/>
      <c r="DN45" s="47"/>
      <c r="DO45" s="58"/>
      <c r="DP45" s="58"/>
      <c r="DQ45" s="58"/>
      <c r="DR45" s="58"/>
      <c r="DS45" s="58"/>
      <c r="DT45" s="58"/>
      <c r="DU45" s="58"/>
      <c r="DV45" s="58"/>
    </row>
    <row r="46" spans="1:126" ht="12.75" customHeight="1" x14ac:dyDescent="0.3">
      <c r="A46" s="48"/>
      <c r="B46" s="48"/>
      <c r="C46" s="104" t="str">
        <f>Threats!A13</f>
        <v>T13-Un-authorized Access</v>
      </c>
      <c r="D46" s="77">
        <f t="shared" ref="D46:Y46" si="15">(D$19/D$29)</f>
        <v>0</v>
      </c>
      <c r="E46" s="132">
        <f t="shared" si="15"/>
        <v>0</v>
      </c>
      <c r="F46" s="77">
        <f t="shared" si="15"/>
        <v>0</v>
      </c>
      <c r="G46" s="77">
        <f t="shared" si="15"/>
        <v>0</v>
      </c>
      <c r="H46" s="77">
        <f t="shared" si="15"/>
        <v>0</v>
      </c>
      <c r="I46" s="77">
        <f t="shared" si="15"/>
        <v>0</v>
      </c>
      <c r="J46" s="77">
        <f t="shared" si="15"/>
        <v>0</v>
      </c>
      <c r="K46" s="77">
        <f t="shared" si="15"/>
        <v>0</v>
      </c>
      <c r="L46" s="77">
        <f t="shared" si="15"/>
        <v>0</v>
      </c>
      <c r="M46" s="77">
        <f t="shared" si="15"/>
        <v>0.2857142857142857</v>
      </c>
      <c r="N46" s="77">
        <f t="shared" si="15"/>
        <v>0.34482758620689657</v>
      </c>
      <c r="O46" s="77">
        <f t="shared" si="15"/>
        <v>0.3125</v>
      </c>
      <c r="P46" s="77">
        <f t="shared" si="15"/>
        <v>9.3896713615023469E-2</v>
      </c>
      <c r="Q46" s="77">
        <f t="shared" si="15"/>
        <v>7.188703465982027E-2</v>
      </c>
      <c r="R46" s="77">
        <f t="shared" si="15"/>
        <v>0</v>
      </c>
      <c r="S46" s="77">
        <f t="shared" si="15"/>
        <v>0</v>
      </c>
      <c r="T46" s="77">
        <f t="shared" si="15"/>
        <v>0</v>
      </c>
      <c r="U46" s="77">
        <f t="shared" si="15"/>
        <v>0</v>
      </c>
      <c r="V46" s="77">
        <f t="shared" si="15"/>
        <v>0</v>
      </c>
      <c r="W46" s="77">
        <f t="shared" si="15"/>
        <v>0</v>
      </c>
      <c r="X46" s="77">
        <f t="shared" si="15"/>
        <v>0</v>
      </c>
      <c r="Y46" s="77">
        <f t="shared" si="15"/>
        <v>0</v>
      </c>
      <c r="Z46" s="77">
        <f t="shared" si="2"/>
        <v>1.108825620196026</v>
      </c>
      <c r="AA46" s="77">
        <f t="shared" si="3"/>
        <v>5.0279598793259252E-2</v>
      </c>
      <c r="AB46" s="77" t="str">
        <f>Threats!B13</f>
        <v>Threats to the Information Base</v>
      </c>
      <c r="AC46" s="77">
        <f>INDEX(I69:I73,MATCH(AB46,B59:B63,0))</f>
        <v>0.24329004329004328</v>
      </c>
      <c r="AD46" s="133">
        <f t="shared" si="4"/>
        <v>0.26976623313860026</v>
      </c>
      <c r="AE46" s="109">
        <f>MMULT(D19:Y19, AA34:AA55)/AA46</f>
        <v>5.4748561250048393</v>
      </c>
      <c r="AF46" s="104" t="str">
        <f xml:space="preserve"> Threats!A13</f>
        <v>T13-Un-authorized Access</v>
      </c>
      <c r="AG46" s="47"/>
      <c r="AH46" s="47"/>
      <c r="AI46" s="47"/>
      <c r="AK46" s="47"/>
      <c r="AL46" s="47"/>
      <c r="AM46" s="47"/>
      <c r="AO46" s="47"/>
      <c r="AP46" s="47"/>
      <c r="AQ46" s="47"/>
      <c r="AR46" s="47"/>
      <c r="AS46" s="47"/>
      <c r="AT46" s="47"/>
      <c r="AU46" s="47"/>
      <c r="AV46" s="47"/>
      <c r="AW46" s="47"/>
      <c r="AX46" s="47"/>
      <c r="AY46" s="47"/>
      <c r="AZ46" s="47"/>
      <c r="BA46" s="47"/>
      <c r="BB46" s="47"/>
      <c r="BC46" s="47"/>
      <c r="BD46" s="47"/>
      <c r="BE46" s="47"/>
      <c r="BF46" s="47"/>
      <c r="BG46" s="47"/>
      <c r="BH46" s="47"/>
      <c r="BI46" s="47"/>
      <c r="BJ46" s="47"/>
      <c r="BK46" s="47"/>
      <c r="BL46" s="47"/>
      <c r="BM46" s="47"/>
      <c r="BN46" s="47"/>
      <c r="BO46" s="47"/>
      <c r="BP46" s="47"/>
      <c r="BQ46" s="47"/>
      <c r="BR46" s="47"/>
      <c r="BS46" s="47"/>
      <c r="BT46" s="47"/>
      <c r="BU46" s="47"/>
      <c r="BV46" s="47"/>
      <c r="BW46" s="47"/>
      <c r="BX46" s="47"/>
      <c r="BY46" s="47"/>
      <c r="BZ46" s="47"/>
      <c r="CA46" s="47"/>
      <c r="CB46" s="47"/>
      <c r="CC46" s="47"/>
      <c r="CD46" s="47"/>
      <c r="CE46" s="47"/>
      <c r="CF46" s="47"/>
      <c r="CG46" s="47"/>
      <c r="CH46" s="47"/>
      <c r="CI46" s="47"/>
      <c r="CJ46" s="47"/>
      <c r="CK46" s="47"/>
      <c r="CL46" s="47"/>
      <c r="CM46" s="47"/>
      <c r="CN46" s="47"/>
      <c r="CO46" s="47"/>
      <c r="CP46" s="47"/>
      <c r="CQ46" s="47"/>
      <c r="CR46" s="47"/>
      <c r="CS46" s="47"/>
      <c r="CT46" s="47"/>
      <c r="CU46" s="47"/>
      <c r="CV46" s="47"/>
      <c r="CW46" s="47"/>
      <c r="CX46" s="47"/>
      <c r="CY46" s="47"/>
      <c r="CZ46" s="47"/>
      <c r="DA46" s="47"/>
      <c r="DB46" s="47"/>
      <c r="DC46" s="47"/>
      <c r="DD46" s="47"/>
      <c r="DE46" s="47"/>
      <c r="DF46" s="47"/>
      <c r="DG46" s="47"/>
      <c r="DH46" s="47"/>
      <c r="DI46" s="47"/>
      <c r="DJ46" s="47"/>
      <c r="DK46" s="47"/>
      <c r="DL46" s="47"/>
      <c r="DM46" s="47"/>
      <c r="DN46" s="47"/>
      <c r="DO46" s="58"/>
      <c r="DP46" s="58"/>
      <c r="DQ46" s="58"/>
      <c r="DR46" s="58"/>
      <c r="DS46" s="58"/>
      <c r="DT46" s="58"/>
      <c r="DU46" s="58"/>
      <c r="DV46" s="58"/>
    </row>
    <row r="47" spans="1:126" ht="12.75" customHeight="1" x14ac:dyDescent="0.3">
      <c r="A47" s="48"/>
      <c r="B47" s="48"/>
      <c r="C47" s="104" t="str">
        <f>Threats!A14</f>
        <v>T14-Virus and Spyware</v>
      </c>
      <c r="D47" s="78">
        <f t="shared" ref="D47:Y47" si="16">(D$20/D$29)</f>
        <v>0</v>
      </c>
      <c r="E47" s="134">
        <f t="shared" si="16"/>
        <v>0</v>
      </c>
      <c r="F47" s="78">
        <f t="shared" si="16"/>
        <v>0</v>
      </c>
      <c r="G47" s="78">
        <f t="shared" si="16"/>
        <v>0</v>
      </c>
      <c r="H47" s="78">
        <f t="shared" si="16"/>
        <v>0</v>
      </c>
      <c r="I47" s="78">
        <f t="shared" si="16"/>
        <v>0</v>
      </c>
      <c r="J47" s="78">
        <f t="shared" si="16"/>
        <v>0</v>
      </c>
      <c r="K47" s="78">
        <f t="shared" si="16"/>
        <v>0</v>
      </c>
      <c r="L47" s="78">
        <f t="shared" si="16"/>
        <v>0</v>
      </c>
      <c r="M47" s="78">
        <f t="shared" si="16"/>
        <v>0.42857142857142855</v>
      </c>
      <c r="N47" s="78">
        <f t="shared" si="16"/>
        <v>0.48275862068965519</v>
      </c>
      <c r="O47" s="78">
        <f t="shared" si="16"/>
        <v>0.5</v>
      </c>
      <c r="P47" s="78">
        <f t="shared" si="16"/>
        <v>0.84507042253521125</v>
      </c>
      <c r="Q47" s="78">
        <f t="shared" si="16"/>
        <v>0.64698331193838254</v>
      </c>
      <c r="R47" s="78">
        <f t="shared" si="16"/>
        <v>0</v>
      </c>
      <c r="S47" s="78">
        <f t="shared" si="16"/>
        <v>0</v>
      </c>
      <c r="T47" s="78">
        <f t="shared" si="16"/>
        <v>0</v>
      </c>
      <c r="U47" s="78">
        <f t="shared" si="16"/>
        <v>0</v>
      </c>
      <c r="V47" s="78">
        <f t="shared" si="16"/>
        <v>0</v>
      </c>
      <c r="W47" s="78">
        <f t="shared" si="16"/>
        <v>0</v>
      </c>
      <c r="X47" s="78">
        <f t="shared" si="16"/>
        <v>0</v>
      </c>
      <c r="Y47" s="78">
        <f t="shared" si="16"/>
        <v>0</v>
      </c>
      <c r="Z47" s="78">
        <f t="shared" si="2"/>
        <v>2.903383783734677</v>
      </c>
      <c r="AA47" s="78">
        <f t="shared" si="3"/>
        <v>0.13165367856780491</v>
      </c>
      <c r="AB47" s="78" t="str">
        <f>Threats!B14</f>
        <v>Threats to the Information Base</v>
      </c>
      <c r="AC47" s="78">
        <f>INDEX(I69:I73,MATCH(AB47,B59:B63,0))</f>
        <v>0.24329004329004328</v>
      </c>
      <c r="AD47" s="135">
        <f t="shared" si="4"/>
        <v>0.70636436643241918</v>
      </c>
      <c r="AE47" s="109">
        <f>MMULT(D20:Y20, AA34:AA55)/AA47</f>
        <v>6.8196905052135923</v>
      </c>
      <c r="AF47" s="104" t="str">
        <f>Threats!A14</f>
        <v>T14-Virus and Spyware</v>
      </c>
      <c r="AG47" s="47"/>
      <c r="AH47" s="47"/>
      <c r="AI47" s="47"/>
      <c r="AK47" s="47"/>
      <c r="AL47" s="47"/>
      <c r="AM47" s="47"/>
      <c r="AO47" s="47"/>
      <c r="AP47" s="47"/>
      <c r="AQ47" s="47"/>
      <c r="AR47" s="47"/>
      <c r="AS47" s="47"/>
      <c r="AT47" s="47"/>
      <c r="AU47" s="47"/>
      <c r="AV47" s="47"/>
      <c r="AW47" s="47"/>
      <c r="AX47" s="47"/>
      <c r="AY47" s="47"/>
      <c r="AZ47" s="47"/>
      <c r="BA47" s="47"/>
      <c r="BB47" s="47"/>
      <c r="BC47" s="47"/>
      <c r="BD47" s="47"/>
      <c r="BE47" s="47"/>
      <c r="BF47" s="47"/>
      <c r="BG47" s="47"/>
      <c r="BH47" s="47"/>
      <c r="BI47" s="47"/>
      <c r="BJ47" s="47"/>
      <c r="BK47" s="47"/>
      <c r="BL47" s="47"/>
      <c r="BM47" s="47"/>
      <c r="BN47" s="47"/>
      <c r="BO47" s="47"/>
      <c r="BP47" s="47"/>
      <c r="BQ47" s="47"/>
      <c r="BR47" s="47"/>
      <c r="BS47" s="47"/>
      <c r="BT47" s="47"/>
      <c r="BU47" s="47"/>
      <c r="BV47" s="47"/>
      <c r="BW47" s="47"/>
      <c r="BX47" s="47"/>
      <c r="BY47" s="47"/>
      <c r="BZ47" s="47"/>
      <c r="CA47" s="47"/>
      <c r="CB47" s="47"/>
      <c r="CC47" s="47"/>
      <c r="CD47" s="47"/>
      <c r="CE47" s="47"/>
      <c r="CF47" s="47"/>
      <c r="CG47" s="47"/>
      <c r="CH47" s="47"/>
      <c r="CI47" s="47"/>
      <c r="CJ47" s="47"/>
      <c r="CK47" s="47"/>
      <c r="CL47" s="47"/>
      <c r="CM47" s="47"/>
      <c r="CN47" s="47"/>
      <c r="CO47" s="47"/>
      <c r="CP47" s="47"/>
      <c r="CQ47" s="47"/>
      <c r="CR47" s="47"/>
      <c r="CS47" s="47"/>
      <c r="CT47" s="47"/>
      <c r="CU47" s="47"/>
      <c r="CV47" s="47"/>
      <c r="CW47" s="47"/>
      <c r="CX47" s="47"/>
      <c r="CY47" s="47"/>
      <c r="CZ47" s="47"/>
      <c r="DA47" s="47"/>
      <c r="DB47" s="47"/>
      <c r="DC47" s="47"/>
      <c r="DD47" s="47"/>
      <c r="DE47" s="47"/>
      <c r="DF47" s="47"/>
      <c r="DG47" s="47"/>
      <c r="DH47" s="47"/>
      <c r="DI47" s="47"/>
      <c r="DJ47" s="47"/>
      <c r="DK47" s="47"/>
      <c r="DL47" s="47"/>
      <c r="DM47" s="47"/>
      <c r="DN47" s="47"/>
      <c r="DO47" s="58"/>
      <c r="DP47" s="58"/>
      <c r="DQ47" s="58"/>
      <c r="DR47" s="58"/>
      <c r="DS47" s="58"/>
      <c r="DT47" s="58"/>
      <c r="DU47" s="58"/>
      <c r="DV47" s="58"/>
    </row>
    <row r="48" spans="1:126" ht="12.75" customHeight="1" x14ac:dyDescent="0.3">
      <c r="A48" s="48"/>
      <c r="B48" s="48"/>
      <c r="C48" s="104" t="str">
        <f>Threats!A15</f>
        <v>T15-Hacking</v>
      </c>
      <c r="D48" s="79">
        <f t="shared" ref="D48:Y48" si="17">(D$21/D$29)</f>
        <v>0</v>
      </c>
      <c r="E48" s="136">
        <f t="shared" si="17"/>
        <v>0</v>
      </c>
      <c r="F48" s="79">
        <f t="shared" si="17"/>
        <v>0</v>
      </c>
      <c r="G48" s="79">
        <f t="shared" si="17"/>
        <v>0</v>
      </c>
      <c r="H48" s="79">
        <f t="shared" si="17"/>
        <v>0</v>
      </c>
      <c r="I48" s="79">
        <f t="shared" si="17"/>
        <v>0</v>
      </c>
      <c r="J48" s="79">
        <f t="shared" si="17"/>
        <v>0</v>
      </c>
      <c r="K48" s="79">
        <f t="shared" si="17"/>
        <v>0</v>
      </c>
      <c r="L48" s="79">
        <f t="shared" si="17"/>
        <v>0</v>
      </c>
      <c r="M48" s="79">
        <f t="shared" si="17"/>
        <v>0</v>
      </c>
      <c r="N48" s="79">
        <f t="shared" si="17"/>
        <v>0</v>
      </c>
      <c r="O48" s="79">
        <f t="shared" si="17"/>
        <v>0</v>
      </c>
      <c r="P48" s="79">
        <f t="shared" si="17"/>
        <v>0</v>
      </c>
      <c r="Q48" s="79">
        <f t="shared" si="17"/>
        <v>0</v>
      </c>
      <c r="R48" s="79">
        <f t="shared" si="17"/>
        <v>4.0816326530612242E-2</v>
      </c>
      <c r="S48" s="79">
        <f t="shared" si="17"/>
        <v>5.4054054054054057E-2</v>
      </c>
      <c r="T48" s="79">
        <f t="shared" si="17"/>
        <v>3.90625E-2</v>
      </c>
      <c r="U48" s="79">
        <f t="shared" si="17"/>
        <v>5.4054054054054057E-2</v>
      </c>
      <c r="V48" s="79">
        <f t="shared" si="17"/>
        <v>2.1352313167259787E-2</v>
      </c>
      <c r="W48" s="79">
        <f t="shared" si="17"/>
        <v>4.7619047619047616E-2</v>
      </c>
      <c r="X48" s="79">
        <f t="shared" si="17"/>
        <v>4.7619047619047616E-2</v>
      </c>
      <c r="Y48" s="79">
        <f t="shared" si="17"/>
        <v>2.793296089385475E-2</v>
      </c>
      <c r="Z48" s="79">
        <f t="shared" si="2"/>
        <v>0.33251030393793013</v>
      </c>
      <c r="AA48" s="79">
        <f t="shared" si="3"/>
        <v>1.5077650057966921E-2</v>
      </c>
      <c r="AB48" s="79" t="str">
        <f>Threats!B15</f>
        <v>Threats to Information Leakage</v>
      </c>
      <c r="AC48" s="79">
        <f>INDEX(I69:I73,MATCH(AB48,B59:B63,0))</f>
        <v>0.28773448773448773</v>
      </c>
      <c r="AD48" s="137">
        <f t="shared" si="4"/>
        <v>9.5674681970019146E-2</v>
      </c>
      <c r="AE48" s="109">
        <f>MMULT(D21:Y21, AA34:AA55)/AA48</f>
        <v>8.2419892453939649</v>
      </c>
      <c r="AF48" s="104" t="str">
        <f xml:space="preserve"> Threats!A15</f>
        <v>T15-Hacking</v>
      </c>
      <c r="AG48" s="47"/>
      <c r="AH48" s="47"/>
      <c r="AI48" s="47"/>
      <c r="AK48" s="47"/>
      <c r="AL48" s="47"/>
      <c r="AM48" s="47"/>
      <c r="AO48" s="47"/>
      <c r="AP48" s="47"/>
      <c r="AQ48" s="47"/>
      <c r="AR48" s="47"/>
      <c r="AS48" s="47"/>
      <c r="AT48" s="47"/>
      <c r="AU48" s="47"/>
      <c r="AV48" s="47"/>
      <c r="AW48" s="47"/>
      <c r="AX48" s="47"/>
      <c r="AY48" s="47"/>
      <c r="AZ48" s="47"/>
      <c r="BA48" s="47"/>
      <c r="BB48" s="47"/>
      <c r="BC48" s="47"/>
      <c r="BD48" s="47"/>
      <c r="BE48" s="47"/>
      <c r="BF48" s="47"/>
      <c r="BG48" s="47"/>
      <c r="BH48" s="47"/>
      <c r="BI48" s="47"/>
      <c r="BJ48" s="47"/>
      <c r="BK48" s="47"/>
      <c r="BL48" s="47"/>
      <c r="BM48" s="47"/>
      <c r="BN48" s="47"/>
      <c r="BO48" s="47"/>
      <c r="BP48" s="47"/>
      <c r="BQ48" s="47"/>
      <c r="BR48" s="47"/>
      <c r="BS48" s="47"/>
      <c r="BT48" s="47"/>
      <c r="BU48" s="47"/>
      <c r="BV48" s="47"/>
      <c r="BW48" s="47"/>
      <c r="BX48" s="47"/>
      <c r="BY48" s="47"/>
      <c r="BZ48" s="47"/>
      <c r="CA48" s="47"/>
      <c r="CB48" s="47"/>
      <c r="CC48" s="47"/>
      <c r="CD48" s="47"/>
      <c r="CE48" s="47"/>
      <c r="CF48" s="47"/>
      <c r="CG48" s="47"/>
      <c r="CH48" s="47"/>
      <c r="CI48" s="47"/>
      <c r="CJ48" s="47"/>
      <c r="CK48" s="47"/>
      <c r="CL48" s="47"/>
      <c r="CM48" s="47"/>
      <c r="CN48" s="47"/>
      <c r="CO48" s="47"/>
      <c r="CP48" s="47"/>
      <c r="CQ48" s="47"/>
      <c r="CR48" s="47"/>
      <c r="CS48" s="47"/>
      <c r="CT48" s="47"/>
      <c r="CU48" s="47"/>
      <c r="CV48" s="47"/>
      <c r="CW48" s="47"/>
      <c r="CX48" s="47"/>
      <c r="CY48" s="47"/>
      <c r="CZ48" s="47"/>
      <c r="DA48" s="47"/>
      <c r="DB48" s="47"/>
      <c r="DC48" s="47"/>
      <c r="DD48" s="47"/>
      <c r="DE48" s="47"/>
      <c r="DF48" s="47"/>
      <c r="DG48" s="47"/>
      <c r="DH48" s="47"/>
      <c r="DI48" s="47"/>
      <c r="DJ48" s="47"/>
      <c r="DK48" s="47"/>
      <c r="DL48" s="47"/>
      <c r="DM48" s="47"/>
      <c r="DN48" s="47"/>
      <c r="DO48" s="58"/>
      <c r="DP48" s="58"/>
      <c r="DQ48" s="58"/>
      <c r="DR48" s="58"/>
      <c r="DS48" s="58"/>
      <c r="DT48" s="58"/>
      <c r="DU48" s="58"/>
      <c r="DV48" s="58"/>
    </row>
    <row r="49" spans="1:126" ht="12.75" customHeight="1" x14ac:dyDescent="0.3">
      <c r="A49" s="48"/>
      <c r="B49" s="48"/>
      <c r="C49" s="104" t="str">
        <f>Threats!A16</f>
        <v>T16-Media Leakage</v>
      </c>
      <c r="D49" s="80">
        <f t="shared" ref="D49:Y49" si="18">(D$22/D$29)</f>
        <v>0</v>
      </c>
      <c r="E49" s="138">
        <f t="shared" si="18"/>
        <v>0</v>
      </c>
      <c r="F49" s="80">
        <f t="shared" si="18"/>
        <v>0</v>
      </c>
      <c r="G49" s="80">
        <f t="shared" si="18"/>
        <v>0</v>
      </c>
      <c r="H49" s="80">
        <f t="shared" si="18"/>
        <v>0</v>
      </c>
      <c r="I49" s="80">
        <f t="shared" si="18"/>
        <v>0</v>
      </c>
      <c r="J49" s="80">
        <f t="shared" si="18"/>
        <v>0</v>
      </c>
      <c r="K49" s="80">
        <f t="shared" si="18"/>
        <v>0</v>
      </c>
      <c r="L49" s="80">
        <f t="shared" si="18"/>
        <v>0</v>
      </c>
      <c r="M49" s="80">
        <f t="shared" si="18"/>
        <v>0</v>
      </c>
      <c r="N49" s="80">
        <f t="shared" si="18"/>
        <v>0</v>
      </c>
      <c r="O49" s="80">
        <f t="shared" si="18"/>
        <v>0</v>
      </c>
      <c r="P49" s="80">
        <f t="shared" si="18"/>
        <v>0</v>
      </c>
      <c r="Q49" s="80">
        <f t="shared" si="18"/>
        <v>0</v>
      </c>
      <c r="R49" s="80">
        <f t="shared" si="18"/>
        <v>2.0408163265306121E-2</v>
      </c>
      <c r="S49" s="80">
        <f t="shared" si="18"/>
        <v>2.7027027027027029E-2</v>
      </c>
      <c r="T49" s="80">
        <f t="shared" si="18"/>
        <v>2.34375E-2</v>
      </c>
      <c r="U49" s="80">
        <f t="shared" si="18"/>
        <v>4.5045045045045043E-2</v>
      </c>
      <c r="V49" s="80">
        <f t="shared" si="18"/>
        <v>1.779359430604982E-2</v>
      </c>
      <c r="W49" s="80">
        <f t="shared" si="18"/>
        <v>2.3809523809523808E-2</v>
      </c>
      <c r="X49" s="80">
        <f t="shared" si="18"/>
        <v>2.3809523809523808E-2</v>
      </c>
      <c r="Y49" s="80">
        <f t="shared" si="18"/>
        <v>2.2346368715083803E-2</v>
      </c>
      <c r="Z49" s="80">
        <f t="shared" si="2"/>
        <v>0.20367674597755944</v>
      </c>
      <c r="AA49" s="80">
        <f t="shared" si="3"/>
        <v>9.2357038697011996E-3</v>
      </c>
      <c r="AB49" s="80" t="str">
        <f>Threats!B16</f>
        <v>Threats to Information Leakage</v>
      </c>
      <c r="AC49" s="80">
        <f>INDEX(I69:I73,MATCH(AB49,B59:B63,0))</f>
        <v>0.28773448773448773</v>
      </c>
      <c r="AD49" s="139">
        <f t="shared" si="4"/>
        <v>5.8604824167280453E-2</v>
      </c>
      <c r="AE49" s="109">
        <f>MMULT(D22:Y22, AA34:AA55)/AA49</f>
        <v>8.2448526487532465</v>
      </c>
      <c r="AF49" s="104" t="str">
        <f>Threats!A16</f>
        <v>T16-Media Leakage</v>
      </c>
      <c r="AG49" s="47"/>
      <c r="AH49" s="47"/>
      <c r="AI49" s="47"/>
      <c r="AK49" s="47"/>
      <c r="AL49" s="47"/>
      <c r="AM49" s="47"/>
      <c r="AO49" s="47"/>
      <c r="AP49" s="47"/>
      <c r="AQ49" s="47"/>
      <c r="AR49" s="47"/>
      <c r="AS49" s="47"/>
      <c r="AT49" s="47"/>
      <c r="AU49" s="47"/>
      <c r="AV49" s="47"/>
      <c r="AW49" s="47"/>
      <c r="AX49" s="47"/>
      <c r="AY49" s="47"/>
      <c r="AZ49" s="47"/>
      <c r="BA49" s="47"/>
      <c r="BB49" s="47"/>
      <c r="BC49" s="47"/>
      <c r="BD49" s="47"/>
      <c r="BE49" s="47"/>
      <c r="BF49" s="47"/>
      <c r="BG49" s="47"/>
      <c r="BH49" s="47"/>
      <c r="BI49" s="47"/>
      <c r="BJ49" s="47"/>
      <c r="BK49" s="47"/>
      <c r="BL49" s="47"/>
      <c r="BM49" s="47"/>
      <c r="BN49" s="47"/>
      <c r="BO49" s="47"/>
      <c r="BP49" s="47"/>
      <c r="BQ49" s="47"/>
      <c r="BR49" s="47"/>
      <c r="BS49" s="47"/>
      <c r="BT49" s="47"/>
      <c r="BU49" s="47"/>
      <c r="BV49" s="47"/>
      <c r="BW49" s="47"/>
      <c r="BX49" s="47"/>
      <c r="BY49" s="47"/>
      <c r="BZ49" s="47"/>
      <c r="CA49" s="47"/>
      <c r="CB49" s="47"/>
      <c r="CC49" s="47"/>
      <c r="CD49" s="47"/>
      <c r="CE49" s="47"/>
      <c r="CF49" s="47"/>
      <c r="CG49" s="47"/>
      <c r="CH49" s="47"/>
      <c r="CI49" s="47"/>
      <c r="CJ49" s="47"/>
      <c r="CK49" s="47"/>
      <c r="CL49" s="47"/>
      <c r="CM49" s="47"/>
      <c r="CN49" s="47"/>
      <c r="CO49" s="47"/>
      <c r="CP49" s="47"/>
      <c r="CQ49" s="47"/>
      <c r="CR49" s="47"/>
      <c r="CS49" s="47"/>
      <c r="CT49" s="47"/>
      <c r="CU49" s="47"/>
      <c r="CV49" s="47"/>
      <c r="CW49" s="47"/>
      <c r="CX49" s="47"/>
      <c r="CY49" s="47"/>
      <c r="CZ49" s="47"/>
      <c r="DA49" s="47"/>
      <c r="DB49" s="47"/>
      <c r="DC49" s="47"/>
      <c r="DD49" s="47"/>
      <c r="DE49" s="47"/>
      <c r="DF49" s="47"/>
      <c r="DG49" s="47"/>
      <c r="DH49" s="47"/>
      <c r="DI49" s="47"/>
      <c r="DJ49" s="47"/>
      <c r="DK49" s="47"/>
      <c r="DL49" s="47"/>
      <c r="DM49" s="47"/>
      <c r="DN49" s="47"/>
      <c r="DO49" s="58"/>
      <c r="DP49" s="58"/>
      <c r="DQ49" s="58"/>
      <c r="DR49" s="58"/>
      <c r="DS49" s="58"/>
      <c r="DT49" s="58"/>
      <c r="DU49" s="58"/>
      <c r="DV49" s="58"/>
    </row>
    <row r="50" spans="1:126" ht="13.5" customHeight="1" x14ac:dyDescent="0.3">
      <c r="A50" s="48"/>
      <c r="B50" s="48"/>
      <c r="C50" s="104" t="str">
        <f>Threats!A17</f>
        <v>T17-Communication Preventers(Botnet, Dialer)</v>
      </c>
      <c r="D50" s="81">
        <f t="shared" ref="D50:Y50" si="19">(D$23/D$29)</f>
        <v>0</v>
      </c>
      <c r="E50" s="140">
        <f t="shared" si="19"/>
        <v>0</v>
      </c>
      <c r="F50" s="81">
        <f t="shared" si="19"/>
        <v>0</v>
      </c>
      <c r="G50" s="81">
        <f t="shared" si="19"/>
        <v>0</v>
      </c>
      <c r="H50" s="81">
        <f t="shared" si="19"/>
        <v>0</v>
      </c>
      <c r="I50" s="81">
        <f t="shared" si="19"/>
        <v>0</v>
      </c>
      <c r="J50" s="81">
        <f t="shared" si="19"/>
        <v>0</v>
      </c>
      <c r="K50" s="81">
        <f t="shared" si="19"/>
        <v>0</v>
      </c>
      <c r="L50" s="81">
        <f t="shared" si="19"/>
        <v>0</v>
      </c>
      <c r="M50" s="81">
        <f t="shared" si="19"/>
        <v>0</v>
      </c>
      <c r="N50" s="81">
        <f t="shared" si="19"/>
        <v>0</v>
      </c>
      <c r="O50" s="81">
        <f t="shared" si="19"/>
        <v>0</v>
      </c>
      <c r="P50" s="81">
        <f t="shared" si="19"/>
        <v>0</v>
      </c>
      <c r="Q50" s="81">
        <f t="shared" si="19"/>
        <v>0</v>
      </c>
      <c r="R50" s="81">
        <f t="shared" si="19"/>
        <v>0.12244897959183673</v>
      </c>
      <c r="S50" s="81">
        <f t="shared" si="19"/>
        <v>0.13513513513513514</v>
      </c>
      <c r="T50" s="81">
        <f t="shared" si="19"/>
        <v>0.1171875</v>
      </c>
      <c r="U50" s="81">
        <f t="shared" si="19"/>
        <v>0.13513513513513511</v>
      </c>
      <c r="V50" s="81">
        <f t="shared" si="19"/>
        <v>0.10676156583629892</v>
      </c>
      <c r="W50" s="81">
        <f t="shared" si="19"/>
        <v>0.14285714285714285</v>
      </c>
      <c r="X50" s="81">
        <f t="shared" si="19"/>
        <v>7.1428571428571425E-2</v>
      </c>
      <c r="Y50" s="81">
        <f t="shared" si="19"/>
        <v>0.111731843575419</v>
      </c>
      <c r="Z50" s="81">
        <f t="shared" si="2"/>
        <v>0.94268587355953903</v>
      </c>
      <c r="AA50" s="81">
        <f t="shared" si="3"/>
        <v>4.2746006808777937E-2</v>
      </c>
      <c r="AB50" s="81" t="str">
        <f>Threats!B17</f>
        <v>Threats to Information Leakage</v>
      </c>
      <c r="AC50" s="81">
        <f>INDEX(I69:I73,MATCH(AB50,B59:B63,0))</f>
        <v>0.28773448773448773</v>
      </c>
      <c r="AD50" s="141">
        <f t="shared" si="4"/>
        <v>0.27124323692319202</v>
      </c>
      <c r="AE50" s="109">
        <f>MMULT(D23:Y23, AA34:AA55)/AA50</f>
        <v>8.277156095524175</v>
      </c>
      <c r="AF50" s="104" t="str">
        <f xml:space="preserve"> Threats!A17</f>
        <v>T17-Communication Preventers(Botnet, Dialer)</v>
      </c>
      <c r="AG50" s="47"/>
      <c r="AH50" s="47"/>
      <c r="AI50" s="47"/>
      <c r="AK50" s="47"/>
      <c r="AL50" s="47"/>
      <c r="AM50" s="47"/>
      <c r="AO50" s="47"/>
      <c r="AP50" s="47"/>
      <c r="AQ50" s="47"/>
      <c r="AR50" s="47"/>
      <c r="AS50" s="47"/>
      <c r="AT50" s="47"/>
      <c r="AU50" s="47"/>
      <c r="AV50" s="47"/>
      <c r="AW50" s="47"/>
      <c r="AX50" s="47"/>
      <c r="AY50" s="47"/>
      <c r="AZ50" s="47"/>
      <c r="BA50" s="47"/>
      <c r="BB50" s="47"/>
      <c r="BC50" s="47"/>
      <c r="BD50" s="47"/>
      <c r="BE50" s="47"/>
      <c r="BF50" s="47"/>
      <c r="BG50" s="47"/>
      <c r="BH50" s="47"/>
      <c r="BI50" s="47"/>
      <c r="BJ50" s="47"/>
      <c r="BK50" s="47"/>
      <c r="BL50" s="47"/>
      <c r="BM50" s="47"/>
      <c r="BN50" s="47"/>
      <c r="BO50" s="47"/>
      <c r="BP50" s="47"/>
      <c r="BQ50" s="47"/>
      <c r="BR50" s="47"/>
      <c r="BS50" s="47"/>
      <c r="BT50" s="47"/>
      <c r="BU50" s="47"/>
      <c r="BV50" s="47"/>
      <c r="BW50" s="47"/>
      <c r="BX50" s="47"/>
      <c r="BY50" s="47"/>
      <c r="BZ50" s="47"/>
      <c r="CA50" s="47"/>
      <c r="CB50" s="47"/>
      <c r="CC50" s="47"/>
      <c r="CD50" s="47"/>
      <c r="CE50" s="47"/>
      <c r="CF50" s="47"/>
      <c r="CG50" s="47"/>
      <c r="CH50" s="47"/>
      <c r="CI50" s="47"/>
      <c r="CJ50" s="47"/>
      <c r="CK50" s="47"/>
      <c r="CL50" s="47"/>
      <c r="CM50" s="47"/>
      <c r="CN50" s="47"/>
      <c r="CO50" s="47"/>
      <c r="CP50" s="47"/>
      <c r="CQ50" s="47"/>
      <c r="CR50" s="47"/>
      <c r="CS50" s="47"/>
      <c r="CT50" s="47"/>
      <c r="CU50" s="47"/>
      <c r="CV50" s="47"/>
      <c r="CW50" s="47"/>
      <c r="CX50" s="47"/>
      <c r="CY50" s="47"/>
      <c r="CZ50" s="47"/>
      <c r="DA50" s="47"/>
      <c r="DB50" s="47"/>
      <c r="DC50" s="47"/>
      <c r="DD50" s="47"/>
      <c r="DE50" s="47"/>
      <c r="DF50" s="47"/>
      <c r="DG50" s="47"/>
      <c r="DH50" s="47"/>
      <c r="DI50" s="47"/>
      <c r="DJ50" s="47"/>
      <c r="DK50" s="47"/>
      <c r="DL50" s="47"/>
      <c r="DM50" s="47"/>
      <c r="DN50" s="47"/>
      <c r="DO50" s="58"/>
      <c r="DP50" s="58"/>
      <c r="DQ50" s="58"/>
      <c r="DR50" s="58"/>
      <c r="DS50" s="58"/>
      <c r="DT50" s="58"/>
      <c r="DU50" s="58"/>
      <c r="DV50" s="58"/>
    </row>
    <row r="51" spans="1:126" ht="12.75" customHeight="1" x14ac:dyDescent="0.3">
      <c r="A51" s="48"/>
      <c r="B51" s="48"/>
      <c r="C51" s="104" t="str">
        <f>Threats!A18</f>
        <v>T18-Authentication Threats</v>
      </c>
      <c r="D51" s="82">
        <f t="shared" ref="D51:Y51" si="20">(D$24/D$29)</f>
        <v>0</v>
      </c>
      <c r="E51" s="142">
        <f t="shared" si="20"/>
        <v>0</v>
      </c>
      <c r="F51" s="82">
        <f t="shared" si="20"/>
        <v>0</v>
      </c>
      <c r="G51" s="82">
        <f t="shared" si="20"/>
        <v>0</v>
      </c>
      <c r="H51" s="82">
        <f t="shared" si="20"/>
        <v>0</v>
      </c>
      <c r="I51" s="82">
        <f t="shared" si="20"/>
        <v>0</v>
      </c>
      <c r="J51" s="82">
        <f t="shared" si="20"/>
        <v>0</v>
      </c>
      <c r="K51" s="82">
        <f t="shared" si="20"/>
        <v>0</v>
      </c>
      <c r="L51" s="82">
        <f t="shared" si="20"/>
        <v>0</v>
      </c>
      <c r="M51" s="82">
        <f t="shared" si="20"/>
        <v>0</v>
      </c>
      <c r="N51" s="82">
        <f t="shared" si="20"/>
        <v>0</v>
      </c>
      <c r="O51" s="82">
        <f t="shared" si="20"/>
        <v>0</v>
      </c>
      <c r="P51" s="82">
        <f t="shared" si="20"/>
        <v>0</v>
      </c>
      <c r="Q51" s="82">
        <f t="shared" si="20"/>
        <v>0</v>
      </c>
      <c r="R51" s="82">
        <f t="shared" si="20"/>
        <v>0.20408163265306123</v>
      </c>
      <c r="S51" s="82">
        <f t="shared" si="20"/>
        <v>0.16216216216216217</v>
      </c>
      <c r="T51" s="82">
        <f t="shared" si="20"/>
        <v>0.234375</v>
      </c>
      <c r="U51" s="82">
        <f t="shared" si="20"/>
        <v>0.27027027027027023</v>
      </c>
      <c r="V51" s="82">
        <f t="shared" si="20"/>
        <v>0.21352313167259784</v>
      </c>
      <c r="W51" s="82">
        <f t="shared" si="20"/>
        <v>0.2857142857142857</v>
      </c>
      <c r="X51" s="82">
        <f t="shared" si="20"/>
        <v>0.42857142857142855</v>
      </c>
      <c r="Y51" s="82">
        <f t="shared" si="20"/>
        <v>0.223463687150838</v>
      </c>
      <c r="Z51" s="82">
        <f t="shared" si="2"/>
        <v>2.0221615981946437</v>
      </c>
      <c r="AA51" s="82">
        <f t="shared" si="3"/>
        <v>9.1694737207089469E-2</v>
      </c>
      <c r="AB51" s="82" t="str">
        <f>Threats!B18</f>
        <v>Threats to Information Leakage</v>
      </c>
      <c r="AC51" s="82">
        <f>INDEX(I69:I73,MATCH(AB51,B59:B63,0))</f>
        <v>0.28773448773448773</v>
      </c>
      <c r="AD51" s="143">
        <f t="shared" si="4"/>
        <v>0.58184563157288882</v>
      </c>
      <c r="AE51" s="109">
        <f>MMULT(D24:Y24, AA34:AA55)/AA51</f>
        <v>8.4671045326928045</v>
      </c>
      <c r="AF51" s="104" t="str">
        <f>Threats!A18</f>
        <v>T18-Authentication Threats</v>
      </c>
      <c r="AG51" s="47"/>
      <c r="AH51" s="47"/>
      <c r="AI51" s="47"/>
      <c r="AK51" s="47"/>
      <c r="AL51" s="47"/>
      <c r="AM51" s="47"/>
      <c r="AO51" s="47"/>
      <c r="AP51" s="47"/>
      <c r="AQ51" s="47"/>
      <c r="AR51" s="47"/>
      <c r="AS51" s="47"/>
      <c r="AT51" s="47"/>
      <c r="AU51" s="47"/>
      <c r="AV51" s="47"/>
      <c r="AW51" s="47"/>
      <c r="AX51" s="47"/>
      <c r="AY51" s="47"/>
      <c r="AZ51" s="47"/>
      <c r="BA51" s="47"/>
      <c r="BB51" s="47"/>
      <c r="BC51" s="47"/>
      <c r="BD51" s="47"/>
      <c r="BE51" s="47"/>
      <c r="BF51" s="47"/>
      <c r="BG51" s="47"/>
      <c r="BH51" s="47"/>
      <c r="BI51" s="47"/>
      <c r="BJ51" s="47"/>
      <c r="BK51" s="47"/>
      <c r="BL51" s="47"/>
      <c r="BM51" s="47"/>
      <c r="BN51" s="47"/>
      <c r="BO51" s="47"/>
      <c r="BP51" s="47"/>
      <c r="BQ51" s="47"/>
      <c r="BR51" s="47"/>
      <c r="BS51" s="47"/>
      <c r="BT51" s="47"/>
      <c r="BU51" s="47"/>
      <c r="BV51" s="47"/>
      <c r="BW51" s="47"/>
      <c r="BX51" s="47"/>
      <c r="BY51" s="47"/>
      <c r="BZ51" s="47"/>
      <c r="CA51" s="47"/>
      <c r="CB51" s="47"/>
      <c r="CC51" s="47"/>
      <c r="CD51" s="47"/>
      <c r="CE51" s="47"/>
      <c r="CF51" s="47"/>
      <c r="CG51" s="47"/>
      <c r="CH51" s="47"/>
      <c r="CI51" s="47"/>
      <c r="CJ51" s="47"/>
      <c r="CK51" s="47"/>
      <c r="CL51" s="47"/>
      <c r="CM51" s="47"/>
      <c r="CN51" s="47"/>
      <c r="CO51" s="47"/>
      <c r="CP51" s="47"/>
      <c r="CQ51" s="47"/>
      <c r="CR51" s="47"/>
      <c r="CS51" s="47"/>
      <c r="CT51" s="47"/>
      <c r="CU51" s="47"/>
      <c r="CV51" s="47"/>
      <c r="CW51" s="47"/>
      <c r="CX51" s="47"/>
      <c r="CY51" s="47"/>
      <c r="CZ51" s="47"/>
      <c r="DA51" s="47"/>
      <c r="DB51" s="47"/>
      <c r="DC51" s="47"/>
      <c r="DD51" s="47"/>
      <c r="DE51" s="47"/>
      <c r="DF51" s="47"/>
      <c r="DG51" s="47"/>
      <c r="DH51" s="47"/>
      <c r="DI51" s="47"/>
      <c r="DJ51" s="47"/>
      <c r="DK51" s="47"/>
      <c r="DL51" s="47"/>
      <c r="DM51" s="47"/>
      <c r="DN51" s="47"/>
      <c r="DO51" s="58"/>
      <c r="DP51" s="58"/>
      <c r="DQ51" s="58"/>
      <c r="DR51" s="58"/>
      <c r="DS51" s="58"/>
      <c r="DT51" s="58"/>
      <c r="DU51" s="58"/>
      <c r="DV51" s="58"/>
    </row>
    <row r="52" spans="1:126" ht="13.5" customHeight="1" x14ac:dyDescent="0.3">
      <c r="A52" s="48"/>
      <c r="B52" s="48"/>
      <c r="C52" s="104" t="str">
        <f>Threats!A19</f>
        <v>T19-Non Repudiation Threats</v>
      </c>
      <c r="D52" s="83">
        <f t="shared" ref="D52:Y52" si="21">(D$25/D$29)</f>
        <v>0</v>
      </c>
      <c r="E52" s="144">
        <f t="shared" si="21"/>
        <v>0</v>
      </c>
      <c r="F52" s="83">
        <f t="shared" si="21"/>
        <v>0</v>
      </c>
      <c r="G52" s="83">
        <f t="shared" si="21"/>
        <v>0</v>
      </c>
      <c r="H52" s="83">
        <f t="shared" si="21"/>
        <v>0</v>
      </c>
      <c r="I52" s="83">
        <f t="shared" si="21"/>
        <v>0</v>
      </c>
      <c r="J52" s="83">
        <f t="shared" si="21"/>
        <v>0</v>
      </c>
      <c r="K52" s="83">
        <f t="shared" si="21"/>
        <v>0</v>
      </c>
      <c r="L52" s="83">
        <f t="shared" si="21"/>
        <v>0</v>
      </c>
      <c r="M52" s="83">
        <f t="shared" si="21"/>
        <v>0</v>
      </c>
      <c r="N52" s="83">
        <f t="shared" si="21"/>
        <v>0</v>
      </c>
      <c r="O52" s="83">
        <f t="shared" si="21"/>
        <v>0</v>
      </c>
      <c r="P52" s="83">
        <f t="shared" si="21"/>
        <v>0</v>
      </c>
      <c r="Q52" s="83">
        <f t="shared" si="21"/>
        <v>0</v>
      </c>
      <c r="R52" s="83">
        <f t="shared" si="21"/>
        <v>0.20408163265306123</v>
      </c>
      <c r="S52" s="83">
        <f t="shared" si="21"/>
        <v>0.16216216216216217</v>
      </c>
      <c r="T52" s="83">
        <f t="shared" si="21"/>
        <v>0.1171875</v>
      </c>
      <c r="U52" s="83">
        <f t="shared" si="21"/>
        <v>0.13513513513513511</v>
      </c>
      <c r="V52" s="83">
        <f t="shared" si="21"/>
        <v>0.10676156583629892</v>
      </c>
      <c r="W52" s="83">
        <f t="shared" si="21"/>
        <v>0.14285714285714285</v>
      </c>
      <c r="X52" s="83">
        <f t="shared" si="21"/>
        <v>7.1428571428571425E-2</v>
      </c>
      <c r="Y52" s="83">
        <f t="shared" si="21"/>
        <v>5.5865921787709501E-2</v>
      </c>
      <c r="Z52" s="83">
        <f t="shared" si="2"/>
        <v>0.99547963186008115</v>
      </c>
      <c r="AA52" s="83">
        <f t="shared" si="3"/>
        <v>4.5139935067461466E-2</v>
      </c>
      <c r="AB52" s="83" t="str">
        <f>Threats!B19</f>
        <v>Threats to Information Leakage</v>
      </c>
      <c r="AC52" s="83">
        <f>INDEX(I69:I73,MATCH(AB52,B59:B63,0))</f>
        <v>0.28773448773448773</v>
      </c>
      <c r="AD52" s="145">
        <f t="shared" si="4"/>
        <v>0.28643382192337691</v>
      </c>
      <c r="AE52" s="109">
        <f>MMULT(D25:Y25, AA34:AA55)/AA52</f>
        <v>8.1991008352941979</v>
      </c>
      <c r="AF52" s="104" t="str">
        <f xml:space="preserve"> Threats!A19</f>
        <v>T19-Non Repudiation Threats</v>
      </c>
      <c r="AG52" s="47"/>
      <c r="AH52" s="47"/>
      <c r="AI52" s="47"/>
      <c r="AK52" s="47"/>
      <c r="AL52" s="47"/>
      <c r="AM52" s="47"/>
      <c r="AO52" s="47"/>
      <c r="AP52" s="47"/>
      <c r="AQ52" s="47"/>
      <c r="AR52" s="47"/>
      <c r="AS52" s="47"/>
      <c r="AT52" s="47"/>
      <c r="AU52" s="47"/>
      <c r="AV52" s="47"/>
      <c r="AW52" s="47"/>
      <c r="AX52" s="47"/>
      <c r="AY52" s="47"/>
      <c r="AZ52" s="47"/>
      <c r="BA52" s="47"/>
      <c r="BB52" s="47"/>
      <c r="BC52" s="47"/>
      <c r="BD52" s="47"/>
      <c r="BE52" s="47"/>
      <c r="BF52" s="47"/>
      <c r="BG52" s="47"/>
      <c r="BH52" s="47"/>
      <c r="BI52" s="47"/>
      <c r="BJ52" s="47"/>
      <c r="BK52" s="47"/>
      <c r="BL52" s="47"/>
      <c r="BM52" s="47"/>
      <c r="BN52" s="47"/>
      <c r="BO52" s="47"/>
      <c r="BP52" s="47"/>
      <c r="BQ52" s="47"/>
      <c r="BR52" s="47"/>
      <c r="BS52" s="47"/>
      <c r="BT52" s="47"/>
      <c r="BU52" s="47"/>
      <c r="BV52" s="47"/>
      <c r="BW52" s="47"/>
      <c r="BX52" s="47"/>
      <c r="BY52" s="47"/>
      <c r="BZ52" s="47"/>
      <c r="CA52" s="47"/>
      <c r="CB52" s="47"/>
      <c r="CC52" s="47"/>
      <c r="CD52" s="47"/>
      <c r="CE52" s="47"/>
      <c r="CF52" s="47"/>
      <c r="CG52" s="47"/>
      <c r="CH52" s="47"/>
      <c r="CI52" s="47"/>
      <c r="CJ52" s="47"/>
      <c r="CK52" s="47"/>
      <c r="CL52" s="47"/>
      <c r="CM52" s="47"/>
      <c r="CN52" s="47"/>
      <c r="CO52" s="47"/>
      <c r="CP52" s="47"/>
      <c r="CQ52" s="47"/>
      <c r="CR52" s="47"/>
      <c r="CS52" s="47"/>
      <c r="CT52" s="47"/>
      <c r="CU52" s="47"/>
      <c r="CV52" s="47"/>
      <c r="CW52" s="47"/>
      <c r="CX52" s="47"/>
      <c r="CY52" s="47"/>
      <c r="CZ52" s="47"/>
      <c r="DA52" s="47"/>
      <c r="DB52" s="47"/>
      <c r="DC52" s="47"/>
      <c r="DD52" s="47"/>
      <c r="DE52" s="47"/>
      <c r="DF52" s="47"/>
      <c r="DG52" s="47"/>
      <c r="DH52" s="47"/>
      <c r="DI52" s="47"/>
      <c r="DJ52" s="47"/>
      <c r="DK52" s="47"/>
      <c r="DL52" s="47"/>
      <c r="DM52" s="47"/>
      <c r="DN52" s="47"/>
      <c r="DO52" s="58"/>
      <c r="DP52" s="58"/>
      <c r="DQ52" s="58"/>
      <c r="DR52" s="58"/>
      <c r="DS52" s="58"/>
      <c r="DT52" s="58"/>
      <c r="DU52" s="58"/>
      <c r="DV52" s="58"/>
    </row>
    <row r="53" spans="1:126" ht="12.75" customHeight="1" x14ac:dyDescent="0.3">
      <c r="A53" s="48"/>
      <c r="B53" s="48"/>
      <c r="C53" s="104" t="str">
        <f>Threats!A20</f>
        <v>T20-Separation of Duties</v>
      </c>
      <c r="D53" s="84">
        <f t="shared" ref="D53:Y53" si="22">(D$26/D$29)</f>
        <v>0</v>
      </c>
      <c r="E53" s="146">
        <f t="shared" si="22"/>
        <v>0</v>
      </c>
      <c r="F53" s="84">
        <f t="shared" si="22"/>
        <v>0</v>
      </c>
      <c r="G53" s="84">
        <f t="shared" si="22"/>
        <v>0</v>
      </c>
      <c r="H53" s="84">
        <f t="shared" si="22"/>
        <v>0</v>
      </c>
      <c r="I53" s="84">
        <f t="shared" si="22"/>
        <v>0</v>
      </c>
      <c r="J53" s="84">
        <f t="shared" si="22"/>
        <v>0</v>
      </c>
      <c r="K53" s="84">
        <f t="shared" si="22"/>
        <v>0</v>
      </c>
      <c r="L53" s="84">
        <f t="shared" si="22"/>
        <v>0</v>
      </c>
      <c r="M53" s="84">
        <f t="shared" si="22"/>
        <v>0</v>
      </c>
      <c r="N53" s="84">
        <f t="shared" si="22"/>
        <v>0</v>
      </c>
      <c r="O53" s="84">
        <f t="shared" si="22"/>
        <v>0</v>
      </c>
      <c r="P53" s="84">
        <f t="shared" si="22"/>
        <v>0</v>
      </c>
      <c r="Q53" s="84">
        <f t="shared" si="22"/>
        <v>0</v>
      </c>
      <c r="R53" s="84">
        <f t="shared" si="22"/>
        <v>0.12244897959183673</v>
      </c>
      <c r="S53" s="84">
        <f t="shared" si="22"/>
        <v>0.16216216216216217</v>
      </c>
      <c r="T53" s="84">
        <f t="shared" si="22"/>
        <v>0.1171875</v>
      </c>
      <c r="U53" s="84">
        <f t="shared" si="22"/>
        <v>0.13513513513513511</v>
      </c>
      <c r="V53" s="84">
        <f t="shared" si="22"/>
        <v>0.10676156583629892</v>
      </c>
      <c r="W53" s="84">
        <f t="shared" si="22"/>
        <v>0.14285714285714285</v>
      </c>
      <c r="X53" s="84">
        <f t="shared" si="22"/>
        <v>0.14285714285714285</v>
      </c>
      <c r="Y53" s="84">
        <f t="shared" si="22"/>
        <v>0.223463687150838</v>
      </c>
      <c r="Z53" s="84">
        <f t="shared" si="2"/>
        <v>1.1528733155905566</v>
      </c>
      <c r="AA53" s="84">
        <f t="shared" si="3"/>
        <v>5.2276937609991463E-2</v>
      </c>
      <c r="AB53" s="84" t="str">
        <f>Threats!B20</f>
        <v>Threats to Information Leakage</v>
      </c>
      <c r="AC53" s="84">
        <f>INDEX(I70:I74,MATCH(AB53,B60:B64,0))</f>
        <v>0.28773448773448773</v>
      </c>
      <c r="AD53" s="147">
        <f t="shared" si="4"/>
        <v>0.3317214128842092</v>
      </c>
      <c r="AE53" s="109">
        <f>MMULT(D26:Y26, AA34:AA55)/AA53</f>
        <v>8.4060916339276535</v>
      </c>
      <c r="AF53" s="104" t="str">
        <f>Threats!A20</f>
        <v>T20-Separation of Duties</v>
      </c>
      <c r="AG53" s="47"/>
      <c r="AH53" s="47"/>
      <c r="AI53" s="47"/>
      <c r="AK53" s="47"/>
      <c r="AL53" s="47"/>
      <c r="AM53" s="47"/>
      <c r="AO53" s="47"/>
      <c r="AP53" s="47"/>
      <c r="AQ53" s="47"/>
      <c r="AR53" s="47"/>
      <c r="AS53" s="47"/>
      <c r="AT53" s="47"/>
      <c r="AU53" s="47"/>
      <c r="AV53" s="47"/>
      <c r="AW53" s="47"/>
      <c r="AX53" s="47"/>
      <c r="AY53" s="47"/>
      <c r="AZ53" s="47"/>
      <c r="BA53" s="47"/>
      <c r="BB53" s="47"/>
      <c r="BC53" s="47"/>
      <c r="BD53" s="47"/>
      <c r="BE53" s="47"/>
      <c r="BF53" s="47"/>
      <c r="BG53" s="47"/>
      <c r="BH53" s="47"/>
      <c r="BI53" s="47"/>
      <c r="BJ53" s="47"/>
      <c r="BK53" s="47"/>
      <c r="BL53" s="47"/>
      <c r="BM53" s="47"/>
      <c r="BN53" s="47"/>
      <c r="BO53" s="47"/>
      <c r="BP53" s="47"/>
      <c r="BQ53" s="47"/>
      <c r="BR53" s="47"/>
      <c r="BS53" s="47"/>
      <c r="BT53" s="47"/>
      <c r="BU53" s="47"/>
      <c r="BV53" s="47"/>
      <c r="BW53" s="47"/>
      <c r="BX53" s="47"/>
      <c r="BY53" s="47"/>
      <c r="BZ53" s="47"/>
      <c r="CA53" s="47"/>
      <c r="CB53" s="47"/>
      <c r="CC53" s="47"/>
      <c r="CD53" s="47"/>
      <c r="CE53" s="47"/>
      <c r="CF53" s="47"/>
      <c r="CG53" s="47"/>
      <c r="CH53" s="47"/>
      <c r="CI53" s="47"/>
      <c r="CJ53" s="47"/>
      <c r="CK53" s="47"/>
      <c r="CL53" s="47"/>
      <c r="CM53" s="47"/>
      <c r="CN53" s="47"/>
      <c r="CO53" s="47"/>
      <c r="CP53" s="47"/>
      <c r="CQ53" s="47"/>
      <c r="CR53" s="47"/>
      <c r="CS53" s="47"/>
      <c r="CT53" s="47"/>
      <c r="CU53" s="47"/>
      <c r="CV53" s="47"/>
      <c r="CW53" s="47"/>
      <c r="CX53" s="47"/>
      <c r="CY53" s="47"/>
      <c r="CZ53" s="47"/>
      <c r="DA53" s="47"/>
      <c r="DB53" s="47"/>
      <c r="DC53" s="47"/>
      <c r="DD53" s="47"/>
      <c r="DE53" s="47"/>
      <c r="DF53" s="47"/>
      <c r="DG53" s="47"/>
      <c r="DH53" s="47"/>
      <c r="DI53" s="47"/>
      <c r="DJ53" s="47"/>
      <c r="DK53" s="47"/>
      <c r="DL53" s="47"/>
      <c r="DM53" s="47"/>
      <c r="DN53" s="47"/>
      <c r="DO53" s="58"/>
      <c r="DP53" s="58"/>
      <c r="DQ53" s="58"/>
      <c r="DR53" s="58"/>
      <c r="DS53" s="58"/>
      <c r="DT53" s="58"/>
      <c r="DU53" s="58"/>
      <c r="DV53" s="58"/>
    </row>
    <row r="54" spans="1:126" ht="12.75" customHeight="1" x14ac:dyDescent="0.3">
      <c r="A54" s="48"/>
      <c r="B54" s="48"/>
      <c r="C54" s="104" t="str">
        <f>Threats!A21</f>
        <v>T21-Configuration Threats</v>
      </c>
      <c r="D54" s="85">
        <f t="shared" ref="D54:Y54" si="23">(D$27/D$29)</f>
        <v>0</v>
      </c>
      <c r="E54" s="146">
        <f t="shared" si="23"/>
        <v>0</v>
      </c>
      <c r="F54" s="85">
        <f t="shared" si="23"/>
        <v>0</v>
      </c>
      <c r="G54" s="85">
        <f t="shared" si="23"/>
        <v>0</v>
      </c>
      <c r="H54" s="85">
        <f t="shared" si="23"/>
        <v>0</v>
      </c>
      <c r="I54" s="85">
        <f t="shared" si="23"/>
        <v>0</v>
      </c>
      <c r="J54" s="85">
        <f t="shared" si="23"/>
        <v>0</v>
      </c>
      <c r="K54" s="85">
        <f t="shared" si="23"/>
        <v>0</v>
      </c>
      <c r="L54" s="85">
        <f t="shared" si="23"/>
        <v>0</v>
      </c>
      <c r="M54" s="85">
        <f t="shared" si="23"/>
        <v>0</v>
      </c>
      <c r="N54" s="85">
        <f t="shared" si="23"/>
        <v>0</v>
      </c>
      <c r="O54" s="85">
        <f t="shared" si="23"/>
        <v>0</v>
      </c>
      <c r="P54" s="85">
        <f t="shared" si="23"/>
        <v>0</v>
      </c>
      <c r="Q54" s="85">
        <f t="shared" si="23"/>
        <v>0</v>
      </c>
      <c r="R54" s="85">
        <f t="shared" si="23"/>
        <v>0.12244897959183673</v>
      </c>
      <c r="S54" s="85">
        <f t="shared" si="23"/>
        <v>0.16216216216216217</v>
      </c>
      <c r="T54" s="85">
        <f t="shared" si="23"/>
        <v>0.234375</v>
      </c>
      <c r="U54" s="85">
        <f t="shared" si="23"/>
        <v>9.0090090090090086E-2</v>
      </c>
      <c r="V54" s="85">
        <f t="shared" si="23"/>
        <v>0.21352313167259784</v>
      </c>
      <c r="W54" s="85">
        <f t="shared" si="23"/>
        <v>0.14285714285714285</v>
      </c>
      <c r="X54" s="85">
        <f t="shared" si="23"/>
        <v>0.14285714285714285</v>
      </c>
      <c r="Y54" s="85">
        <f t="shared" si="23"/>
        <v>0.223463687150838</v>
      </c>
      <c r="Z54" s="85">
        <f t="shared" si="2"/>
        <v>1.3317773363818104</v>
      </c>
      <c r="AA54" s="85">
        <f t="shared" si="3"/>
        <v>6.0389324466903115E-2</v>
      </c>
      <c r="AB54" s="85" t="str">
        <f>Threats!B21</f>
        <v>Threats to Information Leakage</v>
      </c>
      <c r="AC54" s="85">
        <f>INDEX(I69:I73,MATCH(AB54,B59:B63,0))</f>
        <v>0.28773448773448773</v>
      </c>
      <c r="AD54" s="148">
        <f t="shared" si="4"/>
        <v>0.38319826966022075</v>
      </c>
      <c r="AE54" s="109">
        <f>MMULT(D27:Y27, AA34:AA55)/AA54</f>
        <v>8.4791180905889654</v>
      </c>
      <c r="AF54" s="104" t="str">
        <f xml:space="preserve"> Threats!A21</f>
        <v>T21-Configuration Threats</v>
      </c>
      <c r="AG54" s="47"/>
      <c r="AH54" s="47"/>
      <c r="AI54" s="47"/>
      <c r="AK54" s="47"/>
      <c r="AL54" s="47"/>
      <c r="AM54" s="47"/>
      <c r="AO54" s="47"/>
      <c r="AP54" s="47"/>
      <c r="AQ54" s="47"/>
      <c r="AR54" s="47"/>
      <c r="AS54" s="47"/>
      <c r="AT54" s="47"/>
      <c r="AU54" s="47"/>
      <c r="AV54" s="47"/>
      <c r="AW54" s="47"/>
      <c r="AX54" s="47"/>
      <c r="AY54" s="47"/>
      <c r="AZ54" s="47"/>
      <c r="BA54" s="47"/>
      <c r="BB54" s="47"/>
      <c r="BC54" s="47"/>
      <c r="BD54" s="47"/>
      <c r="BE54" s="47"/>
      <c r="BF54" s="47"/>
      <c r="BG54" s="47"/>
      <c r="BH54" s="47"/>
      <c r="BI54" s="47"/>
      <c r="BJ54" s="47"/>
      <c r="BK54" s="47"/>
      <c r="BL54" s="47"/>
      <c r="BM54" s="47"/>
      <c r="BN54" s="47"/>
      <c r="BO54" s="47"/>
      <c r="BP54" s="47"/>
      <c r="BQ54" s="47"/>
      <c r="BR54" s="47"/>
      <c r="BS54" s="47"/>
      <c r="BT54" s="47"/>
      <c r="BU54" s="47"/>
      <c r="BV54" s="47"/>
      <c r="BW54" s="47"/>
      <c r="BX54" s="47"/>
      <c r="BY54" s="47"/>
      <c r="BZ54" s="47"/>
      <c r="CA54" s="47"/>
      <c r="CB54" s="47"/>
      <c r="CC54" s="47"/>
      <c r="CD54" s="47"/>
      <c r="CE54" s="47"/>
      <c r="CF54" s="47"/>
      <c r="CG54" s="47"/>
      <c r="CH54" s="47"/>
      <c r="CI54" s="47"/>
      <c r="CJ54" s="47"/>
      <c r="CK54" s="47"/>
      <c r="CL54" s="47"/>
      <c r="CM54" s="47"/>
      <c r="CN54" s="47"/>
      <c r="CO54" s="47"/>
      <c r="CP54" s="47"/>
      <c r="CQ54" s="47"/>
      <c r="CR54" s="47"/>
      <c r="CS54" s="47"/>
      <c r="CT54" s="47"/>
      <c r="CU54" s="47"/>
      <c r="CV54" s="47"/>
      <c r="CW54" s="47"/>
      <c r="CX54" s="47"/>
      <c r="CY54" s="47"/>
      <c r="CZ54" s="47"/>
      <c r="DA54" s="47"/>
      <c r="DB54" s="47"/>
      <c r="DC54" s="47"/>
      <c r="DD54" s="47"/>
      <c r="DE54" s="47"/>
      <c r="DF54" s="47"/>
      <c r="DG54" s="47"/>
      <c r="DH54" s="47"/>
      <c r="DI54" s="47"/>
      <c r="DJ54" s="47"/>
      <c r="DK54" s="47"/>
      <c r="DL54" s="47"/>
      <c r="DM54" s="47"/>
      <c r="DN54" s="47"/>
      <c r="DO54" s="58"/>
      <c r="DP54" s="58"/>
      <c r="DQ54" s="58"/>
      <c r="DR54" s="58"/>
      <c r="DS54" s="58"/>
      <c r="DT54" s="58"/>
      <c r="DU54" s="58"/>
      <c r="DV54" s="58"/>
    </row>
    <row r="55" spans="1:126" ht="12.75" customHeight="1" x14ac:dyDescent="0.3">
      <c r="A55" s="48"/>
      <c r="B55" s="48"/>
      <c r="C55" s="104" t="str">
        <f>Threats!A22</f>
        <v>T22- Communications Threats</v>
      </c>
      <c r="D55" s="86">
        <f t="shared" ref="D55:Y55" si="24">(D$28/D$29)</f>
        <v>0</v>
      </c>
      <c r="E55" s="149">
        <f t="shared" si="24"/>
        <v>0</v>
      </c>
      <c r="F55" s="86">
        <f t="shared" si="24"/>
        <v>0</v>
      </c>
      <c r="G55" s="86">
        <f t="shared" si="24"/>
        <v>0</v>
      </c>
      <c r="H55" s="86">
        <f t="shared" si="24"/>
        <v>0</v>
      </c>
      <c r="I55" s="86">
        <f t="shared" si="24"/>
        <v>0</v>
      </c>
      <c r="J55" s="86">
        <f t="shared" si="24"/>
        <v>0</v>
      </c>
      <c r="K55" s="86">
        <f t="shared" si="24"/>
        <v>0</v>
      </c>
      <c r="L55" s="86">
        <f t="shared" si="24"/>
        <v>0</v>
      </c>
      <c r="M55" s="86">
        <f t="shared" si="24"/>
        <v>0</v>
      </c>
      <c r="N55" s="86">
        <f t="shared" si="24"/>
        <v>0</v>
      </c>
      <c r="O55" s="86">
        <f t="shared" si="24"/>
        <v>0</v>
      </c>
      <c r="P55" s="86">
        <f t="shared" si="24"/>
        <v>0</v>
      </c>
      <c r="Q55" s="86">
        <f t="shared" si="24"/>
        <v>0</v>
      </c>
      <c r="R55" s="86">
        <f t="shared" si="24"/>
        <v>0.16326530612244897</v>
      </c>
      <c r="S55" s="86">
        <f t="shared" si="24"/>
        <v>0.13513513513513514</v>
      </c>
      <c r="T55" s="86">
        <f t="shared" si="24"/>
        <v>0.1171875</v>
      </c>
      <c r="U55" s="86">
        <f t="shared" si="24"/>
        <v>0.13513513513513511</v>
      </c>
      <c r="V55" s="86">
        <f t="shared" si="24"/>
        <v>0.21352313167259784</v>
      </c>
      <c r="W55" s="86">
        <f t="shared" si="24"/>
        <v>7.1428571428571425E-2</v>
      </c>
      <c r="X55" s="86">
        <f t="shared" si="24"/>
        <v>7.1428571428571425E-2</v>
      </c>
      <c r="Y55" s="86">
        <f t="shared" si="24"/>
        <v>0.111731843575419</v>
      </c>
      <c r="Z55" s="86">
        <f t="shared" si="2"/>
        <v>1.0188351944978788</v>
      </c>
      <c r="AA55" s="86">
        <f t="shared" si="3"/>
        <v>4.6198990970960252E-2</v>
      </c>
      <c r="AB55" s="86" t="str">
        <f>Threats!B22</f>
        <v>Threats to Information Leakage</v>
      </c>
      <c r="AC55" s="86">
        <f>INDEX(I69:I73,MATCH(AB55,B59:B63,0))</f>
        <v>0.28773448773448773</v>
      </c>
      <c r="AD55" s="150">
        <f t="shared" si="4"/>
        <v>0.29315402277471436</v>
      </c>
      <c r="AE55" s="109">
        <f>MMULT(D28:Y28, AA34:AA55)/AA55</f>
        <v>8.3961679461971244</v>
      </c>
      <c r="AF55" s="104" t="str">
        <f>Threats!A22</f>
        <v>T22- Communications Threats</v>
      </c>
      <c r="AG55" s="47"/>
      <c r="AH55" s="47"/>
      <c r="AI55" s="47"/>
      <c r="AK55" s="47"/>
      <c r="AL55" s="47"/>
      <c r="AM55" s="47"/>
      <c r="AO55" s="47"/>
      <c r="AP55" s="47"/>
      <c r="AQ55" s="47"/>
      <c r="AR55" s="47"/>
      <c r="AS55" s="47"/>
      <c r="AT55" s="47"/>
      <c r="AU55" s="47"/>
      <c r="AV55" s="47"/>
      <c r="AW55" s="47"/>
      <c r="AX55" s="47"/>
      <c r="AY55" s="47"/>
      <c r="AZ55" s="47"/>
      <c r="BA55" s="47"/>
      <c r="BB55" s="47"/>
      <c r="BC55" s="47"/>
      <c r="BD55" s="47"/>
      <c r="BE55" s="47"/>
      <c r="BF55" s="47"/>
      <c r="BG55" s="47"/>
      <c r="BH55" s="47"/>
      <c r="BI55" s="47"/>
      <c r="BJ55" s="47"/>
      <c r="BK55" s="47"/>
      <c r="BL55" s="47"/>
      <c r="BM55" s="47"/>
      <c r="BN55" s="47"/>
      <c r="BO55" s="47"/>
      <c r="BP55" s="47"/>
      <c r="BQ55" s="47"/>
      <c r="BR55" s="47"/>
      <c r="BS55" s="47"/>
      <c r="BT55" s="47"/>
      <c r="BU55" s="47"/>
      <c r="BV55" s="47"/>
      <c r="BW55" s="47"/>
      <c r="BX55" s="47"/>
      <c r="BY55" s="47"/>
      <c r="BZ55" s="47"/>
      <c r="CA55" s="47"/>
      <c r="CB55" s="47"/>
      <c r="CC55" s="47"/>
      <c r="CD55" s="47"/>
      <c r="CE55" s="47"/>
      <c r="CF55" s="47"/>
      <c r="CG55" s="47"/>
      <c r="CH55" s="47"/>
      <c r="CI55" s="47"/>
      <c r="CJ55" s="47"/>
      <c r="CK55" s="47"/>
      <c r="CL55" s="47"/>
      <c r="CM55" s="47"/>
      <c r="CN55" s="47"/>
      <c r="CO55" s="47"/>
      <c r="CP55" s="47"/>
      <c r="CQ55" s="47"/>
      <c r="CR55" s="47"/>
      <c r="CS55" s="47"/>
      <c r="CT55" s="47"/>
      <c r="CU55" s="47"/>
      <c r="CV55" s="47"/>
      <c r="CW55" s="47"/>
      <c r="CX55" s="47"/>
      <c r="CY55" s="47"/>
      <c r="CZ55" s="47"/>
      <c r="DA55" s="47"/>
      <c r="DB55" s="47"/>
      <c r="DC55" s="47"/>
      <c r="DD55" s="47"/>
      <c r="DE55" s="47"/>
      <c r="DF55" s="47"/>
      <c r="DG55" s="47"/>
      <c r="DH55" s="47"/>
      <c r="DI55" s="47"/>
      <c r="DJ55" s="47"/>
      <c r="DK55" s="47"/>
      <c r="DL55" s="47"/>
      <c r="DM55" s="47"/>
      <c r="DN55" s="47"/>
      <c r="DO55" s="58"/>
      <c r="DP55" s="58"/>
      <c r="DQ55" s="58"/>
      <c r="DR55" s="58"/>
      <c r="DS55" s="58"/>
      <c r="DT55" s="58"/>
      <c r="DU55" s="58"/>
      <c r="DV55" s="58"/>
    </row>
    <row r="56" spans="1:126" ht="32.25" customHeight="1" x14ac:dyDescent="0.3">
      <c r="A56" s="48"/>
      <c r="B56" s="48"/>
      <c r="C56" s="151" t="s">
        <v>251</v>
      </c>
      <c r="D56" s="152">
        <f t="shared" ref="D56:Z56" si="25">SUM(D34:D55)</f>
        <v>1</v>
      </c>
      <c r="E56" s="152">
        <f t="shared" si="25"/>
        <v>1</v>
      </c>
      <c r="F56" s="152">
        <f t="shared" si="25"/>
        <v>1.0531914893617023</v>
      </c>
      <c r="G56" s="152">
        <f t="shared" si="25"/>
        <v>1</v>
      </c>
      <c r="H56" s="152">
        <f t="shared" si="25"/>
        <v>1.0000000000000002</v>
      </c>
      <c r="I56" s="152">
        <f t="shared" si="25"/>
        <v>1</v>
      </c>
      <c r="J56" s="152">
        <f t="shared" si="25"/>
        <v>0.99999999999999989</v>
      </c>
      <c r="K56" s="152">
        <f t="shared" si="25"/>
        <v>1.0000000000000002</v>
      </c>
      <c r="L56" s="152">
        <f t="shared" si="25"/>
        <v>0.99999999999999989</v>
      </c>
      <c r="M56" s="152">
        <f t="shared" si="25"/>
        <v>1</v>
      </c>
      <c r="N56" s="152">
        <f t="shared" si="25"/>
        <v>1</v>
      </c>
      <c r="O56" s="152">
        <f t="shared" si="25"/>
        <v>1</v>
      </c>
      <c r="P56" s="152">
        <f t="shared" si="25"/>
        <v>1</v>
      </c>
      <c r="Q56" s="152">
        <f t="shared" si="25"/>
        <v>1</v>
      </c>
      <c r="R56" s="152">
        <f t="shared" si="25"/>
        <v>1</v>
      </c>
      <c r="S56" s="152">
        <f t="shared" si="25"/>
        <v>1</v>
      </c>
      <c r="T56" s="152">
        <f t="shared" si="25"/>
        <v>1</v>
      </c>
      <c r="U56" s="152">
        <f t="shared" si="25"/>
        <v>0.99999999999999978</v>
      </c>
      <c r="V56" s="152">
        <f t="shared" si="25"/>
        <v>0.99999999999999989</v>
      </c>
      <c r="W56" s="152">
        <f t="shared" si="25"/>
        <v>0.99999999999999978</v>
      </c>
      <c r="X56" s="152">
        <f t="shared" si="25"/>
        <v>0.99999999999999978</v>
      </c>
      <c r="Y56" s="152">
        <f t="shared" si="25"/>
        <v>1</v>
      </c>
      <c r="Z56" s="152">
        <f t="shared" si="25"/>
        <v>22.053191489361705</v>
      </c>
      <c r="AA56" s="151"/>
      <c r="AB56" s="151"/>
      <c r="AC56" s="153"/>
      <c r="AD56" s="154"/>
      <c r="AE56" s="109"/>
      <c r="AF56" s="47"/>
      <c r="AG56" s="47"/>
      <c r="AH56" s="47"/>
      <c r="AI56" s="47"/>
      <c r="AJ56" s="47"/>
      <c r="AK56" s="47"/>
      <c r="AL56" s="155"/>
      <c r="AM56" s="155"/>
      <c r="AN56" s="155"/>
      <c r="AO56" s="47"/>
      <c r="AP56" s="47"/>
      <c r="AQ56" s="47"/>
      <c r="AR56" s="47"/>
      <c r="AS56" s="47"/>
      <c r="AT56" s="47"/>
      <c r="AU56" s="47"/>
      <c r="AV56" s="47"/>
      <c r="AW56" s="47"/>
      <c r="AX56" s="47"/>
      <c r="AY56" s="47"/>
      <c r="AZ56" s="47"/>
      <c r="BA56" s="47"/>
      <c r="BB56" s="47"/>
      <c r="BC56" s="47"/>
      <c r="BD56" s="47"/>
      <c r="BE56" s="47"/>
      <c r="BF56" s="47"/>
      <c r="BG56" s="47"/>
      <c r="BH56" s="47"/>
      <c r="BI56" s="47"/>
      <c r="BJ56" s="47"/>
      <c r="BK56" s="47"/>
      <c r="BL56" s="47"/>
      <c r="BM56" s="47"/>
      <c r="BN56" s="47"/>
      <c r="BO56" s="47"/>
      <c r="BP56" s="47"/>
      <c r="BQ56" s="47"/>
      <c r="BR56" s="47"/>
      <c r="BS56" s="47"/>
      <c r="BT56" s="47"/>
      <c r="BU56" s="47"/>
      <c r="BV56" s="47"/>
      <c r="BW56" s="47"/>
      <c r="BX56" s="47"/>
      <c r="BY56" s="47"/>
      <c r="BZ56" s="47"/>
      <c r="CA56" s="47"/>
      <c r="CB56" s="47"/>
      <c r="CC56" s="47"/>
      <c r="CD56" s="47"/>
      <c r="CE56" s="47"/>
      <c r="CF56" s="47"/>
      <c r="CG56" s="47"/>
      <c r="CH56" s="47"/>
      <c r="CI56" s="47"/>
      <c r="CJ56" s="47"/>
      <c r="CK56" s="47"/>
      <c r="CL56" s="47"/>
      <c r="CM56" s="47"/>
      <c r="CN56" s="47"/>
      <c r="CO56" s="47"/>
      <c r="CP56" s="47"/>
      <c r="CQ56" s="47"/>
      <c r="CR56" s="47"/>
      <c r="CS56" s="47"/>
      <c r="CT56" s="47"/>
      <c r="CU56" s="47"/>
      <c r="CV56" s="47"/>
      <c r="CW56" s="47"/>
      <c r="CX56" s="58"/>
      <c r="CY56" s="58"/>
      <c r="CZ56" s="58"/>
      <c r="DA56" s="58"/>
      <c r="DB56" s="58"/>
      <c r="DC56" s="58"/>
      <c r="DD56" s="58"/>
      <c r="DE56" s="58"/>
    </row>
    <row r="57" spans="1:126" ht="51" customHeight="1" x14ac:dyDescent="0.25">
      <c r="A57" s="48"/>
      <c r="B57" s="48"/>
      <c r="C57" s="47"/>
      <c r="D57" s="103"/>
      <c r="E57" s="103"/>
      <c r="F57" s="103"/>
      <c r="G57" s="103"/>
      <c r="H57" s="103"/>
      <c r="I57" s="103"/>
      <c r="J57" s="103"/>
      <c r="K57" s="103"/>
      <c r="L57" s="103"/>
      <c r="M57" s="103"/>
      <c r="N57" s="103"/>
      <c r="O57" s="103"/>
      <c r="P57" s="103"/>
      <c r="Q57" s="103"/>
      <c r="R57" s="103"/>
      <c r="S57" s="103"/>
      <c r="T57" s="103"/>
      <c r="U57" s="103"/>
      <c r="V57" s="103"/>
      <c r="W57" s="103"/>
      <c r="X57" s="103"/>
      <c r="Y57" s="103"/>
      <c r="Z57" s="103"/>
      <c r="AA57" s="103"/>
      <c r="AB57" s="156"/>
      <c r="AC57" s="103"/>
      <c r="AD57" s="157"/>
      <c r="AF57" s="158"/>
      <c r="AG57" s="159" t="s">
        <v>294</v>
      </c>
      <c r="AH57" s="159" t="s">
        <v>295</v>
      </c>
      <c r="AI57" s="159" t="s">
        <v>293</v>
      </c>
      <c r="AJ57" s="159" t="s">
        <v>263</v>
      </c>
      <c r="AK57" s="47"/>
      <c r="AL57" s="47"/>
      <c r="AM57" s="47"/>
      <c r="AN57" s="47"/>
      <c r="AO57" s="47"/>
      <c r="AP57" s="47"/>
      <c r="AQ57" s="47"/>
      <c r="AR57" s="47"/>
      <c r="AS57" s="47"/>
      <c r="AT57" s="47"/>
      <c r="AU57" s="47"/>
      <c r="AV57" s="47"/>
      <c r="AW57" s="47"/>
      <c r="AX57" s="47"/>
      <c r="AY57" s="47"/>
      <c r="AZ57" s="47"/>
      <c r="BA57" s="47"/>
      <c r="BB57" s="47"/>
      <c r="BC57" s="47"/>
      <c r="BD57" s="47"/>
      <c r="BE57" s="47"/>
      <c r="BF57" s="47"/>
      <c r="BG57" s="47"/>
      <c r="BH57" s="47"/>
      <c r="BI57" s="47"/>
      <c r="BJ57" s="47"/>
      <c r="BK57" s="47"/>
      <c r="BL57" s="47"/>
      <c r="BM57" s="47"/>
      <c r="BN57" s="47"/>
      <c r="BO57" s="47"/>
      <c r="BP57" s="47"/>
      <c r="BQ57" s="47"/>
      <c r="BR57" s="47"/>
      <c r="BS57" s="47"/>
      <c r="BT57" s="47"/>
      <c r="BU57" s="47"/>
      <c r="BV57" s="47"/>
      <c r="BW57" s="47"/>
      <c r="BX57" s="47"/>
      <c r="BY57" s="47"/>
      <c r="BZ57" s="47"/>
      <c r="CA57" s="47"/>
      <c r="CB57" s="47"/>
      <c r="CC57" s="47"/>
      <c r="CD57" s="47"/>
      <c r="CE57" s="47"/>
      <c r="CF57" s="47"/>
      <c r="CG57" s="47"/>
      <c r="CH57" s="47"/>
      <c r="CI57" s="47"/>
      <c r="CJ57" s="47"/>
      <c r="CK57" s="47"/>
      <c r="CL57" s="47"/>
      <c r="CM57" s="47"/>
      <c r="CN57" s="47"/>
      <c r="CO57" s="47"/>
      <c r="CP57" s="47"/>
      <c r="CQ57" s="47"/>
      <c r="CR57" s="47"/>
      <c r="CS57" s="47"/>
      <c r="CT57" s="47"/>
      <c r="CU57" s="47"/>
      <c r="CV57" s="47"/>
      <c r="CW57" s="47"/>
      <c r="CX57" s="47"/>
      <c r="CY57" s="47"/>
      <c r="CZ57" s="47"/>
      <c r="DA57" s="47"/>
      <c r="DB57" s="47"/>
      <c r="DC57" s="47"/>
      <c r="DD57" s="47"/>
      <c r="DE57" s="47"/>
      <c r="DF57" s="47"/>
    </row>
    <row r="58" spans="1:126" ht="97.5" customHeight="1" x14ac:dyDescent="0.35">
      <c r="A58" s="47"/>
      <c r="B58" s="160" t="s">
        <v>291</v>
      </c>
      <c r="C58" s="161" t="str">
        <f>B59</f>
        <v>Threats to The Level of Service</v>
      </c>
      <c r="D58" s="162" t="str">
        <f>B60</f>
        <v>Threats to the Information Base</v>
      </c>
      <c r="E58" s="162" t="str">
        <f>B61</f>
        <v>Threats to Information Leakage</v>
      </c>
      <c r="F58" s="162" t="str">
        <f>B62</f>
        <v>Threat_Group4</v>
      </c>
      <c r="G58" s="162" t="str">
        <f>B63</f>
        <v>Threat_Group5</v>
      </c>
      <c r="H58" s="163"/>
      <c r="I58" s="405" t="s">
        <v>266</v>
      </c>
      <c r="J58" s="405"/>
      <c r="K58" s="405"/>
      <c r="L58" s="405"/>
      <c r="M58" s="164"/>
      <c r="N58" s="164"/>
      <c r="O58" s="165"/>
      <c r="P58" s="165"/>
      <c r="Q58" s="165"/>
      <c r="R58" s="165"/>
      <c r="S58" s="165"/>
      <c r="T58" s="165"/>
      <c r="U58" s="165"/>
      <c r="V58" s="165"/>
      <c r="W58" s="165"/>
      <c r="X58" s="165"/>
      <c r="Y58" s="165"/>
      <c r="Z58" s="165"/>
      <c r="AA58" s="165"/>
      <c r="AB58" s="165"/>
      <c r="AC58" s="165"/>
      <c r="AD58" s="165"/>
      <c r="AF58" s="166" t="s">
        <v>296</v>
      </c>
      <c r="AG58" s="212">
        <f ca="1">IF(Threats!I1&lt;&gt;0,AVERAGE(INDIRECT("AF"&amp;Threats!G1&amp;":AF"&amp;Threats!H1),0))</f>
        <v>0</v>
      </c>
      <c r="AH58" s="212">
        <f ca="1">(AG58-Threats!I1)/(Threats!I1-1)</f>
        <v>-1.125</v>
      </c>
      <c r="AI58" s="212">
        <f>INDEX('AHP Settings'!B3:B32,MATCH(Threats!I1,'AHP Settings'!A3:A32,0))</f>
        <v>1.4499</v>
      </c>
      <c r="AJ58" s="212">
        <f ca="1">AH58/AI58</f>
        <v>-0.7759155803848542</v>
      </c>
      <c r="AL58" s="47"/>
      <c r="AM58" s="47"/>
      <c r="AN58" s="47"/>
    </row>
    <row r="59" spans="1:126" ht="27.6" customHeight="1" x14ac:dyDescent="0.25">
      <c r="A59" s="47"/>
      <c r="B59" s="216" t="str">
        <f>Threats!D1</f>
        <v>Threats to The Level of Service</v>
      </c>
      <c r="C59" s="168">
        <v>1</v>
      </c>
      <c r="D59" s="37">
        <v>0.33333333333333331</v>
      </c>
      <c r="E59" s="37">
        <v>0.2</v>
      </c>
      <c r="F59" s="37">
        <v>0</v>
      </c>
      <c r="G59" s="37">
        <v>0</v>
      </c>
      <c r="H59" s="169"/>
      <c r="I59" s="359" t="s">
        <v>255</v>
      </c>
      <c r="J59" s="359"/>
      <c r="K59" s="359"/>
      <c r="L59" s="359"/>
      <c r="M59" s="47"/>
      <c r="N59" s="47"/>
      <c r="AB59" s="44"/>
      <c r="AF59" s="166" t="s">
        <v>297</v>
      </c>
      <c r="AG59" s="212">
        <f ca="1">IF(Threats!I2&lt;&gt;0,AVERAGE(INDIRECT("AF"&amp;Threats!G2&amp;":AF"&amp;Threats!H2),0))</f>
        <v>0</v>
      </c>
      <c r="AH59" s="212">
        <f ca="1">(AG59-Threats!I2)/(Threats!I2-1)</f>
        <v>-1.25</v>
      </c>
      <c r="AI59" s="212">
        <f>INDEX('AHP Settings'!B4:B33,MATCH(Threats!I2,'AHP Settings'!A4:A33,0))</f>
        <v>1.1086</v>
      </c>
      <c r="AJ59" s="212">
        <f ca="1">AH59/AI59</f>
        <v>-1.1275482590654879</v>
      </c>
      <c r="AL59" s="47"/>
      <c r="AM59" s="47"/>
      <c r="AN59" s="47"/>
    </row>
    <row r="60" spans="1:126" ht="36.6" customHeight="1" x14ac:dyDescent="0.25">
      <c r="A60" s="47"/>
      <c r="B60" s="216" t="str">
        <f>Threats!D2</f>
        <v>Threats to the Information Base</v>
      </c>
      <c r="C60" s="67">
        <f>IF(D59&lt;&gt;0,(C59/D59),0)</f>
        <v>3</v>
      </c>
      <c r="D60" s="168">
        <v>1</v>
      </c>
      <c r="E60" s="38">
        <v>1</v>
      </c>
      <c r="F60" s="38">
        <v>0</v>
      </c>
      <c r="G60" s="38">
        <v>0</v>
      </c>
      <c r="H60" s="169"/>
      <c r="I60" s="361" t="s">
        <v>255</v>
      </c>
      <c r="J60" s="361"/>
      <c r="K60" s="361"/>
      <c r="L60" s="361"/>
      <c r="M60" s="47"/>
      <c r="N60" s="47"/>
      <c r="AB60" s="44"/>
      <c r="AD60" s="165"/>
      <c r="AF60" s="166" t="s">
        <v>298</v>
      </c>
      <c r="AG60" s="212">
        <f ca="1">IF(Threats!I3&lt;&gt;0,AVERAGE(INDIRECT("AF"&amp;Threats!G3&amp;":AF"&amp;Threats!H3),0))</f>
        <v>0</v>
      </c>
      <c r="AH60" s="212">
        <f ca="1">(AG60-Threats!I3)/(Threats!I3-1)</f>
        <v>-1.125</v>
      </c>
      <c r="AI60" s="212">
        <f>INDEX('AHP Settings'!B5:B34,MATCH(Threats!I3,'AHP Settings'!A5:A34,0))</f>
        <v>1.4499</v>
      </c>
      <c r="AJ60" s="212">
        <f ca="1">AH60/AI60</f>
        <v>-0.7759155803848542</v>
      </c>
      <c r="AL60" s="47"/>
      <c r="AM60" s="47"/>
      <c r="AN60" s="47"/>
    </row>
    <row r="61" spans="1:126" ht="39" customHeight="1" x14ac:dyDescent="0.25">
      <c r="A61" s="47"/>
      <c r="B61" s="216" t="str">
        <f>Threats!D3</f>
        <v>Threats to Information Leakage</v>
      </c>
      <c r="C61" s="67">
        <f>IF(E59&lt;&gt;0, (C59/E59),0)</f>
        <v>5</v>
      </c>
      <c r="D61" s="67">
        <f>IF(E60 &lt;&gt; 0, (D60/E60),0)</f>
        <v>1</v>
      </c>
      <c r="E61" s="168">
        <v>1</v>
      </c>
      <c r="F61" s="190">
        <v>0</v>
      </c>
      <c r="G61" s="190">
        <v>0</v>
      </c>
      <c r="H61" s="169"/>
      <c r="I61" s="363" t="s">
        <v>255</v>
      </c>
      <c r="J61" s="363"/>
      <c r="K61" s="363"/>
      <c r="L61" s="363"/>
      <c r="M61" s="47"/>
      <c r="N61" s="47"/>
      <c r="AB61" s="44"/>
      <c r="AF61" s="166" t="s">
        <v>299</v>
      </c>
      <c r="AG61" s="212" t="b">
        <f ca="1">IF(Threats!I4&lt;&gt;0,AVERAGE(INDIRECT("AF"&amp;Threats!G4&amp;":AF"&amp;Threats!H4),0))</f>
        <v>0</v>
      </c>
      <c r="AH61" s="212">
        <f ca="1">(AG61-Threats!I4)/(Threats!I4-1)</f>
        <v>0</v>
      </c>
      <c r="AI61" s="212" t="e">
        <f>INDEX('AHP Settings'!B6:B35,MATCH(Threats!I4,'AHP Settings'!A6:A35,0))</f>
        <v>#N/A</v>
      </c>
      <c r="AJ61" s="212" t="e">
        <f ca="1">AH61/AI61</f>
        <v>#N/A</v>
      </c>
      <c r="AL61" s="47"/>
      <c r="AM61" s="47"/>
      <c r="AN61" s="47"/>
    </row>
    <row r="62" spans="1:126" ht="26.4" customHeight="1" x14ac:dyDescent="0.25">
      <c r="A62" s="47"/>
      <c r="B62" s="216" t="str">
        <f>Threats!D4</f>
        <v>Threat_Group4</v>
      </c>
      <c r="C62" s="67">
        <f>IF(F59&lt;&gt; 0, (C59/F59), 0)</f>
        <v>0</v>
      </c>
      <c r="D62" s="67">
        <f>IF(F60&lt;&gt;0, (D60/F60),0)</f>
        <v>0</v>
      </c>
      <c r="E62" s="67">
        <f>IF(F61&lt;&gt; 0, (E61/F61), 0)</f>
        <v>0</v>
      </c>
      <c r="F62" s="168">
        <v>1</v>
      </c>
      <c r="G62" s="191">
        <v>0</v>
      </c>
      <c r="H62" s="169"/>
      <c r="I62" s="347" t="s">
        <v>255</v>
      </c>
      <c r="J62" s="347"/>
      <c r="K62" s="347"/>
      <c r="L62" s="347"/>
      <c r="M62" s="47"/>
      <c r="N62" s="47"/>
      <c r="AB62" s="44"/>
      <c r="AD62" s="165"/>
      <c r="AF62" s="166" t="s">
        <v>300</v>
      </c>
      <c r="AG62" s="212" t="b">
        <f ca="1">IF(Threats!I5&lt;&gt;0,AVERAGE(INDIRECT("AF"&amp;Threats!G5&amp;":AF"&amp;Threats!H5),0))</f>
        <v>0</v>
      </c>
      <c r="AH62" s="212">
        <f ca="1">(AG62-Threats!I5)/(Threats!I5-1)</f>
        <v>0</v>
      </c>
      <c r="AI62" s="212" t="e">
        <f>INDEX('AHP Settings'!B7:B36,MATCH(Threats!I5,'AHP Settings'!A7:A36,0))</f>
        <v>#N/A</v>
      </c>
      <c r="AJ62" s="212" t="e">
        <f ca="1">AH62/AI62</f>
        <v>#N/A</v>
      </c>
      <c r="AL62" s="47"/>
      <c r="AM62" s="47"/>
      <c r="AN62" s="47"/>
    </row>
    <row r="63" spans="1:126" ht="24" customHeight="1" x14ac:dyDescent="0.25">
      <c r="A63" s="47"/>
      <c r="B63" s="216" t="str">
        <f>Threats!D5</f>
        <v>Threat_Group5</v>
      </c>
      <c r="C63" s="67">
        <f>IF(G59&lt;&gt;0, (C59/G59), 0)</f>
        <v>0</v>
      </c>
      <c r="D63" s="67">
        <f>IF(G60&lt;&gt;0, (D60/G60),0)</f>
        <v>0</v>
      </c>
      <c r="E63" s="67">
        <f>IF(G61&lt;&gt;0, (E61/G61),0)</f>
        <v>0</v>
      </c>
      <c r="F63" s="67">
        <f>IF(G62&lt;&gt;0, (F62/G62), 0)</f>
        <v>0</v>
      </c>
      <c r="G63" s="168">
        <v>1</v>
      </c>
      <c r="H63" s="47"/>
      <c r="I63" s="367" t="s">
        <v>255</v>
      </c>
      <c r="J63" s="367"/>
      <c r="K63" s="367"/>
      <c r="L63" s="367"/>
      <c r="M63" s="47"/>
      <c r="N63" s="47"/>
      <c r="AB63" s="44"/>
      <c r="AF63" s="44"/>
      <c r="AL63" s="47"/>
      <c r="AM63" s="47"/>
      <c r="AN63" s="47"/>
    </row>
    <row r="64" spans="1:126" x14ac:dyDescent="0.25">
      <c r="A64" s="47"/>
      <c r="B64" s="87" t="s">
        <v>251</v>
      </c>
      <c r="C64" s="88">
        <f>SUM(C59:C63)</f>
        <v>9</v>
      </c>
      <c r="D64" s="88">
        <f>SUM(D59:D63)</f>
        <v>2.333333333333333</v>
      </c>
      <c r="E64" s="88">
        <f>SUM(E59:E63)</f>
        <v>2.2000000000000002</v>
      </c>
      <c r="F64" s="88">
        <f>SUM(F59:F63)</f>
        <v>1</v>
      </c>
      <c r="G64" s="88">
        <f>SUM(G59:G63)</f>
        <v>1</v>
      </c>
      <c r="H64" s="47"/>
      <c r="I64" s="47"/>
      <c r="J64" s="49"/>
      <c r="K64" s="47"/>
      <c r="L64" s="47"/>
      <c r="M64" s="47"/>
      <c r="N64" s="47"/>
      <c r="AB64" s="44"/>
      <c r="AD64" s="165"/>
      <c r="AF64" s="44"/>
      <c r="AL64" s="47"/>
      <c r="AM64" s="47"/>
      <c r="AN64" s="47"/>
    </row>
    <row r="65" spans="1:93" ht="21" customHeight="1" x14ac:dyDescent="0.25">
      <c r="B65" s="48"/>
      <c r="C65" s="48"/>
      <c r="D65" s="48"/>
      <c r="E65" s="48"/>
      <c r="F65" s="48"/>
      <c r="G65" s="48"/>
      <c r="H65" s="48"/>
      <c r="I65" s="48"/>
      <c r="J65" s="48"/>
      <c r="K65" s="48"/>
      <c r="AB65" s="44"/>
      <c r="AF65" s="44"/>
      <c r="AL65" s="47"/>
      <c r="AM65" s="47"/>
      <c r="AN65" s="47"/>
    </row>
    <row r="66" spans="1:93" ht="16.2" customHeight="1" x14ac:dyDescent="0.3">
      <c r="B66" s="48"/>
      <c r="C66" s="48"/>
      <c r="D66" s="48"/>
      <c r="E66" s="48"/>
      <c r="F66" s="48"/>
      <c r="G66" s="48"/>
      <c r="H66" s="48"/>
      <c r="I66" s="48"/>
      <c r="J66" s="48"/>
      <c r="K66" s="48"/>
      <c r="AB66" s="44"/>
      <c r="AD66" s="170"/>
      <c r="AE66" s="109"/>
      <c r="AF66" s="44"/>
      <c r="AL66" s="47"/>
      <c r="AM66" s="47"/>
      <c r="AN66" s="47"/>
    </row>
    <row r="67" spans="1:93" ht="12.75" customHeight="1" x14ac:dyDescent="0.3">
      <c r="B67" s="413" t="s">
        <v>250</v>
      </c>
      <c r="C67" s="411" t="s">
        <v>362</v>
      </c>
      <c r="D67" s="411" t="s">
        <v>363</v>
      </c>
      <c r="E67" s="411" t="s">
        <v>364</v>
      </c>
      <c r="F67" s="411" t="s">
        <v>259</v>
      </c>
      <c r="G67" s="411" t="s">
        <v>260</v>
      </c>
      <c r="H67" s="411" t="s">
        <v>252</v>
      </c>
      <c r="I67" s="171"/>
      <c r="J67" s="411" t="s">
        <v>326</v>
      </c>
      <c r="K67" s="411" t="s">
        <v>267</v>
      </c>
      <c r="AB67" s="44"/>
      <c r="AF67" s="44"/>
      <c r="AL67" s="47"/>
      <c r="AM67" s="47"/>
      <c r="AN67" s="47"/>
    </row>
    <row r="68" spans="1:93" ht="155.25" customHeight="1" x14ac:dyDescent="0.25">
      <c r="B68" s="414"/>
      <c r="C68" s="412" t="e">
        <v>#REF!</v>
      </c>
      <c r="D68" s="412" t="e">
        <v>#REF!</v>
      </c>
      <c r="E68" s="412" t="e">
        <v>#REF!</v>
      </c>
      <c r="F68" s="412" t="e">
        <v>#REF!</v>
      </c>
      <c r="G68" s="412" t="e">
        <v>#REF!</v>
      </c>
      <c r="H68" s="412"/>
      <c r="I68" s="172" t="s">
        <v>253</v>
      </c>
      <c r="J68" s="412"/>
      <c r="K68" s="412"/>
      <c r="AB68" s="44"/>
      <c r="AF68" s="44"/>
      <c r="AL68" s="47"/>
      <c r="AM68" s="47"/>
      <c r="AN68" s="47"/>
    </row>
    <row r="69" spans="1:93" ht="12.75" customHeight="1" x14ac:dyDescent="0.3">
      <c r="B69" s="167" t="s">
        <v>362</v>
      </c>
      <c r="C69" s="173">
        <f>(C59/C64)</f>
        <v>0.1111111111111111</v>
      </c>
      <c r="D69" s="173">
        <f>(D59/D64)</f>
        <v>0.14285714285714288</v>
      </c>
      <c r="E69" s="173">
        <f>(E59/E64)</f>
        <v>9.0909090909090912E-2</v>
      </c>
      <c r="F69" s="173">
        <f>(F59/F64)</f>
        <v>0</v>
      </c>
      <c r="G69" s="173">
        <f>(G59/G64)</f>
        <v>0</v>
      </c>
      <c r="H69" s="174">
        <f>SUM(C69:G69)</f>
        <v>0.34487734487734489</v>
      </c>
      <c r="I69" s="174">
        <f>(H69/H74)</f>
        <v>6.8975468975468981E-2</v>
      </c>
      <c r="J69" s="175">
        <f>MMULT(C59:G59,I69:I73)/I69</f>
        <v>3.0100418410041838</v>
      </c>
      <c r="K69" s="175">
        <v>3.05811749842072</v>
      </c>
      <c r="AB69" s="44"/>
      <c r="AF69" s="44"/>
      <c r="AL69" s="47"/>
      <c r="AM69" s="47"/>
      <c r="AN69" s="47"/>
    </row>
    <row r="70" spans="1:93" ht="12.75" customHeight="1" x14ac:dyDescent="0.3">
      <c r="B70" s="167" t="s">
        <v>363</v>
      </c>
      <c r="C70" s="176">
        <f>(C60/C64)</f>
        <v>0.33333333333333331</v>
      </c>
      <c r="D70" s="176">
        <f>(D60/D64)</f>
        <v>0.4285714285714286</v>
      </c>
      <c r="E70" s="176">
        <f>(E60/E64)</f>
        <v>0.45454545454545453</v>
      </c>
      <c r="F70" s="176">
        <f>(F60/F64)</f>
        <v>0</v>
      </c>
      <c r="G70" s="176">
        <f>(G60/G64)</f>
        <v>0</v>
      </c>
      <c r="H70" s="177">
        <f>SUM(C70:G70)</f>
        <v>1.2164502164502164</v>
      </c>
      <c r="I70" s="174">
        <f>(H70/H74)</f>
        <v>0.24329004329004328</v>
      </c>
      <c r="J70" s="175">
        <f>MMULT(C60:G60,I69:I73)/I70</f>
        <v>3.0332147093712929</v>
      </c>
      <c r="K70" s="175">
        <v>3.0147819660014781</v>
      </c>
      <c r="AB70" s="44"/>
      <c r="AF70" s="44"/>
      <c r="AL70" s="47"/>
      <c r="AM70" s="47"/>
      <c r="AN70" s="47"/>
    </row>
    <row r="71" spans="1:93" ht="12.75" customHeight="1" x14ac:dyDescent="0.3">
      <c r="B71" s="167" t="s">
        <v>364</v>
      </c>
      <c r="C71" s="178">
        <f>(C61/C64)</f>
        <v>0.55555555555555558</v>
      </c>
      <c r="D71" s="178">
        <f>(D61/D64)</f>
        <v>0.4285714285714286</v>
      </c>
      <c r="E71" s="178">
        <f>(E61/E64)</f>
        <v>0.45454545454545453</v>
      </c>
      <c r="F71" s="178">
        <f>(F61/F64)</f>
        <v>0</v>
      </c>
      <c r="G71" s="178">
        <f>(G61/G64)</f>
        <v>0</v>
      </c>
      <c r="H71" s="179">
        <f>SUM(C71:G71)</f>
        <v>1.4386724386724388</v>
      </c>
      <c r="I71" s="174">
        <f>(H71/H74)</f>
        <v>0.28773448773448773</v>
      </c>
      <c r="J71" s="175">
        <f>MMULT(C61:G61,I69:I73)/I71</f>
        <v>3.0441323971915746</v>
      </c>
      <c r="K71" s="175">
        <v>3.0146981627296587</v>
      </c>
      <c r="AB71" s="44"/>
      <c r="AF71" s="44"/>
      <c r="AL71" s="47"/>
      <c r="AM71" s="47"/>
      <c r="AN71" s="47"/>
    </row>
    <row r="72" spans="1:93" ht="12.75" customHeight="1" x14ac:dyDescent="0.3">
      <c r="B72" s="167" t="s">
        <v>259</v>
      </c>
      <c r="C72" s="180">
        <f>(C62/C64)</f>
        <v>0</v>
      </c>
      <c r="D72" s="180">
        <f>(D62/D64)</f>
        <v>0</v>
      </c>
      <c r="E72" s="180">
        <f>(E62/E64)</f>
        <v>0</v>
      </c>
      <c r="F72" s="180">
        <f>(F62/F64)</f>
        <v>1</v>
      </c>
      <c r="G72" s="180">
        <f>(G62/G64)</f>
        <v>0</v>
      </c>
      <c r="H72" s="181">
        <f>SUM(C72:G72)</f>
        <v>1</v>
      </c>
      <c r="I72" s="174">
        <f>(H72/H74)</f>
        <v>0.2</v>
      </c>
      <c r="J72" s="175">
        <f>MMULT(C62:G62,I69:I73)/I72</f>
        <v>1</v>
      </c>
      <c r="K72" s="175">
        <v>1</v>
      </c>
      <c r="AB72" s="44"/>
      <c r="AF72" s="44"/>
      <c r="AL72" s="47"/>
      <c r="AM72" s="47"/>
      <c r="AN72" s="47"/>
    </row>
    <row r="73" spans="1:93" ht="12.75" customHeight="1" x14ac:dyDescent="0.3">
      <c r="B73" s="167" t="s">
        <v>260</v>
      </c>
      <c r="C73" s="182">
        <f>(C63/C64)</f>
        <v>0</v>
      </c>
      <c r="D73" s="182">
        <f>(D63/D64)</f>
        <v>0</v>
      </c>
      <c r="E73" s="182">
        <f>(E63/E64)</f>
        <v>0</v>
      </c>
      <c r="F73" s="182">
        <f>(F63/F64)</f>
        <v>0</v>
      </c>
      <c r="G73" s="182">
        <f>(G63/G64)</f>
        <v>1</v>
      </c>
      <c r="H73" s="183">
        <f>SUM(C73:G73)</f>
        <v>1</v>
      </c>
      <c r="I73" s="174">
        <f>(H73/H74)</f>
        <v>0.2</v>
      </c>
      <c r="J73" s="175">
        <f>MMULT(C63:G63,I69:I73)/I73</f>
        <v>1</v>
      </c>
      <c r="K73" s="175">
        <v>1</v>
      </c>
      <c r="AB73" s="44"/>
      <c r="AF73" s="44"/>
      <c r="AL73" s="47"/>
      <c r="AM73" s="47"/>
      <c r="AN73" s="47"/>
    </row>
    <row r="74" spans="1:93" ht="25.95" customHeight="1" x14ac:dyDescent="0.3">
      <c r="B74" s="151" t="s">
        <v>251</v>
      </c>
      <c r="C74" s="152">
        <f>SUM(C69:C73)</f>
        <v>1</v>
      </c>
      <c r="D74" s="152">
        <f>SUM(D69:D73)</f>
        <v>1</v>
      </c>
      <c r="E74" s="152">
        <f>SUM(E69:E73)</f>
        <v>1</v>
      </c>
      <c r="F74" s="152">
        <f>SUM(F69:F73)</f>
        <v>1</v>
      </c>
      <c r="G74" s="152">
        <f>SUM(G69:G73)</f>
        <v>1</v>
      </c>
      <c r="H74" s="151">
        <v>5</v>
      </c>
      <c r="I74" s="184" t="s">
        <v>261</v>
      </c>
      <c r="J74" s="175">
        <f>((AVERAGE(J69:J73)-5)/4)</f>
        <v>-0.69563055262164741</v>
      </c>
      <c r="K74" s="175">
        <f>((AVERAGE(K69:K71)-3)/2)</f>
        <v>1.4599604525309395E-2</v>
      </c>
      <c r="AB74" s="44"/>
      <c r="AF74" s="44"/>
      <c r="AL74" s="47"/>
      <c r="AM74" s="47"/>
      <c r="AN74" s="47"/>
    </row>
    <row r="75" spans="1:93" s="50" customFormat="1" ht="27" customHeight="1" x14ac:dyDescent="0.3">
      <c r="B75" s="94"/>
      <c r="C75" s="94"/>
      <c r="D75" s="94"/>
      <c r="E75" s="94"/>
      <c r="F75" s="94"/>
      <c r="G75" s="94"/>
      <c r="H75" s="94"/>
      <c r="I75" s="185" t="s">
        <v>262</v>
      </c>
      <c r="J75" s="175">
        <v>0.52449999999999997</v>
      </c>
      <c r="K75" s="175">
        <v>1.1086</v>
      </c>
      <c r="L75" s="165"/>
      <c r="M75" s="94"/>
      <c r="N75" s="94"/>
      <c r="O75" s="94"/>
      <c r="P75" s="94"/>
      <c r="Q75" s="94"/>
      <c r="R75" s="94"/>
      <c r="S75" s="94"/>
      <c r="T75" s="94"/>
      <c r="U75" s="94"/>
      <c r="V75" s="94"/>
      <c r="W75" s="94"/>
      <c r="X75" s="94"/>
      <c r="Y75" s="94"/>
      <c r="Z75" s="94"/>
      <c r="AA75" s="94"/>
      <c r="AL75" s="47"/>
      <c r="AM75" s="47"/>
      <c r="AN75" s="47"/>
    </row>
    <row r="76" spans="1:93" ht="27" customHeight="1" x14ac:dyDescent="0.3">
      <c r="A76" s="48"/>
      <c r="B76" s="48"/>
      <c r="C76" s="47"/>
      <c r="D76" s="47"/>
      <c r="E76" s="47"/>
      <c r="F76" s="47"/>
      <c r="G76" s="47"/>
      <c r="H76" s="47"/>
      <c r="I76" s="186" t="s">
        <v>276</v>
      </c>
      <c r="J76" s="175">
        <f>J74/J75</f>
        <v>-1.3262736942262106</v>
      </c>
      <c r="K76" s="175">
        <f>K74/K75</f>
        <v>1.3169406932445784E-2</v>
      </c>
      <c r="L76" s="47"/>
      <c r="M76" s="47"/>
      <c r="N76" s="47"/>
      <c r="O76" s="47"/>
      <c r="P76" s="47"/>
      <c r="Q76" s="47"/>
      <c r="R76" s="47"/>
      <c r="S76" s="47"/>
      <c r="T76" s="47"/>
      <c r="U76" s="47"/>
      <c r="V76" s="47"/>
      <c r="W76" s="47"/>
      <c r="X76" s="47"/>
      <c r="Y76" s="47"/>
      <c r="Z76" s="47"/>
      <c r="AA76" s="47"/>
      <c r="AB76" s="47"/>
      <c r="AC76" s="47"/>
      <c r="AD76" s="47"/>
      <c r="AE76" s="47"/>
      <c r="AF76" s="47"/>
      <c r="AG76" s="47"/>
      <c r="AH76" s="47"/>
      <c r="AI76" s="47"/>
      <c r="AJ76" s="47"/>
      <c r="AK76" s="47"/>
      <c r="AL76" s="47"/>
      <c r="AM76" s="47"/>
      <c r="AN76" s="47"/>
      <c r="AO76" s="47"/>
      <c r="AP76" s="47"/>
      <c r="AQ76" s="47"/>
      <c r="AR76" s="47"/>
      <c r="AS76" s="47"/>
      <c r="AT76" s="47"/>
      <c r="AU76" s="47"/>
      <c r="AV76" s="47"/>
      <c r="AW76" s="47"/>
      <c r="AX76" s="47"/>
      <c r="AY76" s="47"/>
      <c r="AZ76" s="47"/>
      <c r="BA76" s="47"/>
      <c r="BB76" s="47"/>
      <c r="BC76" s="47"/>
      <c r="BD76" s="47"/>
      <c r="BE76" s="47"/>
      <c r="BF76" s="47"/>
      <c r="BG76" s="47"/>
      <c r="BH76" s="47"/>
      <c r="BI76" s="47"/>
      <c r="BJ76" s="47"/>
      <c r="BK76" s="47"/>
      <c r="BL76" s="47"/>
      <c r="BM76" s="47"/>
      <c r="BN76" s="47"/>
      <c r="BO76" s="47"/>
      <c r="BP76" s="47"/>
      <c r="BQ76" s="47"/>
      <c r="BR76" s="47"/>
      <c r="BS76" s="47"/>
      <c r="BT76" s="47"/>
      <c r="BU76" s="47"/>
      <c r="BV76" s="47"/>
      <c r="BW76" s="47"/>
      <c r="BX76" s="47"/>
      <c r="BY76" s="47"/>
      <c r="BZ76" s="47"/>
      <c r="CA76" s="47"/>
      <c r="CB76" s="47"/>
      <c r="CC76" s="47"/>
      <c r="CD76" s="47"/>
      <c r="CE76" s="47"/>
      <c r="CF76" s="47"/>
      <c r="CG76" s="47"/>
      <c r="CH76" s="47"/>
      <c r="CI76" s="47"/>
      <c r="CJ76" s="47"/>
      <c r="CK76" s="47"/>
      <c r="CL76" s="47"/>
      <c r="CM76" s="47"/>
      <c r="CN76" s="47"/>
      <c r="CO76" s="47"/>
    </row>
    <row r="77" spans="1:93" ht="30" customHeight="1" x14ac:dyDescent="0.25">
      <c r="A77" s="48"/>
      <c r="B77" s="48"/>
      <c r="C77" s="47"/>
      <c r="D77" s="47"/>
      <c r="E77" s="47"/>
      <c r="F77" s="49"/>
      <c r="G77" s="94"/>
      <c r="H77" s="94"/>
      <c r="I77" s="47"/>
      <c r="J77" s="47"/>
      <c r="K77" s="47"/>
      <c r="L77" s="47"/>
      <c r="M77" s="47"/>
      <c r="N77" s="47"/>
      <c r="O77" s="47"/>
      <c r="P77" s="47"/>
      <c r="Q77" s="47"/>
      <c r="R77" s="47"/>
      <c r="S77" s="47"/>
      <c r="T77" s="47"/>
      <c r="U77" s="47"/>
      <c r="V77" s="47"/>
      <c r="W77" s="47"/>
      <c r="X77" s="47"/>
      <c r="Y77" s="47"/>
      <c r="Z77" s="47"/>
      <c r="AA77" s="47"/>
      <c r="AB77" s="47"/>
      <c r="AC77" s="47"/>
      <c r="AD77" s="47"/>
      <c r="AE77" s="47"/>
      <c r="AF77" s="47"/>
      <c r="AG77" s="47"/>
      <c r="AH77" s="47"/>
      <c r="AI77" s="47"/>
      <c r="AJ77" s="47"/>
      <c r="AK77" s="47"/>
      <c r="AL77" s="47"/>
      <c r="AM77" s="47"/>
      <c r="AN77" s="47"/>
      <c r="AO77" s="47"/>
      <c r="AP77" s="47"/>
      <c r="AQ77" s="47"/>
      <c r="AR77" s="47"/>
      <c r="AS77" s="47"/>
      <c r="AT77" s="47"/>
      <c r="AU77" s="47"/>
      <c r="AV77" s="47"/>
      <c r="AW77" s="47"/>
      <c r="AX77" s="47"/>
      <c r="AY77" s="47"/>
      <c r="AZ77" s="47"/>
      <c r="BA77" s="47"/>
      <c r="BB77" s="47"/>
      <c r="BC77" s="47"/>
      <c r="BD77" s="47"/>
      <c r="BE77" s="47"/>
      <c r="BF77" s="47"/>
      <c r="BG77" s="47"/>
      <c r="BH77" s="47"/>
      <c r="BI77" s="47"/>
      <c r="BJ77" s="47"/>
      <c r="BK77" s="47"/>
      <c r="BL77" s="47"/>
      <c r="BM77" s="47"/>
      <c r="BN77" s="47"/>
      <c r="BO77" s="47"/>
      <c r="BP77" s="47"/>
      <c r="BQ77" s="47"/>
      <c r="BR77" s="47"/>
      <c r="BS77" s="47"/>
      <c r="BT77" s="47"/>
      <c r="BU77" s="47"/>
      <c r="BV77" s="47"/>
      <c r="BW77" s="47"/>
      <c r="BX77" s="47"/>
      <c r="BY77" s="47"/>
      <c r="BZ77" s="47"/>
      <c r="CA77" s="47"/>
      <c r="CB77" s="47"/>
      <c r="CC77" s="47"/>
      <c r="CD77" s="47"/>
      <c r="CE77" s="47"/>
      <c r="CF77" s="47"/>
      <c r="CG77" s="47"/>
      <c r="CH77" s="47"/>
      <c r="CI77" s="47"/>
      <c r="CJ77" s="47"/>
      <c r="CK77" s="47"/>
      <c r="CL77" s="47"/>
    </row>
    <row r="78" spans="1:93" ht="15.6" x14ac:dyDescent="0.3">
      <c r="A78" s="48"/>
      <c r="B78" s="48"/>
      <c r="C78" s="48"/>
      <c r="D78" s="343" t="s">
        <v>290</v>
      </c>
      <c r="E78" s="344"/>
      <c r="F78" s="344"/>
      <c r="G78" s="345"/>
      <c r="H78" s="49"/>
      <c r="I78" s="47"/>
      <c r="J78" s="47"/>
      <c r="K78" s="47"/>
      <c r="L78" s="47"/>
      <c r="M78" s="47"/>
      <c r="N78" s="47"/>
      <c r="O78" s="47"/>
      <c r="P78" s="47"/>
      <c r="Q78" s="47"/>
      <c r="R78" s="47"/>
      <c r="S78" s="47"/>
      <c r="T78" s="47"/>
      <c r="U78" s="47"/>
      <c r="V78" s="47"/>
      <c r="W78" s="47"/>
      <c r="X78" s="47"/>
      <c r="Y78" s="47"/>
      <c r="Z78" s="47"/>
      <c r="AA78" s="47"/>
      <c r="AB78" s="47"/>
      <c r="AC78" s="47"/>
      <c r="AD78" s="47"/>
      <c r="AE78" s="47"/>
      <c r="AF78" s="47"/>
      <c r="AG78" s="47"/>
      <c r="AH78" s="47"/>
      <c r="AI78" s="47"/>
      <c r="AJ78" s="47"/>
      <c r="AK78" s="47"/>
      <c r="AL78" s="47"/>
      <c r="AM78" s="47"/>
      <c r="AN78" s="47"/>
      <c r="AO78" s="47"/>
      <c r="AP78" s="47"/>
      <c r="AQ78" s="47"/>
      <c r="AR78" s="47"/>
      <c r="AS78" s="47"/>
      <c r="AT78" s="47"/>
      <c r="AU78" s="47"/>
      <c r="AV78" s="47"/>
      <c r="AW78" s="47"/>
      <c r="AX78" s="47"/>
      <c r="AY78" s="47"/>
      <c r="AZ78" s="47"/>
      <c r="BA78" s="47"/>
      <c r="BB78" s="47"/>
      <c r="BC78" s="47"/>
      <c r="BD78" s="47"/>
      <c r="BE78" s="47"/>
      <c r="BF78" s="47"/>
      <c r="BG78" s="47"/>
      <c r="BH78" s="47"/>
      <c r="BI78" s="47"/>
      <c r="BJ78" s="47"/>
      <c r="BK78" s="47"/>
      <c r="BL78" s="47"/>
      <c r="BM78" s="47"/>
      <c r="BN78" s="47"/>
      <c r="BO78" s="47"/>
      <c r="BP78" s="47"/>
      <c r="BQ78" s="47"/>
      <c r="BR78" s="47"/>
      <c r="BS78" s="47"/>
      <c r="BT78" s="47"/>
      <c r="BU78" s="47"/>
      <c r="BV78" s="47"/>
      <c r="BW78" s="47"/>
      <c r="BX78" s="47"/>
      <c r="BY78" s="47"/>
      <c r="BZ78" s="47"/>
      <c r="CA78" s="47"/>
      <c r="CB78" s="47"/>
      <c r="CC78" s="47"/>
      <c r="CD78" s="47"/>
      <c r="CE78" s="47"/>
      <c r="CF78" s="47"/>
      <c r="CG78" s="47"/>
      <c r="CH78" s="47"/>
      <c r="CI78" s="47"/>
      <c r="CJ78" s="47"/>
      <c r="CK78" s="47"/>
      <c r="CL78" s="47"/>
    </row>
    <row r="79" spans="1:93" ht="22.8" x14ac:dyDescent="0.4">
      <c r="A79" s="48"/>
      <c r="B79" s="48"/>
      <c r="C79" s="48"/>
      <c r="D79" s="187" t="s">
        <v>287</v>
      </c>
      <c r="E79" s="188" t="s">
        <v>288</v>
      </c>
      <c r="F79" s="187" t="s">
        <v>289</v>
      </c>
      <c r="G79" s="189">
        <v>9</v>
      </c>
      <c r="H79" s="49"/>
      <c r="I79" s="47"/>
      <c r="J79" s="47"/>
      <c r="K79" s="47"/>
      <c r="L79" s="47"/>
      <c r="M79" s="47"/>
      <c r="N79" s="47"/>
      <c r="O79" s="47"/>
      <c r="P79" s="47"/>
      <c r="Q79" s="47"/>
      <c r="R79" s="47"/>
      <c r="S79" s="47"/>
      <c r="T79" s="47"/>
      <c r="U79" s="47"/>
      <c r="V79" s="47"/>
      <c r="W79" s="47"/>
      <c r="X79" s="47"/>
      <c r="Y79" s="47"/>
      <c r="Z79" s="47"/>
      <c r="AA79" s="47"/>
      <c r="AB79" s="47"/>
      <c r="AC79" s="47"/>
      <c r="AD79" s="47"/>
      <c r="AE79" s="47"/>
      <c r="AF79" s="47"/>
      <c r="AG79" s="47"/>
      <c r="AH79" s="47"/>
      <c r="AI79" s="47"/>
      <c r="AJ79" s="47"/>
      <c r="AK79" s="47"/>
      <c r="AL79" s="47"/>
      <c r="AM79" s="47"/>
      <c r="AN79" s="47"/>
      <c r="AO79" s="47"/>
      <c r="AP79" s="47"/>
      <c r="AQ79" s="47"/>
      <c r="AR79" s="47"/>
      <c r="AS79" s="47"/>
      <c r="AT79" s="47"/>
      <c r="AU79" s="47"/>
      <c r="AV79" s="47"/>
      <c r="AW79" s="47"/>
      <c r="AX79" s="47"/>
      <c r="AY79" s="47"/>
      <c r="AZ79" s="47"/>
      <c r="BA79" s="47"/>
      <c r="BB79" s="47"/>
      <c r="BC79" s="47"/>
      <c r="BD79" s="47"/>
      <c r="BE79" s="47"/>
      <c r="BF79" s="47"/>
      <c r="BG79" s="47"/>
      <c r="BH79" s="47"/>
      <c r="BI79" s="47"/>
      <c r="BJ79" s="47"/>
      <c r="BK79" s="47"/>
      <c r="BL79" s="47"/>
      <c r="BM79" s="47"/>
      <c r="BN79" s="47"/>
      <c r="BO79" s="47"/>
      <c r="BP79" s="47"/>
      <c r="BQ79" s="47"/>
      <c r="BR79" s="47"/>
      <c r="BS79" s="47"/>
      <c r="BT79" s="47"/>
      <c r="BU79" s="47"/>
      <c r="BV79" s="47"/>
      <c r="BW79" s="47"/>
      <c r="BX79" s="47"/>
      <c r="BY79" s="47"/>
      <c r="BZ79" s="47"/>
      <c r="CA79" s="47"/>
      <c r="CB79" s="47"/>
      <c r="CC79" s="47"/>
      <c r="CD79" s="47"/>
      <c r="CE79" s="47"/>
      <c r="CF79" s="47"/>
      <c r="CG79" s="47"/>
      <c r="CH79" s="47"/>
      <c r="CI79" s="47"/>
      <c r="CJ79" s="47"/>
      <c r="CK79" s="47"/>
      <c r="CL79" s="47"/>
    </row>
    <row r="80" spans="1:93" ht="22.8" x14ac:dyDescent="0.4">
      <c r="A80" s="48"/>
      <c r="B80" s="48"/>
      <c r="C80" s="48"/>
      <c r="D80" s="187" t="s">
        <v>287</v>
      </c>
      <c r="E80" s="188" t="s">
        <v>279</v>
      </c>
      <c r="F80" s="187" t="s">
        <v>289</v>
      </c>
      <c r="G80" s="189">
        <v>7</v>
      </c>
      <c r="H80" s="49"/>
      <c r="I80" s="47"/>
      <c r="J80" s="47"/>
      <c r="K80" s="47"/>
      <c r="L80" s="47"/>
      <c r="M80" s="47"/>
      <c r="N80" s="47"/>
      <c r="O80" s="47"/>
      <c r="P80" s="47"/>
      <c r="Q80" s="47"/>
      <c r="R80" s="47"/>
      <c r="S80" s="47"/>
      <c r="T80" s="47"/>
      <c r="U80" s="47"/>
      <c r="V80" s="47"/>
      <c r="W80" s="47"/>
      <c r="X80" s="47"/>
      <c r="Y80" s="47"/>
      <c r="Z80" s="47"/>
      <c r="AA80" s="47"/>
      <c r="AB80" s="47"/>
      <c r="AC80" s="47"/>
      <c r="AD80" s="47"/>
      <c r="AE80" s="47"/>
      <c r="AF80" s="47"/>
      <c r="AG80" s="47"/>
      <c r="AH80" s="47"/>
      <c r="AL80" s="47"/>
      <c r="AM80" s="47"/>
      <c r="AN80" s="47"/>
      <c r="AO80" s="47"/>
      <c r="AP80" s="47"/>
      <c r="AQ80" s="47"/>
      <c r="AR80" s="47"/>
      <c r="AS80" s="47"/>
      <c r="AT80" s="47"/>
      <c r="AU80" s="47"/>
      <c r="AV80" s="47"/>
      <c r="AW80" s="47"/>
      <c r="AX80" s="47"/>
      <c r="AY80" s="47"/>
      <c r="AZ80" s="47"/>
      <c r="BA80" s="47"/>
      <c r="BB80" s="47"/>
      <c r="BC80" s="47"/>
      <c r="BD80" s="47"/>
      <c r="BE80" s="47"/>
      <c r="BF80" s="47"/>
      <c r="BG80" s="47"/>
      <c r="BH80" s="47"/>
      <c r="BI80" s="47"/>
      <c r="BJ80" s="47"/>
      <c r="BK80" s="47"/>
      <c r="BL80" s="47"/>
      <c r="BM80" s="47"/>
      <c r="BN80" s="47"/>
      <c r="BO80" s="47"/>
      <c r="BP80" s="47"/>
      <c r="BQ80" s="47"/>
      <c r="BR80" s="47"/>
      <c r="BS80" s="47"/>
      <c r="BT80" s="47"/>
      <c r="BU80" s="47"/>
      <c r="BV80" s="47"/>
      <c r="BW80" s="47"/>
      <c r="BX80" s="47"/>
      <c r="BY80" s="47"/>
      <c r="BZ80" s="47"/>
      <c r="CA80" s="47"/>
      <c r="CB80" s="47"/>
      <c r="CC80" s="47"/>
      <c r="CD80" s="47"/>
      <c r="CE80" s="47"/>
      <c r="CF80" s="47"/>
      <c r="CG80" s="47"/>
      <c r="CH80" s="47"/>
      <c r="CI80" s="47"/>
      <c r="CJ80" s="47"/>
      <c r="CK80" s="47"/>
      <c r="CL80" s="47"/>
    </row>
    <row r="81" spans="2:90" ht="22.8" x14ac:dyDescent="0.4">
      <c r="B81" s="48"/>
      <c r="C81" s="48"/>
      <c r="D81" s="187" t="s">
        <v>287</v>
      </c>
      <c r="E81" s="188" t="s">
        <v>280</v>
      </c>
      <c r="F81" s="187" t="s">
        <v>289</v>
      </c>
      <c r="G81" s="189">
        <v>5</v>
      </c>
      <c r="H81" s="49"/>
      <c r="I81" s="47"/>
      <c r="J81" s="47"/>
      <c r="K81" s="47"/>
      <c r="L81" s="47"/>
      <c r="M81" s="47"/>
      <c r="N81" s="47"/>
      <c r="O81" s="47"/>
      <c r="P81" s="47"/>
      <c r="Q81" s="47"/>
      <c r="R81" s="47"/>
      <c r="S81" s="47"/>
      <c r="T81" s="47"/>
      <c r="U81" s="47"/>
      <c r="V81" s="47"/>
      <c r="W81" s="47"/>
      <c r="X81" s="47"/>
      <c r="Y81" s="47"/>
      <c r="Z81" s="47"/>
      <c r="AA81" s="47"/>
      <c r="AB81" s="47"/>
      <c r="AC81" s="47"/>
      <c r="AD81" s="47"/>
      <c r="AE81" s="47"/>
      <c r="AF81" s="47"/>
      <c r="AG81" s="47"/>
      <c r="AH81" s="47"/>
      <c r="AI81" s="47"/>
      <c r="AJ81" s="47"/>
      <c r="AK81" s="47"/>
      <c r="AL81" s="47"/>
      <c r="AM81" s="47"/>
      <c r="AN81" s="47"/>
      <c r="AO81" s="47"/>
      <c r="AP81" s="47"/>
      <c r="AQ81" s="47"/>
      <c r="AR81" s="47"/>
      <c r="AS81" s="47"/>
      <c r="AT81" s="47"/>
      <c r="AU81" s="47"/>
      <c r="AV81" s="47"/>
      <c r="AW81" s="47"/>
      <c r="AX81" s="47"/>
      <c r="AY81" s="47"/>
      <c r="AZ81" s="47"/>
      <c r="BA81" s="47"/>
      <c r="BB81" s="47"/>
      <c r="BC81" s="47"/>
      <c r="BD81" s="47"/>
      <c r="BE81" s="47"/>
      <c r="BF81" s="47"/>
      <c r="BG81" s="47"/>
      <c r="BH81" s="47"/>
      <c r="BI81" s="47"/>
      <c r="BJ81" s="47"/>
      <c r="BK81" s="47"/>
      <c r="BL81" s="47"/>
      <c r="BM81" s="47"/>
      <c r="BN81" s="47"/>
      <c r="BO81" s="47"/>
      <c r="BP81" s="47"/>
      <c r="BQ81" s="47"/>
      <c r="BR81" s="47"/>
      <c r="BS81" s="47"/>
      <c r="BT81" s="47"/>
      <c r="BU81" s="47"/>
      <c r="BV81" s="47"/>
      <c r="BW81" s="47"/>
      <c r="BX81" s="47"/>
      <c r="BY81" s="47"/>
      <c r="BZ81" s="47"/>
      <c r="CA81" s="47"/>
      <c r="CB81" s="47"/>
      <c r="CC81" s="47"/>
      <c r="CD81" s="47"/>
      <c r="CE81" s="47"/>
      <c r="CF81" s="47"/>
      <c r="CG81" s="47"/>
      <c r="CH81" s="47"/>
      <c r="CI81" s="47"/>
      <c r="CJ81" s="47"/>
      <c r="CK81" s="47"/>
      <c r="CL81" s="47"/>
    </row>
    <row r="82" spans="2:90" ht="22.8" x14ac:dyDescent="0.4">
      <c r="B82" s="48"/>
      <c r="C82" s="48"/>
      <c r="D82" s="187" t="s">
        <v>287</v>
      </c>
      <c r="E82" s="188" t="s">
        <v>281</v>
      </c>
      <c r="F82" s="187" t="s">
        <v>289</v>
      </c>
      <c r="G82" s="189">
        <v>3</v>
      </c>
      <c r="H82" s="49"/>
      <c r="I82" s="47"/>
      <c r="J82" s="47"/>
      <c r="K82" s="47"/>
      <c r="L82" s="47"/>
      <c r="M82" s="47"/>
      <c r="N82" s="47"/>
      <c r="O82" s="47"/>
      <c r="P82" s="47"/>
      <c r="Q82" s="47"/>
      <c r="R82" s="47"/>
      <c r="S82" s="47"/>
      <c r="T82" s="47"/>
      <c r="U82" s="47"/>
      <c r="V82" s="47"/>
      <c r="W82" s="47"/>
      <c r="X82" s="47"/>
      <c r="Y82" s="47"/>
      <c r="Z82" s="47"/>
      <c r="AA82" s="47"/>
      <c r="AB82" s="47"/>
      <c r="AC82" s="47"/>
      <c r="AD82" s="47"/>
      <c r="AE82" s="47"/>
      <c r="AF82" s="47"/>
      <c r="AG82" s="47"/>
      <c r="AH82" s="47"/>
      <c r="AI82" s="47"/>
      <c r="AJ82" s="47"/>
      <c r="AK82" s="47"/>
      <c r="AL82" s="47"/>
      <c r="AM82" s="47"/>
      <c r="AN82" s="47"/>
      <c r="AO82" s="47"/>
      <c r="AP82" s="47"/>
      <c r="AQ82" s="47"/>
      <c r="AR82" s="47"/>
      <c r="AS82" s="47"/>
      <c r="AT82" s="47"/>
      <c r="AU82" s="47"/>
      <c r="AV82" s="47"/>
      <c r="AW82" s="47"/>
      <c r="AX82" s="47"/>
      <c r="AY82" s="47"/>
      <c r="AZ82" s="47"/>
      <c r="BA82" s="47"/>
      <c r="BB82" s="47"/>
      <c r="BC82" s="47"/>
      <c r="BD82" s="47"/>
      <c r="BE82" s="47"/>
      <c r="BF82" s="47"/>
      <c r="BG82" s="47"/>
      <c r="BH82" s="47"/>
      <c r="BI82" s="47"/>
      <c r="BJ82" s="47"/>
      <c r="BK82" s="47"/>
      <c r="BL82" s="47"/>
      <c r="BM82" s="47"/>
      <c r="BN82" s="47"/>
      <c r="BO82" s="47"/>
      <c r="BP82" s="47"/>
      <c r="BQ82" s="47"/>
      <c r="BR82" s="47"/>
      <c r="BS82" s="47"/>
      <c r="BT82" s="47"/>
      <c r="BU82" s="47"/>
      <c r="BV82" s="47"/>
      <c r="BW82" s="47"/>
      <c r="BX82" s="47"/>
      <c r="BY82" s="47"/>
      <c r="BZ82" s="47"/>
      <c r="CA82" s="47"/>
      <c r="CB82" s="47"/>
      <c r="CC82" s="47"/>
      <c r="CD82" s="47"/>
      <c r="CE82" s="47"/>
      <c r="CF82" s="47"/>
      <c r="CG82" s="47"/>
      <c r="CH82" s="47"/>
      <c r="CI82" s="47"/>
      <c r="CJ82" s="47"/>
      <c r="CK82" s="47"/>
      <c r="CL82" s="47"/>
    </row>
    <row r="83" spans="2:90" ht="18.600000000000001" customHeight="1" x14ac:dyDescent="0.4">
      <c r="B83" s="48"/>
      <c r="C83" s="48"/>
      <c r="D83" s="187" t="s">
        <v>287</v>
      </c>
      <c r="E83" s="188" t="s">
        <v>282</v>
      </c>
      <c r="F83" s="187" t="s">
        <v>289</v>
      </c>
      <c r="G83" s="189">
        <v>1</v>
      </c>
      <c r="H83" s="49"/>
      <c r="I83" s="47"/>
      <c r="J83" s="47"/>
      <c r="K83" s="47"/>
      <c r="L83" s="47"/>
      <c r="M83" s="47"/>
      <c r="N83" s="47"/>
      <c r="O83" s="47"/>
      <c r="P83" s="47"/>
      <c r="Q83" s="47"/>
      <c r="R83" s="47"/>
      <c r="S83" s="47"/>
      <c r="T83" s="47"/>
      <c r="U83" s="47"/>
      <c r="V83" s="47"/>
      <c r="W83" s="47"/>
      <c r="X83" s="47"/>
      <c r="Y83" s="47"/>
      <c r="Z83" s="47"/>
      <c r="AA83" s="47"/>
      <c r="AB83" s="47"/>
      <c r="AC83" s="47"/>
      <c r="AD83" s="47"/>
      <c r="AE83" s="47"/>
      <c r="AF83" s="47"/>
      <c r="AG83" s="47"/>
      <c r="AH83" s="47"/>
      <c r="AI83" s="47"/>
      <c r="AJ83" s="47"/>
      <c r="AK83" s="47"/>
      <c r="AL83" s="47"/>
      <c r="AM83" s="47"/>
      <c r="AN83" s="47"/>
      <c r="AO83" s="47"/>
      <c r="AP83" s="47"/>
      <c r="AQ83" s="47"/>
      <c r="AR83" s="47"/>
      <c r="AS83" s="47"/>
      <c r="AT83" s="47"/>
      <c r="AU83" s="47"/>
      <c r="AV83" s="47"/>
      <c r="AW83" s="47"/>
      <c r="AX83" s="47"/>
      <c r="AY83" s="47"/>
      <c r="AZ83" s="47"/>
      <c r="BA83" s="47"/>
      <c r="BB83" s="47"/>
      <c r="BC83" s="47"/>
      <c r="BD83" s="47"/>
      <c r="BE83" s="47"/>
      <c r="BF83" s="47"/>
      <c r="BG83" s="47"/>
      <c r="BH83" s="47"/>
      <c r="BI83" s="47"/>
      <c r="BJ83" s="47"/>
      <c r="BK83" s="47"/>
      <c r="BL83" s="47"/>
      <c r="BM83" s="47"/>
      <c r="BN83" s="47"/>
      <c r="BO83" s="47"/>
      <c r="BP83" s="47"/>
      <c r="BQ83" s="47"/>
      <c r="BR83" s="47"/>
      <c r="BS83" s="47"/>
      <c r="BT83" s="47"/>
      <c r="BU83" s="47"/>
      <c r="BV83" s="47"/>
      <c r="BW83" s="47"/>
      <c r="BX83" s="47"/>
      <c r="BY83" s="47"/>
      <c r="BZ83" s="47"/>
      <c r="CA83" s="47"/>
      <c r="CB83" s="47"/>
      <c r="CC83" s="47"/>
      <c r="CD83" s="47"/>
      <c r="CE83" s="47"/>
      <c r="CF83" s="47"/>
      <c r="CG83" s="47"/>
      <c r="CH83" s="47"/>
      <c r="CI83" s="47"/>
      <c r="CJ83" s="47"/>
      <c r="CK83" s="47"/>
      <c r="CL83" s="47"/>
    </row>
    <row r="84" spans="2:90" ht="22.8" x14ac:dyDescent="0.4">
      <c r="B84" s="48"/>
      <c r="C84" s="48"/>
      <c r="D84" s="187" t="s">
        <v>289</v>
      </c>
      <c r="E84" s="188" t="s">
        <v>281</v>
      </c>
      <c r="F84" s="187" t="s">
        <v>287</v>
      </c>
      <c r="G84" s="189" t="s">
        <v>283</v>
      </c>
      <c r="H84" s="48"/>
      <c r="I84" s="48"/>
      <c r="J84" s="48"/>
      <c r="K84" s="48"/>
      <c r="L84" s="48"/>
      <c r="M84" s="48"/>
      <c r="N84" s="48"/>
      <c r="O84" s="48"/>
      <c r="P84" s="48"/>
      <c r="Q84" s="48"/>
      <c r="R84" s="48"/>
      <c r="S84" s="48"/>
      <c r="T84" s="48"/>
      <c r="U84" s="48"/>
      <c r="V84" s="48"/>
      <c r="W84" s="48"/>
      <c r="X84" s="48"/>
      <c r="Y84" s="48"/>
      <c r="AB84" s="44"/>
      <c r="AC84" s="49"/>
      <c r="AF84" s="44"/>
    </row>
    <row r="85" spans="2:90" ht="22.8" x14ac:dyDescent="0.4">
      <c r="B85" s="48"/>
      <c r="C85" s="48"/>
      <c r="D85" s="187" t="s">
        <v>289</v>
      </c>
      <c r="E85" s="188" t="s">
        <v>280</v>
      </c>
      <c r="F85" s="187" t="s">
        <v>287</v>
      </c>
      <c r="G85" s="189" t="s">
        <v>284</v>
      </c>
      <c r="H85" s="48"/>
      <c r="I85" s="48"/>
      <c r="J85" s="48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  <c r="W85" s="48"/>
      <c r="X85" s="48"/>
      <c r="Y85" s="48"/>
      <c r="AB85" s="44"/>
      <c r="AC85" s="49"/>
      <c r="AF85" s="44"/>
    </row>
    <row r="86" spans="2:90" ht="22.8" x14ac:dyDescent="0.4">
      <c r="B86" s="48"/>
      <c r="C86" s="48"/>
      <c r="D86" s="187" t="s">
        <v>289</v>
      </c>
      <c r="E86" s="188" t="s">
        <v>279</v>
      </c>
      <c r="F86" s="187" t="s">
        <v>287</v>
      </c>
      <c r="G86" s="189" t="s">
        <v>285</v>
      </c>
      <c r="H86" s="48"/>
      <c r="I86" s="48"/>
      <c r="J86" s="48"/>
      <c r="K86" s="48"/>
      <c r="L86" s="48"/>
      <c r="M86" s="48"/>
      <c r="N86" s="48"/>
      <c r="O86" s="48"/>
      <c r="P86" s="48"/>
      <c r="Q86" s="48"/>
      <c r="R86" s="48"/>
      <c r="S86" s="48"/>
      <c r="T86" s="48"/>
      <c r="U86" s="48"/>
      <c r="V86" s="48"/>
      <c r="W86" s="48"/>
      <c r="X86" s="48"/>
      <c r="Y86" s="48"/>
      <c r="AB86" s="44"/>
      <c r="AC86" s="49"/>
      <c r="AF86" s="44"/>
    </row>
    <row r="87" spans="2:90" ht="22.8" x14ac:dyDescent="0.4">
      <c r="B87" s="48"/>
      <c r="C87" s="48"/>
      <c r="D87" s="187" t="s">
        <v>289</v>
      </c>
      <c r="E87" s="188" t="s">
        <v>278</v>
      </c>
      <c r="F87" s="187" t="s">
        <v>287</v>
      </c>
      <c r="G87" s="189" t="s">
        <v>286</v>
      </c>
      <c r="H87" s="48"/>
      <c r="I87" s="48"/>
      <c r="J87" s="48"/>
      <c r="K87" s="48"/>
      <c r="L87" s="48"/>
      <c r="M87" s="48"/>
      <c r="N87" s="48"/>
      <c r="O87" s="48"/>
      <c r="P87" s="48"/>
      <c r="Q87" s="48"/>
      <c r="R87" s="48"/>
      <c r="S87" s="48"/>
      <c r="T87" s="48"/>
      <c r="U87" s="48"/>
      <c r="V87" s="48"/>
      <c r="W87" s="48"/>
      <c r="X87" s="48"/>
      <c r="Y87" s="48"/>
      <c r="AB87" s="44"/>
      <c r="AC87" s="49"/>
      <c r="AF87" s="44"/>
    </row>
    <row r="88" spans="2:90" ht="22.8" x14ac:dyDescent="0.4">
      <c r="B88" s="48"/>
      <c r="C88" s="48"/>
      <c r="D88" s="187" t="s">
        <v>287</v>
      </c>
      <c r="E88" s="188" t="s">
        <v>292</v>
      </c>
      <c r="F88" s="187" t="s">
        <v>289</v>
      </c>
      <c r="G88" s="189">
        <v>0</v>
      </c>
      <c r="H88" s="48"/>
      <c r="I88" s="48"/>
      <c r="J88" s="48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  <c r="W88" s="48"/>
      <c r="X88" s="48"/>
      <c r="Y88" s="48"/>
      <c r="AB88" s="44"/>
      <c r="AC88" s="49"/>
      <c r="AF88" s="44"/>
    </row>
    <row r="89" spans="2:90" ht="12.75" customHeight="1" x14ac:dyDescent="0.25">
      <c r="B89" s="48"/>
      <c r="C89" s="48"/>
      <c r="D89" s="48"/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  <c r="P89" s="48"/>
      <c r="Q89" s="48"/>
      <c r="R89" s="48"/>
      <c r="S89" s="48"/>
      <c r="T89" s="48"/>
      <c r="U89" s="48"/>
      <c r="V89" s="48"/>
      <c r="W89" s="48"/>
      <c r="X89" s="48"/>
      <c r="Y89" s="48"/>
      <c r="Z89" s="48"/>
      <c r="AA89" s="48"/>
      <c r="AC89" s="47"/>
      <c r="AD89" s="47"/>
      <c r="AE89" s="47"/>
      <c r="AG89" s="47"/>
      <c r="AH89" s="47"/>
      <c r="AI89" s="47"/>
      <c r="AJ89" s="47"/>
      <c r="AK89" s="47"/>
      <c r="AL89" s="47"/>
      <c r="AM89" s="47"/>
      <c r="AN89" s="47"/>
      <c r="AO89" s="47"/>
      <c r="AP89" s="47"/>
      <c r="AQ89" s="47"/>
      <c r="AR89" s="47"/>
      <c r="AS89" s="47"/>
    </row>
    <row r="90" spans="2:90" ht="12.75" customHeight="1" x14ac:dyDescent="0.25">
      <c r="B90" s="48"/>
      <c r="C90" s="48"/>
      <c r="D90" s="48"/>
      <c r="E90" s="48"/>
      <c r="F90" s="48"/>
      <c r="G90" s="48"/>
      <c r="H90" s="48"/>
      <c r="I90" s="48"/>
      <c r="J90" s="48"/>
      <c r="K90" s="48"/>
      <c r="L90" s="48"/>
      <c r="M90" s="48"/>
      <c r="N90" s="48"/>
      <c r="O90" s="48"/>
      <c r="P90" s="48"/>
      <c r="Q90" s="48"/>
      <c r="R90" s="48"/>
      <c r="S90" s="48"/>
      <c r="T90" s="48"/>
      <c r="U90" s="48"/>
      <c r="V90" s="48"/>
      <c r="W90" s="48"/>
      <c r="X90" s="48"/>
      <c r="Y90" s="48"/>
      <c r="Z90" s="48"/>
      <c r="AA90" s="48"/>
      <c r="AC90" s="47"/>
      <c r="AD90" s="47"/>
      <c r="AE90" s="47"/>
      <c r="AG90" s="47"/>
      <c r="AH90" s="47"/>
      <c r="AI90" s="47"/>
      <c r="AJ90" s="47"/>
      <c r="AK90" s="47"/>
      <c r="AL90" s="47"/>
      <c r="AM90" s="47"/>
      <c r="AN90" s="47"/>
      <c r="AO90" s="47"/>
      <c r="AP90" s="47"/>
      <c r="AQ90" s="47"/>
      <c r="AR90" s="47"/>
      <c r="AS90" s="47"/>
    </row>
    <row r="91" spans="2:90" ht="12.75" customHeight="1" x14ac:dyDescent="0.25">
      <c r="B91" s="48"/>
      <c r="C91" s="48"/>
      <c r="D91" s="48"/>
      <c r="E91" s="48"/>
      <c r="F91" s="48"/>
      <c r="G91" s="48"/>
      <c r="H91" s="48"/>
      <c r="I91" s="48"/>
      <c r="J91" s="48"/>
      <c r="K91" s="48"/>
      <c r="L91" s="48"/>
      <c r="M91" s="48"/>
      <c r="N91" s="48"/>
      <c r="O91" s="48"/>
      <c r="P91" s="48"/>
      <c r="Q91" s="48"/>
      <c r="R91" s="48"/>
      <c r="S91" s="48"/>
      <c r="T91" s="48"/>
      <c r="U91" s="48"/>
      <c r="V91" s="48"/>
      <c r="W91" s="48"/>
      <c r="X91" s="48"/>
      <c r="Y91" s="48"/>
      <c r="Z91" s="48"/>
      <c r="AA91" s="48"/>
      <c r="AC91" s="47"/>
      <c r="AD91" s="47"/>
      <c r="AE91" s="47"/>
      <c r="AG91" s="47"/>
      <c r="AH91" s="47"/>
      <c r="AI91" s="47"/>
      <c r="AJ91" s="47"/>
      <c r="AK91" s="47"/>
      <c r="AL91" s="47"/>
      <c r="AM91" s="47"/>
      <c r="AN91" s="47"/>
      <c r="AO91" s="47"/>
      <c r="AP91" s="47"/>
      <c r="AQ91" s="47"/>
      <c r="AR91" s="47"/>
      <c r="AS91" s="47"/>
    </row>
    <row r="92" spans="2:90" ht="12.75" customHeight="1" x14ac:dyDescent="0.25">
      <c r="B92" s="48"/>
      <c r="C92" s="48"/>
      <c r="D92" s="48"/>
      <c r="E92" s="48"/>
      <c r="F92" s="48"/>
      <c r="G92" s="48"/>
      <c r="H92" s="48"/>
      <c r="I92" s="48"/>
      <c r="J92" s="48"/>
      <c r="K92" s="48"/>
      <c r="L92" s="48"/>
      <c r="M92" s="48"/>
      <c r="N92" s="48"/>
      <c r="O92" s="48"/>
      <c r="P92" s="48"/>
      <c r="Q92" s="48"/>
      <c r="R92" s="48"/>
      <c r="S92" s="48"/>
      <c r="T92" s="48"/>
      <c r="U92" s="48"/>
      <c r="V92" s="48"/>
      <c r="W92" s="48"/>
      <c r="X92" s="48"/>
      <c r="Y92" s="48"/>
      <c r="Z92" s="48"/>
      <c r="AA92" s="48"/>
      <c r="AC92" s="47"/>
      <c r="AD92" s="47"/>
      <c r="AE92" s="47"/>
      <c r="AG92" s="47"/>
      <c r="AH92" s="47"/>
      <c r="AI92" s="47"/>
      <c r="AJ92" s="47"/>
      <c r="AK92" s="47"/>
      <c r="AL92" s="47"/>
      <c r="AM92" s="47"/>
      <c r="AN92" s="47"/>
      <c r="AO92" s="47"/>
      <c r="AP92" s="47"/>
      <c r="AQ92" s="47"/>
      <c r="AR92" s="47"/>
      <c r="AS92" s="47"/>
    </row>
    <row r="93" spans="2:90" ht="12.75" customHeight="1" x14ac:dyDescent="0.25">
      <c r="B93" s="48"/>
      <c r="C93" s="48"/>
      <c r="D93" s="48"/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  <c r="P93" s="48"/>
      <c r="Q93" s="48"/>
      <c r="R93" s="48"/>
      <c r="S93" s="48"/>
      <c r="T93" s="48"/>
      <c r="U93" s="48"/>
      <c r="V93" s="48"/>
      <c r="W93" s="48"/>
      <c r="X93" s="48"/>
      <c r="Y93" s="48"/>
      <c r="Z93" s="48"/>
      <c r="AA93" s="48"/>
      <c r="AC93" s="47"/>
      <c r="AD93" s="47"/>
      <c r="AE93" s="47"/>
      <c r="AG93" s="47"/>
      <c r="AH93" s="47"/>
      <c r="AI93" s="47"/>
      <c r="AJ93" s="47"/>
      <c r="AK93" s="47"/>
      <c r="AL93" s="47"/>
      <c r="AM93" s="47"/>
      <c r="AN93" s="47"/>
      <c r="AO93" s="47"/>
      <c r="AP93" s="47"/>
      <c r="AQ93" s="47"/>
      <c r="AR93" s="47"/>
      <c r="AS93" s="47"/>
    </row>
    <row r="94" spans="2:90" ht="12.75" customHeight="1" x14ac:dyDescent="0.25">
      <c r="B94" s="48"/>
      <c r="C94" s="48"/>
      <c r="D94" s="48"/>
      <c r="E94" s="48"/>
      <c r="F94" s="48"/>
      <c r="G94" s="48"/>
      <c r="H94" s="48"/>
      <c r="I94" s="48"/>
      <c r="J94" s="48"/>
      <c r="K94" s="48"/>
      <c r="L94" s="48"/>
      <c r="M94" s="48"/>
      <c r="N94" s="48"/>
      <c r="O94" s="48"/>
      <c r="P94" s="48"/>
      <c r="Q94" s="48"/>
      <c r="R94" s="48"/>
      <c r="S94" s="48"/>
      <c r="T94" s="48"/>
      <c r="U94" s="48"/>
      <c r="V94" s="48"/>
      <c r="W94" s="48"/>
      <c r="X94" s="48"/>
      <c r="Y94" s="48"/>
      <c r="Z94" s="48"/>
      <c r="AA94" s="48"/>
      <c r="AC94" s="47"/>
      <c r="AD94" s="47"/>
      <c r="AE94" s="47"/>
      <c r="AG94" s="47"/>
      <c r="AH94" s="47"/>
      <c r="AI94" s="47"/>
      <c r="AJ94" s="47"/>
      <c r="AK94" s="47"/>
      <c r="AL94" s="47"/>
      <c r="AM94" s="47"/>
      <c r="AN94" s="47"/>
      <c r="AO94" s="47"/>
      <c r="AP94" s="47"/>
      <c r="AQ94" s="47"/>
      <c r="AR94" s="47"/>
      <c r="AS94" s="47"/>
    </row>
    <row r="95" spans="2:90" ht="12.75" customHeight="1" x14ac:dyDescent="0.25">
      <c r="B95" s="48"/>
      <c r="C95" s="48"/>
      <c r="D95" s="48"/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  <c r="P95" s="48"/>
      <c r="Q95" s="48"/>
      <c r="R95" s="48"/>
      <c r="S95" s="48"/>
      <c r="T95" s="48"/>
      <c r="U95" s="48"/>
      <c r="V95" s="48"/>
      <c r="W95" s="48"/>
      <c r="X95" s="48"/>
      <c r="Y95" s="48"/>
      <c r="Z95" s="48"/>
      <c r="AA95" s="48"/>
      <c r="AC95" s="47"/>
      <c r="AD95" s="47"/>
      <c r="AE95" s="47"/>
      <c r="AG95" s="47"/>
      <c r="AH95" s="47"/>
      <c r="AI95" s="47"/>
      <c r="AJ95" s="47"/>
      <c r="AK95" s="47"/>
      <c r="AL95" s="47"/>
      <c r="AM95" s="47"/>
      <c r="AN95" s="47"/>
      <c r="AO95" s="47"/>
      <c r="AP95" s="47"/>
      <c r="AQ95" s="47"/>
      <c r="AR95" s="47"/>
      <c r="AS95" s="47"/>
    </row>
    <row r="96" spans="2:90" ht="12.75" customHeight="1" x14ac:dyDescent="0.25">
      <c r="B96" s="48"/>
      <c r="C96" s="48"/>
      <c r="D96" s="48"/>
      <c r="E96" s="48"/>
      <c r="F96" s="48"/>
      <c r="G96" s="48"/>
      <c r="H96" s="48"/>
      <c r="I96" s="48"/>
      <c r="J96" s="48"/>
      <c r="K96" s="48"/>
      <c r="L96" s="48"/>
      <c r="M96" s="48"/>
      <c r="N96" s="48"/>
      <c r="O96" s="48"/>
      <c r="P96" s="48"/>
      <c r="Q96" s="48"/>
      <c r="R96" s="48"/>
      <c r="S96" s="48"/>
      <c r="T96" s="48"/>
      <c r="U96" s="48"/>
      <c r="V96" s="48"/>
      <c r="W96" s="48"/>
      <c r="X96" s="48"/>
      <c r="Y96" s="48"/>
      <c r="Z96" s="48"/>
      <c r="AA96" s="48"/>
      <c r="AC96" s="47"/>
      <c r="AD96" s="47"/>
      <c r="AE96" s="47"/>
      <c r="AG96" s="47"/>
      <c r="AH96" s="47"/>
      <c r="AI96" s="47"/>
      <c r="AJ96" s="47"/>
      <c r="AK96" s="47"/>
      <c r="AL96" s="47"/>
      <c r="AM96" s="47"/>
      <c r="AN96" s="47"/>
      <c r="AO96" s="47"/>
      <c r="AP96" s="47"/>
      <c r="AQ96" s="47"/>
      <c r="AR96" s="47"/>
      <c r="AS96" s="47"/>
    </row>
    <row r="97" spans="2:45" ht="12.75" customHeight="1" x14ac:dyDescent="0.25">
      <c r="B97" s="48"/>
      <c r="C97" s="48"/>
      <c r="D97" s="48"/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  <c r="P97" s="48"/>
      <c r="Q97" s="48"/>
      <c r="R97" s="48"/>
      <c r="S97" s="48"/>
      <c r="T97" s="48"/>
      <c r="U97" s="48"/>
      <c r="V97" s="48"/>
      <c r="W97" s="48"/>
      <c r="X97" s="48"/>
      <c r="Y97" s="48"/>
      <c r="Z97" s="48"/>
      <c r="AA97" s="48"/>
      <c r="AC97" s="47"/>
      <c r="AD97" s="47"/>
      <c r="AE97" s="47"/>
      <c r="AG97" s="47"/>
      <c r="AH97" s="47"/>
      <c r="AI97" s="47"/>
      <c r="AJ97" s="47"/>
      <c r="AK97" s="47"/>
      <c r="AL97" s="47"/>
      <c r="AM97" s="47"/>
      <c r="AN97" s="47"/>
      <c r="AO97" s="47"/>
      <c r="AP97" s="47"/>
      <c r="AQ97" s="47"/>
      <c r="AR97" s="47"/>
      <c r="AS97" s="47"/>
    </row>
    <row r="98" spans="2:45" ht="12.75" customHeight="1" x14ac:dyDescent="0.25">
      <c r="B98" s="48"/>
      <c r="C98" s="48"/>
      <c r="D98" s="48"/>
      <c r="E98" s="48"/>
      <c r="F98" s="48"/>
      <c r="G98" s="48"/>
      <c r="H98" s="48"/>
      <c r="I98" s="48"/>
      <c r="J98" s="48"/>
      <c r="K98" s="48"/>
      <c r="L98" s="48"/>
      <c r="M98" s="48"/>
      <c r="N98" s="48"/>
      <c r="O98" s="48"/>
      <c r="P98" s="48"/>
      <c r="Q98" s="48"/>
      <c r="R98" s="48"/>
      <c r="S98" s="48"/>
      <c r="T98" s="48"/>
      <c r="U98" s="48"/>
      <c r="V98" s="48"/>
      <c r="W98" s="48"/>
      <c r="X98" s="48"/>
      <c r="Y98" s="48"/>
      <c r="Z98" s="48"/>
      <c r="AA98" s="48"/>
      <c r="AC98" s="47"/>
      <c r="AD98" s="47"/>
      <c r="AE98" s="47"/>
      <c r="AG98" s="47"/>
      <c r="AH98" s="47"/>
      <c r="AI98" s="47"/>
      <c r="AJ98" s="47"/>
      <c r="AK98" s="47"/>
      <c r="AL98" s="47"/>
      <c r="AM98" s="47"/>
      <c r="AN98" s="47"/>
      <c r="AO98" s="47"/>
      <c r="AP98" s="47"/>
      <c r="AQ98" s="47"/>
      <c r="AR98" s="47"/>
      <c r="AS98" s="47"/>
    </row>
    <row r="99" spans="2:45" ht="12.75" customHeight="1" x14ac:dyDescent="0.25">
      <c r="B99" s="48"/>
      <c r="C99" s="48"/>
      <c r="D99" s="48"/>
      <c r="E99" s="48"/>
      <c r="F99" s="48"/>
      <c r="G99" s="48"/>
      <c r="H99" s="48"/>
      <c r="I99" s="48"/>
      <c r="J99" s="48"/>
      <c r="K99" s="48"/>
      <c r="L99" s="48"/>
      <c r="M99" s="48"/>
      <c r="N99" s="48"/>
      <c r="O99" s="48"/>
      <c r="P99" s="48"/>
      <c r="Q99" s="48"/>
      <c r="R99" s="48"/>
      <c r="S99" s="48"/>
      <c r="T99" s="48"/>
      <c r="U99" s="48"/>
      <c r="V99" s="48"/>
      <c r="W99" s="48"/>
      <c r="X99" s="48"/>
      <c r="Y99" s="48"/>
      <c r="Z99" s="48"/>
      <c r="AA99" s="48"/>
    </row>
    <row r="100" spans="2:45" ht="12.75" customHeight="1" x14ac:dyDescent="0.25">
      <c r="B100" s="48"/>
      <c r="C100" s="48"/>
      <c r="D100" s="48"/>
      <c r="E100" s="48"/>
      <c r="F100" s="48"/>
      <c r="G100" s="48"/>
      <c r="H100" s="48"/>
      <c r="I100" s="48"/>
      <c r="J100" s="48"/>
      <c r="K100" s="48"/>
      <c r="L100" s="48"/>
      <c r="M100" s="48"/>
      <c r="N100" s="48"/>
      <c r="O100" s="48"/>
      <c r="P100" s="48"/>
      <c r="Q100" s="48"/>
      <c r="R100" s="48"/>
      <c r="S100" s="48"/>
      <c r="T100" s="48"/>
      <c r="U100" s="48"/>
      <c r="V100" s="48"/>
      <c r="W100" s="48"/>
      <c r="X100" s="48"/>
      <c r="Y100" s="48"/>
      <c r="Z100" s="48"/>
      <c r="AA100" s="48"/>
    </row>
    <row r="101" spans="2:45" ht="12.75" customHeight="1" x14ac:dyDescent="0.25">
      <c r="B101" s="48"/>
      <c r="C101" s="48"/>
      <c r="D101" s="48"/>
      <c r="E101" s="48"/>
      <c r="F101" s="48"/>
      <c r="G101" s="48"/>
      <c r="H101" s="48"/>
      <c r="I101" s="48"/>
      <c r="J101" s="48"/>
      <c r="K101" s="48"/>
      <c r="L101" s="48"/>
      <c r="M101" s="48"/>
      <c r="N101" s="48"/>
      <c r="O101" s="48"/>
      <c r="P101" s="48"/>
      <c r="Q101" s="48"/>
      <c r="R101" s="48"/>
      <c r="S101" s="48"/>
      <c r="T101" s="48"/>
      <c r="U101" s="48"/>
      <c r="V101" s="48"/>
      <c r="W101" s="48"/>
      <c r="X101" s="48"/>
      <c r="Y101" s="48"/>
      <c r="Z101" s="48"/>
      <c r="AA101" s="48"/>
    </row>
    <row r="102" spans="2:45" ht="12.75" customHeight="1" x14ac:dyDescent="0.25">
      <c r="B102" s="48"/>
      <c r="C102" s="48"/>
      <c r="D102" s="48"/>
      <c r="E102" s="48"/>
      <c r="F102" s="48"/>
      <c r="G102" s="48"/>
      <c r="H102" s="48"/>
      <c r="I102" s="48"/>
      <c r="J102" s="48"/>
      <c r="K102" s="48"/>
      <c r="L102" s="48"/>
      <c r="M102" s="48"/>
      <c r="N102" s="48"/>
      <c r="O102" s="48"/>
      <c r="P102" s="48"/>
      <c r="Q102" s="48"/>
      <c r="R102" s="48"/>
      <c r="S102" s="48"/>
      <c r="T102" s="48"/>
      <c r="U102" s="48"/>
      <c r="V102" s="48"/>
      <c r="W102" s="48"/>
      <c r="X102" s="48"/>
      <c r="Y102" s="48"/>
      <c r="Z102" s="48"/>
      <c r="AA102" s="48"/>
    </row>
    <row r="103" spans="2:45" ht="12.75" customHeight="1" x14ac:dyDescent="0.25">
      <c r="B103" s="48"/>
      <c r="C103" s="48"/>
      <c r="D103" s="48"/>
      <c r="E103" s="48"/>
      <c r="F103" s="48"/>
      <c r="G103" s="48"/>
      <c r="H103" s="48"/>
      <c r="I103" s="48"/>
      <c r="J103" s="48"/>
      <c r="K103" s="48"/>
      <c r="L103" s="48"/>
      <c r="M103" s="48"/>
      <c r="N103" s="48"/>
      <c r="O103" s="48"/>
      <c r="P103" s="48"/>
      <c r="Q103" s="48"/>
      <c r="R103" s="48"/>
      <c r="S103" s="48"/>
      <c r="T103" s="48"/>
      <c r="U103" s="48"/>
      <c r="V103" s="48"/>
      <c r="W103" s="48"/>
      <c r="X103" s="48"/>
      <c r="Y103" s="48"/>
      <c r="Z103" s="48"/>
      <c r="AA103" s="48"/>
    </row>
    <row r="104" spans="2:45" ht="12.75" customHeight="1" x14ac:dyDescent="0.25">
      <c r="B104" s="48"/>
      <c r="C104" s="48"/>
      <c r="D104" s="48"/>
      <c r="E104" s="48"/>
      <c r="F104" s="48"/>
      <c r="G104" s="48"/>
      <c r="H104" s="48"/>
      <c r="I104" s="48"/>
      <c r="J104" s="48"/>
      <c r="K104" s="48"/>
      <c r="L104" s="48"/>
      <c r="M104" s="48"/>
      <c r="N104" s="48"/>
      <c r="O104" s="48"/>
      <c r="P104" s="48"/>
      <c r="Q104" s="48"/>
      <c r="R104" s="48"/>
      <c r="S104" s="48"/>
      <c r="T104" s="48"/>
      <c r="U104" s="48"/>
      <c r="V104" s="48"/>
      <c r="W104" s="48"/>
      <c r="X104" s="48"/>
      <c r="Y104" s="48"/>
      <c r="Z104" s="48"/>
      <c r="AA104" s="48"/>
    </row>
    <row r="105" spans="2:45" ht="12.75" customHeight="1" x14ac:dyDescent="0.25">
      <c r="B105" s="48"/>
      <c r="C105" s="48"/>
      <c r="D105" s="48"/>
      <c r="E105" s="48"/>
      <c r="F105" s="48"/>
      <c r="G105" s="48"/>
      <c r="H105" s="48"/>
      <c r="I105" s="48"/>
      <c r="J105" s="48"/>
      <c r="K105" s="48"/>
      <c r="L105" s="48"/>
      <c r="M105" s="48"/>
      <c r="N105" s="48"/>
      <c r="O105" s="48"/>
      <c r="P105" s="48"/>
      <c r="Q105" s="48"/>
      <c r="R105" s="48"/>
      <c r="S105" s="48"/>
      <c r="T105" s="48"/>
      <c r="U105" s="48"/>
      <c r="V105" s="48"/>
      <c r="W105" s="48"/>
      <c r="X105" s="48"/>
      <c r="Y105" s="48"/>
      <c r="Z105" s="48"/>
      <c r="AA105" s="48"/>
    </row>
    <row r="106" spans="2:45" ht="12.75" customHeight="1" x14ac:dyDescent="0.25">
      <c r="B106" s="48"/>
      <c r="C106" s="48"/>
      <c r="D106" s="48"/>
      <c r="E106" s="48"/>
      <c r="F106" s="48"/>
      <c r="G106" s="48"/>
      <c r="H106" s="48"/>
      <c r="I106" s="48"/>
      <c r="J106" s="48"/>
      <c r="K106" s="48"/>
      <c r="L106" s="48"/>
      <c r="M106" s="48"/>
      <c r="N106" s="48"/>
      <c r="O106" s="48"/>
      <c r="P106" s="48"/>
      <c r="Q106" s="48"/>
      <c r="R106" s="48"/>
      <c r="S106" s="48"/>
      <c r="T106" s="48"/>
      <c r="U106" s="48"/>
      <c r="V106" s="48"/>
      <c r="W106" s="48"/>
      <c r="X106" s="48"/>
      <c r="Y106" s="48"/>
      <c r="Z106" s="48"/>
      <c r="AA106" s="48"/>
    </row>
    <row r="107" spans="2:45" ht="12.75" customHeight="1" x14ac:dyDescent="0.25">
      <c r="B107" s="48"/>
      <c r="C107" s="48"/>
      <c r="D107" s="48"/>
      <c r="E107" s="48"/>
      <c r="F107" s="48"/>
      <c r="G107" s="48"/>
      <c r="H107" s="48"/>
      <c r="I107" s="48"/>
      <c r="J107" s="48"/>
      <c r="K107" s="48"/>
      <c r="L107" s="48"/>
      <c r="M107" s="48"/>
      <c r="N107" s="48"/>
      <c r="O107" s="48"/>
      <c r="P107" s="48"/>
      <c r="Q107" s="48"/>
      <c r="R107" s="48"/>
      <c r="S107" s="48"/>
      <c r="T107" s="48"/>
      <c r="U107" s="48"/>
      <c r="V107" s="48"/>
      <c r="W107" s="48"/>
      <c r="X107" s="48"/>
      <c r="Y107" s="48"/>
      <c r="Z107" s="48"/>
      <c r="AA107" s="48"/>
    </row>
    <row r="108" spans="2:45" ht="12.75" customHeight="1" x14ac:dyDescent="0.25">
      <c r="B108" s="48"/>
      <c r="C108" s="48"/>
      <c r="D108" s="48"/>
      <c r="E108" s="48"/>
      <c r="F108" s="48"/>
      <c r="G108" s="48"/>
      <c r="H108" s="48"/>
      <c r="I108" s="48"/>
      <c r="J108" s="48"/>
      <c r="K108" s="48"/>
      <c r="L108" s="48"/>
      <c r="M108" s="48"/>
      <c r="N108" s="48"/>
      <c r="O108" s="48"/>
      <c r="P108" s="48"/>
      <c r="Q108" s="48"/>
      <c r="R108" s="48"/>
      <c r="S108" s="48"/>
      <c r="T108" s="48"/>
      <c r="U108" s="48"/>
      <c r="V108" s="48"/>
      <c r="W108" s="48"/>
      <c r="X108" s="48"/>
      <c r="Y108" s="48"/>
      <c r="Z108" s="48"/>
      <c r="AA108" s="48"/>
    </row>
    <row r="109" spans="2:45" ht="12.75" customHeight="1" x14ac:dyDescent="0.25">
      <c r="B109" s="48"/>
      <c r="C109" s="48"/>
      <c r="D109" s="48"/>
      <c r="E109" s="48"/>
      <c r="F109" s="48"/>
      <c r="G109" s="48"/>
      <c r="H109" s="48"/>
      <c r="I109" s="48"/>
      <c r="J109" s="48"/>
      <c r="K109" s="48"/>
      <c r="L109" s="48"/>
      <c r="M109" s="48"/>
      <c r="N109" s="48"/>
      <c r="O109" s="48"/>
      <c r="P109" s="48"/>
      <c r="Q109" s="48"/>
      <c r="R109" s="48"/>
      <c r="S109" s="48"/>
      <c r="T109" s="48"/>
      <c r="U109" s="48"/>
      <c r="V109" s="48"/>
      <c r="W109" s="48"/>
      <c r="X109" s="48"/>
      <c r="Y109" s="48"/>
      <c r="Z109" s="48"/>
      <c r="AA109" s="48"/>
    </row>
    <row r="110" spans="2:45" ht="12.75" customHeight="1" x14ac:dyDescent="0.25">
      <c r="B110" s="48"/>
      <c r="C110" s="48"/>
      <c r="D110" s="48"/>
      <c r="E110" s="48"/>
      <c r="F110" s="48"/>
      <c r="G110" s="48"/>
      <c r="H110" s="48"/>
      <c r="I110" s="48"/>
      <c r="J110" s="48"/>
      <c r="K110" s="48"/>
      <c r="L110" s="48"/>
      <c r="M110" s="48"/>
      <c r="N110" s="48"/>
      <c r="O110" s="48"/>
      <c r="P110" s="48"/>
      <c r="Q110" s="48"/>
      <c r="R110" s="48"/>
      <c r="S110" s="48"/>
      <c r="T110" s="48"/>
      <c r="U110" s="48"/>
      <c r="V110" s="48"/>
      <c r="W110" s="48"/>
      <c r="X110" s="48"/>
      <c r="Y110" s="48"/>
      <c r="Z110" s="48"/>
      <c r="AA110" s="48"/>
    </row>
    <row r="111" spans="2:45" ht="12.75" customHeight="1" x14ac:dyDescent="0.25">
      <c r="B111" s="48"/>
      <c r="C111" s="48"/>
      <c r="D111" s="48"/>
      <c r="E111" s="48"/>
      <c r="F111" s="48"/>
      <c r="G111" s="48"/>
      <c r="H111" s="48"/>
      <c r="I111" s="48"/>
      <c r="J111" s="48"/>
      <c r="K111" s="48"/>
      <c r="L111" s="48"/>
      <c r="M111" s="48"/>
      <c r="N111" s="48"/>
      <c r="O111" s="48"/>
      <c r="P111" s="48"/>
      <c r="Q111" s="48"/>
      <c r="R111" s="48"/>
      <c r="S111" s="48"/>
      <c r="T111" s="48"/>
      <c r="U111" s="48"/>
      <c r="V111" s="48"/>
      <c r="W111" s="48"/>
      <c r="X111" s="48"/>
      <c r="Y111" s="48"/>
      <c r="Z111" s="48"/>
      <c r="AA111" s="48"/>
    </row>
    <row r="112" spans="2:45" ht="12.75" customHeight="1" x14ac:dyDescent="0.25">
      <c r="B112" s="48"/>
      <c r="C112" s="48"/>
      <c r="D112" s="48"/>
      <c r="E112" s="48"/>
      <c r="F112" s="48"/>
      <c r="G112" s="48"/>
      <c r="H112" s="48"/>
      <c r="I112" s="48"/>
      <c r="J112" s="48"/>
      <c r="K112" s="48"/>
      <c r="L112" s="48"/>
      <c r="M112" s="48"/>
      <c r="N112" s="48"/>
      <c r="O112" s="48"/>
      <c r="P112" s="48"/>
      <c r="Q112" s="48"/>
      <c r="R112" s="48"/>
      <c r="S112" s="48"/>
      <c r="T112" s="48"/>
      <c r="U112" s="48"/>
      <c r="V112" s="48"/>
      <c r="W112" s="48"/>
      <c r="X112" s="48"/>
      <c r="Y112" s="48"/>
      <c r="Z112" s="48"/>
      <c r="AA112" s="48"/>
    </row>
    <row r="113" spans="2:27" ht="12.75" customHeight="1" x14ac:dyDescent="0.25">
      <c r="B113" s="48"/>
      <c r="C113" s="48"/>
      <c r="D113" s="48"/>
      <c r="E113" s="48"/>
      <c r="F113" s="48"/>
      <c r="G113" s="48"/>
      <c r="H113" s="48"/>
      <c r="I113" s="48"/>
      <c r="J113" s="48"/>
      <c r="K113" s="48"/>
      <c r="L113" s="48"/>
      <c r="M113" s="48"/>
      <c r="N113" s="48"/>
      <c r="O113" s="48"/>
      <c r="P113" s="48"/>
      <c r="Q113" s="48"/>
      <c r="R113" s="48"/>
      <c r="S113" s="48"/>
      <c r="T113" s="48"/>
      <c r="U113" s="48"/>
      <c r="V113" s="48"/>
      <c r="W113" s="48"/>
      <c r="X113" s="48"/>
      <c r="Y113" s="48"/>
      <c r="Z113" s="48"/>
      <c r="AA113" s="48"/>
    </row>
    <row r="114" spans="2:27" ht="12.75" customHeight="1" x14ac:dyDescent="0.25">
      <c r="B114" s="48"/>
      <c r="C114" s="48"/>
      <c r="D114" s="48"/>
      <c r="E114" s="48"/>
      <c r="F114" s="48"/>
      <c r="G114" s="48"/>
      <c r="H114" s="48"/>
      <c r="I114" s="48"/>
      <c r="J114" s="48"/>
      <c r="K114" s="48"/>
      <c r="L114" s="48"/>
      <c r="M114" s="48"/>
      <c r="N114" s="48"/>
      <c r="O114" s="48"/>
      <c r="P114" s="48"/>
      <c r="Q114" s="48"/>
      <c r="R114" s="48"/>
      <c r="S114" s="48"/>
      <c r="T114" s="48"/>
      <c r="U114" s="48"/>
      <c r="V114" s="48"/>
      <c r="W114" s="48"/>
      <c r="X114" s="48"/>
      <c r="Y114" s="48"/>
      <c r="Z114" s="48"/>
      <c r="AA114" s="48"/>
    </row>
    <row r="115" spans="2:27" ht="12.75" customHeight="1" x14ac:dyDescent="0.25">
      <c r="B115" s="48"/>
      <c r="C115" s="48"/>
      <c r="D115" s="48"/>
      <c r="E115" s="48"/>
      <c r="F115" s="48"/>
      <c r="G115" s="48"/>
      <c r="H115" s="48"/>
      <c r="I115" s="48"/>
      <c r="J115" s="48"/>
      <c r="K115" s="48"/>
      <c r="L115" s="48"/>
      <c r="M115" s="48"/>
      <c r="N115" s="48"/>
      <c r="O115" s="48"/>
      <c r="P115" s="48"/>
      <c r="Q115" s="48"/>
      <c r="R115" s="48"/>
      <c r="S115" s="48"/>
      <c r="T115" s="48"/>
      <c r="U115" s="48"/>
      <c r="V115" s="48"/>
      <c r="W115" s="48"/>
      <c r="X115" s="48"/>
      <c r="Y115" s="48"/>
      <c r="Z115" s="48"/>
      <c r="AA115" s="48"/>
    </row>
    <row r="116" spans="2:27" ht="12.75" customHeight="1" x14ac:dyDescent="0.25">
      <c r="B116" s="48"/>
      <c r="C116" s="48"/>
      <c r="D116" s="48"/>
      <c r="E116" s="48"/>
      <c r="F116" s="48"/>
      <c r="G116" s="48"/>
      <c r="H116" s="48"/>
      <c r="I116" s="48"/>
      <c r="J116" s="48"/>
      <c r="K116" s="48"/>
      <c r="L116" s="48"/>
      <c r="M116" s="48"/>
      <c r="N116" s="48"/>
      <c r="O116" s="48"/>
      <c r="P116" s="48"/>
      <c r="Q116" s="48"/>
      <c r="R116" s="48"/>
      <c r="S116" s="48"/>
      <c r="T116" s="48"/>
      <c r="U116" s="48"/>
      <c r="V116" s="48"/>
      <c r="W116" s="48"/>
      <c r="X116" s="48"/>
      <c r="Y116" s="48"/>
      <c r="Z116" s="48"/>
      <c r="AA116" s="48"/>
    </row>
    <row r="117" spans="2:27" ht="12.75" customHeight="1" x14ac:dyDescent="0.25">
      <c r="B117" s="48"/>
      <c r="C117" s="48"/>
      <c r="D117" s="48"/>
      <c r="E117" s="48"/>
      <c r="F117" s="48"/>
      <c r="G117" s="48"/>
      <c r="H117" s="48"/>
      <c r="I117" s="48"/>
      <c r="J117" s="48"/>
      <c r="K117" s="48"/>
      <c r="L117" s="48"/>
      <c r="M117" s="48"/>
      <c r="N117" s="48"/>
      <c r="O117" s="48"/>
      <c r="P117" s="48"/>
      <c r="Q117" s="48"/>
      <c r="R117" s="48"/>
      <c r="S117" s="48"/>
      <c r="T117" s="48"/>
      <c r="U117" s="48"/>
      <c r="V117" s="48"/>
      <c r="W117" s="48"/>
      <c r="X117" s="48"/>
      <c r="Y117" s="48"/>
      <c r="Z117" s="48"/>
      <c r="AA117" s="48"/>
    </row>
    <row r="118" spans="2:27" ht="12.75" customHeight="1" x14ac:dyDescent="0.25">
      <c r="B118" s="48"/>
      <c r="C118" s="48"/>
      <c r="D118" s="48"/>
      <c r="E118" s="48"/>
      <c r="F118" s="48"/>
      <c r="G118" s="48"/>
      <c r="H118" s="48"/>
      <c r="I118" s="48"/>
      <c r="J118" s="48"/>
      <c r="K118" s="48"/>
      <c r="L118" s="48"/>
      <c r="M118" s="48"/>
      <c r="N118" s="48"/>
      <c r="O118" s="48"/>
      <c r="P118" s="48"/>
      <c r="Q118" s="48"/>
      <c r="R118" s="48"/>
      <c r="S118" s="48"/>
      <c r="T118" s="48"/>
      <c r="U118" s="48"/>
      <c r="V118" s="48"/>
      <c r="W118" s="48"/>
      <c r="X118" s="48"/>
      <c r="Y118" s="48"/>
      <c r="Z118" s="48"/>
      <c r="AA118" s="48"/>
    </row>
    <row r="119" spans="2:27" ht="12.75" customHeight="1" x14ac:dyDescent="0.25">
      <c r="B119" s="48"/>
      <c r="C119" s="48"/>
      <c r="D119" s="48"/>
      <c r="E119" s="48"/>
      <c r="F119" s="48"/>
      <c r="G119" s="48"/>
      <c r="H119" s="48"/>
      <c r="I119" s="48"/>
      <c r="J119" s="48"/>
      <c r="K119" s="48"/>
      <c r="L119" s="48"/>
      <c r="M119" s="48"/>
      <c r="N119" s="48"/>
      <c r="O119" s="48"/>
      <c r="P119" s="48"/>
      <c r="Q119" s="48"/>
      <c r="R119" s="48"/>
      <c r="S119" s="48"/>
      <c r="T119" s="48"/>
      <c r="U119" s="48"/>
      <c r="V119" s="48"/>
      <c r="W119" s="48"/>
      <c r="X119" s="48"/>
      <c r="Y119" s="48"/>
      <c r="Z119" s="48"/>
      <c r="AA119" s="48"/>
    </row>
    <row r="120" spans="2:27" ht="12.75" customHeight="1" x14ac:dyDescent="0.25">
      <c r="B120" s="48"/>
      <c r="C120" s="48"/>
      <c r="D120" s="48"/>
      <c r="E120" s="48"/>
      <c r="F120" s="48"/>
      <c r="G120" s="48"/>
      <c r="H120" s="48"/>
      <c r="I120" s="48"/>
      <c r="J120" s="48"/>
      <c r="K120" s="48"/>
      <c r="L120" s="48"/>
      <c r="M120" s="48"/>
      <c r="N120" s="48"/>
      <c r="O120" s="48"/>
      <c r="P120" s="48"/>
      <c r="Q120" s="48"/>
      <c r="R120" s="48"/>
      <c r="S120" s="48"/>
      <c r="T120" s="48"/>
      <c r="U120" s="48"/>
      <c r="V120" s="48"/>
      <c r="W120" s="48"/>
      <c r="X120" s="48"/>
      <c r="Y120" s="48"/>
      <c r="Z120" s="48"/>
      <c r="AA120" s="48"/>
    </row>
    <row r="121" spans="2:27" ht="12.75" customHeight="1" x14ac:dyDescent="0.25">
      <c r="B121" s="48"/>
      <c r="C121" s="48"/>
      <c r="D121" s="48"/>
      <c r="E121" s="48"/>
      <c r="F121" s="48"/>
      <c r="G121" s="48"/>
      <c r="H121" s="48"/>
      <c r="I121" s="48"/>
      <c r="J121" s="48"/>
      <c r="K121" s="48"/>
      <c r="L121" s="48"/>
      <c r="M121" s="48"/>
      <c r="N121" s="48"/>
      <c r="O121" s="48"/>
      <c r="P121" s="48"/>
      <c r="Q121" s="48"/>
      <c r="R121" s="48"/>
      <c r="S121" s="48"/>
      <c r="T121" s="48"/>
      <c r="U121" s="48"/>
      <c r="V121" s="48"/>
      <c r="W121" s="48"/>
      <c r="X121" s="48"/>
      <c r="Y121" s="48"/>
      <c r="Z121" s="48"/>
      <c r="AA121" s="48"/>
    </row>
    <row r="122" spans="2:27" ht="12.75" customHeight="1" x14ac:dyDescent="0.25">
      <c r="B122" s="48"/>
      <c r="C122" s="48"/>
      <c r="D122" s="48"/>
      <c r="E122" s="48"/>
      <c r="F122" s="48"/>
      <c r="G122" s="48"/>
      <c r="H122" s="48"/>
      <c r="I122" s="48"/>
      <c r="J122" s="48"/>
      <c r="K122" s="48"/>
      <c r="L122" s="48"/>
      <c r="M122" s="48"/>
      <c r="N122" s="48"/>
      <c r="O122" s="48"/>
      <c r="P122" s="48"/>
      <c r="Q122" s="48"/>
      <c r="R122" s="48"/>
      <c r="S122" s="48"/>
      <c r="T122" s="48"/>
      <c r="U122" s="48"/>
      <c r="V122" s="48"/>
      <c r="W122" s="48"/>
      <c r="X122" s="48"/>
      <c r="Y122" s="48"/>
      <c r="Z122" s="48"/>
      <c r="AA122" s="48"/>
    </row>
    <row r="123" spans="2:27" ht="12.75" customHeight="1" x14ac:dyDescent="0.25">
      <c r="B123" s="48"/>
      <c r="C123" s="48"/>
      <c r="D123" s="48"/>
      <c r="E123" s="48"/>
      <c r="F123" s="48"/>
      <c r="G123" s="48"/>
      <c r="H123" s="48"/>
      <c r="I123" s="48"/>
      <c r="J123" s="48"/>
      <c r="K123" s="48"/>
      <c r="L123" s="48"/>
      <c r="M123" s="48"/>
      <c r="N123" s="48"/>
      <c r="O123" s="48"/>
      <c r="P123" s="48"/>
      <c r="Q123" s="48"/>
      <c r="R123" s="48"/>
      <c r="S123" s="48"/>
      <c r="T123" s="48"/>
      <c r="U123" s="48"/>
      <c r="V123" s="48"/>
      <c r="W123" s="48"/>
      <c r="X123" s="48"/>
      <c r="Y123" s="48"/>
      <c r="Z123" s="48"/>
      <c r="AA123" s="48"/>
    </row>
    <row r="124" spans="2:27" ht="12.75" customHeight="1" x14ac:dyDescent="0.25">
      <c r="B124" s="48"/>
      <c r="C124" s="48"/>
      <c r="D124" s="48"/>
      <c r="E124" s="48"/>
      <c r="F124" s="48"/>
      <c r="G124" s="48"/>
      <c r="H124" s="48"/>
      <c r="I124" s="48"/>
      <c r="J124" s="48"/>
      <c r="K124" s="48"/>
      <c r="L124" s="48"/>
      <c r="M124" s="48"/>
      <c r="N124" s="48"/>
      <c r="O124" s="48"/>
      <c r="P124" s="48"/>
      <c r="Q124" s="48"/>
      <c r="R124" s="48"/>
      <c r="S124" s="48"/>
      <c r="T124" s="48"/>
      <c r="U124" s="48"/>
      <c r="V124" s="48"/>
      <c r="W124" s="48"/>
      <c r="X124" s="48"/>
      <c r="Y124" s="48"/>
      <c r="Z124" s="48"/>
      <c r="AA124" s="48"/>
    </row>
    <row r="125" spans="2:27" ht="12.75" customHeight="1" x14ac:dyDescent="0.25">
      <c r="B125" s="48"/>
      <c r="C125" s="48"/>
      <c r="D125" s="48"/>
      <c r="E125" s="48"/>
      <c r="F125" s="48"/>
      <c r="G125" s="48"/>
      <c r="H125" s="48"/>
      <c r="I125" s="48"/>
      <c r="J125" s="48"/>
      <c r="K125" s="48"/>
      <c r="L125" s="48"/>
      <c r="M125" s="48"/>
      <c r="N125" s="48"/>
      <c r="O125" s="48"/>
      <c r="P125" s="48"/>
      <c r="Q125" s="48"/>
      <c r="R125" s="48"/>
      <c r="S125" s="48"/>
      <c r="T125" s="48"/>
      <c r="U125" s="48"/>
      <c r="V125" s="48"/>
      <c r="W125" s="48"/>
      <c r="X125" s="48"/>
      <c r="Y125" s="48"/>
      <c r="Z125" s="48"/>
      <c r="AA125" s="48"/>
    </row>
    <row r="126" spans="2:27" ht="12.75" customHeight="1" x14ac:dyDescent="0.25">
      <c r="B126" s="48"/>
      <c r="C126" s="48"/>
      <c r="D126" s="48"/>
      <c r="E126" s="48"/>
      <c r="F126" s="48"/>
      <c r="G126" s="48"/>
      <c r="H126" s="48"/>
      <c r="I126" s="48"/>
      <c r="J126" s="48"/>
      <c r="K126" s="48"/>
      <c r="L126" s="48"/>
      <c r="M126" s="48"/>
      <c r="N126" s="48"/>
      <c r="O126" s="48"/>
      <c r="P126" s="48"/>
      <c r="Q126" s="48"/>
      <c r="R126" s="48"/>
      <c r="S126" s="48"/>
      <c r="T126" s="48"/>
      <c r="U126" s="48"/>
      <c r="V126" s="48"/>
      <c r="W126" s="48"/>
      <c r="X126" s="48"/>
      <c r="Y126" s="48"/>
      <c r="Z126" s="48"/>
      <c r="AA126" s="48"/>
    </row>
    <row r="127" spans="2:27" ht="12.75" customHeight="1" x14ac:dyDescent="0.25">
      <c r="B127" s="48"/>
      <c r="C127" s="48"/>
      <c r="D127" s="48"/>
      <c r="E127" s="48"/>
      <c r="F127" s="48"/>
      <c r="G127" s="48"/>
      <c r="H127" s="48"/>
      <c r="I127" s="48"/>
      <c r="J127" s="48"/>
      <c r="K127" s="48"/>
      <c r="L127" s="48"/>
      <c r="M127" s="48"/>
      <c r="N127" s="48"/>
      <c r="O127" s="48"/>
      <c r="P127" s="48"/>
      <c r="Q127" s="48"/>
      <c r="R127" s="48"/>
      <c r="S127" s="48"/>
      <c r="T127" s="48"/>
      <c r="U127" s="48"/>
      <c r="V127" s="48"/>
      <c r="W127" s="48"/>
      <c r="X127" s="48"/>
      <c r="Y127" s="48"/>
      <c r="Z127" s="48"/>
      <c r="AA127" s="48"/>
    </row>
    <row r="128" spans="2:27" ht="12.75" customHeight="1" x14ac:dyDescent="0.25">
      <c r="B128" s="48"/>
      <c r="C128" s="48"/>
      <c r="D128" s="48"/>
      <c r="E128" s="48"/>
      <c r="F128" s="48"/>
      <c r="G128" s="48"/>
      <c r="H128" s="48"/>
      <c r="I128" s="48"/>
      <c r="J128" s="48"/>
      <c r="K128" s="48"/>
      <c r="L128" s="48"/>
      <c r="M128" s="48"/>
      <c r="N128" s="48"/>
      <c r="O128" s="48"/>
      <c r="P128" s="48"/>
      <c r="Q128" s="48"/>
      <c r="R128" s="48"/>
      <c r="S128" s="48"/>
      <c r="T128" s="48"/>
      <c r="U128" s="48"/>
      <c r="V128" s="48"/>
      <c r="W128" s="48"/>
      <c r="X128" s="48"/>
      <c r="Y128" s="48"/>
      <c r="Z128" s="48"/>
      <c r="AA128" s="48"/>
    </row>
    <row r="129" spans="2:27" ht="12.75" customHeight="1" x14ac:dyDescent="0.25">
      <c r="B129" s="48"/>
      <c r="C129" s="48"/>
      <c r="D129" s="48"/>
      <c r="E129" s="48"/>
      <c r="F129" s="48"/>
      <c r="G129" s="48"/>
      <c r="H129" s="48"/>
      <c r="I129" s="48"/>
      <c r="J129" s="48"/>
      <c r="K129" s="48"/>
      <c r="L129" s="48"/>
      <c r="M129" s="48"/>
      <c r="N129" s="48"/>
      <c r="O129" s="48"/>
      <c r="P129" s="48"/>
      <c r="Q129" s="48"/>
      <c r="R129" s="48"/>
      <c r="S129" s="48"/>
      <c r="T129" s="48"/>
      <c r="U129" s="48"/>
      <c r="V129" s="48"/>
      <c r="W129" s="48"/>
      <c r="X129" s="48"/>
      <c r="Y129" s="48"/>
      <c r="Z129" s="48"/>
      <c r="AA129" s="48"/>
    </row>
    <row r="130" spans="2:27" ht="12.75" customHeight="1" x14ac:dyDescent="0.25">
      <c r="B130" s="48"/>
      <c r="C130" s="48"/>
      <c r="D130" s="48"/>
      <c r="E130" s="48"/>
      <c r="F130" s="48"/>
      <c r="G130" s="48"/>
      <c r="H130" s="48"/>
      <c r="I130" s="48"/>
      <c r="J130" s="48"/>
      <c r="K130" s="48"/>
      <c r="L130" s="48"/>
      <c r="M130" s="48"/>
      <c r="N130" s="48"/>
      <c r="O130" s="48"/>
      <c r="P130" s="48"/>
      <c r="Q130" s="48"/>
      <c r="R130" s="48"/>
      <c r="S130" s="48"/>
      <c r="T130" s="48"/>
      <c r="U130" s="48"/>
      <c r="V130" s="48"/>
      <c r="W130" s="48"/>
      <c r="X130" s="48"/>
      <c r="Y130" s="48"/>
      <c r="Z130" s="48"/>
      <c r="AA130" s="48"/>
    </row>
    <row r="131" spans="2:27" ht="12.75" customHeight="1" x14ac:dyDescent="0.25">
      <c r="B131" s="48"/>
      <c r="C131" s="48"/>
      <c r="D131" s="48"/>
      <c r="E131" s="48"/>
      <c r="F131" s="48"/>
      <c r="G131" s="48"/>
      <c r="H131" s="48"/>
      <c r="I131" s="48"/>
      <c r="J131" s="48"/>
      <c r="K131" s="48"/>
      <c r="L131" s="48"/>
      <c r="M131" s="48"/>
      <c r="N131" s="48"/>
      <c r="O131" s="48"/>
      <c r="P131" s="48"/>
      <c r="Q131" s="48"/>
      <c r="R131" s="48"/>
      <c r="S131" s="48"/>
      <c r="T131" s="48"/>
      <c r="U131" s="48"/>
      <c r="V131" s="48"/>
      <c r="W131" s="48"/>
      <c r="X131" s="48"/>
      <c r="Y131" s="48"/>
      <c r="Z131" s="48"/>
      <c r="AA131" s="48"/>
    </row>
    <row r="132" spans="2:27" ht="12.75" customHeight="1" x14ac:dyDescent="0.25">
      <c r="B132" s="48"/>
      <c r="C132" s="48"/>
      <c r="D132" s="48"/>
      <c r="E132" s="48"/>
      <c r="F132" s="48"/>
      <c r="G132" s="48"/>
      <c r="H132" s="48"/>
      <c r="I132" s="48"/>
      <c r="J132" s="48"/>
      <c r="K132" s="48"/>
      <c r="L132" s="48"/>
      <c r="M132" s="48"/>
      <c r="N132" s="48"/>
      <c r="O132" s="48"/>
      <c r="P132" s="48"/>
      <c r="Q132" s="48"/>
      <c r="R132" s="48"/>
      <c r="S132" s="48"/>
      <c r="T132" s="48"/>
      <c r="U132" s="48"/>
      <c r="V132" s="48"/>
      <c r="W132" s="48"/>
      <c r="X132" s="48"/>
      <c r="Y132" s="48"/>
      <c r="Z132" s="48"/>
      <c r="AA132" s="48"/>
    </row>
    <row r="133" spans="2:27" ht="12.75" customHeight="1" x14ac:dyDescent="0.25">
      <c r="B133" s="48"/>
      <c r="C133" s="48"/>
      <c r="D133" s="48"/>
      <c r="E133" s="48"/>
      <c r="F133" s="48"/>
      <c r="G133" s="48"/>
      <c r="H133" s="48"/>
      <c r="I133" s="48"/>
      <c r="J133" s="48"/>
      <c r="K133" s="48"/>
      <c r="L133" s="48"/>
      <c r="M133" s="48"/>
      <c r="N133" s="48"/>
      <c r="O133" s="48"/>
      <c r="P133" s="48"/>
      <c r="Q133" s="48"/>
      <c r="R133" s="48"/>
      <c r="S133" s="48"/>
      <c r="T133" s="48"/>
      <c r="U133" s="48"/>
      <c r="V133" s="48"/>
      <c r="W133" s="48"/>
      <c r="X133" s="48"/>
      <c r="Y133" s="48"/>
      <c r="Z133" s="48"/>
      <c r="AA133" s="48"/>
    </row>
    <row r="134" spans="2:27" ht="12.75" customHeight="1" x14ac:dyDescent="0.25">
      <c r="B134" s="48"/>
      <c r="C134" s="48"/>
      <c r="D134" s="48"/>
      <c r="E134" s="48"/>
      <c r="F134" s="48"/>
      <c r="G134" s="48"/>
      <c r="H134" s="48"/>
      <c r="I134" s="48"/>
      <c r="J134" s="48"/>
      <c r="K134" s="48"/>
      <c r="L134" s="48"/>
      <c r="M134" s="48"/>
      <c r="N134" s="48"/>
      <c r="O134" s="48"/>
      <c r="P134" s="48"/>
      <c r="Q134" s="48"/>
      <c r="R134" s="48"/>
      <c r="S134" s="48"/>
      <c r="T134" s="48"/>
      <c r="U134" s="48"/>
      <c r="V134" s="48"/>
      <c r="W134" s="48"/>
      <c r="X134" s="48"/>
      <c r="Y134" s="48"/>
      <c r="Z134" s="48"/>
      <c r="AA134" s="48"/>
    </row>
    <row r="135" spans="2:27" ht="12.75" customHeight="1" x14ac:dyDescent="0.25">
      <c r="B135" s="48"/>
      <c r="C135" s="48"/>
      <c r="D135" s="48"/>
      <c r="E135" s="48"/>
      <c r="F135" s="48"/>
      <c r="G135" s="48"/>
      <c r="H135" s="48"/>
      <c r="I135" s="48"/>
      <c r="J135" s="48"/>
      <c r="K135" s="48"/>
      <c r="L135" s="48"/>
      <c r="M135" s="48"/>
      <c r="N135" s="48"/>
      <c r="O135" s="48"/>
      <c r="P135" s="48"/>
      <c r="Q135" s="48"/>
      <c r="R135" s="48"/>
      <c r="S135" s="48"/>
      <c r="T135" s="48"/>
      <c r="U135" s="48"/>
      <c r="V135" s="48"/>
      <c r="W135" s="48"/>
      <c r="X135" s="48"/>
      <c r="Y135" s="48"/>
      <c r="Z135" s="48"/>
      <c r="AA135" s="48"/>
    </row>
    <row r="136" spans="2:27" ht="12.75" customHeight="1" x14ac:dyDescent="0.25">
      <c r="B136" s="48"/>
      <c r="C136" s="48"/>
      <c r="D136" s="48"/>
      <c r="E136" s="48"/>
      <c r="F136" s="48"/>
      <c r="G136" s="48"/>
      <c r="H136" s="48"/>
      <c r="I136" s="48"/>
      <c r="J136" s="48"/>
      <c r="K136" s="48"/>
      <c r="L136" s="48"/>
      <c r="M136" s="48"/>
      <c r="N136" s="48"/>
      <c r="O136" s="48"/>
      <c r="P136" s="48"/>
      <c r="Q136" s="48"/>
      <c r="R136" s="48"/>
      <c r="S136" s="48"/>
      <c r="T136" s="48"/>
      <c r="U136" s="48"/>
      <c r="V136" s="48"/>
      <c r="W136" s="48"/>
      <c r="X136" s="48"/>
      <c r="Y136" s="48"/>
      <c r="Z136" s="48"/>
      <c r="AA136" s="48"/>
    </row>
    <row r="137" spans="2:27" ht="12.75" customHeight="1" x14ac:dyDescent="0.25">
      <c r="B137" s="48"/>
      <c r="C137" s="48"/>
      <c r="D137" s="48"/>
      <c r="E137" s="48"/>
      <c r="F137" s="48"/>
      <c r="G137" s="48"/>
      <c r="H137" s="48"/>
      <c r="I137" s="48"/>
      <c r="J137" s="48"/>
      <c r="K137" s="48"/>
      <c r="L137" s="48"/>
      <c r="M137" s="48"/>
      <c r="N137" s="48"/>
      <c r="O137" s="48"/>
      <c r="P137" s="48"/>
      <c r="Q137" s="48"/>
      <c r="R137" s="48"/>
      <c r="S137" s="48"/>
      <c r="T137" s="48"/>
      <c r="U137" s="48"/>
      <c r="V137" s="48"/>
      <c r="W137" s="48"/>
      <c r="X137" s="48"/>
      <c r="Y137" s="48"/>
      <c r="Z137" s="48"/>
      <c r="AA137" s="48"/>
    </row>
    <row r="138" spans="2:27" ht="12.75" customHeight="1" x14ac:dyDescent="0.25">
      <c r="B138" s="48"/>
      <c r="C138" s="48"/>
      <c r="D138" s="48"/>
      <c r="E138" s="48"/>
      <c r="F138" s="48"/>
      <c r="G138" s="48"/>
      <c r="H138" s="48"/>
      <c r="I138" s="48"/>
      <c r="J138" s="48"/>
      <c r="K138" s="48"/>
      <c r="L138" s="48"/>
      <c r="M138" s="48"/>
      <c r="N138" s="48"/>
      <c r="O138" s="48"/>
      <c r="P138" s="48"/>
      <c r="Q138" s="48"/>
      <c r="R138" s="48"/>
      <c r="S138" s="48"/>
      <c r="T138" s="48"/>
      <c r="U138" s="48"/>
      <c r="V138" s="48"/>
      <c r="W138" s="48"/>
      <c r="X138" s="48"/>
      <c r="Y138" s="48"/>
      <c r="Z138" s="48"/>
      <c r="AA138" s="48"/>
    </row>
    <row r="139" spans="2:27" ht="12.75" customHeight="1" x14ac:dyDescent="0.25">
      <c r="B139" s="48"/>
      <c r="C139" s="48"/>
      <c r="D139" s="48"/>
      <c r="E139" s="48"/>
      <c r="F139" s="48"/>
      <c r="G139" s="48"/>
      <c r="H139" s="48"/>
      <c r="I139" s="48"/>
      <c r="J139" s="48"/>
      <c r="K139" s="48"/>
      <c r="L139" s="48"/>
      <c r="M139" s="48"/>
      <c r="N139" s="48"/>
      <c r="O139" s="48"/>
      <c r="P139" s="48"/>
      <c r="Q139" s="48"/>
      <c r="R139" s="48"/>
      <c r="S139" s="48"/>
      <c r="T139" s="48"/>
      <c r="U139" s="48"/>
      <c r="V139" s="48"/>
      <c r="W139" s="48"/>
      <c r="X139" s="48"/>
      <c r="Y139" s="48"/>
      <c r="Z139" s="48"/>
      <c r="AA139" s="48"/>
    </row>
    <row r="140" spans="2:27" ht="12.75" customHeight="1" x14ac:dyDescent="0.25">
      <c r="B140" s="48"/>
      <c r="C140" s="48"/>
      <c r="D140" s="48"/>
      <c r="E140" s="48"/>
      <c r="F140" s="48"/>
      <c r="G140" s="48"/>
      <c r="H140" s="48"/>
      <c r="I140" s="48"/>
      <c r="J140" s="48"/>
      <c r="K140" s="48"/>
      <c r="L140" s="48"/>
      <c r="M140" s="48"/>
      <c r="N140" s="48"/>
      <c r="O140" s="48"/>
      <c r="P140" s="48"/>
      <c r="Q140" s="48"/>
      <c r="R140" s="48"/>
      <c r="S140" s="48"/>
      <c r="T140" s="48"/>
      <c r="U140" s="48"/>
      <c r="V140" s="48"/>
      <c r="W140" s="48"/>
      <c r="X140" s="48"/>
      <c r="Y140" s="48"/>
      <c r="Z140" s="48"/>
      <c r="AA140" s="48"/>
    </row>
    <row r="141" spans="2:27" ht="12.75" customHeight="1" x14ac:dyDescent="0.25">
      <c r="B141" s="48"/>
      <c r="C141" s="48"/>
      <c r="D141" s="48"/>
      <c r="E141" s="48"/>
      <c r="F141" s="48"/>
      <c r="G141" s="48"/>
      <c r="H141" s="48"/>
      <c r="I141" s="48"/>
      <c r="J141" s="48"/>
      <c r="K141" s="48"/>
      <c r="L141" s="48"/>
      <c r="M141" s="48"/>
      <c r="N141" s="48"/>
      <c r="O141" s="48"/>
      <c r="P141" s="48"/>
      <c r="Q141" s="48"/>
      <c r="R141" s="48"/>
      <c r="S141" s="48"/>
      <c r="T141" s="48"/>
      <c r="U141" s="48"/>
      <c r="V141" s="48"/>
      <c r="W141" s="48"/>
      <c r="X141" s="48"/>
      <c r="Y141" s="48"/>
      <c r="Z141" s="48"/>
      <c r="AA141" s="48"/>
    </row>
    <row r="142" spans="2:27" ht="12.75" customHeight="1" x14ac:dyDescent="0.25">
      <c r="B142" s="48"/>
      <c r="C142" s="48"/>
      <c r="D142" s="48"/>
      <c r="E142" s="48"/>
      <c r="F142" s="48"/>
      <c r="G142" s="48"/>
      <c r="H142" s="48"/>
      <c r="I142" s="48"/>
      <c r="J142" s="48"/>
      <c r="K142" s="48"/>
      <c r="L142" s="48"/>
      <c r="M142" s="48"/>
      <c r="N142" s="48"/>
      <c r="O142" s="48"/>
      <c r="P142" s="48"/>
      <c r="Q142" s="48"/>
      <c r="R142" s="48"/>
      <c r="S142" s="48"/>
      <c r="T142" s="48"/>
      <c r="U142" s="48"/>
      <c r="V142" s="48"/>
      <c r="W142" s="48"/>
      <c r="X142" s="48"/>
      <c r="Y142" s="48"/>
      <c r="Z142" s="48"/>
      <c r="AA142" s="48"/>
    </row>
    <row r="143" spans="2:27" ht="12.75" customHeight="1" x14ac:dyDescent="0.25">
      <c r="B143" s="48"/>
      <c r="C143" s="48"/>
      <c r="D143" s="48"/>
      <c r="E143" s="48"/>
      <c r="F143" s="48"/>
      <c r="G143" s="48"/>
      <c r="H143" s="48"/>
      <c r="I143" s="48"/>
      <c r="J143" s="48"/>
      <c r="K143" s="48"/>
      <c r="L143" s="48"/>
      <c r="M143" s="48"/>
      <c r="N143" s="48"/>
      <c r="O143" s="48"/>
      <c r="P143" s="48"/>
      <c r="Q143" s="48"/>
      <c r="R143" s="48"/>
      <c r="S143" s="48"/>
      <c r="T143" s="48"/>
      <c r="U143" s="48"/>
      <c r="V143" s="48"/>
      <c r="W143" s="48"/>
      <c r="X143" s="48"/>
      <c r="Y143" s="48"/>
      <c r="Z143" s="48"/>
      <c r="AA143" s="48"/>
    </row>
    <row r="144" spans="2:27" ht="12.75" customHeight="1" x14ac:dyDescent="0.25">
      <c r="B144" s="48"/>
      <c r="C144" s="48"/>
      <c r="D144" s="48"/>
      <c r="E144" s="48"/>
      <c r="F144" s="48"/>
      <c r="G144" s="48"/>
      <c r="H144" s="48"/>
      <c r="I144" s="48"/>
      <c r="J144" s="48"/>
      <c r="K144" s="48"/>
      <c r="L144" s="48"/>
      <c r="M144" s="48"/>
      <c r="N144" s="48"/>
      <c r="O144" s="48"/>
      <c r="P144" s="48"/>
      <c r="Q144" s="48"/>
      <c r="R144" s="48"/>
      <c r="S144" s="48"/>
      <c r="T144" s="48"/>
      <c r="U144" s="48"/>
      <c r="V144" s="48"/>
      <c r="W144" s="48"/>
      <c r="X144" s="48"/>
      <c r="Y144" s="48"/>
      <c r="Z144" s="48"/>
      <c r="AA144" s="48"/>
    </row>
    <row r="145" spans="2:27" ht="12.75" customHeight="1" x14ac:dyDescent="0.25">
      <c r="B145" s="48"/>
      <c r="C145" s="48"/>
      <c r="D145" s="48"/>
      <c r="E145" s="48"/>
      <c r="F145" s="48"/>
      <c r="G145" s="48"/>
      <c r="H145" s="48"/>
      <c r="I145" s="48"/>
      <c r="J145" s="48"/>
      <c r="K145" s="48"/>
      <c r="L145" s="48"/>
      <c r="M145" s="48"/>
      <c r="N145" s="48"/>
      <c r="O145" s="48"/>
      <c r="P145" s="48"/>
      <c r="Q145" s="48"/>
      <c r="R145" s="48"/>
      <c r="S145" s="48"/>
      <c r="T145" s="48"/>
      <c r="U145" s="48"/>
      <c r="V145" s="48"/>
      <c r="W145" s="48"/>
      <c r="X145" s="48"/>
      <c r="Y145" s="48"/>
      <c r="Z145" s="48"/>
      <c r="AA145" s="48"/>
    </row>
    <row r="146" spans="2:27" ht="12.75" customHeight="1" x14ac:dyDescent="0.25">
      <c r="B146" s="48"/>
      <c r="C146" s="48"/>
      <c r="D146" s="48"/>
      <c r="E146" s="48"/>
      <c r="F146" s="48"/>
      <c r="G146" s="48"/>
      <c r="H146" s="48"/>
      <c r="I146" s="48"/>
      <c r="J146" s="48"/>
      <c r="K146" s="48"/>
      <c r="L146" s="48"/>
      <c r="M146" s="48"/>
      <c r="N146" s="48"/>
      <c r="O146" s="48"/>
      <c r="P146" s="48"/>
      <c r="Q146" s="48"/>
      <c r="R146" s="48"/>
      <c r="S146" s="48"/>
      <c r="T146" s="48"/>
      <c r="U146" s="48"/>
      <c r="V146" s="48"/>
      <c r="W146" s="48"/>
      <c r="X146" s="48"/>
      <c r="Y146" s="48"/>
      <c r="Z146" s="48"/>
      <c r="AA146" s="48"/>
    </row>
    <row r="147" spans="2:27" ht="12.75" customHeight="1" x14ac:dyDescent="0.25">
      <c r="B147" s="48"/>
      <c r="C147" s="48"/>
      <c r="D147" s="48"/>
      <c r="E147" s="48"/>
      <c r="F147" s="48"/>
      <c r="G147" s="48"/>
      <c r="H147" s="48"/>
      <c r="I147" s="48"/>
      <c r="J147" s="48"/>
      <c r="K147" s="48"/>
      <c r="L147" s="48"/>
      <c r="M147" s="48"/>
      <c r="N147" s="48"/>
      <c r="O147" s="48"/>
      <c r="P147" s="48"/>
      <c r="Q147" s="48"/>
      <c r="R147" s="48"/>
      <c r="S147" s="48"/>
      <c r="T147" s="48"/>
      <c r="U147" s="48"/>
      <c r="V147" s="48"/>
      <c r="W147" s="48"/>
      <c r="X147" s="48"/>
      <c r="Y147" s="48"/>
      <c r="Z147" s="48"/>
      <c r="AA147" s="48"/>
    </row>
    <row r="148" spans="2:27" ht="12.75" customHeight="1" x14ac:dyDescent="0.25">
      <c r="B148" s="48"/>
      <c r="C148" s="48"/>
      <c r="D148" s="48"/>
      <c r="E148" s="48"/>
      <c r="F148" s="48"/>
      <c r="G148" s="48"/>
      <c r="H148" s="48"/>
      <c r="I148" s="48"/>
      <c r="J148" s="48"/>
      <c r="K148" s="48"/>
      <c r="L148" s="48"/>
      <c r="M148" s="48"/>
      <c r="N148" s="48"/>
      <c r="O148" s="48"/>
      <c r="P148" s="48"/>
      <c r="Q148" s="48"/>
      <c r="R148" s="48"/>
      <c r="S148" s="48"/>
      <c r="T148" s="48"/>
      <c r="U148" s="48"/>
      <c r="V148" s="48"/>
      <c r="W148" s="48"/>
      <c r="X148" s="48"/>
      <c r="Y148" s="48"/>
      <c r="Z148" s="48"/>
      <c r="AA148" s="48"/>
    </row>
    <row r="149" spans="2:27" ht="12.75" customHeight="1" x14ac:dyDescent="0.25">
      <c r="B149" s="48"/>
      <c r="C149" s="48"/>
      <c r="D149" s="48"/>
      <c r="E149" s="48"/>
      <c r="F149" s="48"/>
      <c r="G149" s="48"/>
      <c r="H149" s="48"/>
      <c r="I149" s="48"/>
      <c r="J149" s="48"/>
      <c r="K149" s="48"/>
      <c r="L149" s="48"/>
      <c r="M149" s="48"/>
      <c r="N149" s="48"/>
      <c r="O149" s="48"/>
      <c r="P149" s="48"/>
      <c r="Q149" s="48"/>
      <c r="R149" s="48"/>
      <c r="S149" s="48"/>
      <c r="T149" s="48"/>
      <c r="U149" s="48"/>
      <c r="V149" s="48"/>
      <c r="W149" s="48"/>
      <c r="X149" s="48"/>
      <c r="Y149" s="48"/>
      <c r="Z149" s="48"/>
      <c r="AA149" s="48"/>
    </row>
    <row r="150" spans="2:27" ht="12.75" customHeight="1" x14ac:dyDescent="0.25">
      <c r="B150" s="48"/>
      <c r="C150" s="48"/>
      <c r="D150" s="48"/>
      <c r="E150" s="48"/>
      <c r="F150" s="48"/>
      <c r="G150" s="48"/>
      <c r="H150" s="48"/>
      <c r="I150" s="48"/>
      <c r="J150" s="48"/>
      <c r="K150" s="48"/>
      <c r="L150" s="48"/>
      <c r="M150" s="48"/>
      <c r="N150" s="48"/>
      <c r="O150" s="48"/>
      <c r="P150" s="48"/>
      <c r="Q150" s="48"/>
      <c r="R150" s="48"/>
      <c r="S150" s="48"/>
      <c r="T150" s="48"/>
      <c r="U150" s="48"/>
      <c r="V150" s="48"/>
      <c r="W150" s="48"/>
      <c r="X150" s="48"/>
      <c r="Y150" s="48"/>
      <c r="Z150" s="48"/>
      <c r="AA150" s="48"/>
    </row>
    <row r="151" spans="2:27" ht="12.75" customHeight="1" x14ac:dyDescent="0.25">
      <c r="B151" s="48"/>
      <c r="C151" s="48"/>
      <c r="D151" s="48"/>
      <c r="E151" s="48"/>
      <c r="F151" s="48"/>
      <c r="G151" s="48"/>
      <c r="H151" s="48"/>
      <c r="I151" s="48"/>
      <c r="J151" s="48"/>
      <c r="K151" s="48"/>
      <c r="L151" s="48"/>
      <c r="M151" s="48"/>
      <c r="N151" s="48"/>
      <c r="O151" s="48"/>
      <c r="P151" s="48"/>
      <c r="Q151" s="48"/>
      <c r="R151" s="48"/>
      <c r="S151" s="48"/>
      <c r="T151" s="48"/>
      <c r="U151" s="48"/>
      <c r="V151" s="48"/>
      <c r="W151" s="48"/>
      <c r="X151" s="48"/>
      <c r="Y151" s="48"/>
      <c r="Z151" s="48"/>
      <c r="AA151" s="48"/>
    </row>
    <row r="152" spans="2:27" ht="12.75" customHeight="1" x14ac:dyDescent="0.25">
      <c r="B152" s="48"/>
      <c r="C152" s="48"/>
      <c r="D152" s="48"/>
      <c r="E152" s="48"/>
      <c r="F152" s="48"/>
      <c r="G152" s="48"/>
      <c r="H152" s="48"/>
      <c r="I152" s="48"/>
      <c r="J152" s="48"/>
      <c r="K152" s="48"/>
      <c r="L152" s="48"/>
      <c r="M152" s="48"/>
      <c r="N152" s="48"/>
      <c r="O152" s="48"/>
      <c r="P152" s="48"/>
      <c r="Q152" s="48"/>
      <c r="R152" s="48"/>
      <c r="S152" s="48"/>
      <c r="T152" s="48"/>
      <c r="U152" s="48"/>
      <c r="V152" s="48"/>
      <c r="W152" s="48"/>
      <c r="X152" s="48"/>
      <c r="Y152" s="48"/>
      <c r="Z152" s="48"/>
      <c r="AA152" s="48"/>
    </row>
    <row r="153" spans="2:27" ht="12.75" customHeight="1" x14ac:dyDescent="0.25">
      <c r="B153" s="48"/>
      <c r="C153" s="48"/>
      <c r="D153" s="48"/>
      <c r="E153" s="48"/>
      <c r="F153" s="48"/>
      <c r="G153" s="48"/>
      <c r="H153" s="48"/>
      <c r="I153" s="48"/>
      <c r="J153" s="48"/>
      <c r="K153" s="48"/>
      <c r="L153" s="48"/>
      <c r="M153" s="48"/>
      <c r="N153" s="48"/>
      <c r="O153" s="48"/>
      <c r="P153" s="48"/>
      <c r="Q153" s="48"/>
      <c r="R153" s="48"/>
      <c r="S153" s="48"/>
      <c r="T153" s="48"/>
      <c r="U153" s="48"/>
      <c r="V153" s="48"/>
      <c r="W153" s="48"/>
      <c r="X153" s="48"/>
      <c r="Y153" s="48"/>
      <c r="Z153" s="48"/>
      <c r="AA153" s="48"/>
    </row>
    <row r="154" spans="2:27" ht="12.75" customHeight="1" x14ac:dyDescent="0.25">
      <c r="B154" s="48"/>
      <c r="C154" s="48"/>
      <c r="D154" s="48"/>
      <c r="E154" s="48"/>
      <c r="F154" s="48"/>
      <c r="G154" s="48"/>
      <c r="H154" s="48"/>
      <c r="I154" s="48"/>
      <c r="J154" s="48"/>
      <c r="K154" s="48"/>
      <c r="L154" s="48"/>
      <c r="M154" s="48"/>
      <c r="N154" s="48"/>
      <c r="O154" s="48"/>
      <c r="P154" s="48"/>
      <c r="Q154" s="48"/>
      <c r="R154" s="48"/>
      <c r="S154" s="48"/>
      <c r="T154" s="48"/>
      <c r="U154" s="48"/>
      <c r="V154" s="48"/>
      <c r="W154" s="48"/>
      <c r="X154" s="48"/>
      <c r="Y154" s="48"/>
      <c r="Z154" s="48"/>
      <c r="AA154" s="48"/>
    </row>
    <row r="155" spans="2:27" ht="12.75" customHeight="1" x14ac:dyDescent="0.25">
      <c r="B155" s="48"/>
      <c r="C155" s="48"/>
      <c r="D155" s="48"/>
      <c r="E155" s="48"/>
      <c r="F155" s="48"/>
      <c r="G155" s="48"/>
      <c r="H155" s="48"/>
      <c r="I155" s="48"/>
      <c r="J155" s="48"/>
      <c r="K155" s="48"/>
      <c r="L155" s="48"/>
      <c r="M155" s="48"/>
      <c r="N155" s="48"/>
      <c r="O155" s="48"/>
      <c r="P155" s="48"/>
      <c r="Q155" s="48"/>
      <c r="R155" s="48"/>
      <c r="S155" s="48"/>
      <c r="T155" s="48"/>
      <c r="U155" s="48"/>
      <c r="V155" s="48"/>
      <c r="W155" s="48"/>
      <c r="X155" s="48"/>
      <c r="Y155" s="48"/>
      <c r="Z155" s="48"/>
      <c r="AA155" s="48"/>
    </row>
    <row r="156" spans="2:27" ht="12.75" customHeight="1" x14ac:dyDescent="0.25">
      <c r="B156" s="48"/>
      <c r="C156" s="48"/>
      <c r="D156" s="48"/>
      <c r="E156" s="48"/>
      <c r="F156" s="48"/>
      <c r="G156" s="48"/>
      <c r="H156" s="48"/>
      <c r="I156" s="48"/>
      <c r="J156" s="48"/>
      <c r="K156" s="48"/>
      <c r="L156" s="48"/>
      <c r="M156" s="48"/>
      <c r="N156" s="48"/>
      <c r="O156" s="48"/>
      <c r="P156" s="48"/>
      <c r="Q156" s="48"/>
      <c r="R156" s="48"/>
      <c r="S156" s="48"/>
      <c r="T156" s="48"/>
      <c r="U156" s="48"/>
      <c r="V156" s="48"/>
      <c r="W156" s="48"/>
      <c r="X156" s="48"/>
      <c r="Y156" s="48"/>
      <c r="Z156" s="48"/>
      <c r="AA156" s="48"/>
    </row>
    <row r="157" spans="2:27" ht="12.75" customHeight="1" x14ac:dyDescent="0.25">
      <c r="B157" s="48"/>
      <c r="C157" s="48"/>
      <c r="D157" s="48"/>
      <c r="E157" s="48"/>
      <c r="F157" s="48"/>
      <c r="G157" s="48"/>
      <c r="H157" s="48"/>
      <c r="I157" s="48"/>
      <c r="J157" s="48"/>
      <c r="K157" s="48"/>
      <c r="L157" s="48"/>
      <c r="M157" s="48"/>
      <c r="N157" s="48"/>
      <c r="O157" s="48"/>
      <c r="P157" s="48"/>
      <c r="Q157" s="48"/>
      <c r="R157" s="48"/>
      <c r="S157" s="48"/>
      <c r="T157" s="48"/>
      <c r="U157" s="48"/>
      <c r="V157" s="48"/>
      <c r="W157" s="48"/>
      <c r="X157" s="48"/>
      <c r="Y157" s="48"/>
      <c r="Z157" s="48"/>
      <c r="AA157" s="48"/>
    </row>
    <row r="158" spans="2:27" ht="12.75" customHeight="1" x14ac:dyDescent="0.25">
      <c r="B158" s="48"/>
      <c r="C158" s="48"/>
      <c r="D158" s="48"/>
      <c r="E158" s="48"/>
      <c r="F158" s="48"/>
      <c r="G158" s="48"/>
      <c r="H158" s="48"/>
      <c r="I158" s="48"/>
      <c r="J158" s="48"/>
      <c r="K158" s="48"/>
      <c r="L158" s="48"/>
      <c r="M158" s="48"/>
      <c r="N158" s="48"/>
      <c r="O158" s="48"/>
      <c r="P158" s="48"/>
      <c r="Q158" s="48"/>
      <c r="R158" s="48"/>
      <c r="S158" s="48"/>
      <c r="T158" s="48"/>
      <c r="U158" s="48"/>
      <c r="V158" s="48"/>
      <c r="W158" s="48"/>
      <c r="X158" s="48"/>
      <c r="Y158" s="48"/>
      <c r="Z158" s="48"/>
      <c r="AA158" s="48"/>
    </row>
    <row r="159" spans="2:27" ht="12.75" customHeight="1" x14ac:dyDescent="0.25">
      <c r="B159" s="48"/>
      <c r="C159" s="48"/>
      <c r="D159" s="48"/>
      <c r="E159" s="48"/>
      <c r="F159" s="48"/>
      <c r="G159" s="48"/>
      <c r="H159" s="48"/>
      <c r="I159" s="48"/>
      <c r="J159" s="48"/>
      <c r="K159" s="48"/>
      <c r="L159" s="48"/>
      <c r="M159" s="48"/>
      <c r="N159" s="48"/>
      <c r="O159" s="48"/>
      <c r="P159" s="48"/>
      <c r="Q159" s="48"/>
      <c r="R159" s="48"/>
      <c r="S159" s="48"/>
      <c r="T159" s="48"/>
      <c r="U159" s="48"/>
      <c r="V159" s="48"/>
      <c r="W159" s="48"/>
      <c r="X159" s="48"/>
      <c r="Y159" s="48"/>
      <c r="Z159" s="48"/>
      <c r="AA159" s="48"/>
    </row>
    <row r="160" spans="2:27" ht="12.75" customHeight="1" x14ac:dyDescent="0.25">
      <c r="B160" s="48"/>
      <c r="C160" s="48"/>
      <c r="D160" s="48"/>
      <c r="E160" s="48"/>
      <c r="F160" s="48"/>
      <c r="G160" s="48"/>
      <c r="H160" s="48"/>
      <c r="I160" s="48"/>
      <c r="J160" s="48"/>
      <c r="K160" s="48"/>
      <c r="L160" s="48"/>
      <c r="M160" s="48"/>
      <c r="N160" s="48"/>
      <c r="O160" s="48"/>
      <c r="P160" s="48"/>
      <c r="Q160" s="48"/>
      <c r="R160" s="48"/>
      <c r="S160" s="48"/>
      <c r="T160" s="48"/>
      <c r="U160" s="48"/>
      <c r="V160" s="48"/>
      <c r="W160" s="48"/>
      <c r="X160" s="48"/>
      <c r="Y160" s="48"/>
      <c r="Z160" s="48"/>
      <c r="AA160" s="48"/>
    </row>
    <row r="161" spans="2:27" ht="12.75" customHeight="1" x14ac:dyDescent="0.25">
      <c r="B161" s="48"/>
      <c r="C161" s="48"/>
      <c r="D161" s="48"/>
      <c r="E161" s="48"/>
      <c r="F161" s="48"/>
      <c r="G161" s="48"/>
      <c r="H161" s="48"/>
      <c r="I161" s="48"/>
      <c r="J161" s="48"/>
      <c r="K161" s="48"/>
      <c r="L161" s="48"/>
      <c r="M161" s="48"/>
      <c r="N161" s="48"/>
      <c r="O161" s="48"/>
      <c r="P161" s="48"/>
      <c r="Q161" s="48"/>
      <c r="R161" s="48"/>
      <c r="S161" s="48"/>
      <c r="T161" s="48"/>
      <c r="U161" s="48"/>
      <c r="V161" s="48"/>
      <c r="W161" s="48"/>
      <c r="X161" s="48"/>
      <c r="Y161" s="48"/>
      <c r="Z161" s="48"/>
      <c r="AA161" s="48"/>
    </row>
    <row r="162" spans="2:27" ht="12.75" customHeight="1" x14ac:dyDescent="0.25">
      <c r="B162" s="48"/>
      <c r="C162" s="48"/>
      <c r="D162" s="48"/>
      <c r="E162" s="48"/>
      <c r="F162" s="48"/>
      <c r="G162" s="48"/>
      <c r="H162" s="48"/>
      <c r="I162" s="48"/>
      <c r="J162" s="48"/>
      <c r="K162" s="48"/>
      <c r="L162" s="48"/>
      <c r="M162" s="48"/>
      <c r="N162" s="48"/>
      <c r="O162" s="48"/>
      <c r="P162" s="48"/>
      <c r="Q162" s="48"/>
      <c r="R162" s="48"/>
      <c r="S162" s="48"/>
      <c r="T162" s="48"/>
      <c r="U162" s="48"/>
      <c r="V162" s="48"/>
      <c r="W162" s="48"/>
      <c r="X162" s="48"/>
      <c r="Y162" s="48"/>
      <c r="Z162" s="48"/>
      <c r="AA162" s="48"/>
    </row>
    <row r="163" spans="2:27" ht="12.75" customHeight="1" x14ac:dyDescent="0.25">
      <c r="B163" s="48"/>
      <c r="C163" s="48"/>
      <c r="D163" s="48"/>
      <c r="E163" s="48"/>
      <c r="F163" s="48"/>
      <c r="G163" s="48"/>
      <c r="H163" s="48"/>
      <c r="I163" s="48"/>
      <c r="J163" s="48"/>
      <c r="K163" s="48"/>
      <c r="L163" s="48"/>
      <c r="M163" s="48"/>
      <c r="N163" s="48"/>
      <c r="O163" s="48"/>
      <c r="P163" s="48"/>
      <c r="Q163" s="48"/>
      <c r="R163" s="48"/>
      <c r="S163" s="48"/>
      <c r="T163" s="48"/>
      <c r="U163" s="48"/>
      <c r="V163" s="48"/>
      <c r="W163" s="48"/>
      <c r="X163" s="48"/>
      <c r="Y163" s="48"/>
      <c r="Z163" s="48"/>
      <c r="AA163" s="48"/>
    </row>
    <row r="164" spans="2:27" ht="12.75" customHeight="1" x14ac:dyDescent="0.25">
      <c r="B164" s="48"/>
      <c r="C164" s="48"/>
      <c r="D164" s="48"/>
      <c r="E164" s="48"/>
      <c r="F164" s="48"/>
      <c r="G164" s="48"/>
      <c r="H164" s="48"/>
      <c r="I164" s="48"/>
      <c r="J164" s="48"/>
      <c r="K164" s="48"/>
      <c r="L164" s="48"/>
      <c r="M164" s="48"/>
      <c r="N164" s="48"/>
      <c r="O164" s="48"/>
      <c r="P164" s="48"/>
      <c r="Q164" s="48"/>
      <c r="R164" s="48"/>
      <c r="S164" s="48"/>
      <c r="T164" s="48"/>
      <c r="U164" s="48"/>
      <c r="V164" s="48"/>
      <c r="W164" s="48"/>
      <c r="X164" s="48"/>
      <c r="Y164" s="48"/>
      <c r="Z164" s="48"/>
      <c r="AA164" s="48"/>
    </row>
    <row r="165" spans="2:27" ht="12.75" customHeight="1" x14ac:dyDescent="0.25">
      <c r="B165" s="48"/>
      <c r="C165" s="48"/>
      <c r="D165" s="48"/>
      <c r="E165" s="48"/>
      <c r="F165" s="48"/>
      <c r="G165" s="48"/>
      <c r="H165" s="48"/>
      <c r="I165" s="48"/>
      <c r="J165" s="48"/>
      <c r="K165" s="48"/>
      <c r="L165" s="48"/>
      <c r="M165" s="48"/>
      <c r="N165" s="48"/>
      <c r="O165" s="48"/>
      <c r="P165" s="48"/>
      <c r="Q165" s="48"/>
      <c r="R165" s="48"/>
      <c r="S165" s="48"/>
      <c r="T165" s="48"/>
      <c r="U165" s="48"/>
      <c r="V165" s="48"/>
      <c r="W165" s="48"/>
      <c r="X165" s="48"/>
      <c r="Y165" s="48"/>
      <c r="Z165" s="48"/>
      <c r="AA165" s="48"/>
    </row>
    <row r="166" spans="2:27" ht="12.75" customHeight="1" x14ac:dyDescent="0.25">
      <c r="B166" s="48"/>
      <c r="C166" s="48"/>
      <c r="D166" s="48"/>
      <c r="E166" s="48"/>
      <c r="F166" s="48"/>
      <c r="G166" s="48"/>
      <c r="H166" s="48"/>
      <c r="I166" s="48"/>
      <c r="J166" s="48"/>
      <c r="K166" s="48"/>
      <c r="L166" s="48"/>
      <c r="M166" s="48"/>
      <c r="N166" s="48"/>
      <c r="O166" s="48"/>
      <c r="P166" s="48"/>
      <c r="Q166" s="48"/>
      <c r="R166" s="48"/>
      <c r="S166" s="48"/>
      <c r="T166" s="48"/>
      <c r="U166" s="48"/>
      <c r="V166" s="48"/>
      <c r="W166" s="48"/>
      <c r="X166" s="48"/>
      <c r="Y166" s="48"/>
      <c r="Z166" s="48"/>
      <c r="AA166" s="48"/>
    </row>
    <row r="167" spans="2:27" ht="12.75" customHeight="1" x14ac:dyDescent="0.25">
      <c r="B167" s="48"/>
      <c r="C167" s="48"/>
      <c r="D167" s="48"/>
      <c r="E167" s="48"/>
      <c r="F167" s="48"/>
      <c r="G167" s="48"/>
      <c r="H167" s="48"/>
      <c r="I167" s="48"/>
      <c r="J167" s="48"/>
      <c r="K167" s="48"/>
      <c r="L167" s="48"/>
      <c r="M167" s="48"/>
      <c r="N167" s="48"/>
      <c r="O167" s="48"/>
      <c r="P167" s="48"/>
      <c r="Q167" s="48"/>
      <c r="R167" s="48"/>
      <c r="S167" s="48"/>
      <c r="T167" s="48"/>
      <c r="U167" s="48"/>
      <c r="V167" s="48"/>
      <c r="W167" s="48"/>
      <c r="X167" s="48"/>
      <c r="Y167" s="48"/>
      <c r="Z167" s="48"/>
      <c r="AA167" s="48"/>
    </row>
    <row r="168" spans="2:27" ht="12.75" customHeight="1" x14ac:dyDescent="0.25">
      <c r="B168" s="48"/>
      <c r="C168" s="48"/>
      <c r="D168" s="48"/>
      <c r="E168" s="48"/>
      <c r="F168" s="48"/>
      <c r="G168" s="48"/>
      <c r="H168" s="48"/>
      <c r="I168" s="48"/>
      <c r="J168" s="48"/>
      <c r="K168" s="48"/>
      <c r="L168" s="48"/>
      <c r="M168" s="48"/>
      <c r="N168" s="48"/>
      <c r="O168" s="48"/>
      <c r="P168" s="48"/>
      <c r="Q168" s="48"/>
      <c r="R168" s="48"/>
      <c r="S168" s="48"/>
      <c r="T168" s="48"/>
      <c r="U168" s="48"/>
      <c r="V168" s="48"/>
      <c r="W168" s="48"/>
      <c r="X168" s="48"/>
      <c r="Y168" s="48"/>
      <c r="Z168" s="48"/>
      <c r="AA168" s="48"/>
    </row>
    <row r="169" spans="2:27" ht="12.75" customHeight="1" x14ac:dyDescent="0.25">
      <c r="B169" s="48"/>
      <c r="C169" s="48"/>
      <c r="D169" s="48"/>
      <c r="E169" s="48"/>
      <c r="F169" s="48"/>
      <c r="G169" s="48"/>
      <c r="H169" s="48"/>
      <c r="I169" s="48"/>
      <c r="J169" s="48"/>
      <c r="K169" s="48"/>
      <c r="L169" s="48"/>
      <c r="M169" s="48"/>
      <c r="N169" s="48"/>
      <c r="O169" s="48"/>
      <c r="P169" s="48"/>
      <c r="Q169" s="48"/>
      <c r="R169" s="48"/>
      <c r="S169" s="48"/>
      <c r="T169" s="48"/>
      <c r="U169" s="48"/>
      <c r="V169" s="48"/>
      <c r="W169" s="48"/>
      <c r="X169" s="48"/>
      <c r="Y169" s="48"/>
      <c r="Z169" s="48"/>
      <c r="AA169" s="48"/>
    </row>
    <row r="170" spans="2:27" ht="12.75" customHeight="1" x14ac:dyDescent="0.25">
      <c r="B170" s="48"/>
      <c r="C170" s="48"/>
      <c r="D170" s="48"/>
      <c r="E170" s="48"/>
      <c r="F170" s="48"/>
      <c r="G170" s="48"/>
      <c r="H170" s="48"/>
      <c r="I170" s="48"/>
      <c r="J170" s="48"/>
      <c r="K170" s="48"/>
      <c r="L170" s="48"/>
      <c r="M170" s="48"/>
      <c r="N170" s="48"/>
      <c r="O170" s="48"/>
      <c r="P170" s="48"/>
      <c r="Q170" s="48"/>
      <c r="R170" s="48"/>
      <c r="S170" s="48"/>
      <c r="T170" s="48"/>
      <c r="U170" s="48"/>
      <c r="V170" s="48"/>
      <c r="W170" s="48"/>
      <c r="X170" s="48"/>
      <c r="Y170" s="48"/>
      <c r="Z170" s="48"/>
      <c r="AA170" s="48"/>
    </row>
    <row r="171" spans="2:27" ht="12.75" customHeight="1" x14ac:dyDescent="0.25">
      <c r="B171" s="48"/>
      <c r="C171" s="48"/>
      <c r="D171" s="48"/>
      <c r="E171" s="48"/>
      <c r="F171" s="48"/>
      <c r="G171" s="48"/>
      <c r="H171" s="48"/>
      <c r="I171" s="48"/>
      <c r="J171" s="48"/>
      <c r="K171" s="48"/>
      <c r="L171" s="48"/>
      <c r="M171" s="48"/>
      <c r="N171" s="48"/>
      <c r="O171" s="48"/>
      <c r="P171" s="48"/>
      <c r="Q171" s="48"/>
      <c r="R171" s="48"/>
      <c r="S171" s="48"/>
      <c r="T171" s="48"/>
      <c r="U171" s="48"/>
      <c r="V171" s="48"/>
      <c r="W171" s="48"/>
      <c r="X171" s="48"/>
      <c r="Y171" s="48"/>
      <c r="Z171" s="48"/>
      <c r="AA171" s="48"/>
    </row>
    <row r="172" spans="2:27" ht="12.75" customHeight="1" x14ac:dyDescent="0.25">
      <c r="B172" s="48"/>
      <c r="C172" s="48"/>
      <c r="D172" s="48"/>
      <c r="E172" s="48"/>
      <c r="F172" s="48"/>
      <c r="G172" s="48"/>
      <c r="H172" s="48"/>
      <c r="I172" s="48"/>
      <c r="J172" s="48"/>
      <c r="K172" s="48"/>
      <c r="L172" s="48"/>
      <c r="M172" s="48"/>
      <c r="N172" s="48"/>
      <c r="O172" s="48"/>
      <c r="P172" s="48"/>
      <c r="Q172" s="48"/>
      <c r="R172" s="48"/>
      <c r="S172" s="48"/>
      <c r="T172" s="48"/>
      <c r="U172" s="48"/>
      <c r="V172" s="48"/>
      <c r="W172" s="48"/>
      <c r="X172" s="48"/>
      <c r="Y172" s="48"/>
      <c r="Z172" s="48"/>
      <c r="AA172" s="48"/>
    </row>
    <row r="173" spans="2:27" ht="12.75" customHeight="1" x14ac:dyDescent="0.25">
      <c r="B173" s="48"/>
      <c r="C173" s="48"/>
      <c r="D173" s="48"/>
      <c r="E173" s="48"/>
      <c r="F173" s="48"/>
      <c r="G173" s="48"/>
      <c r="H173" s="48"/>
      <c r="I173" s="48"/>
      <c r="J173" s="48"/>
      <c r="K173" s="48"/>
      <c r="L173" s="48"/>
      <c r="M173" s="48"/>
      <c r="N173" s="48"/>
      <c r="O173" s="48"/>
      <c r="P173" s="48"/>
      <c r="Q173" s="48"/>
      <c r="R173" s="48"/>
      <c r="S173" s="48"/>
      <c r="T173" s="48"/>
      <c r="U173" s="48"/>
      <c r="V173" s="48"/>
      <c r="W173" s="48"/>
      <c r="X173" s="48"/>
      <c r="Y173" s="48"/>
      <c r="Z173" s="48"/>
      <c r="AA173" s="48"/>
    </row>
    <row r="174" spans="2:27" ht="12.75" customHeight="1" x14ac:dyDescent="0.25">
      <c r="B174" s="48"/>
      <c r="C174" s="48"/>
      <c r="D174" s="48"/>
      <c r="E174" s="48"/>
      <c r="F174" s="48"/>
      <c r="G174" s="48"/>
      <c r="H174" s="48"/>
      <c r="I174" s="48"/>
      <c r="J174" s="48"/>
      <c r="K174" s="48"/>
      <c r="L174" s="48"/>
      <c r="M174" s="48"/>
      <c r="N174" s="48"/>
      <c r="O174" s="48"/>
      <c r="P174" s="48"/>
      <c r="Q174" s="48"/>
      <c r="R174" s="48"/>
      <c r="S174" s="48"/>
      <c r="T174" s="48"/>
      <c r="U174" s="48"/>
      <c r="V174" s="48"/>
      <c r="W174" s="48"/>
      <c r="X174" s="48"/>
      <c r="Y174" s="48"/>
      <c r="Z174" s="48"/>
      <c r="AA174" s="48"/>
    </row>
    <row r="175" spans="2:27" ht="12.75" customHeight="1" x14ac:dyDescent="0.25">
      <c r="B175" s="48"/>
      <c r="C175" s="48"/>
      <c r="D175" s="48"/>
      <c r="E175" s="48"/>
      <c r="F175" s="48"/>
      <c r="G175" s="48"/>
      <c r="H175" s="48"/>
      <c r="I175" s="48"/>
      <c r="J175" s="48"/>
      <c r="K175" s="48"/>
      <c r="L175" s="48"/>
      <c r="M175" s="48"/>
      <c r="N175" s="48"/>
      <c r="O175" s="48"/>
      <c r="P175" s="48"/>
      <c r="Q175" s="48"/>
      <c r="R175" s="48"/>
      <c r="S175" s="48"/>
      <c r="T175" s="48"/>
      <c r="U175" s="48"/>
      <c r="V175" s="48"/>
      <c r="W175" s="48"/>
      <c r="X175" s="48"/>
      <c r="Y175" s="48"/>
      <c r="Z175" s="48"/>
      <c r="AA175" s="48"/>
    </row>
    <row r="176" spans="2:27" ht="12.75" customHeight="1" x14ac:dyDescent="0.25">
      <c r="B176" s="48"/>
      <c r="C176" s="48"/>
      <c r="D176" s="48"/>
      <c r="E176" s="48"/>
      <c r="F176" s="48"/>
      <c r="G176" s="48"/>
      <c r="H176" s="48"/>
      <c r="I176" s="48"/>
      <c r="J176" s="48"/>
      <c r="K176" s="48"/>
      <c r="L176" s="48"/>
      <c r="M176" s="48"/>
      <c r="N176" s="48"/>
      <c r="O176" s="48"/>
      <c r="P176" s="48"/>
      <c r="Q176" s="48"/>
      <c r="R176" s="48"/>
      <c r="S176" s="48"/>
      <c r="T176" s="48"/>
      <c r="U176" s="48"/>
      <c r="V176" s="48"/>
      <c r="W176" s="48"/>
      <c r="X176" s="48"/>
      <c r="Y176" s="48"/>
      <c r="Z176" s="48"/>
      <c r="AA176" s="48"/>
    </row>
    <row r="177" spans="2:27" ht="12.75" customHeight="1" x14ac:dyDescent="0.25">
      <c r="B177" s="48"/>
      <c r="C177" s="48"/>
      <c r="D177" s="48"/>
      <c r="E177" s="48"/>
      <c r="F177" s="48"/>
      <c r="G177" s="48"/>
      <c r="H177" s="48"/>
      <c r="I177" s="48"/>
      <c r="J177" s="48"/>
      <c r="K177" s="48"/>
      <c r="L177" s="48"/>
      <c r="M177" s="48"/>
      <c r="N177" s="48"/>
      <c r="O177" s="48"/>
      <c r="P177" s="48"/>
      <c r="Q177" s="48"/>
      <c r="R177" s="48"/>
      <c r="S177" s="48"/>
      <c r="T177" s="48"/>
      <c r="U177" s="48"/>
      <c r="V177" s="48"/>
      <c r="W177" s="48"/>
      <c r="X177" s="48"/>
      <c r="Y177" s="48"/>
      <c r="Z177" s="48"/>
      <c r="AA177" s="48"/>
    </row>
    <row r="178" spans="2:27" ht="12.75" customHeight="1" x14ac:dyDescent="0.25">
      <c r="B178" s="48"/>
      <c r="C178" s="48"/>
      <c r="D178" s="48"/>
      <c r="E178" s="48"/>
      <c r="F178" s="48"/>
      <c r="G178" s="48"/>
      <c r="H178" s="48"/>
      <c r="I178" s="48"/>
      <c r="J178" s="48"/>
      <c r="K178" s="48"/>
      <c r="L178" s="48"/>
      <c r="M178" s="48"/>
      <c r="N178" s="48"/>
      <c r="O178" s="48"/>
      <c r="P178" s="48"/>
      <c r="Q178" s="48"/>
      <c r="R178" s="48"/>
      <c r="S178" s="48"/>
      <c r="T178" s="48"/>
      <c r="U178" s="48"/>
      <c r="V178" s="48"/>
      <c r="W178" s="48"/>
      <c r="X178" s="48"/>
      <c r="Y178" s="48"/>
      <c r="Z178" s="48"/>
      <c r="AA178" s="48"/>
    </row>
    <row r="179" spans="2:27" ht="12.75" customHeight="1" x14ac:dyDescent="0.25">
      <c r="B179" s="48"/>
      <c r="C179" s="48"/>
      <c r="D179" s="48"/>
      <c r="E179" s="48"/>
      <c r="F179" s="48"/>
      <c r="G179" s="48"/>
      <c r="H179" s="48"/>
      <c r="I179" s="48"/>
      <c r="J179" s="48"/>
      <c r="K179" s="48"/>
      <c r="L179" s="48"/>
      <c r="M179" s="48"/>
      <c r="N179" s="48"/>
      <c r="O179" s="48"/>
      <c r="P179" s="48"/>
      <c r="Q179" s="48"/>
      <c r="R179" s="48"/>
      <c r="S179" s="48"/>
      <c r="T179" s="48"/>
      <c r="U179" s="48"/>
      <c r="V179" s="48"/>
      <c r="W179" s="48"/>
      <c r="X179" s="48"/>
      <c r="Y179" s="48"/>
      <c r="Z179" s="48"/>
      <c r="AA179" s="48"/>
    </row>
    <row r="180" spans="2:27" ht="12.75" customHeight="1" x14ac:dyDescent="0.25">
      <c r="B180" s="48"/>
      <c r="C180" s="48"/>
      <c r="D180" s="48"/>
      <c r="E180" s="48"/>
      <c r="F180" s="48"/>
      <c r="G180" s="48"/>
      <c r="H180" s="48"/>
      <c r="I180" s="48"/>
      <c r="J180" s="48"/>
      <c r="K180" s="48"/>
      <c r="L180" s="48"/>
      <c r="M180" s="48"/>
      <c r="N180" s="48"/>
      <c r="O180" s="48"/>
      <c r="P180" s="48"/>
      <c r="Q180" s="48"/>
      <c r="R180" s="48"/>
      <c r="S180" s="48"/>
      <c r="T180" s="48"/>
      <c r="U180" s="48"/>
      <c r="V180" s="48"/>
      <c r="W180" s="48"/>
      <c r="X180" s="48"/>
      <c r="Y180" s="48"/>
      <c r="Z180" s="48"/>
      <c r="AA180" s="48"/>
    </row>
    <row r="181" spans="2:27" ht="12.75" customHeight="1" x14ac:dyDescent="0.25">
      <c r="B181" s="48"/>
      <c r="C181" s="48"/>
      <c r="D181" s="48"/>
      <c r="E181" s="48"/>
      <c r="F181" s="48"/>
      <c r="G181" s="48"/>
      <c r="H181" s="48"/>
      <c r="I181" s="48"/>
      <c r="J181" s="48"/>
      <c r="K181" s="48"/>
      <c r="L181" s="48"/>
      <c r="M181" s="48"/>
      <c r="N181" s="48"/>
      <c r="O181" s="48"/>
      <c r="P181" s="48"/>
      <c r="Q181" s="48"/>
      <c r="R181" s="48"/>
      <c r="S181" s="48"/>
      <c r="T181" s="48"/>
      <c r="U181" s="48"/>
      <c r="V181" s="48"/>
      <c r="W181" s="48"/>
      <c r="X181" s="48"/>
      <c r="Y181" s="48"/>
      <c r="Z181" s="48"/>
      <c r="AA181" s="48"/>
    </row>
    <row r="182" spans="2:27" ht="12.75" customHeight="1" x14ac:dyDescent="0.25">
      <c r="B182" s="48"/>
      <c r="C182" s="48"/>
      <c r="D182" s="48"/>
      <c r="E182" s="48"/>
      <c r="F182" s="48"/>
      <c r="G182" s="48"/>
      <c r="H182" s="48"/>
      <c r="I182" s="48"/>
      <c r="J182" s="48"/>
      <c r="K182" s="48"/>
      <c r="L182" s="48"/>
      <c r="M182" s="48"/>
      <c r="N182" s="48"/>
      <c r="O182" s="48"/>
      <c r="P182" s="48"/>
      <c r="Q182" s="48"/>
      <c r="R182" s="48"/>
      <c r="S182" s="48"/>
      <c r="T182" s="48"/>
      <c r="U182" s="48"/>
      <c r="V182" s="48"/>
      <c r="W182" s="48"/>
      <c r="X182" s="48"/>
      <c r="Y182" s="48"/>
      <c r="Z182" s="48"/>
      <c r="AA182" s="48"/>
    </row>
    <row r="183" spans="2:27" ht="12.75" customHeight="1" x14ac:dyDescent="0.25">
      <c r="B183" s="48"/>
      <c r="C183" s="48"/>
      <c r="D183" s="48"/>
      <c r="E183" s="48"/>
      <c r="F183" s="48"/>
      <c r="G183" s="48"/>
      <c r="H183" s="48"/>
      <c r="I183" s="48"/>
      <c r="J183" s="48"/>
      <c r="K183" s="48"/>
      <c r="L183" s="48"/>
      <c r="M183" s="48"/>
      <c r="N183" s="48"/>
      <c r="O183" s="48"/>
      <c r="P183" s="48"/>
      <c r="Q183" s="48"/>
      <c r="R183" s="48"/>
      <c r="S183" s="48"/>
      <c r="T183" s="48"/>
      <c r="U183" s="48"/>
      <c r="V183" s="48"/>
      <c r="W183" s="48"/>
      <c r="X183" s="48"/>
      <c r="Y183" s="48"/>
      <c r="Z183" s="48"/>
      <c r="AA183" s="48"/>
    </row>
    <row r="184" spans="2:27" ht="12.75" customHeight="1" x14ac:dyDescent="0.25">
      <c r="B184" s="48"/>
      <c r="C184" s="48"/>
      <c r="D184" s="48"/>
      <c r="E184" s="48"/>
      <c r="F184" s="48"/>
      <c r="G184" s="48"/>
      <c r="H184" s="48"/>
      <c r="I184" s="48"/>
      <c r="J184" s="48"/>
      <c r="K184" s="48"/>
      <c r="L184" s="48"/>
      <c r="M184" s="48"/>
      <c r="N184" s="48"/>
      <c r="O184" s="48"/>
      <c r="P184" s="48"/>
      <c r="Q184" s="48"/>
      <c r="R184" s="48"/>
      <c r="S184" s="48"/>
      <c r="T184" s="48"/>
      <c r="U184" s="48"/>
      <c r="V184" s="48"/>
      <c r="W184" s="48"/>
      <c r="X184" s="48"/>
      <c r="Y184" s="48"/>
      <c r="Z184" s="48"/>
      <c r="AA184" s="48"/>
    </row>
    <row r="185" spans="2:27" ht="12.75" customHeight="1" x14ac:dyDescent="0.25">
      <c r="B185" s="48"/>
      <c r="C185" s="48"/>
      <c r="D185" s="48"/>
      <c r="E185" s="48"/>
      <c r="F185" s="48"/>
      <c r="G185" s="48"/>
      <c r="H185" s="48"/>
      <c r="I185" s="48"/>
      <c r="J185" s="48"/>
      <c r="K185" s="48"/>
      <c r="L185" s="48"/>
      <c r="M185" s="48"/>
      <c r="N185" s="48"/>
      <c r="O185" s="48"/>
      <c r="P185" s="48"/>
      <c r="Q185" s="48"/>
      <c r="R185" s="48"/>
      <c r="S185" s="48"/>
      <c r="T185" s="48"/>
      <c r="U185" s="48"/>
      <c r="V185" s="48"/>
      <c r="W185" s="48"/>
      <c r="X185" s="48"/>
      <c r="Y185" s="48"/>
      <c r="Z185" s="48"/>
      <c r="AA185" s="48"/>
    </row>
    <row r="186" spans="2:27" ht="12.75" customHeight="1" x14ac:dyDescent="0.25">
      <c r="B186" s="48"/>
      <c r="C186" s="48"/>
      <c r="D186" s="48"/>
      <c r="E186" s="48"/>
      <c r="F186" s="48"/>
      <c r="G186" s="48"/>
      <c r="H186" s="48"/>
      <c r="I186" s="48"/>
      <c r="J186" s="48"/>
      <c r="K186" s="48"/>
      <c r="L186" s="48"/>
      <c r="M186" s="48"/>
      <c r="N186" s="48"/>
      <c r="O186" s="48"/>
      <c r="P186" s="48"/>
      <c r="Q186" s="48"/>
      <c r="R186" s="48"/>
      <c r="S186" s="48"/>
      <c r="T186" s="48"/>
      <c r="U186" s="48"/>
      <c r="V186" s="48"/>
      <c r="W186" s="48"/>
      <c r="X186" s="48"/>
      <c r="Y186" s="48"/>
      <c r="Z186" s="48"/>
      <c r="AA186" s="48"/>
    </row>
    <row r="187" spans="2:27" ht="12.75" customHeight="1" x14ac:dyDescent="0.25">
      <c r="B187" s="48"/>
      <c r="C187" s="48"/>
      <c r="D187" s="48"/>
      <c r="E187" s="48"/>
      <c r="F187" s="48"/>
      <c r="G187" s="48"/>
      <c r="H187" s="48"/>
      <c r="I187" s="48"/>
      <c r="J187" s="48"/>
      <c r="K187" s="48"/>
      <c r="L187" s="48"/>
      <c r="M187" s="48"/>
      <c r="N187" s="48"/>
      <c r="O187" s="48"/>
      <c r="P187" s="48"/>
      <c r="Q187" s="48"/>
      <c r="R187" s="48"/>
      <c r="S187" s="48"/>
      <c r="T187" s="48"/>
      <c r="U187" s="48"/>
      <c r="V187" s="48"/>
      <c r="W187" s="48"/>
      <c r="X187" s="48"/>
      <c r="Y187" s="48"/>
      <c r="Z187" s="48"/>
      <c r="AA187" s="48"/>
    </row>
    <row r="188" spans="2:27" ht="12.75" customHeight="1" x14ac:dyDescent="0.25">
      <c r="B188" s="48"/>
      <c r="C188" s="48"/>
      <c r="D188" s="48"/>
      <c r="E188" s="48"/>
      <c r="F188" s="48"/>
      <c r="G188" s="48"/>
      <c r="H188" s="48"/>
      <c r="I188" s="48"/>
      <c r="J188" s="48"/>
      <c r="K188" s="48"/>
      <c r="L188" s="48"/>
      <c r="M188" s="48"/>
      <c r="N188" s="48"/>
      <c r="O188" s="48"/>
      <c r="P188" s="48"/>
      <c r="Q188" s="48"/>
      <c r="R188" s="48"/>
      <c r="S188" s="48"/>
      <c r="T188" s="48"/>
      <c r="U188" s="48"/>
      <c r="V188" s="48"/>
      <c r="W188" s="48"/>
      <c r="X188" s="48"/>
      <c r="Y188" s="48"/>
      <c r="Z188" s="48"/>
      <c r="AA188" s="48"/>
    </row>
    <row r="189" spans="2:27" ht="12.75" customHeight="1" x14ac:dyDescent="0.25">
      <c r="B189" s="48"/>
      <c r="C189" s="48"/>
      <c r="D189" s="48"/>
      <c r="E189" s="48"/>
      <c r="F189" s="48"/>
      <c r="G189" s="48"/>
      <c r="H189" s="48"/>
      <c r="I189" s="48"/>
      <c r="J189" s="48"/>
      <c r="K189" s="48"/>
      <c r="L189" s="48"/>
      <c r="M189" s="48"/>
      <c r="N189" s="48"/>
      <c r="O189" s="48"/>
      <c r="P189" s="48"/>
      <c r="Q189" s="48"/>
      <c r="R189" s="48"/>
      <c r="S189" s="48"/>
      <c r="T189" s="48"/>
      <c r="U189" s="48"/>
      <c r="V189" s="48"/>
      <c r="W189" s="48"/>
      <c r="X189" s="48"/>
      <c r="Y189" s="48"/>
      <c r="Z189" s="48"/>
      <c r="AA189" s="48"/>
    </row>
    <row r="190" spans="2:27" ht="12.75" customHeight="1" x14ac:dyDescent="0.25">
      <c r="B190" s="48"/>
      <c r="C190" s="48"/>
      <c r="D190" s="48"/>
      <c r="E190" s="48"/>
      <c r="F190" s="48"/>
      <c r="G190" s="48"/>
      <c r="H190" s="48"/>
      <c r="I190" s="48"/>
      <c r="J190" s="48"/>
      <c r="K190" s="48"/>
      <c r="L190" s="48"/>
      <c r="M190" s="48"/>
      <c r="N190" s="48"/>
      <c r="O190" s="48"/>
      <c r="P190" s="48"/>
      <c r="Q190" s="48"/>
      <c r="R190" s="48"/>
      <c r="S190" s="48"/>
      <c r="T190" s="48"/>
      <c r="U190" s="48"/>
      <c r="V190" s="48"/>
      <c r="W190" s="48"/>
      <c r="X190" s="48"/>
      <c r="Y190" s="48"/>
      <c r="Z190" s="48"/>
      <c r="AA190" s="48"/>
    </row>
    <row r="191" spans="2:27" ht="12.75" customHeight="1" x14ac:dyDescent="0.25">
      <c r="B191" s="48"/>
      <c r="C191" s="48"/>
      <c r="D191" s="48"/>
      <c r="E191" s="48"/>
      <c r="F191" s="48"/>
      <c r="G191" s="48"/>
      <c r="H191" s="48"/>
      <c r="I191" s="48"/>
      <c r="J191" s="48"/>
      <c r="K191" s="48"/>
      <c r="L191" s="48"/>
      <c r="M191" s="48"/>
      <c r="N191" s="48"/>
      <c r="O191" s="48"/>
      <c r="P191" s="48"/>
      <c r="Q191" s="48"/>
      <c r="R191" s="48"/>
      <c r="S191" s="48"/>
      <c r="T191" s="48"/>
      <c r="U191" s="48"/>
      <c r="V191" s="48"/>
      <c r="W191" s="48"/>
      <c r="X191" s="48"/>
      <c r="Y191" s="48"/>
      <c r="Z191" s="48"/>
      <c r="AA191" s="48"/>
    </row>
    <row r="192" spans="2:27" ht="12.75" customHeight="1" x14ac:dyDescent="0.25">
      <c r="B192" s="48"/>
      <c r="C192" s="48"/>
      <c r="D192" s="48"/>
      <c r="E192" s="48"/>
      <c r="F192" s="48"/>
      <c r="G192" s="48"/>
      <c r="H192" s="48"/>
      <c r="I192" s="48"/>
      <c r="J192" s="48"/>
      <c r="K192" s="48"/>
      <c r="L192" s="48"/>
      <c r="M192" s="48"/>
      <c r="N192" s="48"/>
      <c r="O192" s="48"/>
      <c r="P192" s="48"/>
      <c r="Q192" s="48"/>
      <c r="R192" s="48"/>
      <c r="S192" s="48"/>
      <c r="T192" s="48"/>
      <c r="U192" s="48"/>
      <c r="V192" s="48"/>
      <c r="W192" s="48"/>
      <c r="X192" s="48"/>
      <c r="Y192" s="48"/>
      <c r="Z192" s="48"/>
      <c r="AA192" s="48"/>
    </row>
    <row r="193" spans="2:27" ht="12.75" customHeight="1" x14ac:dyDescent="0.25">
      <c r="B193" s="48"/>
      <c r="C193" s="48"/>
      <c r="D193" s="48"/>
      <c r="E193" s="48"/>
      <c r="F193" s="48"/>
      <c r="G193" s="48"/>
      <c r="H193" s="48"/>
      <c r="I193" s="48"/>
      <c r="J193" s="48"/>
      <c r="K193" s="48"/>
      <c r="L193" s="48"/>
      <c r="M193" s="48"/>
      <c r="N193" s="48"/>
      <c r="O193" s="48"/>
      <c r="P193" s="48"/>
      <c r="Q193" s="48"/>
      <c r="R193" s="48"/>
      <c r="S193" s="48"/>
      <c r="T193" s="48"/>
      <c r="U193" s="48"/>
      <c r="V193" s="48"/>
      <c r="W193" s="48"/>
      <c r="X193" s="48"/>
      <c r="Y193" s="48"/>
      <c r="Z193" s="48"/>
      <c r="AA193" s="48"/>
    </row>
    <row r="194" spans="2:27" ht="12.75" customHeight="1" x14ac:dyDescent="0.25">
      <c r="B194" s="48"/>
      <c r="C194" s="48"/>
      <c r="D194" s="48"/>
      <c r="E194" s="48"/>
      <c r="F194" s="48"/>
      <c r="G194" s="48"/>
      <c r="H194" s="48"/>
      <c r="I194" s="48"/>
      <c r="J194" s="48"/>
      <c r="K194" s="48"/>
      <c r="L194" s="48"/>
      <c r="M194" s="48"/>
      <c r="N194" s="48"/>
      <c r="O194" s="48"/>
      <c r="P194" s="48"/>
      <c r="Q194" s="48"/>
      <c r="R194" s="48"/>
      <c r="S194" s="48"/>
      <c r="T194" s="48"/>
      <c r="U194" s="48"/>
      <c r="V194" s="48"/>
      <c r="W194" s="48"/>
      <c r="X194" s="48"/>
      <c r="Y194" s="48"/>
      <c r="Z194" s="48"/>
      <c r="AA194" s="48"/>
    </row>
    <row r="195" spans="2:27" ht="12.75" customHeight="1" x14ac:dyDescent="0.25">
      <c r="B195" s="48"/>
      <c r="C195" s="48"/>
      <c r="D195" s="48"/>
      <c r="E195" s="48"/>
      <c r="F195" s="48"/>
      <c r="G195" s="48"/>
      <c r="H195" s="48"/>
      <c r="I195" s="48"/>
      <c r="J195" s="48"/>
      <c r="K195" s="48"/>
      <c r="L195" s="48"/>
      <c r="M195" s="48"/>
      <c r="N195" s="48"/>
      <c r="O195" s="48"/>
      <c r="P195" s="48"/>
      <c r="Q195" s="48"/>
      <c r="R195" s="48"/>
      <c r="S195" s="48"/>
      <c r="T195" s="48"/>
      <c r="U195" s="48"/>
      <c r="V195" s="48"/>
      <c r="W195" s="48"/>
      <c r="X195" s="48"/>
      <c r="Y195" s="48"/>
      <c r="Z195" s="48"/>
      <c r="AA195" s="48"/>
    </row>
    <row r="196" spans="2:27" ht="12.75" customHeight="1" x14ac:dyDescent="0.25">
      <c r="B196" s="48"/>
      <c r="C196" s="48"/>
      <c r="D196" s="48"/>
      <c r="E196" s="48"/>
      <c r="F196" s="48"/>
      <c r="G196" s="48"/>
      <c r="H196" s="48"/>
      <c r="I196" s="48"/>
      <c r="J196" s="48"/>
      <c r="K196" s="48"/>
      <c r="L196" s="48"/>
      <c r="M196" s="48"/>
      <c r="N196" s="48"/>
      <c r="O196" s="48"/>
      <c r="P196" s="48"/>
      <c r="Q196" s="48"/>
      <c r="R196" s="48"/>
      <c r="S196" s="48"/>
      <c r="T196" s="48"/>
      <c r="U196" s="48"/>
      <c r="V196" s="48"/>
      <c r="W196" s="48"/>
      <c r="X196" s="48"/>
      <c r="Y196" s="48"/>
      <c r="Z196" s="48"/>
      <c r="AA196" s="48"/>
    </row>
    <row r="197" spans="2:27" ht="12.75" customHeight="1" x14ac:dyDescent="0.25">
      <c r="B197" s="48"/>
      <c r="C197" s="48"/>
      <c r="D197" s="48"/>
      <c r="E197" s="48"/>
      <c r="F197" s="48"/>
      <c r="G197" s="48"/>
      <c r="H197" s="48"/>
      <c r="I197" s="48"/>
      <c r="J197" s="48"/>
      <c r="K197" s="48"/>
      <c r="L197" s="48"/>
      <c r="M197" s="48"/>
      <c r="N197" s="48"/>
      <c r="O197" s="48"/>
      <c r="P197" s="48"/>
      <c r="Q197" s="48"/>
      <c r="R197" s="48"/>
      <c r="S197" s="48"/>
      <c r="T197" s="48"/>
      <c r="U197" s="48"/>
      <c r="V197" s="48"/>
      <c r="W197" s="48"/>
      <c r="X197" s="48"/>
      <c r="Y197" s="48"/>
      <c r="Z197" s="48"/>
      <c r="AA197" s="48"/>
    </row>
    <row r="198" spans="2:27" ht="12.75" customHeight="1" x14ac:dyDescent="0.25">
      <c r="B198" s="48"/>
      <c r="C198" s="48"/>
      <c r="D198" s="48"/>
      <c r="E198" s="48"/>
      <c r="F198" s="48"/>
      <c r="G198" s="48"/>
      <c r="H198" s="48"/>
      <c r="I198" s="48"/>
      <c r="J198" s="48"/>
      <c r="K198" s="48"/>
      <c r="L198" s="48"/>
      <c r="M198" s="48"/>
      <c r="N198" s="48"/>
      <c r="O198" s="48"/>
      <c r="P198" s="48"/>
      <c r="Q198" s="48"/>
      <c r="R198" s="48"/>
      <c r="S198" s="48"/>
      <c r="T198" s="48"/>
      <c r="U198" s="48"/>
      <c r="V198" s="48"/>
      <c r="W198" s="48"/>
      <c r="X198" s="48"/>
      <c r="Y198" s="48"/>
      <c r="Z198" s="48"/>
      <c r="AA198" s="48"/>
    </row>
    <row r="199" spans="2:27" ht="12.75" customHeight="1" x14ac:dyDescent="0.25">
      <c r="B199" s="48"/>
      <c r="C199" s="48"/>
      <c r="D199" s="48"/>
      <c r="E199" s="48"/>
      <c r="F199" s="48"/>
      <c r="G199" s="48"/>
      <c r="H199" s="48"/>
      <c r="I199" s="48"/>
      <c r="J199" s="48"/>
      <c r="K199" s="48"/>
      <c r="L199" s="48"/>
      <c r="M199" s="48"/>
      <c r="N199" s="48"/>
      <c r="O199" s="48"/>
      <c r="P199" s="48"/>
      <c r="Q199" s="48"/>
      <c r="R199" s="48"/>
      <c r="S199" s="48"/>
      <c r="T199" s="48"/>
      <c r="U199" s="48"/>
      <c r="V199" s="48"/>
      <c r="W199" s="48"/>
      <c r="X199" s="48"/>
      <c r="Y199" s="48"/>
      <c r="Z199" s="48"/>
      <c r="AA199" s="48"/>
    </row>
    <row r="200" spans="2:27" ht="12.75" customHeight="1" x14ac:dyDescent="0.25">
      <c r="B200" s="48"/>
      <c r="C200" s="48"/>
      <c r="D200" s="48"/>
      <c r="E200" s="48"/>
      <c r="F200" s="48"/>
      <c r="G200" s="48"/>
      <c r="H200" s="48"/>
      <c r="I200" s="48"/>
      <c r="J200" s="48"/>
      <c r="K200" s="48"/>
      <c r="L200" s="48"/>
      <c r="M200" s="48"/>
      <c r="N200" s="48"/>
      <c r="O200" s="48"/>
      <c r="P200" s="48"/>
      <c r="Q200" s="48"/>
      <c r="R200" s="48"/>
      <c r="S200" s="48"/>
      <c r="T200" s="48"/>
      <c r="U200" s="48"/>
      <c r="V200" s="48"/>
      <c r="W200" s="48"/>
      <c r="X200" s="48"/>
      <c r="Y200" s="48"/>
      <c r="Z200" s="48"/>
      <c r="AA200" s="48"/>
    </row>
    <row r="201" spans="2:27" ht="12.75" customHeight="1" x14ac:dyDescent="0.25">
      <c r="B201" s="48"/>
      <c r="C201" s="48"/>
      <c r="D201" s="48"/>
      <c r="E201" s="48"/>
      <c r="F201" s="48"/>
      <c r="G201" s="48"/>
      <c r="H201" s="48"/>
      <c r="I201" s="48"/>
      <c r="J201" s="48"/>
      <c r="K201" s="48"/>
      <c r="L201" s="48"/>
      <c r="M201" s="48"/>
      <c r="N201" s="48"/>
      <c r="O201" s="48"/>
      <c r="P201" s="48"/>
      <c r="Q201" s="48"/>
      <c r="R201" s="48"/>
      <c r="S201" s="48"/>
      <c r="T201" s="48"/>
      <c r="U201" s="48"/>
      <c r="V201" s="48"/>
      <c r="W201" s="48"/>
      <c r="X201" s="48"/>
      <c r="Y201" s="48"/>
      <c r="Z201" s="48"/>
      <c r="AA201" s="48"/>
    </row>
    <row r="202" spans="2:27" ht="12.75" customHeight="1" x14ac:dyDescent="0.25">
      <c r="B202" s="48"/>
      <c r="C202" s="48"/>
      <c r="D202" s="48"/>
      <c r="E202" s="48"/>
      <c r="F202" s="48"/>
      <c r="G202" s="48"/>
      <c r="H202" s="48"/>
      <c r="I202" s="48"/>
      <c r="J202" s="48"/>
      <c r="K202" s="48"/>
      <c r="L202" s="48"/>
      <c r="M202" s="48"/>
      <c r="N202" s="48"/>
      <c r="O202" s="48"/>
      <c r="P202" s="48"/>
      <c r="Q202" s="48"/>
      <c r="R202" s="48"/>
      <c r="S202" s="48"/>
      <c r="T202" s="48"/>
      <c r="U202" s="48"/>
      <c r="V202" s="48"/>
      <c r="W202" s="48"/>
      <c r="X202" s="48"/>
      <c r="Y202" s="48"/>
      <c r="Z202" s="48"/>
      <c r="AA202" s="48"/>
    </row>
    <row r="203" spans="2:27" ht="12.75" customHeight="1" x14ac:dyDescent="0.25">
      <c r="B203" s="48"/>
      <c r="C203" s="48"/>
      <c r="D203" s="48"/>
      <c r="E203" s="48"/>
      <c r="F203" s="48"/>
      <c r="G203" s="48"/>
      <c r="H203" s="48"/>
      <c r="I203" s="48"/>
      <c r="J203" s="48"/>
      <c r="K203" s="48"/>
      <c r="L203" s="48"/>
      <c r="M203" s="48"/>
      <c r="N203" s="48"/>
      <c r="O203" s="48"/>
      <c r="P203" s="48"/>
      <c r="Q203" s="48"/>
      <c r="R203" s="48"/>
      <c r="S203" s="48"/>
      <c r="T203" s="48"/>
      <c r="U203" s="48"/>
      <c r="V203" s="48"/>
      <c r="W203" s="48"/>
      <c r="X203" s="48"/>
      <c r="Y203" s="48"/>
      <c r="Z203" s="48"/>
      <c r="AA203" s="48"/>
    </row>
    <row r="204" spans="2:27" ht="12.75" customHeight="1" x14ac:dyDescent="0.25">
      <c r="B204" s="48"/>
      <c r="C204" s="48"/>
      <c r="D204" s="48"/>
      <c r="E204" s="48"/>
      <c r="F204" s="48"/>
      <c r="G204" s="48"/>
      <c r="H204" s="48"/>
      <c r="I204" s="48"/>
      <c r="J204" s="48"/>
      <c r="K204" s="48"/>
      <c r="L204" s="48"/>
      <c r="M204" s="48"/>
      <c r="N204" s="48"/>
      <c r="O204" s="48"/>
      <c r="P204" s="48"/>
      <c r="Q204" s="48"/>
      <c r="R204" s="48"/>
      <c r="S204" s="48"/>
      <c r="T204" s="48"/>
      <c r="U204" s="48"/>
      <c r="V204" s="48"/>
      <c r="W204" s="48"/>
      <c r="X204" s="48"/>
      <c r="Y204" s="48"/>
      <c r="Z204" s="48"/>
      <c r="AA204" s="48"/>
    </row>
    <row r="205" spans="2:27" ht="12.75" customHeight="1" x14ac:dyDescent="0.25">
      <c r="B205" s="48"/>
      <c r="C205" s="48"/>
      <c r="D205" s="48"/>
      <c r="E205" s="48"/>
      <c r="F205" s="48"/>
      <c r="G205" s="48"/>
      <c r="H205" s="48"/>
      <c r="I205" s="48"/>
      <c r="J205" s="48"/>
      <c r="K205" s="48"/>
      <c r="L205" s="48"/>
      <c r="M205" s="48"/>
      <c r="N205" s="48"/>
      <c r="O205" s="48"/>
      <c r="P205" s="48"/>
      <c r="Q205" s="48"/>
      <c r="R205" s="48"/>
      <c r="S205" s="48"/>
      <c r="T205" s="48"/>
      <c r="U205" s="48"/>
      <c r="V205" s="48"/>
      <c r="W205" s="48"/>
      <c r="X205" s="48"/>
      <c r="Y205" s="48"/>
      <c r="Z205" s="48"/>
      <c r="AA205" s="48"/>
    </row>
    <row r="206" spans="2:27" ht="12.75" customHeight="1" x14ac:dyDescent="0.25">
      <c r="B206" s="48"/>
      <c r="C206" s="48"/>
      <c r="D206" s="48"/>
      <c r="E206" s="48"/>
      <c r="F206" s="48"/>
      <c r="G206" s="48"/>
      <c r="H206" s="48"/>
      <c r="I206" s="48"/>
      <c r="J206" s="48"/>
      <c r="K206" s="48"/>
      <c r="L206" s="48"/>
      <c r="M206" s="48"/>
      <c r="N206" s="48"/>
      <c r="O206" s="48"/>
      <c r="P206" s="48"/>
      <c r="Q206" s="48"/>
      <c r="R206" s="48"/>
      <c r="S206" s="48"/>
      <c r="T206" s="48"/>
      <c r="U206" s="48"/>
      <c r="V206" s="48"/>
      <c r="W206" s="48"/>
      <c r="X206" s="48"/>
      <c r="Y206" s="48"/>
      <c r="Z206" s="48"/>
      <c r="AA206" s="48"/>
    </row>
    <row r="207" spans="2:27" ht="12.75" customHeight="1" x14ac:dyDescent="0.25">
      <c r="B207" s="48"/>
      <c r="C207" s="48"/>
      <c r="D207" s="48"/>
      <c r="E207" s="48"/>
      <c r="F207" s="48"/>
      <c r="G207" s="48"/>
      <c r="H207" s="48"/>
      <c r="I207" s="48"/>
      <c r="J207" s="48"/>
      <c r="K207" s="48"/>
      <c r="L207" s="48"/>
      <c r="M207" s="48"/>
      <c r="N207" s="48"/>
      <c r="O207" s="48"/>
      <c r="P207" s="48"/>
      <c r="Q207" s="48"/>
      <c r="R207" s="48"/>
      <c r="S207" s="48"/>
      <c r="T207" s="48"/>
      <c r="U207" s="48"/>
      <c r="V207" s="48"/>
      <c r="W207" s="48"/>
      <c r="X207" s="48"/>
      <c r="Y207" s="48"/>
      <c r="Z207" s="48"/>
      <c r="AA207" s="48"/>
    </row>
    <row r="208" spans="2:27" ht="12.75" customHeight="1" x14ac:dyDescent="0.25">
      <c r="B208" s="48"/>
      <c r="C208" s="48"/>
      <c r="D208" s="48"/>
      <c r="E208" s="48"/>
      <c r="F208" s="48"/>
      <c r="G208" s="48"/>
      <c r="H208" s="48"/>
      <c r="I208" s="48"/>
      <c r="J208" s="48"/>
      <c r="K208" s="48"/>
      <c r="L208" s="48"/>
      <c r="M208" s="48"/>
      <c r="N208" s="48"/>
      <c r="O208" s="48"/>
      <c r="P208" s="48"/>
      <c r="Q208" s="48"/>
      <c r="R208" s="48"/>
      <c r="S208" s="48"/>
      <c r="T208" s="48"/>
      <c r="U208" s="48"/>
      <c r="V208" s="48"/>
      <c r="W208" s="48"/>
      <c r="X208" s="48"/>
      <c r="Y208" s="48"/>
      <c r="Z208" s="48"/>
      <c r="AA208" s="48"/>
    </row>
    <row r="209" spans="2:27" ht="12.75" customHeight="1" x14ac:dyDescent="0.25">
      <c r="B209" s="48"/>
      <c r="C209" s="48"/>
      <c r="D209" s="48"/>
      <c r="E209" s="48"/>
      <c r="F209" s="48"/>
      <c r="G209" s="48"/>
      <c r="H209" s="48"/>
      <c r="I209" s="48"/>
      <c r="J209" s="48"/>
      <c r="K209" s="48"/>
      <c r="L209" s="48"/>
      <c r="M209" s="48"/>
      <c r="N209" s="48"/>
      <c r="O209" s="48"/>
      <c r="P209" s="48"/>
      <c r="Q209" s="48"/>
      <c r="R209" s="48"/>
      <c r="S209" s="48"/>
      <c r="T209" s="48"/>
      <c r="U209" s="48"/>
      <c r="V209" s="48"/>
      <c r="W209" s="48"/>
      <c r="X209" s="48"/>
      <c r="Y209" s="48"/>
      <c r="Z209" s="48"/>
      <c r="AA209" s="48"/>
    </row>
    <row r="210" spans="2:27" ht="12.75" customHeight="1" x14ac:dyDescent="0.25">
      <c r="B210" s="48"/>
      <c r="C210" s="48"/>
      <c r="D210" s="48"/>
      <c r="E210" s="48"/>
      <c r="F210" s="48"/>
      <c r="G210" s="48"/>
      <c r="H210" s="48"/>
      <c r="I210" s="48"/>
      <c r="J210" s="48"/>
      <c r="K210" s="48"/>
      <c r="L210" s="48"/>
      <c r="M210" s="48"/>
      <c r="N210" s="48"/>
      <c r="O210" s="48"/>
      <c r="P210" s="48"/>
      <c r="Q210" s="48"/>
      <c r="R210" s="48"/>
      <c r="S210" s="48"/>
      <c r="T210" s="48"/>
      <c r="U210" s="48"/>
      <c r="V210" s="48"/>
      <c r="W210" s="48"/>
      <c r="X210" s="48"/>
      <c r="Y210" s="48"/>
      <c r="Z210" s="48"/>
      <c r="AA210" s="48"/>
    </row>
    <row r="211" spans="2:27" ht="12.75" customHeight="1" x14ac:dyDescent="0.25">
      <c r="B211" s="48"/>
      <c r="C211" s="48"/>
      <c r="D211" s="48"/>
      <c r="E211" s="48"/>
      <c r="F211" s="48"/>
      <c r="G211" s="48"/>
      <c r="H211" s="48"/>
      <c r="I211" s="48"/>
      <c r="J211" s="48"/>
      <c r="K211" s="48"/>
      <c r="L211" s="48"/>
      <c r="M211" s="48"/>
      <c r="N211" s="48"/>
      <c r="O211" s="48"/>
      <c r="P211" s="48"/>
      <c r="Q211" s="48"/>
      <c r="R211" s="48"/>
      <c r="S211" s="48"/>
      <c r="T211" s="48"/>
      <c r="U211" s="48"/>
      <c r="V211" s="48"/>
      <c r="W211" s="48"/>
      <c r="X211" s="48"/>
      <c r="Y211" s="48"/>
      <c r="Z211" s="48"/>
      <c r="AA211" s="48"/>
    </row>
    <row r="212" spans="2:27" ht="12.75" customHeight="1" x14ac:dyDescent="0.25">
      <c r="B212" s="48"/>
      <c r="C212" s="48"/>
      <c r="D212" s="48"/>
      <c r="E212" s="48"/>
      <c r="F212" s="48"/>
      <c r="G212" s="48"/>
      <c r="H212" s="48"/>
      <c r="I212" s="48"/>
      <c r="J212" s="48"/>
      <c r="K212" s="48"/>
      <c r="L212" s="48"/>
      <c r="M212" s="48"/>
      <c r="N212" s="48"/>
      <c r="O212" s="48"/>
      <c r="P212" s="48"/>
      <c r="Q212" s="48"/>
      <c r="R212" s="48"/>
      <c r="S212" s="48"/>
      <c r="T212" s="48"/>
      <c r="U212" s="48"/>
      <c r="V212" s="48"/>
      <c r="W212" s="48"/>
      <c r="X212" s="48"/>
      <c r="Y212" s="48"/>
      <c r="Z212" s="48"/>
      <c r="AA212" s="48"/>
    </row>
    <row r="213" spans="2:27" ht="12.75" customHeight="1" x14ac:dyDescent="0.25">
      <c r="B213" s="48"/>
      <c r="C213" s="48"/>
      <c r="D213" s="48"/>
      <c r="E213" s="48"/>
      <c r="F213" s="48"/>
      <c r="G213" s="48"/>
      <c r="H213" s="48"/>
      <c r="I213" s="48"/>
      <c r="J213" s="48"/>
      <c r="K213" s="48"/>
      <c r="L213" s="48"/>
      <c r="M213" s="48"/>
      <c r="N213" s="48"/>
      <c r="O213" s="48"/>
      <c r="P213" s="48"/>
      <c r="Q213" s="48"/>
      <c r="R213" s="48"/>
      <c r="S213" s="48"/>
      <c r="T213" s="48"/>
      <c r="U213" s="48"/>
      <c r="V213" s="48"/>
      <c r="W213" s="48"/>
      <c r="X213" s="48"/>
      <c r="Y213" s="48"/>
      <c r="Z213" s="48"/>
      <c r="AA213" s="48"/>
    </row>
    <row r="214" spans="2:27" ht="12.75" customHeight="1" x14ac:dyDescent="0.25">
      <c r="B214" s="48"/>
      <c r="C214" s="48"/>
      <c r="D214" s="48"/>
      <c r="E214" s="48"/>
      <c r="F214" s="48"/>
      <c r="G214" s="48"/>
      <c r="H214" s="48"/>
      <c r="I214" s="48"/>
      <c r="J214" s="48"/>
      <c r="K214" s="48"/>
      <c r="L214" s="48"/>
      <c r="M214" s="48"/>
      <c r="N214" s="48"/>
      <c r="O214" s="48"/>
      <c r="P214" s="48"/>
      <c r="Q214" s="48"/>
      <c r="R214" s="48"/>
      <c r="S214" s="48"/>
      <c r="T214" s="48"/>
      <c r="U214" s="48"/>
      <c r="V214" s="48"/>
      <c r="W214" s="48"/>
      <c r="X214" s="48"/>
      <c r="Y214" s="48"/>
      <c r="Z214" s="48"/>
      <c r="AA214" s="48"/>
    </row>
    <row r="215" spans="2:27" ht="12.75" customHeight="1" x14ac:dyDescent="0.25">
      <c r="B215" s="48"/>
      <c r="C215" s="48"/>
      <c r="D215" s="48"/>
      <c r="E215" s="48"/>
      <c r="F215" s="48"/>
      <c r="G215" s="48"/>
      <c r="H215" s="48"/>
      <c r="I215" s="48"/>
      <c r="J215" s="48"/>
      <c r="K215" s="48"/>
      <c r="L215" s="48"/>
      <c r="M215" s="48"/>
      <c r="N215" s="48"/>
      <c r="O215" s="48"/>
      <c r="P215" s="48"/>
      <c r="Q215" s="48"/>
      <c r="R215" s="48"/>
      <c r="S215" s="48"/>
      <c r="T215" s="48"/>
      <c r="U215" s="48"/>
      <c r="V215" s="48"/>
      <c r="W215" s="48"/>
      <c r="X215" s="48"/>
      <c r="Y215" s="48"/>
      <c r="Z215" s="48"/>
      <c r="AA215" s="48"/>
    </row>
    <row r="216" spans="2:27" ht="12.75" customHeight="1" x14ac:dyDescent="0.25">
      <c r="B216" s="48"/>
      <c r="C216" s="48"/>
      <c r="D216" s="48"/>
      <c r="E216" s="48"/>
      <c r="F216" s="48"/>
      <c r="G216" s="48"/>
      <c r="H216" s="48"/>
      <c r="I216" s="48"/>
      <c r="J216" s="48"/>
      <c r="K216" s="48"/>
      <c r="L216" s="48"/>
      <c r="M216" s="48"/>
      <c r="N216" s="48"/>
      <c r="O216" s="48"/>
      <c r="P216" s="48"/>
      <c r="Q216" s="48"/>
      <c r="R216" s="48"/>
      <c r="S216" s="48"/>
      <c r="T216" s="48"/>
      <c r="U216" s="48"/>
      <c r="V216" s="48"/>
      <c r="W216" s="48"/>
      <c r="X216" s="48"/>
      <c r="Y216" s="48"/>
      <c r="Z216" s="48"/>
      <c r="AA216" s="48"/>
    </row>
    <row r="217" spans="2:27" ht="12.75" customHeight="1" x14ac:dyDescent="0.25">
      <c r="B217" s="48"/>
      <c r="C217" s="48"/>
      <c r="D217" s="48"/>
      <c r="E217" s="48"/>
      <c r="F217" s="48"/>
      <c r="G217" s="48"/>
      <c r="H217" s="48"/>
      <c r="I217" s="48"/>
      <c r="J217" s="48"/>
      <c r="K217" s="48"/>
      <c r="L217" s="48"/>
      <c r="M217" s="48"/>
      <c r="N217" s="48"/>
      <c r="O217" s="48"/>
      <c r="P217" s="48"/>
      <c r="Q217" s="48"/>
      <c r="R217" s="48"/>
      <c r="S217" s="48"/>
      <c r="T217" s="48"/>
      <c r="U217" s="48"/>
      <c r="V217" s="48"/>
      <c r="W217" s="48"/>
      <c r="X217" s="48"/>
      <c r="Y217" s="48"/>
      <c r="Z217" s="48"/>
      <c r="AA217" s="48"/>
    </row>
    <row r="218" spans="2:27" ht="12.75" customHeight="1" x14ac:dyDescent="0.25">
      <c r="B218" s="48"/>
      <c r="C218" s="48"/>
      <c r="D218" s="48"/>
      <c r="E218" s="48"/>
      <c r="F218" s="48"/>
      <c r="G218" s="48"/>
      <c r="H218" s="48"/>
      <c r="I218" s="48"/>
      <c r="J218" s="48"/>
      <c r="K218" s="48"/>
      <c r="L218" s="48"/>
      <c r="M218" s="48"/>
      <c r="N218" s="48"/>
      <c r="O218" s="48"/>
      <c r="P218" s="48"/>
      <c r="Q218" s="48"/>
      <c r="R218" s="48"/>
      <c r="S218" s="48"/>
      <c r="T218" s="48"/>
      <c r="U218" s="48"/>
      <c r="V218" s="48"/>
      <c r="W218" s="48"/>
      <c r="X218" s="48"/>
      <c r="Y218" s="48"/>
      <c r="Z218" s="48"/>
      <c r="AA218" s="48"/>
    </row>
    <row r="219" spans="2:27" ht="12.75" customHeight="1" x14ac:dyDescent="0.25">
      <c r="B219" s="48"/>
      <c r="C219" s="48"/>
      <c r="D219" s="48"/>
      <c r="E219" s="48"/>
      <c r="F219" s="48"/>
      <c r="G219" s="48"/>
      <c r="H219" s="48"/>
      <c r="I219" s="48"/>
      <c r="J219" s="48"/>
      <c r="K219" s="48"/>
      <c r="L219" s="48"/>
      <c r="M219" s="48"/>
      <c r="N219" s="48"/>
      <c r="O219" s="48"/>
      <c r="P219" s="48"/>
      <c r="Q219" s="48"/>
      <c r="R219" s="48"/>
      <c r="S219" s="48"/>
      <c r="T219" s="48"/>
      <c r="U219" s="48"/>
      <c r="V219" s="48"/>
      <c r="W219" s="48"/>
      <c r="X219" s="48"/>
      <c r="Y219" s="48"/>
      <c r="Z219" s="48"/>
      <c r="AA219" s="48"/>
    </row>
    <row r="220" spans="2:27" ht="12.75" customHeight="1" x14ac:dyDescent="0.25">
      <c r="B220" s="48"/>
      <c r="C220" s="48"/>
      <c r="D220" s="48"/>
      <c r="E220" s="48"/>
      <c r="F220" s="48"/>
      <c r="G220" s="48"/>
      <c r="H220" s="48"/>
      <c r="I220" s="48"/>
      <c r="J220" s="48"/>
      <c r="K220" s="48"/>
      <c r="L220" s="48"/>
      <c r="M220" s="48"/>
      <c r="N220" s="48"/>
      <c r="O220" s="48"/>
      <c r="P220" s="48"/>
      <c r="Q220" s="48"/>
      <c r="R220" s="48"/>
      <c r="S220" s="48"/>
      <c r="T220" s="48"/>
      <c r="U220" s="48"/>
      <c r="V220" s="48"/>
      <c r="W220" s="48"/>
      <c r="X220" s="48"/>
      <c r="Y220" s="48"/>
      <c r="Z220" s="48"/>
      <c r="AA220" s="48"/>
    </row>
    <row r="221" spans="2:27" ht="12.75" customHeight="1" x14ac:dyDescent="0.25">
      <c r="B221" s="48"/>
      <c r="C221" s="48"/>
      <c r="D221" s="48"/>
      <c r="E221" s="48"/>
      <c r="F221" s="48"/>
      <c r="G221" s="48"/>
      <c r="H221" s="48"/>
      <c r="I221" s="48"/>
      <c r="J221" s="48"/>
      <c r="K221" s="48"/>
      <c r="L221" s="48"/>
      <c r="M221" s="48"/>
      <c r="N221" s="48"/>
      <c r="O221" s="48"/>
      <c r="P221" s="48"/>
      <c r="Q221" s="48"/>
      <c r="R221" s="48"/>
      <c r="S221" s="48"/>
      <c r="T221" s="48"/>
      <c r="U221" s="48"/>
      <c r="V221" s="48"/>
      <c r="W221" s="48"/>
      <c r="X221" s="48"/>
      <c r="Y221" s="48"/>
      <c r="Z221" s="48"/>
      <c r="AA221" s="48"/>
    </row>
    <row r="222" spans="2:27" ht="12.75" customHeight="1" x14ac:dyDescent="0.25">
      <c r="B222" s="48"/>
      <c r="C222" s="48"/>
      <c r="D222" s="48"/>
      <c r="E222" s="48"/>
      <c r="F222" s="48"/>
      <c r="G222" s="48"/>
      <c r="H222" s="48"/>
      <c r="I222" s="48"/>
      <c r="J222" s="48"/>
      <c r="K222" s="48"/>
      <c r="L222" s="48"/>
      <c r="M222" s="48"/>
      <c r="N222" s="48"/>
      <c r="O222" s="48"/>
      <c r="P222" s="48"/>
      <c r="Q222" s="48"/>
      <c r="R222" s="48"/>
      <c r="S222" s="48"/>
      <c r="T222" s="48"/>
      <c r="U222" s="48"/>
      <c r="V222" s="48"/>
      <c r="W222" s="48"/>
      <c r="X222" s="48"/>
      <c r="Y222" s="48"/>
      <c r="Z222" s="48"/>
      <c r="AA222" s="48"/>
    </row>
    <row r="223" spans="2:27" ht="12.75" customHeight="1" x14ac:dyDescent="0.25">
      <c r="B223" s="48"/>
      <c r="C223" s="48"/>
      <c r="D223" s="48"/>
      <c r="E223" s="48"/>
      <c r="F223" s="48"/>
      <c r="G223" s="48"/>
      <c r="H223" s="48"/>
      <c r="I223" s="48"/>
      <c r="J223" s="48"/>
      <c r="K223" s="48"/>
      <c r="L223" s="48"/>
      <c r="M223" s="48"/>
      <c r="N223" s="48"/>
      <c r="O223" s="48"/>
      <c r="P223" s="48"/>
      <c r="Q223" s="48"/>
      <c r="R223" s="48"/>
      <c r="S223" s="48"/>
      <c r="T223" s="48"/>
      <c r="U223" s="48"/>
      <c r="V223" s="48"/>
      <c r="W223" s="48"/>
      <c r="X223" s="48"/>
      <c r="Y223" s="48"/>
      <c r="Z223" s="48"/>
      <c r="AA223" s="48"/>
    </row>
    <row r="224" spans="2:27" ht="12.75" customHeight="1" x14ac:dyDescent="0.25">
      <c r="B224" s="48"/>
      <c r="C224" s="48"/>
      <c r="D224" s="48"/>
      <c r="E224" s="48"/>
      <c r="F224" s="48"/>
      <c r="G224" s="48"/>
      <c r="H224" s="48"/>
      <c r="I224" s="48"/>
      <c r="J224" s="48"/>
      <c r="K224" s="48"/>
      <c r="L224" s="48"/>
      <c r="M224" s="48"/>
      <c r="N224" s="48"/>
      <c r="O224" s="48"/>
      <c r="P224" s="48"/>
      <c r="Q224" s="48"/>
      <c r="R224" s="48"/>
      <c r="S224" s="48"/>
      <c r="T224" s="48"/>
      <c r="U224" s="48"/>
      <c r="V224" s="48"/>
      <c r="W224" s="48"/>
      <c r="X224" s="48"/>
      <c r="Y224" s="48"/>
      <c r="Z224" s="48"/>
      <c r="AA224" s="48"/>
    </row>
    <row r="225" spans="2:27" ht="12.75" customHeight="1" x14ac:dyDescent="0.25">
      <c r="B225" s="48"/>
      <c r="C225" s="48"/>
      <c r="D225" s="48"/>
      <c r="E225" s="48"/>
      <c r="F225" s="48"/>
      <c r="G225" s="48"/>
      <c r="H225" s="48"/>
      <c r="I225" s="48"/>
      <c r="J225" s="48"/>
      <c r="K225" s="48"/>
      <c r="L225" s="48"/>
      <c r="M225" s="48"/>
      <c r="N225" s="48"/>
      <c r="O225" s="48"/>
      <c r="P225" s="48"/>
      <c r="Q225" s="48"/>
      <c r="R225" s="48"/>
      <c r="S225" s="48"/>
      <c r="T225" s="48"/>
      <c r="U225" s="48"/>
      <c r="V225" s="48"/>
      <c r="W225" s="48"/>
      <c r="X225" s="48"/>
      <c r="Y225" s="48"/>
      <c r="Z225" s="48"/>
      <c r="AA225" s="48"/>
    </row>
    <row r="226" spans="2:27" ht="12.75" customHeight="1" x14ac:dyDescent="0.25">
      <c r="B226" s="48"/>
      <c r="C226" s="48"/>
      <c r="D226" s="48"/>
      <c r="E226" s="48"/>
      <c r="F226" s="48"/>
      <c r="G226" s="48"/>
      <c r="H226" s="48"/>
      <c r="I226" s="48"/>
      <c r="J226" s="48"/>
      <c r="K226" s="48"/>
      <c r="L226" s="48"/>
      <c r="M226" s="48"/>
      <c r="N226" s="48"/>
      <c r="O226" s="48"/>
      <c r="P226" s="48"/>
      <c r="Q226" s="48"/>
      <c r="R226" s="48"/>
      <c r="S226" s="48"/>
      <c r="T226" s="48"/>
      <c r="U226" s="48"/>
      <c r="V226" s="48"/>
      <c r="W226" s="48"/>
      <c r="X226" s="48"/>
      <c r="Y226" s="48"/>
      <c r="Z226" s="48"/>
      <c r="AA226" s="48"/>
    </row>
    <row r="227" spans="2:27" ht="12.75" customHeight="1" x14ac:dyDescent="0.25">
      <c r="B227" s="48"/>
      <c r="C227" s="48"/>
      <c r="D227" s="48"/>
      <c r="E227" s="48"/>
      <c r="F227" s="48"/>
      <c r="G227" s="48"/>
      <c r="H227" s="48"/>
      <c r="I227" s="48"/>
      <c r="J227" s="48"/>
      <c r="K227" s="48"/>
      <c r="L227" s="48"/>
      <c r="M227" s="48"/>
      <c r="N227" s="48"/>
      <c r="O227" s="48"/>
      <c r="P227" s="48"/>
      <c r="Q227" s="48"/>
      <c r="R227" s="48"/>
      <c r="S227" s="48"/>
      <c r="T227" s="48"/>
      <c r="U227" s="48"/>
      <c r="V227" s="48"/>
      <c r="W227" s="48"/>
      <c r="X227" s="48"/>
      <c r="Y227" s="48"/>
      <c r="Z227" s="48"/>
      <c r="AA227" s="48"/>
    </row>
    <row r="228" spans="2:27" ht="12.75" customHeight="1" x14ac:dyDescent="0.25">
      <c r="B228" s="48"/>
      <c r="C228" s="48"/>
      <c r="D228" s="48"/>
      <c r="E228" s="48"/>
      <c r="F228" s="48"/>
      <c r="G228" s="48"/>
      <c r="H228" s="48"/>
      <c r="I228" s="48"/>
      <c r="J228" s="48"/>
      <c r="K228" s="48"/>
      <c r="L228" s="48"/>
      <c r="M228" s="48"/>
      <c r="N228" s="48"/>
      <c r="O228" s="48"/>
      <c r="P228" s="48"/>
      <c r="Q228" s="48"/>
      <c r="R228" s="48"/>
      <c r="S228" s="48"/>
      <c r="T228" s="48"/>
      <c r="U228" s="48"/>
      <c r="V228" s="48"/>
      <c r="W228" s="48"/>
      <c r="X228" s="48"/>
      <c r="Y228" s="48"/>
      <c r="Z228" s="48"/>
      <c r="AA228" s="48"/>
    </row>
    <row r="229" spans="2:27" ht="12.75" customHeight="1" x14ac:dyDescent="0.25">
      <c r="B229" s="48"/>
      <c r="C229" s="48"/>
      <c r="D229" s="48"/>
      <c r="E229" s="48"/>
      <c r="F229" s="48"/>
      <c r="G229" s="48"/>
      <c r="H229" s="48"/>
      <c r="I229" s="48"/>
      <c r="J229" s="48"/>
      <c r="K229" s="48"/>
      <c r="L229" s="48"/>
      <c r="M229" s="48"/>
      <c r="N229" s="48"/>
      <c r="O229" s="48"/>
      <c r="P229" s="48"/>
      <c r="Q229" s="48"/>
      <c r="R229" s="48"/>
      <c r="S229" s="48"/>
      <c r="T229" s="48"/>
      <c r="U229" s="48"/>
      <c r="V229" s="48"/>
      <c r="W229" s="48"/>
      <c r="X229" s="48"/>
      <c r="Y229" s="48"/>
      <c r="Z229" s="48"/>
      <c r="AA229" s="48"/>
    </row>
    <row r="230" spans="2:27" ht="12.75" customHeight="1" x14ac:dyDescent="0.25">
      <c r="B230" s="48"/>
      <c r="C230" s="48"/>
      <c r="D230" s="48"/>
      <c r="E230" s="48"/>
      <c r="F230" s="48"/>
      <c r="G230" s="48"/>
      <c r="H230" s="48"/>
      <c r="I230" s="48"/>
      <c r="J230" s="48"/>
      <c r="K230" s="48"/>
      <c r="L230" s="48"/>
      <c r="M230" s="48"/>
      <c r="N230" s="48"/>
      <c r="O230" s="48"/>
      <c r="P230" s="48"/>
      <c r="Q230" s="48"/>
      <c r="R230" s="48"/>
      <c r="S230" s="48"/>
      <c r="T230" s="48"/>
      <c r="U230" s="48"/>
      <c r="V230" s="48"/>
      <c r="W230" s="48"/>
      <c r="X230" s="48"/>
      <c r="Y230" s="48"/>
      <c r="Z230" s="48"/>
      <c r="AA230" s="48"/>
    </row>
    <row r="231" spans="2:27" ht="12.75" customHeight="1" x14ac:dyDescent="0.25">
      <c r="B231" s="48"/>
      <c r="C231" s="48"/>
      <c r="D231" s="48"/>
      <c r="E231" s="48"/>
      <c r="F231" s="48"/>
      <c r="G231" s="48"/>
      <c r="H231" s="48"/>
      <c r="I231" s="48"/>
      <c r="J231" s="48"/>
      <c r="K231" s="48"/>
      <c r="L231" s="48"/>
      <c r="M231" s="48"/>
      <c r="N231" s="48"/>
      <c r="O231" s="48"/>
      <c r="P231" s="48"/>
      <c r="Q231" s="48"/>
      <c r="R231" s="48"/>
      <c r="S231" s="48"/>
      <c r="T231" s="48"/>
      <c r="U231" s="48"/>
      <c r="V231" s="48"/>
      <c r="W231" s="48"/>
      <c r="X231" s="48"/>
      <c r="Y231" s="48"/>
      <c r="Z231" s="48"/>
      <c r="AA231" s="48"/>
    </row>
    <row r="232" spans="2:27" ht="12.75" customHeight="1" x14ac:dyDescent="0.25">
      <c r="B232" s="48"/>
      <c r="C232" s="48"/>
      <c r="D232" s="48"/>
      <c r="E232" s="48"/>
      <c r="F232" s="48"/>
      <c r="G232" s="48"/>
      <c r="H232" s="48"/>
      <c r="I232" s="48"/>
      <c r="J232" s="48"/>
      <c r="K232" s="48"/>
      <c r="L232" s="48"/>
      <c r="M232" s="48"/>
      <c r="N232" s="48"/>
      <c r="O232" s="48"/>
      <c r="P232" s="48"/>
      <c r="Q232" s="48"/>
      <c r="R232" s="48"/>
      <c r="S232" s="48"/>
      <c r="T232" s="48"/>
      <c r="U232" s="48"/>
      <c r="V232" s="48"/>
      <c r="W232" s="48"/>
      <c r="X232" s="48"/>
      <c r="Y232" s="48"/>
      <c r="Z232" s="48"/>
      <c r="AA232" s="48"/>
    </row>
    <row r="233" spans="2:27" ht="12.75" customHeight="1" x14ac:dyDescent="0.25">
      <c r="B233" s="48"/>
      <c r="C233" s="48"/>
      <c r="D233" s="48"/>
      <c r="E233" s="48"/>
      <c r="F233" s="48"/>
      <c r="G233" s="48"/>
      <c r="H233" s="48"/>
      <c r="I233" s="48"/>
      <c r="J233" s="48"/>
      <c r="K233" s="48"/>
      <c r="L233" s="48"/>
      <c r="M233" s="48"/>
      <c r="N233" s="48"/>
      <c r="O233" s="48"/>
      <c r="P233" s="48"/>
      <c r="Q233" s="48"/>
      <c r="R233" s="48"/>
      <c r="S233" s="48"/>
      <c r="T233" s="48"/>
      <c r="U233" s="48"/>
      <c r="V233" s="48"/>
      <c r="W233" s="48"/>
      <c r="X233" s="48"/>
      <c r="Y233" s="48"/>
      <c r="Z233" s="48"/>
      <c r="AA233" s="48"/>
    </row>
    <row r="234" spans="2:27" ht="12.75" customHeight="1" x14ac:dyDescent="0.25">
      <c r="B234" s="48"/>
      <c r="C234" s="48"/>
      <c r="D234" s="48"/>
      <c r="E234" s="48"/>
      <c r="F234" s="48"/>
      <c r="G234" s="48"/>
      <c r="H234" s="48"/>
      <c r="I234" s="48"/>
      <c r="J234" s="48"/>
      <c r="K234" s="48"/>
      <c r="L234" s="48"/>
      <c r="M234" s="48"/>
      <c r="N234" s="48"/>
      <c r="O234" s="48"/>
      <c r="P234" s="48"/>
      <c r="Q234" s="48"/>
      <c r="R234" s="48"/>
      <c r="S234" s="48"/>
      <c r="T234" s="48"/>
      <c r="U234" s="48"/>
      <c r="V234" s="48"/>
      <c r="W234" s="48"/>
      <c r="X234" s="48"/>
      <c r="Y234" s="48"/>
      <c r="Z234" s="48"/>
      <c r="AA234" s="48"/>
    </row>
    <row r="235" spans="2:27" ht="12.75" customHeight="1" x14ac:dyDescent="0.25">
      <c r="B235" s="48"/>
      <c r="C235" s="48"/>
      <c r="D235" s="48"/>
      <c r="E235" s="48"/>
      <c r="F235" s="48"/>
      <c r="G235" s="48"/>
      <c r="H235" s="48"/>
      <c r="I235" s="48"/>
      <c r="J235" s="48"/>
      <c r="K235" s="48"/>
      <c r="L235" s="48"/>
      <c r="M235" s="48"/>
      <c r="N235" s="48"/>
      <c r="O235" s="48"/>
      <c r="P235" s="48"/>
      <c r="Q235" s="48"/>
      <c r="R235" s="48"/>
      <c r="S235" s="48"/>
      <c r="T235" s="48"/>
      <c r="U235" s="48"/>
      <c r="V235" s="48"/>
      <c r="W235" s="48"/>
      <c r="X235" s="48"/>
      <c r="Y235" s="48"/>
      <c r="Z235" s="48"/>
      <c r="AA235" s="48"/>
    </row>
    <row r="236" spans="2:27" ht="12.75" customHeight="1" x14ac:dyDescent="0.25">
      <c r="B236" s="48"/>
      <c r="C236" s="48"/>
      <c r="D236" s="48"/>
      <c r="E236" s="48"/>
      <c r="F236" s="48"/>
      <c r="G236" s="48"/>
      <c r="H236" s="48"/>
      <c r="I236" s="48"/>
      <c r="J236" s="48"/>
      <c r="K236" s="48"/>
      <c r="L236" s="48"/>
      <c r="M236" s="48"/>
      <c r="N236" s="48"/>
      <c r="O236" s="48"/>
      <c r="P236" s="48"/>
      <c r="Q236" s="48"/>
      <c r="R236" s="48"/>
      <c r="S236" s="48"/>
      <c r="T236" s="48"/>
      <c r="U236" s="48"/>
      <c r="V236" s="48"/>
      <c r="W236" s="48"/>
      <c r="X236" s="48"/>
      <c r="Y236" s="48"/>
      <c r="Z236" s="48"/>
      <c r="AA236" s="48"/>
    </row>
    <row r="237" spans="2:27" ht="12.75" customHeight="1" x14ac:dyDescent="0.25">
      <c r="B237" s="48"/>
      <c r="C237" s="48"/>
      <c r="D237" s="48"/>
      <c r="E237" s="48"/>
      <c r="F237" s="48"/>
      <c r="G237" s="48"/>
      <c r="H237" s="48"/>
      <c r="I237" s="48"/>
      <c r="J237" s="48"/>
      <c r="K237" s="48"/>
      <c r="L237" s="48"/>
      <c r="M237" s="48"/>
      <c r="N237" s="48"/>
      <c r="O237" s="48"/>
      <c r="P237" s="48"/>
      <c r="Q237" s="48"/>
      <c r="R237" s="48"/>
      <c r="S237" s="48"/>
      <c r="T237" s="48"/>
      <c r="U237" s="48"/>
      <c r="V237" s="48"/>
      <c r="W237" s="48"/>
      <c r="X237" s="48"/>
      <c r="Y237" s="48"/>
      <c r="Z237" s="48"/>
      <c r="AA237" s="48"/>
    </row>
    <row r="238" spans="2:27" ht="12.75" customHeight="1" x14ac:dyDescent="0.25">
      <c r="B238" s="48"/>
      <c r="C238" s="48"/>
      <c r="D238" s="48"/>
      <c r="E238" s="48"/>
      <c r="F238" s="48"/>
      <c r="G238" s="48"/>
      <c r="H238" s="48"/>
      <c r="I238" s="48"/>
      <c r="J238" s="48"/>
      <c r="K238" s="48"/>
      <c r="L238" s="48"/>
      <c r="M238" s="48"/>
      <c r="N238" s="48"/>
      <c r="O238" s="48"/>
      <c r="P238" s="48"/>
      <c r="Q238" s="48"/>
      <c r="R238" s="48"/>
      <c r="S238" s="48"/>
      <c r="T238" s="48"/>
      <c r="U238" s="48"/>
      <c r="V238" s="48"/>
      <c r="W238" s="48"/>
      <c r="X238" s="48"/>
      <c r="Y238" s="48"/>
      <c r="Z238" s="48"/>
      <c r="AA238" s="48"/>
    </row>
    <row r="239" spans="2:27" ht="12.75" customHeight="1" x14ac:dyDescent="0.25">
      <c r="B239" s="48"/>
      <c r="C239" s="48"/>
      <c r="D239" s="48"/>
      <c r="E239" s="48"/>
      <c r="F239" s="48"/>
      <c r="G239" s="48"/>
      <c r="H239" s="48"/>
      <c r="I239" s="48"/>
      <c r="J239" s="48"/>
      <c r="K239" s="48"/>
      <c r="L239" s="48"/>
      <c r="M239" s="48"/>
      <c r="N239" s="48"/>
      <c r="O239" s="48"/>
      <c r="P239" s="48"/>
      <c r="Q239" s="48"/>
      <c r="R239" s="48"/>
      <c r="S239" s="48"/>
      <c r="T239" s="48"/>
      <c r="U239" s="48"/>
      <c r="V239" s="48"/>
      <c r="W239" s="48"/>
      <c r="X239" s="48"/>
      <c r="Y239" s="48"/>
      <c r="Z239" s="48"/>
      <c r="AA239" s="48"/>
    </row>
    <row r="240" spans="2:27" ht="12.75" customHeight="1" x14ac:dyDescent="0.25">
      <c r="B240" s="48"/>
      <c r="C240" s="48"/>
      <c r="D240" s="48"/>
      <c r="E240" s="48"/>
      <c r="F240" s="48"/>
      <c r="G240" s="48"/>
      <c r="H240" s="48"/>
      <c r="I240" s="48"/>
      <c r="J240" s="48"/>
      <c r="K240" s="48"/>
      <c r="L240" s="48"/>
      <c r="M240" s="48"/>
      <c r="N240" s="48"/>
      <c r="O240" s="48"/>
      <c r="P240" s="48"/>
      <c r="Q240" s="48"/>
      <c r="R240" s="48"/>
      <c r="S240" s="48"/>
      <c r="T240" s="48"/>
      <c r="U240" s="48"/>
      <c r="V240" s="48"/>
      <c r="W240" s="48"/>
      <c r="X240" s="48"/>
      <c r="Y240" s="48"/>
      <c r="Z240" s="48"/>
      <c r="AA240" s="48"/>
    </row>
    <row r="241" spans="2:27" ht="12.75" customHeight="1" x14ac:dyDescent="0.25">
      <c r="B241" s="48"/>
      <c r="C241" s="48"/>
      <c r="D241" s="48"/>
      <c r="E241" s="48"/>
      <c r="F241" s="48"/>
      <c r="G241" s="48"/>
      <c r="H241" s="48"/>
      <c r="I241" s="48"/>
      <c r="J241" s="48"/>
      <c r="K241" s="48"/>
      <c r="L241" s="48"/>
      <c r="M241" s="48"/>
      <c r="N241" s="48"/>
      <c r="O241" s="48"/>
      <c r="P241" s="48"/>
      <c r="Q241" s="48"/>
      <c r="R241" s="48"/>
      <c r="S241" s="48"/>
      <c r="T241" s="48"/>
      <c r="U241" s="48"/>
      <c r="V241" s="48"/>
      <c r="W241" s="48"/>
      <c r="X241" s="48"/>
      <c r="Y241" s="48"/>
      <c r="Z241" s="48"/>
      <c r="AA241" s="48"/>
    </row>
    <row r="242" spans="2:27" ht="12.75" customHeight="1" x14ac:dyDescent="0.25">
      <c r="B242" s="48"/>
      <c r="C242" s="48"/>
      <c r="D242" s="48"/>
      <c r="E242" s="48"/>
      <c r="F242" s="48"/>
      <c r="G242" s="48"/>
      <c r="H242" s="48"/>
      <c r="I242" s="48"/>
      <c r="J242" s="48"/>
      <c r="K242" s="48"/>
      <c r="L242" s="48"/>
      <c r="M242" s="48"/>
      <c r="N242" s="48"/>
      <c r="O242" s="48"/>
      <c r="P242" s="48"/>
      <c r="Q242" s="48"/>
      <c r="R242" s="48"/>
      <c r="S242" s="48"/>
      <c r="T242" s="48"/>
      <c r="U242" s="48"/>
      <c r="V242" s="48"/>
      <c r="W242" s="48"/>
      <c r="X242" s="48"/>
      <c r="Y242" s="48"/>
      <c r="Z242" s="48"/>
      <c r="AA242" s="48"/>
    </row>
    <row r="243" spans="2:27" ht="12.75" customHeight="1" x14ac:dyDescent="0.25">
      <c r="B243" s="48"/>
      <c r="C243" s="48"/>
      <c r="D243" s="48"/>
      <c r="E243" s="48"/>
      <c r="F243" s="48"/>
      <c r="G243" s="48"/>
      <c r="H243" s="48"/>
      <c r="I243" s="48"/>
      <c r="J243" s="48"/>
      <c r="K243" s="48"/>
      <c r="L243" s="48"/>
      <c r="M243" s="48"/>
      <c r="N243" s="48"/>
      <c r="O243" s="48"/>
      <c r="P243" s="48"/>
      <c r="Q243" s="48"/>
      <c r="R243" s="48"/>
      <c r="S243" s="48"/>
      <c r="T243" s="48"/>
      <c r="U243" s="48"/>
      <c r="V243" s="48"/>
      <c r="W243" s="48"/>
      <c r="X243" s="48"/>
      <c r="Y243" s="48"/>
      <c r="Z243" s="48"/>
      <c r="AA243" s="48"/>
    </row>
    <row r="244" spans="2:27" ht="12.75" customHeight="1" x14ac:dyDescent="0.25">
      <c r="B244" s="48"/>
      <c r="C244" s="48"/>
      <c r="D244" s="48"/>
      <c r="E244" s="48"/>
      <c r="F244" s="48"/>
      <c r="G244" s="48"/>
      <c r="H244" s="48"/>
      <c r="I244" s="48"/>
      <c r="J244" s="48"/>
      <c r="K244" s="48"/>
      <c r="L244" s="48"/>
      <c r="M244" s="48"/>
      <c r="N244" s="48"/>
      <c r="O244" s="48"/>
      <c r="P244" s="48"/>
      <c r="Q244" s="48"/>
      <c r="R244" s="48"/>
      <c r="S244" s="48"/>
      <c r="T244" s="48"/>
      <c r="U244" s="48"/>
      <c r="V244" s="48"/>
      <c r="W244" s="48"/>
      <c r="X244" s="48"/>
      <c r="Y244" s="48"/>
      <c r="Z244" s="48"/>
      <c r="AA244" s="48"/>
    </row>
    <row r="245" spans="2:27" ht="12.75" customHeight="1" x14ac:dyDescent="0.25">
      <c r="B245" s="48"/>
      <c r="C245" s="48"/>
      <c r="D245" s="48"/>
      <c r="E245" s="48"/>
      <c r="F245" s="48"/>
      <c r="G245" s="48"/>
      <c r="H245" s="48"/>
      <c r="I245" s="48"/>
      <c r="J245" s="48"/>
      <c r="K245" s="48"/>
      <c r="L245" s="48"/>
      <c r="M245" s="48"/>
      <c r="N245" s="48"/>
      <c r="O245" s="48"/>
      <c r="P245" s="48"/>
      <c r="Q245" s="48"/>
      <c r="R245" s="48"/>
      <c r="S245" s="48"/>
      <c r="T245" s="48"/>
      <c r="U245" s="48"/>
      <c r="V245" s="48"/>
      <c r="W245" s="48"/>
      <c r="X245" s="48"/>
      <c r="Y245" s="48"/>
      <c r="Z245" s="48"/>
      <c r="AA245" s="48"/>
    </row>
    <row r="246" spans="2:27" ht="12.75" customHeight="1" x14ac:dyDescent="0.25">
      <c r="B246" s="48"/>
      <c r="C246" s="48"/>
      <c r="D246" s="48"/>
      <c r="E246" s="48"/>
      <c r="F246" s="48"/>
      <c r="G246" s="48"/>
      <c r="H246" s="48"/>
      <c r="I246" s="48"/>
      <c r="J246" s="48"/>
      <c r="K246" s="48"/>
      <c r="L246" s="48"/>
      <c r="M246" s="48"/>
      <c r="N246" s="48"/>
      <c r="O246" s="48"/>
      <c r="P246" s="48"/>
      <c r="Q246" s="48"/>
      <c r="R246" s="48"/>
      <c r="S246" s="48"/>
      <c r="T246" s="48"/>
      <c r="U246" s="48"/>
      <c r="V246" s="48"/>
      <c r="W246" s="48"/>
      <c r="X246" s="48"/>
      <c r="Y246" s="48"/>
      <c r="Z246" s="48"/>
      <c r="AA246" s="48"/>
    </row>
    <row r="247" spans="2:27" ht="12.75" customHeight="1" x14ac:dyDescent="0.25">
      <c r="B247" s="48"/>
      <c r="C247" s="48"/>
      <c r="D247" s="48"/>
      <c r="E247" s="48"/>
      <c r="F247" s="48"/>
      <c r="G247" s="48"/>
      <c r="H247" s="48"/>
      <c r="I247" s="48"/>
      <c r="J247" s="48"/>
      <c r="K247" s="48"/>
      <c r="L247" s="48"/>
      <c r="M247" s="48"/>
      <c r="N247" s="48"/>
      <c r="O247" s="48"/>
      <c r="P247" s="48"/>
      <c r="Q247" s="48"/>
      <c r="R247" s="48"/>
      <c r="S247" s="48"/>
      <c r="T247" s="48"/>
      <c r="U247" s="48"/>
      <c r="V247" s="48"/>
      <c r="W247" s="48"/>
      <c r="X247" s="48"/>
      <c r="Y247" s="48"/>
      <c r="Z247" s="48"/>
      <c r="AA247" s="48"/>
    </row>
    <row r="248" spans="2:27" ht="12.75" customHeight="1" x14ac:dyDescent="0.25">
      <c r="B248" s="48"/>
      <c r="C248" s="48"/>
      <c r="D248" s="48"/>
      <c r="E248" s="48"/>
      <c r="F248" s="48"/>
      <c r="G248" s="48"/>
      <c r="H248" s="48"/>
      <c r="I248" s="48"/>
      <c r="J248" s="48"/>
      <c r="K248" s="48"/>
      <c r="L248" s="48"/>
      <c r="M248" s="48"/>
      <c r="N248" s="48"/>
      <c r="O248" s="48"/>
      <c r="P248" s="48"/>
      <c r="Q248" s="48"/>
      <c r="R248" s="48"/>
      <c r="S248" s="48"/>
      <c r="T248" s="48"/>
      <c r="U248" s="48"/>
      <c r="V248" s="48"/>
      <c r="W248" s="48"/>
      <c r="X248" s="48"/>
      <c r="Y248" s="48"/>
      <c r="Z248" s="48"/>
      <c r="AA248" s="48"/>
    </row>
    <row r="249" spans="2:27" ht="12.75" customHeight="1" x14ac:dyDescent="0.25">
      <c r="B249" s="48"/>
      <c r="C249" s="48"/>
      <c r="D249" s="48"/>
      <c r="E249" s="48"/>
      <c r="F249" s="48"/>
      <c r="G249" s="48"/>
      <c r="H249" s="48"/>
      <c r="I249" s="48"/>
      <c r="J249" s="48"/>
      <c r="K249" s="48"/>
      <c r="L249" s="48"/>
      <c r="M249" s="48"/>
      <c r="N249" s="48"/>
      <c r="O249" s="48"/>
      <c r="P249" s="48"/>
      <c r="Q249" s="48"/>
      <c r="R249" s="48"/>
      <c r="S249" s="48"/>
      <c r="T249" s="48"/>
      <c r="U249" s="48"/>
      <c r="V249" s="48"/>
      <c r="W249" s="48"/>
      <c r="X249" s="48"/>
      <c r="Y249" s="48"/>
      <c r="Z249" s="48"/>
      <c r="AA249" s="48"/>
    </row>
    <row r="250" spans="2:27" ht="12.75" customHeight="1" x14ac:dyDescent="0.25">
      <c r="B250" s="48"/>
      <c r="C250" s="48"/>
      <c r="D250" s="48"/>
      <c r="E250" s="48"/>
      <c r="F250" s="48"/>
      <c r="G250" s="48"/>
      <c r="H250" s="48"/>
      <c r="I250" s="48"/>
      <c r="J250" s="48"/>
      <c r="K250" s="48"/>
      <c r="L250" s="48"/>
      <c r="M250" s="48"/>
      <c r="N250" s="48"/>
      <c r="O250" s="48"/>
      <c r="P250" s="48"/>
      <c r="Q250" s="48"/>
      <c r="R250" s="48"/>
      <c r="S250" s="48"/>
      <c r="T250" s="48"/>
      <c r="U250" s="48"/>
      <c r="V250" s="48"/>
      <c r="W250" s="48"/>
      <c r="X250" s="48"/>
      <c r="Y250" s="48"/>
      <c r="Z250" s="48"/>
      <c r="AA250" s="48"/>
    </row>
    <row r="251" spans="2:27" ht="12.75" customHeight="1" x14ac:dyDescent="0.25">
      <c r="B251" s="48"/>
      <c r="C251" s="48"/>
      <c r="D251" s="48"/>
      <c r="E251" s="48"/>
      <c r="F251" s="48"/>
      <c r="G251" s="48"/>
      <c r="H251" s="48"/>
      <c r="I251" s="48"/>
      <c r="J251" s="48"/>
      <c r="K251" s="48"/>
      <c r="L251" s="48"/>
      <c r="M251" s="48"/>
      <c r="N251" s="48"/>
      <c r="O251" s="48"/>
      <c r="P251" s="48"/>
      <c r="Q251" s="48"/>
      <c r="R251" s="48"/>
      <c r="S251" s="48"/>
      <c r="T251" s="48"/>
      <c r="U251" s="48"/>
      <c r="V251" s="48"/>
      <c r="W251" s="48"/>
      <c r="X251" s="48"/>
      <c r="Y251" s="48"/>
      <c r="Z251" s="48"/>
      <c r="AA251" s="48"/>
    </row>
    <row r="252" spans="2:27" ht="12.75" customHeight="1" x14ac:dyDescent="0.25">
      <c r="B252" s="48"/>
      <c r="C252" s="48"/>
      <c r="D252" s="48"/>
      <c r="E252" s="48"/>
      <c r="F252" s="48"/>
      <c r="G252" s="48"/>
      <c r="H252" s="48"/>
      <c r="I252" s="48"/>
      <c r="J252" s="48"/>
      <c r="K252" s="48"/>
      <c r="L252" s="48"/>
      <c r="M252" s="48"/>
      <c r="N252" s="48"/>
      <c r="O252" s="48"/>
      <c r="P252" s="48"/>
      <c r="Q252" s="48"/>
      <c r="R252" s="48"/>
      <c r="S252" s="48"/>
      <c r="T252" s="48"/>
      <c r="U252" s="48"/>
      <c r="V252" s="48"/>
      <c r="W252" s="48"/>
      <c r="X252" s="48"/>
      <c r="Y252" s="48"/>
      <c r="Z252" s="48"/>
      <c r="AA252" s="48"/>
    </row>
    <row r="253" spans="2:27" ht="12.75" customHeight="1" x14ac:dyDescent="0.25">
      <c r="B253" s="48"/>
      <c r="C253" s="48"/>
      <c r="D253" s="48"/>
      <c r="E253" s="48"/>
      <c r="F253" s="48"/>
      <c r="G253" s="48"/>
      <c r="H253" s="48"/>
      <c r="I253" s="48"/>
      <c r="J253" s="48"/>
      <c r="K253" s="48"/>
      <c r="L253" s="48"/>
      <c r="M253" s="48"/>
      <c r="N253" s="48"/>
      <c r="O253" s="48"/>
      <c r="P253" s="48"/>
      <c r="Q253" s="48"/>
      <c r="R253" s="48"/>
      <c r="S253" s="48"/>
      <c r="T253" s="48"/>
      <c r="U253" s="48"/>
      <c r="V253" s="48"/>
      <c r="W253" s="48"/>
      <c r="X253" s="48"/>
      <c r="Y253" s="48"/>
      <c r="Z253" s="48"/>
      <c r="AA253" s="48"/>
    </row>
    <row r="254" spans="2:27" ht="12.75" customHeight="1" x14ac:dyDescent="0.25">
      <c r="B254" s="48"/>
      <c r="C254" s="48"/>
      <c r="D254" s="48"/>
      <c r="E254" s="48"/>
      <c r="F254" s="48"/>
      <c r="G254" s="48"/>
      <c r="H254" s="48"/>
      <c r="I254" s="48"/>
      <c r="J254" s="48"/>
      <c r="K254" s="48"/>
      <c r="L254" s="48"/>
      <c r="M254" s="48"/>
      <c r="N254" s="48"/>
      <c r="O254" s="48"/>
      <c r="P254" s="48"/>
      <c r="Q254" s="48"/>
      <c r="R254" s="48"/>
      <c r="S254" s="48"/>
      <c r="T254" s="48"/>
      <c r="U254" s="48"/>
      <c r="V254" s="48"/>
      <c r="W254" s="48"/>
      <c r="X254" s="48"/>
      <c r="Y254" s="48"/>
      <c r="Z254" s="48"/>
      <c r="AA254" s="48"/>
    </row>
    <row r="255" spans="2:27" ht="12.75" customHeight="1" x14ac:dyDescent="0.25">
      <c r="B255" s="48"/>
      <c r="C255" s="48"/>
      <c r="D255" s="48"/>
      <c r="E255" s="48"/>
      <c r="F255" s="48"/>
      <c r="G255" s="48"/>
      <c r="H255" s="48"/>
      <c r="I255" s="48"/>
      <c r="J255" s="48"/>
      <c r="K255" s="48"/>
      <c r="L255" s="48"/>
      <c r="M255" s="48"/>
      <c r="N255" s="48"/>
      <c r="O255" s="48"/>
      <c r="P255" s="48"/>
      <c r="Q255" s="48"/>
      <c r="R255" s="48"/>
      <c r="S255" s="48"/>
      <c r="T255" s="48"/>
      <c r="U255" s="48"/>
      <c r="V255" s="48"/>
      <c r="W255" s="48"/>
      <c r="X255" s="48"/>
      <c r="Y255" s="48"/>
      <c r="Z255" s="48"/>
      <c r="AA255" s="48"/>
    </row>
    <row r="256" spans="2:27" ht="12.75" customHeight="1" x14ac:dyDescent="0.25">
      <c r="B256" s="48"/>
      <c r="C256" s="48"/>
      <c r="D256" s="48"/>
      <c r="E256" s="48"/>
      <c r="F256" s="48"/>
      <c r="G256" s="48"/>
      <c r="H256" s="48"/>
      <c r="I256" s="48"/>
      <c r="J256" s="48"/>
      <c r="K256" s="48"/>
      <c r="L256" s="48"/>
      <c r="M256" s="48"/>
      <c r="N256" s="48"/>
      <c r="O256" s="48"/>
      <c r="P256" s="48"/>
      <c r="Q256" s="48"/>
      <c r="R256" s="48"/>
      <c r="S256" s="48"/>
      <c r="T256" s="48"/>
      <c r="U256" s="48"/>
      <c r="V256" s="48"/>
      <c r="W256" s="48"/>
      <c r="X256" s="48"/>
      <c r="Y256" s="48"/>
      <c r="Z256" s="48"/>
      <c r="AA256" s="48"/>
    </row>
    <row r="257" spans="2:27" ht="12.75" customHeight="1" x14ac:dyDescent="0.25">
      <c r="B257" s="48"/>
      <c r="C257" s="48"/>
      <c r="D257" s="48"/>
      <c r="E257" s="48"/>
      <c r="F257" s="48"/>
      <c r="G257" s="48"/>
      <c r="H257" s="48"/>
      <c r="I257" s="48"/>
      <c r="J257" s="48"/>
      <c r="K257" s="48"/>
      <c r="L257" s="48"/>
      <c r="M257" s="48"/>
      <c r="N257" s="48"/>
      <c r="O257" s="48"/>
      <c r="P257" s="48"/>
      <c r="Q257" s="48"/>
      <c r="R257" s="48"/>
      <c r="S257" s="48"/>
      <c r="T257" s="48"/>
      <c r="U257" s="48"/>
      <c r="V257" s="48"/>
      <c r="W257" s="48"/>
      <c r="X257" s="48"/>
      <c r="Y257" s="48"/>
      <c r="Z257" s="48"/>
      <c r="AA257" s="48"/>
    </row>
    <row r="258" spans="2:27" ht="12.75" customHeight="1" x14ac:dyDescent="0.25">
      <c r="B258" s="48"/>
      <c r="C258" s="48"/>
      <c r="D258" s="48"/>
      <c r="E258" s="48"/>
      <c r="F258" s="48"/>
      <c r="G258" s="48"/>
      <c r="H258" s="48"/>
      <c r="I258" s="48"/>
      <c r="J258" s="48"/>
      <c r="K258" s="48"/>
      <c r="L258" s="48"/>
      <c r="M258" s="48"/>
      <c r="N258" s="48"/>
      <c r="O258" s="48"/>
      <c r="P258" s="48"/>
      <c r="Q258" s="48"/>
      <c r="R258" s="48"/>
      <c r="S258" s="48"/>
      <c r="T258" s="48"/>
      <c r="U258" s="48"/>
      <c r="V258" s="48"/>
      <c r="W258" s="48"/>
      <c r="X258" s="48"/>
      <c r="Y258" s="48"/>
      <c r="Z258" s="48"/>
      <c r="AA258" s="48"/>
    </row>
    <row r="259" spans="2:27" ht="12.75" customHeight="1" x14ac:dyDescent="0.25">
      <c r="B259" s="48"/>
      <c r="C259" s="48"/>
      <c r="D259" s="48"/>
      <c r="E259" s="48"/>
      <c r="F259" s="48"/>
      <c r="G259" s="48"/>
      <c r="H259" s="48"/>
      <c r="I259" s="48"/>
      <c r="J259" s="48"/>
      <c r="K259" s="48"/>
      <c r="L259" s="48"/>
      <c r="M259" s="48"/>
      <c r="N259" s="48"/>
      <c r="O259" s="48"/>
      <c r="P259" s="48"/>
      <c r="Q259" s="48"/>
      <c r="R259" s="48"/>
      <c r="S259" s="48"/>
      <c r="T259" s="48"/>
      <c r="U259" s="48"/>
      <c r="V259" s="48"/>
      <c r="W259" s="48"/>
      <c r="X259" s="48"/>
      <c r="Y259" s="48"/>
      <c r="Z259" s="48"/>
      <c r="AA259" s="48"/>
    </row>
    <row r="260" spans="2:27" ht="12.75" customHeight="1" x14ac:dyDescent="0.25">
      <c r="B260" s="48"/>
      <c r="C260" s="48"/>
      <c r="D260" s="48"/>
      <c r="E260" s="48"/>
      <c r="F260" s="48"/>
      <c r="G260" s="48"/>
      <c r="H260" s="48"/>
      <c r="I260" s="48"/>
      <c r="J260" s="48"/>
      <c r="K260" s="48"/>
      <c r="L260" s="48"/>
      <c r="M260" s="48"/>
      <c r="N260" s="48"/>
      <c r="O260" s="48"/>
      <c r="P260" s="48"/>
      <c r="Q260" s="48"/>
      <c r="R260" s="48"/>
      <c r="S260" s="48"/>
      <c r="T260" s="48"/>
      <c r="U260" s="48"/>
      <c r="V260" s="48"/>
      <c r="W260" s="48"/>
      <c r="X260" s="48"/>
      <c r="Y260" s="48"/>
      <c r="Z260" s="48"/>
      <c r="AA260" s="48"/>
    </row>
    <row r="261" spans="2:27" ht="12.75" customHeight="1" x14ac:dyDescent="0.25">
      <c r="B261" s="48"/>
      <c r="C261" s="48"/>
      <c r="D261" s="48"/>
      <c r="E261" s="48"/>
      <c r="F261" s="48"/>
      <c r="G261" s="48"/>
      <c r="H261" s="48"/>
      <c r="I261" s="48"/>
      <c r="J261" s="48"/>
      <c r="K261" s="48"/>
      <c r="L261" s="48"/>
      <c r="M261" s="48"/>
      <c r="N261" s="48"/>
      <c r="O261" s="48"/>
      <c r="P261" s="48"/>
      <c r="Q261" s="48"/>
      <c r="R261" s="48"/>
      <c r="S261" s="48"/>
      <c r="T261" s="48"/>
      <c r="U261" s="48"/>
      <c r="V261" s="48"/>
      <c r="W261" s="48"/>
      <c r="X261" s="48"/>
      <c r="Y261" s="48"/>
      <c r="Z261" s="48"/>
      <c r="AA261" s="48"/>
    </row>
    <row r="262" spans="2:27" ht="12.75" customHeight="1" x14ac:dyDescent="0.25">
      <c r="B262" s="48"/>
      <c r="C262" s="48"/>
      <c r="D262" s="48"/>
      <c r="E262" s="48"/>
      <c r="F262" s="48"/>
      <c r="G262" s="48"/>
      <c r="H262" s="48"/>
      <c r="I262" s="48"/>
      <c r="J262" s="48"/>
      <c r="K262" s="48"/>
      <c r="L262" s="48"/>
      <c r="M262" s="48"/>
      <c r="N262" s="48"/>
      <c r="O262" s="48"/>
      <c r="P262" s="48"/>
      <c r="Q262" s="48"/>
      <c r="R262" s="48"/>
      <c r="S262" s="48"/>
      <c r="T262" s="48"/>
      <c r="U262" s="48"/>
      <c r="V262" s="48"/>
      <c r="W262" s="48"/>
      <c r="X262" s="48"/>
      <c r="Y262" s="48"/>
      <c r="Z262" s="48"/>
      <c r="AA262" s="48"/>
    </row>
    <row r="263" spans="2:27" ht="12.75" customHeight="1" x14ac:dyDescent="0.25">
      <c r="B263" s="48"/>
      <c r="C263" s="48"/>
      <c r="D263" s="48"/>
      <c r="E263" s="48"/>
      <c r="F263" s="48"/>
      <c r="G263" s="48"/>
      <c r="H263" s="48"/>
      <c r="I263" s="48"/>
      <c r="J263" s="48"/>
      <c r="K263" s="48"/>
      <c r="L263" s="48"/>
      <c r="M263" s="48"/>
      <c r="N263" s="48"/>
      <c r="O263" s="48"/>
      <c r="P263" s="48"/>
      <c r="Q263" s="48"/>
      <c r="R263" s="48"/>
      <c r="S263" s="48"/>
      <c r="T263" s="48"/>
      <c r="U263" s="48"/>
      <c r="V263" s="48"/>
      <c r="W263" s="48"/>
      <c r="X263" s="48"/>
      <c r="Y263" s="48"/>
      <c r="Z263" s="48"/>
      <c r="AA263" s="48"/>
    </row>
    <row r="264" spans="2:27" ht="12.75" customHeight="1" x14ac:dyDescent="0.25">
      <c r="B264" s="48"/>
      <c r="C264" s="48"/>
      <c r="D264" s="48"/>
      <c r="E264" s="48"/>
      <c r="F264" s="48"/>
      <c r="G264" s="48"/>
      <c r="H264" s="48"/>
      <c r="I264" s="48"/>
      <c r="J264" s="48"/>
      <c r="K264" s="48"/>
      <c r="L264" s="48"/>
      <c r="M264" s="48"/>
      <c r="N264" s="48"/>
      <c r="O264" s="48"/>
      <c r="P264" s="48"/>
      <c r="Q264" s="48"/>
      <c r="R264" s="48"/>
      <c r="S264" s="48"/>
      <c r="T264" s="48"/>
      <c r="U264" s="48"/>
      <c r="V264" s="48"/>
      <c r="W264" s="48"/>
      <c r="X264" s="48"/>
      <c r="Y264" s="48"/>
      <c r="Z264" s="48"/>
      <c r="AA264" s="48"/>
    </row>
    <row r="265" spans="2:27" ht="12.75" customHeight="1" x14ac:dyDescent="0.25">
      <c r="B265" s="48"/>
      <c r="C265" s="48"/>
      <c r="D265" s="48"/>
      <c r="E265" s="48"/>
      <c r="F265" s="48"/>
      <c r="G265" s="48"/>
      <c r="H265" s="48"/>
      <c r="I265" s="48"/>
      <c r="J265" s="48"/>
      <c r="K265" s="48"/>
      <c r="L265" s="48"/>
      <c r="M265" s="48"/>
      <c r="N265" s="48"/>
      <c r="O265" s="48"/>
      <c r="P265" s="48"/>
      <c r="Q265" s="48"/>
      <c r="R265" s="48"/>
      <c r="S265" s="48"/>
      <c r="T265" s="48"/>
      <c r="U265" s="48"/>
      <c r="V265" s="48"/>
      <c r="W265" s="48"/>
      <c r="X265" s="48"/>
      <c r="Y265" s="48"/>
      <c r="Z265" s="48"/>
      <c r="AA265" s="48"/>
    </row>
    <row r="266" spans="2:27" ht="12.75" customHeight="1" x14ac:dyDescent="0.25">
      <c r="B266" s="48"/>
      <c r="C266" s="48"/>
      <c r="D266" s="48"/>
      <c r="E266" s="48"/>
      <c r="F266" s="48"/>
      <c r="G266" s="48"/>
      <c r="H266" s="48"/>
      <c r="I266" s="48"/>
      <c r="J266" s="48"/>
      <c r="K266" s="48"/>
      <c r="L266" s="48"/>
      <c r="M266" s="48"/>
      <c r="N266" s="48"/>
      <c r="O266" s="48"/>
      <c r="P266" s="48"/>
      <c r="Q266" s="48"/>
      <c r="R266" s="48"/>
      <c r="S266" s="48"/>
      <c r="T266" s="48"/>
      <c r="U266" s="48"/>
      <c r="V266" s="48"/>
      <c r="W266" s="48"/>
      <c r="X266" s="48"/>
      <c r="Y266" s="48"/>
      <c r="Z266" s="48"/>
      <c r="AA266" s="48"/>
    </row>
    <row r="267" spans="2:27" ht="12.75" customHeight="1" x14ac:dyDescent="0.25">
      <c r="B267" s="48"/>
      <c r="C267" s="48"/>
      <c r="D267" s="48"/>
      <c r="E267" s="48"/>
      <c r="F267" s="48"/>
      <c r="G267" s="48"/>
      <c r="H267" s="48"/>
      <c r="I267" s="48"/>
      <c r="J267" s="48"/>
      <c r="K267" s="48"/>
      <c r="L267" s="48"/>
      <c r="M267" s="48"/>
      <c r="N267" s="48"/>
      <c r="O267" s="48"/>
      <c r="P267" s="48"/>
      <c r="Q267" s="48"/>
      <c r="R267" s="48"/>
      <c r="S267" s="48"/>
      <c r="T267" s="48"/>
      <c r="U267" s="48"/>
      <c r="V267" s="48"/>
      <c r="W267" s="48"/>
      <c r="X267" s="48"/>
      <c r="Y267" s="48"/>
      <c r="Z267" s="48"/>
      <c r="AA267" s="48"/>
    </row>
    <row r="268" spans="2:27" ht="12.75" customHeight="1" x14ac:dyDescent="0.25">
      <c r="B268" s="48"/>
      <c r="C268" s="48"/>
      <c r="D268" s="48"/>
      <c r="E268" s="48"/>
      <c r="F268" s="48"/>
      <c r="G268" s="48"/>
      <c r="H268" s="48"/>
      <c r="I268" s="48"/>
      <c r="J268" s="48"/>
      <c r="K268" s="48"/>
      <c r="L268" s="48"/>
      <c r="M268" s="48"/>
      <c r="N268" s="48"/>
      <c r="O268" s="48"/>
      <c r="P268" s="48"/>
      <c r="Q268" s="48"/>
      <c r="R268" s="48"/>
      <c r="S268" s="48"/>
      <c r="T268" s="48"/>
      <c r="U268" s="48"/>
      <c r="V268" s="48"/>
      <c r="W268" s="48"/>
      <c r="X268" s="48"/>
      <c r="Y268" s="48"/>
      <c r="Z268" s="48"/>
      <c r="AA268" s="48"/>
    </row>
    <row r="269" spans="2:27" ht="12.75" customHeight="1" x14ac:dyDescent="0.25">
      <c r="B269" s="48"/>
      <c r="C269" s="48"/>
      <c r="D269" s="48"/>
      <c r="E269" s="48"/>
      <c r="F269" s="48"/>
      <c r="G269" s="48"/>
      <c r="H269" s="48"/>
      <c r="I269" s="48"/>
      <c r="J269" s="48"/>
      <c r="K269" s="48"/>
      <c r="L269" s="48"/>
      <c r="M269" s="48"/>
      <c r="N269" s="48"/>
      <c r="O269" s="48"/>
      <c r="P269" s="48"/>
      <c r="Q269" s="48"/>
      <c r="R269" s="48"/>
      <c r="S269" s="48"/>
      <c r="T269" s="48"/>
      <c r="U269" s="48"/>
      <c r="V269" s="48"/>
      <c r="W269" s="48"/>
      <c r="X269" s="48"/>
      <c r="Y269" s="48"/>
      <c r="Z269" s="48"/>
      <c r="AA269" s="48"/>
    </row>
    <row r="270" spans="2:27" ht="12.75" customHeight="1" x14ac:dyDescent="0.25">
      <c r="B270" s="48"/>
      <c r="C270" s="48"/>
      <c r="D270" s="48"/>
      <c r="E270" s="48"/>
      <c r="F270" s="48"/>
      <c r="G270" s="48"/>
      <c r="H270" s="48"/>
      <c r="I270" s="48"/>
      <c r="J270" s="48"/>
      <c r="K270" s="48"/>
      <c r="L270" s="48"/>
      <c r="M270" s="48"/>
      <c r="N270" s="48"/>
      <c r="O270" s="48"/>
      <c r="P270" s="48"/>
      <c r="Q270" s="48"/>
      <c r="R270" s="48"/>
      <c r="S270" s="48"/>
      <c r="T270" s="48"/>
      <c r="U270" s="48"/>
      <c r="V270" s="48"/>
      <c r="W270" s="48"/>
      <c r="X270" s="48"/>
      <c r="Y270" s="48"/>
      <c r="Z270" s="48"/>
      <c r="AA270" s="48"/>
    </row>
    <row r="271" spans="2:27" ht="12.75" customHeight="1" x14ac:dyDescent="0.25">
      <c r="B271" s="48"/>
      <c r="C271" s="48"/>
      <c r="D271" s="48"/>
      <c r="E271" s="48"/>
      <c r="F271" s="48"/>
      <c r="G271" s="48"/>
      <c r="H271" s="48"/>
      <c r="I271" s="48"/>
      <c r="J271" s="48"/>
      <c r="K271" s="48"/>
      <c r="L271" s="48"/>
      <c r="M271" s="48"/>
      <c r="N271" s="48"/>
      <c r="O271" s="48"/>
      <c r="P271" s="48"/>
      <c r="Q271" s="48"/>
      <c r="R271" s="48"/>
      <c r="S271" s="48"/>
      <c r="T271" s="48"/>
      <c r="U271" s="48"/>
      <c r="V271" s="48"/>
      <c r="W271" s="48"/>
      <c r="X271" s="48"/>
      <c r="Y271" s="48"/>
      <c r="Z271" s="48"/>
      <c r="AA271" s="48"/>
    </row>
    <row r="272" spans="2:27" ht="12.75" customHeight="1" x14ac:dyDescent="0.25">
      <c r="B272" s="48"/>
      <c r="C272" s="48"/>
      <c r="D272" s="48"/>
      <c r="E272" s="48"/>
      <c r="F272" s="48"/>
      <c r="G272" s="48"/>
      <c r="H272" s="48"/>
      <c r="I272" s="48"/>
      <c r="J272" s="48"/>
      <c r="K272" s="48"/>
      <c r="L272" s="48"/>
      <c r="M272" s="48"/>
      <c r="N272" s="48"/>
      <c r="O272" s="48"/>
      <c r="P272" s="48"/>
      <c r="Q272" s="48"/>
      <c r="R272" s="48"/>
      <c r="S272" s="48"/>
      <c r="T272" s="48"/>
      <c r="U272" s="48"/>
      <c r="V272" s="48"/>
      <c r="W272" s="48"/>
      <c r="X272" s="48"/>
      <c r="Y272" s="48"/>
      <c r="Z272" s="48"/>
      <c r="AA272" s="48"/>
    </row>
    <row r="273" spans="2:27" ht="12.75" customHeight="1" x14ac:dyDescent="0.25">
      <c r="B273" s="48"/>
      <c r="C273" s="48"/>
      <c r="D273" s="48"/>
      <c r="E273" s="48"/>
      <c r="F273" s="48"/>
      <c r="G273" s="48"/>
      <c r="H273" s="48"/>
      <c r="I273" s="48"/>
      <c r="J273" s="48"/>
      <c r="K273" s="48"/>
      <c r="L273" s="48"/>
      <c r="M273" s="48"/>
      <c r="N273" s="48"/>
      <c r="O273" s="48"/>
      <c r="P273" s="48"/>
      <c r="Q273" s="48"/>
      <c r="R273" s="48"/>
      <c r="S273" s="48"/>
      <c r="T273" s="48"/>
      <c r="U273" s="48"/>
      <c r="V273" s="48"/>
      <c r="W273" s="48"/>
      <c r="X273" s="48"/>
      <c r="Y273" s="48"/>
      <c r="Z273" s="48"/>
      <c r="AA273" s="48"/>
    </row>
    <row r="274" spans="2:27" ht="12.75" customHeight="1" x14ac:dyDescent="0.25">
      <c r="B274" s="48"/>
      <c r="C274" s="48"/>
      <c r="D274" s="48"/>
      <c r="E274" s="48"/>
      <c r="F274" s="48"/>
      <c r="G274" s="48"/>
      <c r="H274" s="48"/>
      <c r="I274" s="48"/>
      <c r="J274" s="48"/>
      <c r="K274" s="48"/>
      <c r="L274" s="48"/>
      <c r="M274" s="48"/>
      <c r="N274" s="48"/>
      <c r="O274" s="48"/>
      <c r="P274" s="48"/>
      <c r="Q274" s="48"/>
      <c r="R274" s="48"/>
      <c r="S274" s="48"/>
      <c r="T274" s="48"/>
      <c r="U274" s="48"/>
      <c r="V274" s="48"/>
      <c r="W274" s="48"/>
      <c r="X274" s="48"/>
      <c r="Y274" s="48"/>
      <c r="Z274" s="48"/>
      <c r="AA274" s="48"/>
    </row>
    <row r="275" spans="2:27" ht="12.75" customHeight="1" x14ac:dyDescent="0.25">
      <c r="B275" s="48"/>
      <c r="C275" s="48"/>
      <c r="D275" s="48"/>
      <c r="E275" s="48"/>
      <c r="F275" s="48"/>
      <c r="G275" s="48"/>
      <c r="H275" s="48"/>
      <c r="I275" s="48"/>
      <c r="J275" s="48"/>
      <c r="K275" s="48"/>
      <c r="L275" s="48"/>
      <c r="M275" s="48"/>
      <c r="N275" s="48"/>
      <c r="O275" s="48"/>
      <c r="P275" s="48"/>
      <c r="Q275" s="48"/>
      <c r="R275" s="48"/>
      <c r="S275" s="48"/>
      <c r="T275" s="48"/>
      <c r="U275" s="48"/>
      <c r="V275" s="48"/>
      <c r="W275" s="48"/>
      <c r="X275" s="48"/>
      <c r="Y275" s="48"/>
      <c r="Z275" s="48"/>
      <c r="AA275" s="48"/>
    </row>
    <row r="276" spans="2:27" ht="12.75" customHeight="1" x14ac:dyDescent="0.25">
      <c r="B276" s="48"/>
      <c r="C276" s="48"/>
      <c r="D276" s="48"/>
      <c r="E276" s="48"/>
      <c r="F276" s="48"/>
      <c r="G276" s="48"/>
      <c r="H276" s="48"/>
      <c r="I276" s="48"/>
      <c r="J276" s="48"/>
      <c r="K276" s="48"/>
      <c r="L276" s="48"/>
      <c r="M276" s="48"/>
      <c r="N276" s="48"/>
      <c r="O276" s="48"/>
      <c r="P276" s="48"/>
      <c r="Q276" s="48"/>
      <c r="R276" s="48"/>
      <c r="S276" s="48"/>
      <c r="T276" s="48"/>
      <c r="U276" s="48"/>
      <c r="V276" s="48"/>
      <c r="W276" s="48"/>
      <c r="X276" s="48"/>
      <c r="Y276" s="48"/>
      <c r="Z276" s="48"/>
      <c r="AA276" s="48"/>
    </row>
    <row r="277" spans="2:27" ht="12.75" customHeight="1" x14ac:dyDescent="0.25">
      <c r="B277" s="48"/>
      <c r="C277" s="48"/>
      <c r="D277" s="48"/>
      <c r="E277" s="48"/>
      <c r="F277" s="48"/>
      <c r="G277" s="48"/>
      <c r="H277" s="48"/>
      <c r="I277" s="48"/>
      <c r="J277" s="48"/>
      <c r="K277" s="48"/>
      <c r="L277" s="48"/>
      <c r="M277" s="48"/>
      <c r="N277" s="48"/>
      <c r="O277" s="48"/>
      <c r="P277" s="48"/>
      <c r="Q277" s="48"/>
      <c r="R277" s="48"/>
      <c r="S277" s="48"/>
      <c r="T277" s="48"/>
      <c r="U277" s="48"/>
      <c r="V277" s="48"/>
      <c r="W277" s="48"/>
      <c r="X277" s="48"/>
      <c r="Y277" s="48"/>
      <c r="Z277" s="48"/>
      <c r="AA277" s="48"/>
    </row>
    <row r="278" spans="2:27" ht="12.75" customHeight="1" x14ac:dyDescent="0.25">
      <c r="B278" s="48"/>
      <c r="C278" s="48"/>
      <c r="D278" s="48"/>
      <c r="E278" s="48"/>
      <c r="F278" s="48"/>
      <c r="G278" s="48"/>
      <c r="H278" s="48"/>
      <c r="I278" s="48"/>
      <c r="J278" s="48"/>
      <c r="K278" s="48"/>
      <c r="L278" s="48"/>
      <c r="M278" s="48"/>
      <c r="N278" s="48"/>
      <c r="O278" s="48"/>
      <c r="P278" s="48"/>
      <c r="Q278" s="48"/>
      <c r="R278" s="48"/>
      <c r="S278" s="48"/>
      <c r="T278" s="48"/>
      <c r="U278" s="48"/>
      <c r="V278" s="48"/>
      <c r="W278" s="48"/>
      <c r="X278" s="48"/>
      <c r="Y278" s="48"/>
      <c r="Z278" s="48"/>
      <c r="AA278" s="48"/>
    </row>
    <row r="279" spans="2:27" ht="12.75" customHeight="1" x14ac:dyDescent="0.25">
      <c r="B279" s="48"/>
      <c r="C279" s="48"/>
      <c r="D279" s="48"/>
      <c r="E279" s="48"/>
      <c r="F279" s="48"/>
      <c r="G279" s="48"/>
      <c r="H279" s="48"/>
      <c r="I279" s="48"/>
      <c r="J279" s="48"/>
      <c r="K279" s="48"/>
      <c r="L279" s="48"/>
      <c r="M279" s="48"/>
      <c r="N279" s="48"/>
      <c r="O279" s="48"/>
      <c r="P279" s="48"/>
      <c r="Q279" s="48"/>
      <c r="R279" s="48"/>
      <c r="S279" s="48"/>
      <c r="T279" s="48"/>
      <c r="U279" s="48"/>
      <c r="V279" s="48"/>
      <c r="W279" s="48"/>
      <c r="X279" s="48"/>
      <c r="Y279" s="48"/>
      <c r="Z279" s="48"/>
      <c r="AA279" s="48"/>
    </row>
    <row r="280" spans="2:27" ht="12.75" customHeight="1" x14ac:dyDescent="0.25">
      <c r="B280" s="48"/>
      <c r="C280" s="48"/>
      <c r="D280" s="48"/>
      <c r="E280" s="48"/>
      <c r="F280" s="48"/>
      <c r="G280" s="48"/>
      <c r="H280" s="48"/>
      <c r="I280" s="48"/>
      <c r="J280" s="48"/>
      <c r="K280" s="48"/>
      <c r="L280" s="48"/>
      <c r="M280" s="48"/>
      <c r="N280" s="48"/>
      <c r="O280" s="48"/>
      <c r="P280" s="48"/>
      <c r="Q280" s="48"/>
      <c r="R280" s="48"/>
      <c r="S280" s="48"/>
      <c r="T280" s="48"/>
      <c r="U280" s="48"/>
      <c r="V280" s="48"/>
      <c r="W280" s="48"/>
      <c r="X280" s="48"/>
      <c r="Y280" s="48"/>
      <c r="Z280" s="48"/>
      <c r="AA280" s="48"/>
    </row>
    <row r="281" spans="2:27" ht="12.75" customHeight="1" x14ac:dyDescent="0.25">
      <c r="B281" s="48"/>
      <c r="C281" s="48"/>
      <c r="D281" s="48"/>
      <c r="E281" s="48"/>
      <c r="F281" s="48"/>
      <c r="G281" s="48"/>
      <c r="H281" s="48"/>
      <c r="I281" s="48"/>
      <c r="J281" s="48"/>
      <c r="K281" s="48"/>
      <c r="L281" s="48"/>
      <c r="M281" s="48"/>
      <c r="N281" s="48"/>
      <c r="O281" s="48"/>
      <c r="P281" s="48"/>
      <c r="Q281" s="48"/>
      <c r="R281" s="48"/>
      <c r="S281" s="48"/>
      <c r="T281" s="48"/>
      <c r="U281" s="48"/>
      <c r="V281" s="48"/>
      <c r="W281" s="48"/>
      <c r="X281" s="48"/>
      <c r="Y281" s="48"/>
      <c r="Z281" s="48"/>
      <c r="AA281" s="48"/>
    </row>
    <row r="282" spans="2:27" ht="12.75" customHeight="1" x14ac:dyDescent="0.25">
      <c r="B282" s="48"/>
      <c r="C282" s="48"/>
      <c r="D282" s="48"/>
      <c r="E282" s="48"/>
      <c r="F282" s="48"/>
      <c r="G282" s="48"/>
      <c r="H282" s="48"/>
      <c r="I282" s="48"/>
      <c r="J282" s="48"/>
      <c r="K282" s="48"/>
      <c r="L282" s="48"/>
      <c r="M282" s="48"/>
      <c r="N282" s="48"/>
      <c r="O282" s="48"/>
      <c r="P282" s="48"/>
      <c r="Q282" s="48"/>
      <c r="R282" s="48"/>
      <c r="S282" s="48"/>
      <c r="T282" s="48"/>
      <c r="U282" s="48"/>
      <c r="V282" s="48"/>
      <c r="W282" s="48"/>
      <c r="X282" s="48"/>
      <c r="Y282" s="48"/>
      <c r="Z282" s="48"/>
      <c r="AA282" s="48"/>
    </row>
    <row r="283" spans="2:27" ht="12.75" customHeight="1" x14ac:dyDescent="0.25">
      <c r="B283" s="48"/>
      <c r="C283" s="48"/>
      <c r="D283" s="48"/>
      <c r="E283" s="48"/>
      <c r="F283" s="48"/>
      <c r="G283" s="48"/>
      <c r="H283" s="48"/>
      <c r="I283" s="48"/>
      <c r="J283" s="48"/>
      <c r="K283" s="48"/>
      <c r="L283" s="48"/>
      <c r="M283" s="48"/>
      <c r="N283" s="48"/>
      <c r="O283" s="48"/>
      <c r="P283" s="48"/>
      <c r="Q283" s="48"/>
      <c r="R283" s="48"/>
      <c r="S283" s="48"/>
      <c r="T283" s="48"/>
      <c r="U283" s="48"/>
      <c r="V283" s="48"/>
      <c r="W283" s="48"/>
      <c r="X283" s="48"/>
      <c r="Y283" s="48"/>
      <c r="Z283" s="48"/>
      <c r="AA283" s="48"/>
    </row>
    <row r="284" spans="2:27" ht="12.75" customHeight="1" x14ac:dyDescent="0.25">
      <c r="B284" s="48"/>
      <c r="C284" s="48"/>
      <c r="D284" s="48"/>
      <c r="E284" s="48"/>
      <c r="F284" s="48"/>
      <c r="G284" s="48"/>
      <c r="H284" s="48"/>
      <c r="I284" s="48"/>
      <c r="J284" s="48"/>
      <c r="K284" s="48"/>
      <c r="L284" s="48"/>
      <c r="M284" s="48"/>
      <c r="N284" s="48"/>
      <c r="O284" s="48"/>
      <c r="P284" s="48"/>
      <c r="Q284" s="48"/>
      <c r="R284" s="48"/>
      <c r="S284" s="48"/>
      <c r="T284" s="48"/>
      <c r="U284" s="48"/>
      <c r="V284" s="48"/>
      <c r="W284" s="48"/>
      <c r="X284" s="48"/>
      <c r="Y284" s="48"/>
      <c r="Z284" s="48"/>
      <c r="AA284" s="48"/>
    </row>
    <row r="285" spans="2:27" ht="12.75" customHeight="1" x14ac:dyDescent="0.25">
      <c r="B285" s="48"/>
      <c r="C285" s="48"/>
      <c r="D285" s="48"/>
      <c r="E285" s="48"/>
      <c r="F285" s="48"/>
      <c r="G285" s="48"/>
      <c r="H285" s="48"/>
      <c r="I285" s="48"/>
      <c r="J285" s="48"/>
      <c r="K285" s="48"/>
      <c r="L285" s="48"/>
      <c r="M285" s="48"/>
      <c r="N285" s="48"/>
      <c r="O285" s="48"/>
      <c r="P285" s="48"/>
      <c r="Q285" s="48"/>
      <c r="R285" s="48"/>
      <c r="S285" s="48"/>
      <c r="T285" s="48"/>
      <c r="U285" s="48"/>
      <c r="V285" s="48"/>
      <c r="W285" s="48"/>
      <c r="X285" s="48"/>
      <c r="Y285" s="48"/>
      <c r="Z285" s="48"/>
      <c r="AA285" s="48"/>
    </row>
    <row r="286" spans="2:27" ht="12.75" customHeight="1" x14ac:dyDescent="0.25">
      <c r="B286" s="48"/>
      <c r="C286" s="48"/>
      <c r="D286" s="48"/>
      <c r="E286" s="48"/>
      <c r="F286" s="48"/>
      <c r="G286" s="48"/>
      <c r="H286" s="48"/>
      <c r="I286" s="48"/>
      <c r="J286" s="48"/>
      <c r="K286" s="48"/>
      <c r="L286" s="48"/>
      <c r="M286" s="48"/>
      <c r="N286" s="48"/>
      <c r="O286" s="48"/>
      <c r="P286" s="48"/>
      <c r="Q286" s="48"/>
      <c r="R286" s="48"/>
      <c r="S286" s="48"/>
      <c r="T286" s="48"/>
      <c r="U286" s="48"/>
      <c r="V286" s="48"/>
      <c r="W286" s="48"/>
      <c r="X286" s="48"/>
      <c r="Y286" s="48"/>
      <c r="Z286" s="48"/>
      <c r="AA286" s="48"/>
    </row>
    <row r="287" spans="2:27" ht="12.75" customHeight="1" x14ac:dyDescent="0.25">
      <c r="B287" s="48"/>
      <c r="C287" s="48"/>
      <c r="D287" s="48"/>
      <c r="E287" s="48"/>
      <c r="F287" s="48"/>
      <c r="G287" s="48"/>
      <c r="H287" s="48"/>
      <c r="I287" s="48"/>
      <c r="J287" s="48"/>
      <c r="K287" s="48"/>
      <c r="L287" s="48"/>
      <c r="M287" s="48"/>
      <c r="N287" s="48"/>
      <c r="O287" s="48"/>
      <c r="P287" s="48"/>
      <c r="Q287" s="48"/>
      <c r="R287" s="48"/>
      <c r="S287" s="48"/>
      <c r="T287" s="48"/>
      <c r="U287" s="48"/>
      <c r="V287" s="48"/>
      <c r="W287" s="48"/>
      <c r="X287" s="48"/>
      <c r="Y287" s="48"/>
      <c r="Z287" s="48"/>
      <c r="AA287" s="48"/>
    </row>
    <row r="288" spans="2:27" ht="12.75" customHeight="1" x14ac:dyDescent="0.25">
      <c r="B288" s="48"/>
      <c r="C288" s="48"/>
      <c r="D288" s="48"/>
      <c r="E288" s="48"/>
      <c r="F288" s="48"/>
      <c r="G288" s="48"/>
      <c r="H288" s="48"/>
      <c r="I288" s="48"/>
      <c r="J288" s="48"/>
      <c r="K288" s="48"/>
      <c r="L288" s="48"/>
      <c r="M288" s="48"/>
      <c r="N288" s="48"/>
      <c r="O288" s="48"/>
      <c r="P288" s="48"/>
      <c r="Q288" s="48"/>
      <c r="R288" s="48"/>
      <c r="S288" s="48"/>
      <c r="T288" s="48"/>
      <c r="U288" s="48"/>
      <c r="V288" s="48"/>
      <c r="W288" s="48"/>
      <c r="X288" s="48"/>
      <c r="Y288" s="48"/>
      <c r="Z288" s="48"/>
      <c r="AA288" s="48"/>
    </row>
    <row r="289" spans="2:27" ht="12.75" customHeight="1" x14ac:dyDescent="0.25">
      <c r="B289" s="48"/>
      <c r="C289" s="48"/>
      <c r="D289" s="48"/>
      <c r="E289" s="48"/>
      <c r="F289" s="48"/>
      <c r="G289" s="48"/>
      <c r="H289" s="48"/>
      <c r="I289" s="48"/>
      <c r="J289" s="48"/>
      <c r="K289" s="48"/>
      <c r="L289" s="48"/>
      <c r="M289" s="48"/>
      <c r="N289" s="48"/>
      <c r="O289" s="48"/>
      <c r="P289" s="48"/>
      <c r="Q289" s="48"/>
      <c r="R289" s="48"/>
      <c r="S289" s="48"/>
      <c r="T289" s="48"/>
      <c r="U289" s="48"/>
      <c r="V289" s="48"/>
      <c r="W289" s="48"/>
      <c r="X289" s="48"/>
      <c r="Y289" s="48"/>
      <c r="Z289" s="48"/>
      <c r="AA289" s="48"/>
    </row>
    <row r="290" spans="2:27" ht="12.75" customHeight="1" x14ac:dyDescent="0.25">
      <c r="B290" s="48"/>
      <c r="C290" s="48"/>
      <c r="D290" s="48"/>
      <c r="E290" s="48"/>
      <c r="F290" s="48"/>
      <c r="G290" s="48"/>
      <c r="H290" s="48"/>
      <c r="I290" s="48"/>
      <c r="J290" s="48"/>
      <c r="K290" s="48"/>
      <c r="L290" s="48"/>
      <c r="M290" s="48"/>
      <c r="N290" s="48"/>
      <c r="O290" s="48"/>
      <c r="P290" s="48"/>
      <c r="Q290" s="48"/>
      <c r="R290" s="48"/>
      <c r="S290" s="48"/>
      <c r="T290" s="48"/>
      <c r="U290" s="48"/>
      <c r="V290" s="48"/>
      <c r="W290" s="48"/>
      <c r="X290" s="48"/>
      <c r="Y290" s="48"/>
      <c r="Z290" s="48"/>
      <c r="AA290" s="48"/>
    </row>
    <row r="291" spans="2:27" ht="12.75" customHeight="1" x14ac:dyDescent="0.25">
      <c r="B291" s="48"/>
      <c r="C291" s="48"/>
      <c r="D291" s="48"/>
      <c r="E291" s="48"/>
      <c r="F291" s="48"/>
      <c r="G291" s="48"/>
      <c r="H291" s="48"/>
      <c r="I291" s="48"/>
      <c r="J291" s="48"/>
      <c r="K291" s="48"/>
      <c r="L291" s="48"/>
      <c r="M291" s="48"/>
      <c r="N291" s="48"/>
      <c r="O291" s="48"/>
      <c r="P291" s="48"/>
      <c r="Q291" s="48"/>
      <c r="R291" s="48"/>
      <c r="S291" s="48"/>
      <c r="T291" s="48"/>
      <c r="U291" s="48"/>
      <c r="V291" s="48"/>
      <c r="W291" s="48"/>
      <c r="X291" s="48"/>
      <c r="Y291" s="48"/>
      <c r="Z291" s="48"/>
      <c r="AA291" s="48"/>
    </row>
    <row r="292" spans="2:27" ht="12.75" customHeight="1" x14ac:dyDescent="0.25">
      <c r="B292" s="48"/>
      <c r="C292" s="48"/>
      <c r="D292" s="48"/>
      <c r="E292" s="48"/>
      <c r="F292" s="48"/>
      <c r="G292" s="48"/>
      <c r="H292" s="48"/>
      <c r="I292" s="48"/>
      <c r="J292" s="48"/>
      <c r="K292" s="48"/>
      <c r="L292" s="48"/>
      <c r="M292" s="48"/>
      <c r="N292" s="48"/>
      <c r="O292" s="48"/>
      <c r="P292" s="48"/>
      <c r="Q292" s="48"/>
      <c r="R292" s="48"/>
      <c r="S292" s="48"/>
      <c r="T292" s="48"/>
      <c r="U292" s="48"/>
      <c r="V292" s="48"/>
      <c r="W292" s="48"/>
      <c r="X292" s="48"/>
      <c r="Y292" s="48"/>
      <c r="Z292" s="48"/>
      <c r="AA292" s="48"/>
    </row>
    <row r="293" spans="2:27" ht="12.75" customHeight="1" x14ac:dyDescent="0.25">
      <c r="B293" s="48"/>
      <c r="C293" s="48"/>
      <c r="D293" s="48"/>
      <c r="E293" s="48"/>
      <c r="F293" s="48"/>
      <c r="G293" s="48"/>
      <c r="H293" s="48"/>
      <c r="I293" s="48"/>
      <c r="J293" s="48"/>
      <c r="K293" s="48"/>
      <c r="L293" s="48"/>
      <c r="M293" s="48"/>
      <c r="N293" s="48"/>
      <c r="O293" s="48"/>
      <c r="P293" s="48"/>
      <c r="Q293" s="48"/>
      <c r="R293" s="48"/>
      <c r="S293" s="48"/>
      <c r="T293" s="48"/>
      <c r="U293" s="48"/>
      <c r="V293" s="48"/>
      <c r="W293" s="48"/>
      <c r="X293" s="48"/>
      <c r="Y293" s="48"/>
      <c r="Z293" s="48"/>
      <c r="AA293" s="48"/>
    </row>
    <row r="294" spans="2:27" ht="12.75" customHeight="1" x14ac:dyDescent="0.25">
      <c r="B294" s="48"/>
      <c r="C294" s="48"/>
      <c r="D294" s="48"/>
      <c r="E294" s="48"/>
      <c r="F294" s="48"/>
      <c r="G294" s="48"/>
      <c r="H294" s="48"/>
      <c r="I294" s="48"/>
      <c r="J294" s="48"/>
      <c r="K294" s="48"/>
      <c r="L294" s="48"/>
      <c r="M294" s="48"/>
      <c r="N294" s="48"/>
      <c r="O294" s="48"/>
      <c r="P294" s="48"/>
      <c r="Q294" s="48"/>
      <c r="R294" s="48"/>
      <c r="S294" s="48"/>
      <c r="T294" s="48"/>
      <c r="U294" s="48"/>
      <c r="V294" s="48"/>
      <c r="W294" s="48"/>
      <c r="X294" s="48"/>
      <c r="Y294" s="48"/>
      <c r="Z294" s="48"/>
      <c r="AA294" s="48"/>
    </row>
    <row r="295" spans="2:27" ht="12.75" customHeight="1" x14ac:dyDescent="0.25">
      <c r="B295" s="48"/>
      <c r="C295" s="48"/>
      <c r="D295" s="48"/>
      <c r="E295" s="48"/>
      <c r="F295" s="48"/>
      <c r="G295" s="48"/>
      <c r="H295" s="48"/>
      <c r="I295" s="48"/>
      <c r="J295" s="48"/>
      <c r="K295" s="48"/>
      <c r="L295" s="48"/>
      <c r="M295" s="48"/>
      <c r="N295" s="48"/>
      <c r="O295" s="48"/>
      <c r="P295" s="48"/>
      <c r="Q295" s="48"/>
      <c r="R295" s="48"/>
      <c r="S295" s="48"/>
      <c r="T295" s="48"/>
      <c r="U295" s="48"/>
      <c r="V295" s="48"/>
      <c r="W295" s="48"/>
      <c r="X295" s="48"/>
      <c r="Y295" s="48"/>
      <c r="Z295" s="48"/>
      <c r="AA295" s="48"/>
    </row>
    <row r="296" spans="2:27" ht="12.75" customHeight="1" x14ac:dyDescent="0.25">
      <c r="B296" s="48"/>
      <c r="C296" s="48"/>
      <c r="D296" s="48"/>
      <c r="E296" s="48"/>
      <c r="F296" s="48"/>
      <c r="G296" s="48"/>
      <c r="H296" s="48"/>
      <c r="I296" s="48"/>
      <c r="J296" s="48"/>
      <c r="K296" s="48"/>
      <c r="L296" s="48"/>
      <c r="M296" s="48"/>
      <c r="N296" s="48"/>
      <c r="O296" s="48"/>
      <c r="P296" s="48"/>
      <c r="Q296" s="48"/>
      <c r="R296" s="48"/>
      <c r="S296" s="48"/>
      <c r="T296" s="48"/>
      <c r="U296" s="48"/>
      <c r="V296" s="48"/>
      <c r="W296" s="48"/>
      <c r="X296" s="48"/>
      <c r="Y296" s="48"/>
      <c r="Z296" s="48"/>
      <c r="AA296" s="48"/>
    </row>
    <row r="297" spans="2:27" ht="12.75" customHeight="1" x14ac:dyDescent="0.25">
      <c r="B297" s="48"/>
      <c r="C297" s="48"/>
      <c r="D297" s="48"/>
      <c r="E297" s="48"/>
      <c r="F297" s="48"/>
      <c r="G297" s="48"/>
      <c r="H297" s="48"/>
      <c r="I297" s="48"/>
      <c r="J297" s="48"/>
      <c r="K297" s="48"/>
      <c r="L297" s="48"/>
      <c r="M297" s="48"/>
      <c r="N297" s="48"/>
      <c r="O297" s="48"/>
      <c r="P297" s="48"/>
      <c r="Q297" s="48"/>
      <c r="R297" s="48"/>
      <c r="S297" s="48"/>
      <c r="T297" s="48"/>
      <c r="U297" s="48"/>
      <c r="V297" s="48"/>
      <c r="W297" s="48"/>
      <c r="X297" s="48"/>
      <c r="Y297" s="48"/>
      <c r="Z297" s="48"/>
      <c r="AA297" s="48"/>
    </row>
    <row r="298" spans="2:27" ht="12.75" customHeight="1" x14ac:dyDescent="0.25">
      <c r="B298" s="48"/>
      <c r="C298" s="48"/>
      <c r="D298" s="48"/>
      <c r="E298" s="48"/>
      <c r="F298" s="48"/>
      <c r="G298" s="48"/>
      <c r="H298" s="48"/>
      <c r="I298" s="48"/>
      <c r="J298" s="48"/>
      <c r="K298" s="48"/>
      <c r="L298" s="48"/>
      <c r="M298" s="48"/>
      <c r="N298" s="48"/>
      <c r="O298" s="48"/>
      <c r="P298" s="48"/>
      <c r="Q298" s="48"/>
      <c r="R298" s="48"/>
      <c r="S298" s="48"/>
      <c r="T298" s="48"/>
      <c r="U298" s="48"/>
      <c r="V298" s="48"/>
      <c r="W298" s="48"/>
      <c r="X298" s="48"/>
      <c r="Y298" s="48"/>
      <c r="Z298" s="48"/>
      <c r="AA298" s="48"/>
    </row>
    <row r="299" spans="2:27" ht="12.75" customHeight="1" x14ac:dyDescent="0.25">
      <c r="B299" s="48"/>
      <c r="C299" s="48"/>
      <c r="D299" s="48"/>
      <c r="E299" s="48"/>
      <c r="F299" s="48"/>
      <c r="G299" s="48"/>
      <c r="H299" s="48"/>
      <c r="I299" s="48"/>
      <c r="J299" s="48"/>
      <c r="K299" s="48"/>
      <c r="L299" s="48"/>
      <c r="M299" s="48"/>
      <c r="N299" s="48"/>
      <c r="O299" s="48"/>
      <c r="P299" s="48"/>
      <c r="Q299" s="48"/>
      <c r="R299" s="48"/>
      <c r="S299" s="48"/>
      <c r="T299" s="48"/>
      <c r="U299" s="48"/>
      <c r="V299" s="48"/>
      <c r="W299" s="48"/>
      <c r="X299" s="48"/>
      <c r="Y299" s="48"/>
      <c r="Z299" s="48"/>
      <c r="AA299" s="48"/>
    </row>
    <row r="300" spans="2:27" ht="12.75" customHeight="1" x14ac:dyDescent="0.25">
      <c r="B300" s="48"/>
      <c r="C300" s="48"/>
      <c r="D300" s="48"/>
      <c r="E300" s="48"/>
      <c r="F300" s="48"/>
      <c r="G300" s="48"/>
      <c r="H300" s="48"/>
      <c r="I300" s="48"/>
      <c r="J300" s="48"/>
      <c r="K300" s="48"/>
      <c r="L300" s="48"/>
      <c r="M300" s="48"/>
      <c r="N300" s="48"/>
      <c r="O300" s="48"/>
      <c r="P300" s="48"/>
      <c r="Q300" s="48"/>
      <c r="R300" s="48"/>
      <c r="S300" s="48"/>
      <c r="T300" s="48"/>
      <c r="U300" s="48"/>
      <c r="V300" s="48"/>
      <c r="W300" s="48"/>
      <c r="X300" s="48"/>
      <c r="Y300" s="48"/>
      <c r="Z300" s="48"/>
      <c r="AA300" s="48"/>
    </row>
    <row r="301" spans="2:27" ht="12.75" customHeight="1" x14ac:dyDescent="0.25">
      <c r="B301" s="48"/>
      <c r="C301" s="48"/>
      <c r="D301" s="48"/>
      <c r="E301" s="48"/>
      <c r="F301" s="48"/>
      <c r="G301" s="48"/>
      <c r="H301" s="48"/>
      <c r="I301" s="48"/>
      <c r="J301" s="48"/>
      <c r="K301" s="48"/>
      <c r="L301" s="48"/>
      <c r="M301" s="48"/>
      <c r="N301" s="48"/>
      <c r="O301" s="48"/>
      <c r="P301" s="48"/>
      <c r="Q301" s="48"/>
      <c r="R301" s="48"/>
      <c r="S301" s="48"/>
      <c r="T301" s="48"/>
      <c r="U301" s="48"/>
      <c r="V301" s="48"/>
      <c r="W301" s="48"/>
      <c r="X301" s="48"/>
      <c r="Y301" s="48"/>
      <c r="Z301" s="48"/>
      <c r="AA301" s="48"/>
    </row>
    <row r="302" spans="2:27" ht="12.75" customHeight="1" x14ac:dyDescent="0.25">
      <c r="B302" s="48"/>
      <c r="C302" s="48"/>
      <c r="D302" s="48"/>
      <c r="E302" s="48"/>
      <c r="F302" s="48"/>
      <c r="G302" s="48"/>
      <c r="H302" s="48"/>
      <c r="I302" s="48"/>
      <c r="J302" s="48"/>
      <c r="K302" s="48"/>
      <c r="L302" s="48"/>
      <c r="M302" s="48"/>
      <c r="N302" s="48"/>
      <c r="O302" s="48"/>
      <c r="P302" s="48"/>
      <c r="Q302" s="48"/>
      <c r="R302" s="48"/>
      <c r="S302" s="48"/>
      <c r="T302" s="48"/>
      <c r="U302" s="48"/>
      <c r="V302" s="48"/>
      <c r="W302" s="48"/>
      <c r="X302" s="48"/>
      <c r="Y302" s="48"/>
      <c r="Z302" s="48"/>
      <c r="AA302" s="48"/>
    </row>
    <row r="303" spans="2:27" ht="12.75" customHeight="1" x14ac:dyDescent="0.25">
      <c r="B303" s="48"/>
      <c r="C303" s="48"/>
      <c r="D303" s="48"/>
      <c r="E303" s="48"/>
      <c r="F303" s="48"/>
      <c r="G303" s="48"/>
      <c r="H303" s="48"/>
      <c r="I303" s="48"/>
      <c r="J303" s="48"/>
      <c r="K303" s="48"/>
      <c r="L303" s="48"/>
      <c r="M303" s="48"/>
      <c r="N303" s="48"/>
      <c r="O303" s="48"/>
      <c r="P303" s="48"/>
      <c r="Q303" s="48"/>
      <c r="R303" s="48"/>
      <c r="S303" s="48"/>
      <c r="T303" s="48"/>
      <c r="U303" s="48"/>
      <c r="V303" s="48"/>
      <c r="W303" s="48"/>
      <c r="X303" s="48"/>
      <c r="Y303" s="48"/>
      <c r="Z303" s="48"/>
      <c r="AA303" s="48"/>
    </row>
    <row r="304" spans="2:27" ht="12.75" customHeight="1" x14ac:dyDescent="0.25">
      <c r="B304" s="48"/>
      <c r="C304" s="48"/>
      <c r="D304" s="48"/>
      <c r="E304" s="48"/>
      <c r="F304" s="48"/>
      <c r="G304" s="48"/>
      <c r="H304" s="48"/>
      <c r="I304" s="48"/>
      <c r="J304" s="48"/>
      <c r="K304" s="48"/>
      <c r="L304" s="48"/>
      <c r="M304" s="48"/>
      <c r="N304" s="48"/>
      <c r="O304" s="48"/>
      <c r="P304" s="48"/>
      <c r="Q304" s="48"/>
      <c r="R304" s="48"/>
      <c r="S304" s="48"/>
      <c r="T304" s="48"/>
      <c r="U304" s="48"/>
      <c r="V304" s="48"/>
      <c r="W304" s="48"/>
      <c r="X304" s="48"/>
      <c r="Y304" s="48"/>
      <c r="Z304" s="48"/>
      <c r="AA304" s="48"/>
    </row>
    <row r="305" spans="2:27" ht="12.75" customHeight="1" x14ac:dyDescent="0.25">
      <c r="B305" s="48"/>
      <c r="C305" s="48"/>
      <c r="D305" s="48"/>
      <c r="E305" s="48"/>
      <c r="F305" s="48"/>
      <c r="G305" s="48"/>
      <c r="H305" s="48"/>
      <c r="I305" s="48"/>
      <c r="J305" s="48"/>
      <c r="K305" s="48"/>
      <c r="L305" s="48"/>
      <c r="M305" s="48"/>
      <c r="N305" s="48"/>
      <c r="O305" s="48"/>
      <c r="P305" s="48"/>
      <c r="Q305" s="48"/>
      <c r="R305" s="48"/>
      <c r="S305" s="48"/>
      <c r="T305" s="48"/>
      <c r="U305" s="48"/>
      <c r="V305" s="48"/>
      <c r="W305" s="48"/>
      <c r="X305" s="48"/>
      <c r="Y305" s="48"/>
      <c r="Z305" s="48"/>
      <c r="AA305" s="48"/>
    </row>
    <row r="306" spans="2:27" ht="12.75" customHeight="1" x14ac:dyDescent="0.25">
      <c r="B306" s="48"/>
      <c r="C306" s="48"/>
      <c r="D306" s="48"/>
      <c r="E306" s="48"/>
      <c r="F306" s="48"/>
      <c r="G306" s="48"/>
      <c r="H306" s="48"/>
      <c r="I306" s="48"/>
      <c r="J306" s="48"/>
      <c r="K306" s="48"/>
      <c r="L306" s="48"/>
      <c r="M306" s="48"/>
      <c r="N306" s="48"/>
      <c r="O306" s="48"/>
      <c r="P306" s="48"/>
      <c r="Q306" s="48"/>
      <c r="R306" s="48"/>
      <c r="S306" s="48"/>
      <c r="T306" s="48"/>
      <c r="U306" s="48"/>
      <c r="V306" s="48"/>
      <c r="W306" s="48"/>
      <c r="X306" s="48"/>
      <c r="Y306" s="48"/>
      <c r="Z306" s="48"/>
      <c r="AA306" s="48"/>
    </row>
    <row r="307" spans="2:27" ht="12.75" customHeight="1" x14ac:dyDescent="0.25">
      <c r="B307" s="48"/>
      <c r="C307" s="48"/>
      <c r="D307" s="48"/>
      <c r="E307" s="48"/>
      <c r="F307" s="48"/>
      <c r="G307" s="48"/>
      <c r="H307" s="48"/>
      <c r="I307" s="48"/>
      <c r="J307" s="48"/>
      <c r="K307" s="48"/>
      <c r="L307" s="48"/>
      <c r="M307" s="48"/>
      <c r="N307" s="48"/>
      <c r="O307" s="48"/>
      <c r="P307" s="48"/>
      <c r="Q307" s="48"/>
      <c r="R307" s="48"/>
      <c r="S307" s="48"/>
      <c r="T307" s="48"/>
      <c r="U307" s="48"/>
      <c r="V307" s="48"/>
      <c r="W307" s="48"/>
      <c r="X307" s="48"/>
      <c r="Y307" s="48"/>
      <c r="Z307" s="48"/>
      <c r="AA307" s="48"/>
    </row>
    <row r="308" spans="2:27" ht="12.75" customHeight="1" x14ac:dyDescent="0.25">
      <c r="B308" s="48"/>
      <c r="C308" s="48"/>
      <c r="D308" s="48"/>
      <c r="E308" s="48"/>
      <c r="F308" s="48"/>
      <c r="G308" s="48"/>
      <c r="H308" s="48"/>
      <c r="I308" s="48"/>
      <c r="J308" s="48"/>
      <c r="K308" s="48"/>
      <c r="L308" s="48"/>
      <c r="M308" s="48"/>
      <c r="N308" s="48"/>
      <c r="O308" s="48"/>
      <c r="P308" s="48"/>
      <c r="Q308" s="48"/>
      <c r="R308" s="48"/>
      <c r="S308" s="48"/>
      <c r="T308" s="48"/>
      <c r="U308" s="48"/>
      <c r="V308" s="48"/>
      <c r="W308" s="48"/>
      <c r="X308" s="48"/>
      <c r="Y308" s="48"/>
      <c r="Z308" s="48"/>
      <c r="AA308" s="48"/>
    </row>
    <row r="309" spans="2:27" ht="12.75" customHeight="1" x14ac:dyDescent="0.25">
      <c r="B309" s="48"/>
      <c r="C309" s="48"/>
      <c r="D309" s="48"/>
      <c r="E309" s="48"/>
      <c r="F309" s="48"/>
      <c r="G309" s="48"/>
      <c r="H309" s="48"/>
      <c r="I309" s="48"/>
      <c r="J309" s="48"/>
      <c r="K309" s="48"/>
      <c r="L309" s="48"/>
      <c r="M309" s="48"/>
      <c r="N309" s="48"/>
      <c r="O309" s="48"/>
      <c r="P309" s="48"/>
      <c r="Q309" s="48"/>
      <c r="R309" s="48"/>
      <c r="S309" s="48"/>
      <c r="T309" s="48"/>
      <c r="U309" s="48"/>
      <c r="V309" s="48"/>
      <c r="W309" s="48"/>
      <c r="X309" s="48"/>
      <c r="Y309" s="48"/>
      <c r="Z309" s="48"/>
      <c r="AA309" s="48"/>
    </row>
    <row r="310" spans="2:27" ht="12.75" customHeight="1" x14ac:dyDescent="0.25">
      <c r="B310" s="48"/>
      <c r="C310" s="48"/>
      <c r="D310" s="48"/>
      <c r="E310" s="48"/>
      <c r="F310" s="48"/>
      <c r="G310" s="48"/>
      <c r="H310" s="48"/>
      <c r="I310" s="48"/>
      <c r="J310" s="48"/>
      <c r="K310" s="48"/>
      <c r="L310" s="48"/>
      <c r="M310" s="48"/>
      <c r="N310" s="48"/>
      <c r="O310" s="48"/>
      <c r="P310" s="48"/>
      <c r="Q310" s="48"/>
      <c r="R310" s="48"/>
      <c r="S310" s="48"/>
      <c r="T310" s="48"/>
      <c r="U310" s="48"/>
      <c r="V310" s="48"/>
      <c r="W310" s="48"/>
      <c r="X310" s="48"/>
      <c r="Y310" s="48"/>
      <c r="Z310" s="48"/>
      <c r="AA310" s="48"/>
    </row>
    <row r="311" spans="2:27" ht="12.75" customHeight="1" x14ac:dyDescent="0.25">
      <c r="B311" s="48"/>
      <c r="C311" s="48"/>
      <c r="D311" s="48"/>
      <c r="E311" s="48"/>
      <c r="F311" s="48"/>
      <c r="G311" s="48"/>
      <c r="H311" s="48"/>
      <c r="I311" s="48"/>
      <c r="J311" s="48"/>
      <c r="K311" s="48"/>
      <c r="L311" s="48"/>
      <c r="M311" s="48"/>
      <c r="N311" s="48"/>
      <c r="O311" s="48"/>
      <c r="P311" s="48"/>
      <c r="Q311" s="48"/>
      <c r="R311" s="48"/>
      <c r="S311" s="48"/>
      <c r="T311" s="48"/>
      <c r="U311" s="48"/>
      <c r="V311" s="48"/>
      <c r="W311" s="48"/>
      <c r="X311" s="48"/>
      <c r="Y311" s="48"/>
      <c r="Z311" s="48"/>
      <c r="AA311" s="48"/>
    </row>
    <row r="312" spans="2:27" ht="12.75" customHeight="1" x14ac:dyDescent="0.25">
      <c r="B312" s="48"/>
      <c r="C312" s="48"/>
      <c r="D312" s="48"/>
      <c r="E312" s="48"/>
      <c r="F312" s="48"/>
      <c r="G312" s="48"/>
      <c r="H312" s="48"/>
      <c r="I312" s="48"/>
      <c r="J312" s="48"/>
      <c r="K312" s="48"/>
      <c r="L312" s="48"/>
      <c r="M312" s="48"/>
      <c r="N312" s="48"/>
      <c r="O312" s="48"/>
      <c r="P312" s="48"/>
      <c r="Q312" s="48"/>
      <c r="R312" s="48"/>
      <c r="S312" s="48"/>
      <c r="T312" s="48"/>
      <c r="U312" s="48"/>
      <c r="V312" s="48"/>
      <c r="W312" s="48"/>
      <c r="X312" s="48"/>
      <c r="Y312" s="48"/>
      <c r="Z312" s="48"/>
      <c r="AA312" s="48"/>
    </row>
    <row r="313" spans="2:27" ht="12.75" customHeight="1" x14ac:dyDescent="0.25">
      <c r="B313" s="48"/>
      <c r="C313" s="48"/>
      <c r="D313" s="48"/>
      <c r="E313" s="48"/>
      <c r="F313" s="48"/>
      <c r="G313" s="48"/>
      <c r="H313" s="48"/>
      <c r="I313" s="48"/>
      <c r="J313" s="48"/>
      <c r="K313" s="48"/>
      <c r="L313" s="48"/>
      <c r="M313" s="48"/>
      <c r="N313" s="48"/>
      <c r="O313" s="48"/>
      <c r="P313" s="48"/>
      <c r="Q313" s="48"/>
      <c r="R313" s="48"/>
      <c r="S313" s="48"/>
      <c r="T313" s="48"/>
      <c r="U313" s="48"/>
      <c r="V313" s="48"/>
      <c r="W313" s="48"/>
      <c r="X313" s="48"/>
      <c r="Y313" s="48"/>
      <c r="Z313" s="48"/>
      <c r="AA313" s="48"/>
    </row>
    <row r="314" spans="2:27" ht="12.75" customHeight="1" x14ac:dyDescent="0.25">
      <c r="B314" s="48"/>
      <c r="C314" s="48"/>
      <c r="D314" s="48"/>
      <c r="E314" s="48"/>
      <c r="F314" s="48"/>
      <c r="G314" s="48"/>
      <c r="H314" s="48"/>
      <c r="I314" s="48"/>
      <c r="J314" s="48"/>
      <c r="K314" s="48"/>
      <c r="L314" s="48"/>
      <c r="M314" s="48"/>
      <c r="N314" s="48"/>
      <c r="O314" s="48"/>
      <c r="P314" s="48"/>
      <c r="Q314" s="48"/>
      <c r="R314" s="48"/>
      <c r="S314" s="48"/>
      <c r="T314" s="48"/>
      <c r="U314" s="48"/>
      <c r="V314" s="48"/>
      <c r="W314" s="48"/>
      <c r="X314" s="48"/>
      <c r="Y314" s="48"/>
      <c r="Z314" s="48"/>
      <c r="AA314" s="48"/>
    </row>
    <row r="315" spans="2:27" ht="12.75" customHeight="1" x14ac:dyDescent="0.25">
      <c r="B315" s="48"/>
      <c r="C315" s="48"/>
      <c r="D315" s="48"/>
      <c r="E315" s="48"/>
      <c r="F315" s="48"/>
      <c r="G315" s="48"/>
      <c r="H315" s="48"/>
      <c r="I315" s="48"/>
      <c r="J315" s="48"/>
      <c r="K315" s="48"/>
      <c r="L315" s="48"/>
      <c r="M315" s="48"/>
      <c r="N315" s="48"/>
      <c r="O315" s="48"/>
      <c r="P315" s="48"/>
      <c r="Q315" s="48"/>
      <c r="R315" s="48"/>
      <c r="S315" s="48"/>
      <c r="T315" s="48"/>
      <c r="U315" s="48"/>
      <c r="V315" s="48"/>
      <c r="W315" s="48"/>
      <c r="X315" s="48"/>
      <c r="Y315" s="48"/>
      <c r="Z315" s="48"/>
      <c r="AA315" s="48"/>
    </row>
    <row r="316" spans="2:27" ht="12.75" customHeight="1" x14ac:dyDescent="0.25">
      <c r="B316" s="48"/>
      <c r="C316" s="48"/>
      <c r="D316" s="48"/>
      <c r="E316" s="48"/>
      <c r="F316" s="48"/>
      <c r="G316" s="48"/>
      <c r="H316" s="48"/>
      <c r="I316" s="48"/>
      <c r="J316" s="48"/>
      <c r="K316" s="48"/>
      <c r="L316" s="48"/>
      <c r="M316" s="48"/>
      <c r="N316" s="48"/>
      <c r="O316" s="48"/>
      <c r="P316" s="48"/>
      <c r="Q316" s="48"/>
      <c r="R316" s="48"/>
      <c r="S316" s="48"/>
      <c r="T316" s="48"/>
      <c r="U316" s="48"/>
      <c r="V316" s="48"/>
      <c r="W316" s="48"/>
      <c r="X316" s="48"/>
      <c r="Y316" s="48"/>
      <c r="Z316" s="48"/>
      <c r="AA316" s="48"/>
    </row>
    <row r="317" spans="2:27" ht="12.75" customHeight="1" x14ac:dyDescent="0.25">
      <c r="B317" s="48"/>
      <c r="C317" s="48"/>
      <c r="D317" s="48"/>
      <c r="E317" s="48"/>
      <c r="F317" s="48"/>
      <c r="G317" s="48"/>
      <c r="H317" s="48"/>
      <c r="I317" s="48"/>
      <c r="J317" s="48"/>
      <c r="K317" s="48"/>
      <c r="L317" s="48"/>
      <c r="M317" s="48"/>
      <c r="N317" s="48"/>
      <c r="O317" s="48"/>
      <c r="P317" s="48"/>
      <c r="Q317" s="48"/>
      <c r="R317" s="48"/>
      <c r="S317" s="48"/>
      <c r="T317" s="48"/>
      <c r="U317" s="48"/>
      <c r="V317" s="48"/>
      <c r="W317" s="48"/>
      <c r="X317" s="48"/>
      <c r="Y317" s="48"/>
      <c r="Z317" s="48"/>
      <c r="AA317" s="48"/>
    </row>
    <row r="318" spans="2:27" ht="12.75" customHeight="1" x14ac:dyDescent="0.25">
      <c r="B318" s="48"/>
      <c r="C318" s="48"/>
      <c r="D318" s="48"/>
      <c r="E318" s="48"/>
      <c r="F318" s="48"/>
      <c r="G318" s="48"/>
      <c r="H318" s="48"/>
      <c r="I318" s="48"/>
      <c r="J318" s="48"/>
      <c r="K318" s="48"/>
      <c r="L318" s="48"/>
      <c r="M318" s="48"/>
      <c r="N318" s="48"/>
      <c r="O318" s="48"/>
      <c r="P318" s="48"/>
      <c r="Q318" s="48"/>
      <c r="R318" s="48"/>
      <c r="S318" s="48"/>
      <c r="T318" s="48"/>
      <c r="U318" s="48"/>
      <c r="V318" s="48"/>
      <c r="W318" s="48"/>
      <c r="X318" s="48"/>
      <c r="Y318" s="48"/>
      <c r="Z318" s="48"/>
      <c r="AA318" s="48"/>
    </row>
    <row r="319" spans="2:27" ht="12.75" customHeight="1" x14ac:dyDescent="0.25">
      <c r="B319" s="48"/>
      <c r="C319" s="48"/>
      <c r="D319" s="48"/>
      <c r="E319" s="48"/>
      <c r="F319" s="48"/>
      <c r="G319" s="48"/>
      <c r="H319" s="48"/>
      <c r="I319" s="48"/>
      <c r="J319" s="48"/>
      <c r="K319" s="48"/>
      <c r="L319" s="48"/>
      <c r="M319" s="48"/>
      <c r="N319" s="48"/>
      <c r="O319" s="48"/>
      <c r="P319" s="48"/>
      <c r="Q319" s="48"/>
      <c r="R319" s="48"/>
      <c r="S319" s="48"/>
      <c r="T319" s="48"/>
      <c r="U319" s="48"/>
      <c r="V319" s="48"/>
      <c r="W319" s="48"/>
      <c r="X319" s="48"/>
      <c r="Y319" s="48"/>
      <c r="Z319" s="48"/>
      <c r="AA319" s="48"/>
    </row>
    <row r="320" spans="2:27" ht="12.75" customHeight="1" x14ac:dyDescent="0.25">
      <c r="B320" s="48"/>
      <c r="C320" s="48"/>
      <c r="D320" s="48"/>
      <c r="E320" s="48"/>
      <c r="F320" s="48"/>
      <c r="G320" s="48"/>
      <c r="H320" s="48"/>
      <c r="I320" s="48"/>
      <c r="J320" s="48"/>
      <c r="K320" s="48"/>
      <c r="L320" s="48"/>
      <c r="M320" s="48"/>
      <c r="N320" s="48"/>
      <c r="O320" s="48"/>
      <c r="P320" s="48"/>
      <c r="Q320" s="48"/>
      <c r="R320" s="48"/>
      <c r="S320" s="48"/>
      <c r="T320" s="48"/>
      <c r="U320" s="48"/>
      <c r="V320" s="48"/>
      <c r="W320" s="48"/>
      <c r="X320" s="48"/>
      <c r="Y320" s="48"/>
      <c r="Z320" s="48"/>
      <c r="AA320" s="48"/>
    </row>
    <row r="321" spans="2:27" ht="12.75" customHeight="1" x14ac:dyDescent="0.25">
      <c r="B321" s="48"/>
      <c r="C321" s="48"/>
      <c r="D321" s="48"/>
      <c r="E321" s="48"/>
      <c r="F321" s="48"/>
      <c r="G321" s="48"/>
      <c r="H321" s="48"/>
      <c r="I321" s="48"/>
      <c r="J321" s="48"/>
      <c r="K321" s="48"/>
      <c r="L321" s="48"/>
      <c r="M321" s="48"/>
      <c r="N321" s="48"/>
      <c r="O321" s="48"/>
      <c r="P321" s="48"/>
      <c r="Q321" s="48"/>
      <c r="R321" s="48"/>
      <c r="S321" s="48"/>
      <c r="T321" s="48"/>
      <c r="U321" s="48"/>
      <c r="V321" s="48"/>
      <c r="W321" s="48"/>
      <c r="X321" s="48"/>
      <c r="Y321" s="48"/>
      <c r="Z321" s="48"/>
      <c r="AA321" s="48"/>
    </row>
    <row r="322" spans="2:27" ht="12.75" customHeight="1" x14ac:dyDescent="0.25">
      <c r="B322" s="48"/>
      <c r="C322" s="48"/>
      <c r="D322" s="48"/>
      <c r="E322" s="48"/>
      <c r="F322" s="48"/>
      <c r="G322" s="48"/>
      <c r="H322" s="48"/>
      <c r="I322" s="48"/>
      <c r="J322" s="48"/>
      <c r="K322" s="48"/>
      <c r="L322" s="48"/>
      <c r="M322" s="48"/>
      <c r="N322" s="48"/>
      <c r="O322" s="48"/>
      <c r="P322" s="48"/>
      <c r="Q322" s="48"/>
      <c r="R322" s="48"/>
      <c r="S322" s="48"/>
      <c r="T322" s="48"/>
      <c r="U322" s="48"/>
      <c r="V322" s="48"/>
      <c r="W322" s="48"/>
      <c r="X322" s="48"/>
      <c r="Y322" s="48"/>
      <c r="Z322" s="48"/>
      <c r="AA322" s="48"/>
    </row>
    <row r="323" spans="2:27" ht="12.75" customHeight="1" x14ac:dyDescent="0.25">
      <c r="B323" s="48"/>
      <c r="C323" s="48"/>
      <c r="D323" s="48"/>
      <c r="E323" s="48"/>
      <c r="F323" s="48"/>
      <c r="G323" s="48"/>
      <c r="H323" s="48"/>
      <c r="I323" s="48"/>
      <c r="J323" s="48"/>
      <c r="K323" s="48"/>
      <c r="L323" s="48"/>
      <c r="M323" s="48"/>
      <c r="N323" s="48"/>
      <c r="O323" s="48"/>
      <c r="P323" s="48"/>
      <c r="Q323" s="48"/>
      <c r="R323" s="48"/>
      <c r="S323" s="48"/>
      <c r="T323" s="48"/>
      <c r="U323" s="48"/>
      <c r="V323" s="48"/>
      <c r="W323" s="48"/>
      <c r="X323" s="48"/>
      <c r="Y323" s="48"/>
      <c r="Z323" s="48"/>
      <c r="AA323" s="48"/>
    </row>
    <row r="324" spans="2:27" ht="12.75" customHeight="1" x14ac:dyDescent="0.25">
      <c r="B324" s="48"/>
      <c r="C324" s="48"/>
      <c r="D324" s="48"/>
      <c r="E324" s="48"/>
      <c r="F324" s="48"/>
      <c r="G324" s="48"/>
      <c r="H324" s="48"/>
      <c r="I324" s="48"/>
      <c r="J324" s="48"/>
      <c r="K324" s="48"/>
      <c r="L324" s="48"/>
      <c r="M324" s="48"/>
      <c r="N324" s="48"/>
      <c r="O324" s="48"/>
      <c r="P324" s="48"/>
      <c r="Q324" s="48"/>
      <c r="R324" s="48"/>
      <c r="S324" s="48"/>
      <c r="T324" s="48"/>
      <c r="U324" s="48"/>
      <c r="V324" s="48"/>
      <c r="W324" s="48"/>
      <c r="X324" s="48"/>
      <c r="Y324" s="48"/>
      <c r="Z324" s="48"/>
      <c r="AA324" s="48"/>
    </row>
    <row r="325" spans="2:27" ht="12.75" customHeight="1" x14ac:dyDescent="0.25">
      <c r="B325" s="48"/>
      <c r="C325" s="48"/>
      <c r="D325" s="48"/>
      <c r="E325" s="48"/>
      <c r="F325" s="48"/>
      <c r="G325" s="48"/>
      <c r="H325" s="48"/>
      <c r="I325" s="48"/>
      <c r="J325" s="48"/>
      <c r="K325" s="48"/>
      <c r="L325" s="48"/>
      <c r="M325" s="48"/>
      <c r="N325" s="48"/>
      <c r="O325" s="48"/>
      <c r="P325" s="48"/>
      <c r="Q325" s="48"/>
      <c r="R325" s="48"/>
      <c r="S325" s="48"/>
      <c r="T325" s="48"/>
      <c r="U325" s="48"/>
      <c r="V325" s="48"/>
      <c r="W325" s="48"/>
      <c r="X325" s="48"/>
      <c r="Y325" s="48"/>
      <c r="Z325" s="48"/>
      <c r="AA325" s="48"/>
    </row>
    <row r="326" spans="2:27" ht="12.75" customHeight="1" x14ac:dyDescent="0.25">
      <c r="B326" s="48"/>
      <c r="C326" s="48"/>
      <c r="D326" s="48"/>
      <c r="E326" s="48"/>
      <c r="F326" s="48"/>
      <c r="G326" s="48"/>
      <c r="H326" s="48"/>
      <c r="I326" s="48"/>
      <c r="J326" s="48"/>
      <c r="K326" s="48"/>
      <c r="L326" s="48"/>
      <c r="M326" s="48"/>
      <c r="N326" s="48"/>
      <c r="O326" s="48"/>
      <c r="P326" s="48"/>
      <c r="Q326" s="48"/>
      <c r="R326" s="48"/>
      <c r="S326" s="48"/>
      <c r="T326" s="48"/>
      <c r="U326" s="48"/>
      <c r="V326" s="48"/>
      <c r="W326" s="48"/>
      <c r="X326" s="48"/>
      <c r="Y326" s="48"/>
      <c r="Z326" s="48"/>
      <c r="AA326" s="48"/>
    </row>
    <row r="327" spans="2:27" ht="12.75" customHeight="1" x14ac:dyDescent="0.25">
      <c r="B327" s="48"/>
      <c r="C327" s="48"/>
      <c r="D327" s="48"/>
      <c r="E327" s="48"/>
      <c r="F327" s="48"/>
      <c r="G327" s="48"/>
      <c r="H327" s="48"/>
      <c r="I327" s="48"/>
      <c r="J327" s="48"/>
      <c r="K327" s="48"/>
      <c r="L327" s="48"/>
      <c r="M327" s="48"/>
      <c r="N327" s="48"/>
      <c r="O327" s="48"/>
      <c r="P327" s="48"/>
      <c r="Q327" s="48"/>
      <c r="R327" s="48"/>
      <c r="S327" s="48"/>
      <c r="T327" s="48"/>
      <c r="U327" s="48"/>
      <c r="V327" s="48"/>
      <c r="W327" s="48"/>
      <c r="X327" s="48"/>
      <c r="Y327" s="48"/>
      <c r="Z327" s="48"/>
      <c r="AA327" s="48"/>
    </row>
    <row r="328" spans="2:27" ht="12.75" customHeight="1" x14ac:dyDescent="0.25">
      <c r="B328" s="48"/>
      <c r="C328" s="48"/>
      <c r="D328" s="48"/>
      <c r="E328" s="48"/>
      <c r="F328" s="48"/>
      <c r="G328" s="48"/>
      <c r="H328" s="48"/>
      <c r="I328" s="48"/>
      <c r="J328" s="48"/>
      <c r="K328" s="48"/>
      <c r="L328" s="48"/>
      <c r="M328" s="48"/>
      <c r="N328" s="48"/>
      <c r="O328" s="48"/>
      <c r="P328" s="48"/>
      <c r="Q328" s="48"/>
      <c r="R328" s="48"/>
      <c r="S328" s="48"/>
      <c r="T328" s="48"/>
      <c r="U328" s="48"/>
      <c r="V328" s="48"/>
      <c r="W328" s="48"/>
      <c r="X328" s="48"/>
      <c r="Y328" s="48"/>
      <c r="Z328" s="48"/>
      <c r="AA328" s="48"/>
    </row>
    <row r="329" spans="2:27" ht="12.75" customHeight="1" x14ac:dyDescent="0.25">
      <c r="B329" s="48"/>
      <c r="C329" s="48"/>
      <c r="D329" s="48"/>
      <c r="E329" s="48"/>
      <c r="F329" s="48"/>
      <c r="G329" s="48"/>
      <c r="H329" s="48"/>
      <c r="I329" s="48"/>
      <c r="J329" s="48"/>
      <c r="K329" s="48"/>
      <c r="L329" s="48"/>
      <c r="M329" s="48"/>
      <c r="N329" s="48"/>
      <c r="O329" s="48"/>
      <c r="P329" s="48"/>
      <c r="Q329" s="48"/>
      <c r="R329" s="48"/>
      <c r="S329" s="48"/>
      <c r="T329" s="48"/>
      <c r="U329" s="48"/>
      <c r="V329" s="48"/>
      <c r="W329" s="48"/>
      <c r="X329" s="48"/>
      <c r="Y329" s="48"/>
      <c r="Z329" s="48"/>
      <c r="AA329" s="48"/>
    </row>
    <row r="330" spans="2:27" ht="12.75" customHeight="1" x14ac:dyDescent="0.25">
      <c r="B330" s="48"/>
      <c r="C330" s="48"/>
      <c r="D330" s="48"/>
      <c r="E330" s="48"/>
      <c r="F330" s="48"/>
      <c r="G330" s="48"/>
      <c r="H330" s="48"/>
      <c r="I330" s="48"/>
      <c r="J330" s="48"/>
      <c r="K330" s="48"/>
      <c r="L330" s="48"/>
      <c r="M330" s="48"/>
      <c r="N330" s="48"/>
      <c r="O330" s="48"/>
      <c r="P330" s="48"/>
      <c r="Q330" s="48"/>
      <c r="R330" s="48"/>
      <c r="S330" s="48"/>
      <c r="T330" s="48"/>
      <c r="U330" s="48"/>
      <c r="V330" s="48"/>
      <c r="W330" s="48"/>
      <c r="X330" s="48"/>
      <c r="Y330" s="48"/>
      <c r="Z330" s="48"/>
      <c r="AA330" s="48"/>
    </row>
    <row r="331" spans="2:27" ht="12.75" customHeight="1" x14ac:dyDescent="0.25">
      <c r="B331" s="48"/>
      <c r="C331" s="48"/>
      <c r="D331" s="48"/>
      <c r="E331" s="48"/>
      <c r="F331" s="48"/>
      <c r="G331" s="48"/>
      <c r="H331" s="48"/>
      <c r="I331" s="48"/>
      <c r="J331" s="48"/>
      <c r="K331" s="48"/>
      <c r="L331" s="48"/>
      <c r="M331" s="48"/>
      <c r="N331" s="48"/>
      <c r="O331" s="48"/>
      <c r="P331" s="48"/>
      <c r="Q331" s="48"/>
      <c r="R331" s="48"/>
      <c r="S331" s="48"/>
      <c r="T331" s="48"/>
      <c r="U331" s="48"/>
      <c r="V331" s="48"/>
      <c r="W331" s="48"/>
      <c r="X331" s="48"/>
      <c r="Y331" s="48"/>
      <c r="Z331" s="48"/>
      <c r="AA331" s="48"/>
    </row>
    <row r="332" spans="2:27" ht="12.75" customHeight="1" x14ac:dyDescent="0.25">
      <c r="B332" s="48"/>
      <c r="C332" s="48"/>
      <c r="D332" s="48"/>
      <c r="E332" s="48"/>
      <c r="F332" s="48"/>
      <c r="G332" s="48"/>
      <c r="H332" s="48"/>
      <c r="I332" s="48"/>
      <c r="J332" s="48"/>
      <c r="K332" s="48"/>
      <c r="L332" s="48"/>
      <c r="M332" s="48"/>
      <c r="N332" s="48"/>
      <c r="O332" s="48"/>
      <c r="P332" s="48"/>
      <c r="Q332" s="48"/>
      <c r="R332" s="48"/>
      <c r="S332" s="48"/>
      <c r="T332" s="48"/>
      <c r="U332" s="48"/>
      <c r="V332" s="48"/>
      <c r="W332" s="48"/>
      <c r="X332" s="48"/>
      <c r="Y332" s="48"/>
      <c r="Z332" s="48"/>
      <c r="AA332" s="48"/>
    </row>
    <row r="333" spans="2:27" ht="12.75" customHeight="1" x14ac:dyDescent="0.25">
      <c r="B333" s="48"/>
      <c r="C333" s="48"/>
      <c r="D333" s="48"/>
      <c r="E333" s="48"/>
      <c r="F333" s="48"/>
      <c r="G333" s="48"/>
      <c r="H333" s="48"/>
      <c r="I333" s="48"/>
      <c r="J333" s="48"/>
      <c r="K333" s="48"/>
      <c r="L333" s="48"/>
      <c r="M333" s="48"/>
      <c r="N333" s="48"/>
      <c r="O333" s="48"/>
      <c r="P333" s="48"/>
      <c r="Q333" s="48"/>
      <c r="R333" s="48"/>
      <c r="S333" s="48"/>
      <c r="T333" s="48"/>
      <c r="U333" s="48"/>
      <c r="V333" s="48"/>
      <c r="W333" s="48"/>
      <c r="X333" s="48"/>
      <c r="Y333" s="48"/>
      <c r="Z333" s="48"/>
      <c r="AA333" s="48"/>
    </row>
    <row r="334" spans="2:27" ht="12.75" customHeight="1" x14ac:dyDescent="0.25">
      <c r="B334" s="48"/>
      <c r="C334" s="48"/>
      <c r="D334" s="48"/>
      <c r="E334" s="48"/>
      <c r="F334" s="48"/>
      <c r="G334" s="48"/>
      <c r="H334" s="48"/>
      <c r="I334" s="48"/>
      <c r="J334" s="48"/>
      <c r="K334" s="48"/>
      <c r="L334" s="48"/>
      <c r="M334" s="48"/>
      <c r="N334" s="48"/>
      <c r="O334" s="48"/>
      <c r="P334" s="48"/>
      <c r="Q334" s="48"/>
      <c r="R334" s="48"/>
      <c r="S334" s="48"/>
      <c r="T334" s="48"/>
      <c r="U334" s="48"/>
      <c r="V334" s="48"/>
      <c r="W334" s="48"/>
      <c r="X334" s="48"/>
      <c r="Y334" s="48"/>
      <c r="Z334" s="48"/>
      <c r="AA334" s="48"/>
    </row>
    <row r="335" spans="2:27" ht="12.75" customHeight="1" x14ac:dyDescent="0.25">
      <c r="B335" s="48"/>
      <c r="C335" s="48"/>
      <c r="D335" s="48"/>
      <c r="E335" s="48"/>
      <c r="F335" s="48"/>
      <c r="G335" s="48"/>
      <c r="H335" s="48"/>
      <c r="I335" s="48"/>
      <c r="J335" s="48"/>
      <c r="K335" s="48"/>
      <c r="L335" s="48"/>
      <c r="M335" s="48"/>
      <c r="N335" s="48"/>
      <c r="O335" s="48"/>
      <c r="P335" s="48"/>
      <c r="Q335" s="48"/>
      <c r="R335" s="48"/>
      <c r="S335" s="48"/>
      <c r="T335" s="48"/>
      <c r="U335" s="48"/>
      <c r="V335" s="48"/>
      <c r="W335" s="48"/>
      <c r="X335" s="48"/>
      <c r="Y335" s="48"/>
      <c r="Z335" s="48"/>
      <c r="AA335" s="48"/>
    </row>
    <row r="336" spans="2:27" ht="12.75" customHeight="1" x14ac:dyDescent="0.25">
      <c r="B336" s="48"/>
      <c r="C336" s="48"/>
      <c r="D336" s="48"/>
      <c r="E336" s="48"/>
      <c r="F336" s="48"/>
      <c r="G336" s="48"/>
      <c r="H336" s="48"/>
      <c r="I336" s="48"/>
      <c r="J336" s="48"/>
      <c r="K336" s="48"/>
      <c r="L336" s="48"/>
      <c r="M336" s="48"/>
      <c r="N336" s="48"/>
      <c r="O336" s="48"/>
      <c r="P336" s="48"/>
      <c r="Q336" s="48"/>
      <c r="R336" s="48"/>
      <c r="S336" s="48"/>
      <c r="T336" s="48"/>
      <c r="U336" s="48"/>
      <c r="V336" s="48"/>
      <c r="W336" s="48"/>
      <c r="X336" s="48"/>
      <c r="Y336" s="48"/>
      <c r="Z336" s="48"/>
      <c r="AA336" s="48"/>
    </row>
    <row r="337" spans="2:27" ht="12.75" customHeight="1" x14ac:dyDescent="0.25">
      <c r="B337" s="48"/>
      <c r="C337" s="48"/>
      <c r="D337" s="48"/>
      <c r="E337" s="48"/>
      <c r="F337" s="48"/>
      <c r="G337" s="48"/>
      <c r="H337" s="48"/>
      <c r="I337" s="48"/>
      <c r="J337" s="48"/>
      <c r="K337" s="48"/>
      <c r="L337" s="48"/>
      <c r="M337" s="48"/>
      <c r="N337" s="48"/>
      <c r="O337" s="48"/>
      <c r="P337" s="48"/>
      <c r="Q337" s="48"/>
      <c r="R337" s="48"/>
      <c r="S337" s="48"/>
      <c r="T337" s="48"/>
      <c r="U337" s="48"/>
      <c r="V337" s="48"/>
      <c r="W337" s="48"/>
      <c r="X337" s="48"/>
      <c r="Y337" s="48"/>
      <c r="Z337" s="48"/>
      <c r="AA337" s="48"/>
    </row>
    <row r="338" spans="2:27" ht="12.75" customHeight="1" x14ac:dyDescent="0.25">
      <c r="B338" s="48"/>
      <c r="C338" s="48"/>
      <c r="D338" s="48"/>
      <c r="E338" s="48"/>
      <c r="F338" s="48"/>
      <c r="G338" s="48"/>
      <c r="H338" s="48"/>
      <c r="I338" s="48"/>
      <c r="J338" s="48"/>
      <c r="K338" s="48"/>
      <c r="L338" s="48"/>
      <c r="M338" s="48"/>
      <c r="N338" s="48"/>
      <c r="O338" s="48"/>
      <c r="P338" s="48"/>
      <c r="Q338" s="48"/>
      <c r="R338" s="48"/>
      <c r="S338" s="48"/>
      <c r="T338" s="48"/>
      <c r="U338" s="48"/>
      <c r="V338" s="48"/>
      <c r="W338" s="48"/>
      <c r="X338" s="48"/>
      <c r="Y338" s="48"/>
      <c r="Z338" s="48"/>
      <c r="AA338" s="48"/>
    </row>
    <row r="339" spans="2:27" ht="12.75" customHeight="1" x14ac:dyDescent="0.25">
      <c r="B339" s="48"/>
      <c r="C339" s="48"/>
      <c r="D339" s="48"/>
      <c r="E339" s="48"/>
      <c r="F339" s="48"/>
      <c r="G339" s="48"/>
      <c r="H339" s="48"/>
      <c r="I339" s="48"/>
      <c r="J339" s="48"/>
      <c r="K339" s="48"/>
      <c r="L339" s="48"/>
      <c r="M339" s="48"/>
      <c r="N339" s="48"/>
      <c r="O339" s="48"/>
      <c r="P339" s="48"/>
      <c r="Q339" s="48"/>
      <c r="R339" s="48"/>
      <c r="S339" s="48"/>
      <c r="T339" s="48"/>
      <c r="U339" s="48"/>
      <c r="V339" s="48"/>
      <c r="W339" s="48"/>
      <c r="X339" s="48"/>
      <c r="Y339" s="48"/>
      <c r="Z339" s="48"/>
      <c r="AA339" s="48"/>
    </row>
    <row r="340" spans="2:27" ht="12.75" customHeight="1" x14ac:dyDescent="0.25">
      <c r="B340" s="48"/>
      <c r="C340" s="48"/>
      <c r="D340" s="48"/>
      <c r="E340" s="48"/>
      <c r="F340" s="48"/>
      <c r="G340" s="48"/>
      <c r="H340" s="48"/>
      <c r="I340" s="48"/>
      <c r="J340" s="48"/>
      <c r="K340" s="48"/>
      <c r="L340" s="48"/>
      <c r="M340" s="48"/>
      <c r="N340" s="48"/>
      <c r="O340" s="48"/>
      <c r="P340" s="48"/>
      <c r="Q340" s="48"/>
      <c r="R340" s="48"/>
      <c r="S340" s="48"/>
      <c r="T340" s="48"/>
      <c r="U340" s="48"/>
      <c r="V340" s="48"/>
      <c r="W340" s="48"/>
      <c r="X340" s="48"/>
      <c r="Y340" s="48"/>
      <c r="Z340" s="48"/>
      <c r="AA340" s="48"/>
    </row>
    <row r="341" spans="2:27" ht="12.75" customHeight="1" x14ac:dyDescent="0.25">
      <c r="B341" s="48"/>
      <c r="C341" s="48"/>
      <c r="D341" s="48"/>
      <c r="E341" s="48"/>
      <c r="F341" s="48"/>
      <c r="G341" s="48"/>
      <c r="H341" s="48"/>
      <c r="I341" s="48"/>
      <c r="J341" s="48"/>
      <c r="K341" s="48"/>
      <c r="L341" s="48"/>
      <c r="M341" s="48"/>
      <c r="N341" s="48"/>
      <c r="O341" s="48"/>
      <c r="P341" s="48"/>
      <c r="Q341" s="48"/>
      <c r="R341" s="48"/>
      <c r="S341" s="48"/>
      <c r="T341" s="48"/>
      <c r="U341" s="48"/>
      <c r="V341" s="48"/>
      <c r="W341" s="48"/>
      <c r="X341" s="48"/>
      <c r="Y341" s="48"/>
      <c r="Z341" s="48"/>
      <c r="AA341" s="48"/>
    </row>
    <row r="342" spans="2:27" ht="12.75" customHeight="1" x14ac:dyDescent="0.25">
      <c r="B342" s="48"/>
      <c r="C342" s="48"/>
      <c r="D342" s="48"/>
      <c r="E342" s="48"/>
      <c r="F342" s="48"/>
      <c r="G342" s="48"/>
      <c r="H342" s="48"/>
      <c r="I342" s="48"/>
      <c r="J342" s="48"/>
      <c r="K342" s="48"/>
      <c r="L342" s="48"/>
      <c r="M342" s="48"/>
      <c r="N342" s="48"/>
      <c r="O342" s="48"/>
      <c r="P342" s="48"/>
      <c r="Q342" s="48"/>
      <c r="R342" s="48"/>
      <c r="S342" s="48"/>
      <c r="T342" s="48"/>
      <c r="U342" s="48"/>
      <c r="V342" s="48"/>
      <c r="W342" s="48"/>
      <c r="X342" s="48"/>
      <c r="Y342" s="48"/>
      <c r="Z342" s="48"/>
      <c r="AA342" s="48"/>
    </row>
    <row r="343" spans="2:27" ht="12.75" customHeight="1" x14ac:dyDescent="0.25">
      <c r="B343" s="48"/>
      <c r="C343" s="48"/>
      <c r="D343" s="48"/>
      <c r="E343" s="48"/>
      <c r="F343" s="48"/>
      <c r="G343" s="48"/>
      <c r="H343" s="48"/>
      <c r="I343" s="48"/>
      <c r="J343" s="48"/>
      <c r="K343" s="48"/>
      <c r="L343" s="48"/>
      <c r="M343" s="48"/>
      <c r="N343" s="48"/>
      <c r="O343" s="48"/>
      <c r="P343" s="48"/>
      <c r="Q343" s="48"/>
      <c r="R343" s="48"/>
      <c r="S343" s="48"/>
      <c r="T343" s="48"/>
      <c r="U343" s="48"/>
      <c r="V343" s="48"/>
      <c r="W343" s="48"/>
      <c r="X343" s="48"/>
      <c r="Y343" s="48"/>
      <c r="Z343" s="48"/>
      <c r="AA343" s="48"/>
    </row>
    <row r="344" spans="2:27" ht="12.75" customHeight="1" x14ac:dyDescent="0.25">
      <c r="B344" s="48"/>
      <c r="C344" s="48"/>
      <c r="D344" s="48"/>
      <c r="E344" s="48"/>
      <c r="F344" s="48"/>
      <c r="G344" s="48"/>
      <c r="H344" s="48"/>
      <c r="I344" s="48"/>
      <c r="J344" s="48"/>
      <c r="K344" s="48"/>
      <c r="L344" s="48"/>
      <c r="M344" s="48"/>
      <c r="N344" s="48"/>
      <c r="O344" s="48"/>
      <c r="P344" s="48"/>
      <c r="Q344" s="48"/>
      <c r="R344" s="48"/>
      <c r="S344" s="48"/>
      <c r="T344" s="48"/>
      <c r="U344" s="48"/>
      <c r="V344" s="48"/>
      <c r="W344" s="48"/>
      <c r="X344" s="48"/>
      <c r="Y344" s="48"/>
      <c r="Z344" s="48"/>
      <c r="AA344" s="48"/>
    </row>
    <row r="345" spans="2:27" ht="12.75" customHeight="1" x14ac:dyDescent="0.25">
      <c r="B345" s="48"/>
      <c r="C345" s="48"/>
      <c r="D345" s="48"/>
      <c r="E345" s="48"/>
      <c r="F345" s="48"/>
      <c r="G345" s="48"/>
      <c r="H345" s="48"/>
      <c r="I345" s="48"/>
      <c r="J345" s="48"/>
      <c r="K345" s="48"/>
      <c r="L345" s="48"/>
      <c r="M345" s="48"/>
      <c r="N345" s="48"/>
      <c r="O345" s="48"/>
      <c r="P345" s="48"/>
      <c r="Q345" s="48"/>
      <c r="R345" s="48"/>
      <c r="S345" s="48"/>
      <c r="T345" s="48"/>
      <c r="U345" s="48"/>
      <c r="V345" s="48"/>
      <c r="W345" s="48"/>
      <c r="X345" s="48"/>
      <c r="Y345" s="48"/>
      <c r="Z345" s="48"/>
      <c r="AA345" s="48"/>
    </row>
    <row r="346" spans="2:27" ht="12.75" customHeight="1" x14ac:dyDescent="0.25">
      <c r="B346" s="48"/>
      <c r="C346" s="48"/>
      <c r="D346" s="48"/>
      <c r="E346" s="48"/>
      <c r="F346" s="48"/>
      <c r="G346" s="48"/>
      <c r="H346" s="48"/>
      <c r="I346" s="48"/>
      <c r="J346" s="48"/>
      <c r="K346" s="48"/>
      <c r="L346" s="48"/>
      <c r="M346" s="48"/>
      <c r="N346" s="48"/>
      <c r="O346" s="48"/>
      <c r="P346" s="48"/>
      <c r="Q346" s="48"/>
      <c r="R346" s="48"/>
      <c r="S346" s="48"/>
      <c r="T346" s="48"/>
      <c r="U346" s="48"/>
      <c r="V346" s="48"/>
      <c r="W346" s="48"/>
      <c r="X346" s="48"/>
      <c r="Y346" s="48"/>
      <c r="Z346" s="48"/>
      <c r="AA346" s="48"/>
    </row>
    <row r="347" spans="2:27" ht="12.75" customHeight="1" x14ac:dyDescent="0.25">
      <c r="B347" s="48"/>
      <c r="C347" s="48"/>
      <c r="D347" s="48"/>
      <c r="E347" s="48"/>
      <c r="F347" s="48"/>
      <c r="G347" s="48"/>
      <c r="H347" s="48"/>
      <c r="I347" s="48"/>
      <c r="J347" s="48"/>
      <c r="K347" s="48"/>
      <c r="L347" s="48"/>
      <c r="M347" s="48"/>
      <c r="N347" s="48"/>
      <c r="O347" s="48"/>
      <c r="P347" s="48"/>
      <c r="Q347" s="48"/>
      <c r="R347" s="48"/>
      <c r="S347" s="48"/>
      <c r="T347" s="48"/>
      <c r="U347" s="48"/>
      <c r="V347" s="48"/>
      <c r="W347" s="48"/>
      <c r="X347" s="48"/>
      <c r="Y347" s="48"/>
      <c r="Z347" s="48"/>
      <c r="AA347" s="48"/>
    </row>
    <row r="348" spans="2:27" ht="12.75" customHeight="1" x14ac:dyDescent="0.25">
      <c r="B348" s="48"/>
      <c r="C348" s="48"/>
      <c r="D348" s="48"/>
      <c r="E348" s="48"/>
      <c r="F348" s="48"/>
      <c r="G348" s="48"/>
      <c r="H348" s="48"/>
      <c r="I348" s="48"/>
      <c r="J348" s="48"/>
      <c r="K348" s="48"/>
      <c r="L348" s="48"/>
      <c r="M348" s="48"/>
      <c r="N348" s="48"/>
      <c r="O348" s="48"/>
      <c r="P348" s="48"/>
      <c r="Q348" s="48"/>
      <c r="R348" s="48"/>
      <c r="S348" s="48"/>
      <c r="T348" s="48"/>
      <c r="U348" s="48"/>
      <c r="V348" s="48"/>
      <c r="W348" s="48"/>
      <c r="X348" s="48"/>
      <c r="Y348" s="48"/>
      <c r="Z348" s="48"/>
      <c r="AA348" s="48"/>
    </row>
    <row r="349" spans="2:27" ht="12.75" customHeight="1" x14ac:dyDescent="0.25">
      <c r="B349" s="48"/>
      <c r="C349" s="48"/>
      <c r="D349" s="48"/>
      <c r="E349" s="48"/>
      <c r="F349" s="48"/>
      <c r="G349" s="48"/>
      <c r="H349" s="48"/>
      <c r="I349" s="48"/>
      <c r="J349" s="48"/>
      <c r="K349" s="48"/>
      <c r="L349" s="48"/>
      <c r="M349" s="48"/>
      <c r="N349" s="48"/>
      <c r="O349" s="48"/>
      <c r="P349" s="48"/>
      <c r="Q349" s="48"/>
      <c r="R349" s="48"/>
      <c r="S349" s="48"/>
      <c r="T349" s="48"/>
      <c r="U349" s="48"/>
      <c r="V349" s="48"/>
      <c r="W349" s="48"/>
      <c r="X349" s="48"/>
      <c r="Y349" s="48"/>
      <c r="Z349" s="48"/>
      <c r="AA349" s="48"/>
    </row>
    <row r="350" spans="2:27" ht="12.75" customHeight="1" x14ac:dyDescent="0.25">
      <c r="B350" s="48"/>
      <c r="C350" s="48"/>
      <c r="D350" s="48"/>
      <c r="E350" s="48"/>
      <c r="F350" s="48"/>
      <c r="G350" s="48"/>
      <c r="H350" s="48"/>
      <c r="I350" s="48"/>
      <c r="J350" s="48"/>
      <c r="K350" s="48"/>
      <c r="L350" s="48"/>
      <c r="M350" s="48"/>
      <c r="N350" s="48"/>
      <c r="O350" s="48"/>
      <c r="P350" s="48"/>
      <c r="Q350" s="48"/>
      <c r="R350" s="48"/>
      <c r="S350" s="48"/>
      <c r="T350" s="48"/>
      <c r="U350" s="48"/>
      <c r="V350" s="48"/>
      <c r="W350" s="48"/>
      <c r="X350" s="48"/>
      <c r="Y350" s="48"/>
      <c r="Z350" s="48"/>
      <c r="AA350" s="48"/>
    </row>
    <row r="351" spans="2:27" ht="12.75" customHeight="1" x14ac:dyDescent="0.25">
      <c r="B351" s="48"/>
      <c r="C351" s="48"/>
      <c r="D351" s="48"/>
      <c r="E351" s="48"/>
      <c r="F351" s="48"/>
      <c r="G351" s="48"/>
      <c r="H351" s="48"/>
      <c r="I351" s="48"/>
      <c r="J351" s="48"/>
      <c r="K351" s="48"/>
      <c r="L351" s="48"/>
      <c r="M351" s="48"/>
      <c r="N351" s="48"/>
      <c r="O351" s="48"/>
      <c r="P351" s="48"/>
      <c r="Q351" s="48"/>
      <c r="R351" s="48"/>
      <c r="S351" s="48"/>
      <c r="T351" s="48"/>
      <c r="U351" s="48"/>
      <c r="V351" s="48"/>
      <c r="W351" s="48"/>
      <c r="X351" s="48"/>
      <c r="Y351" s="48"/>
      <c r="Z351" s="48"/>
      <c r="AA351" s="48"/>
    </row>
    <row r="352" spans="2:27" ht="12.75" customHeight="1" x14ac:dyDescent="0.25">
      <c r="B352" s="48"/>
      <c r="C352" s="48"/>
      <c r="D352" s="48"/>
      <c r="E352" s="48"/>
      <c r="F352" s="48"/>
      <c r="G352" s="48"/>
      <c r="H352" s="48"/>
      <c r="I352" s="48"/>
      <c r="J352" s="48"/>
      <c r="K352" s="48"/>
      <c r="L352" s="48"/>
      <c r="M352" s="48"/>
      <c r="N352" s="48"/>
      <c r="O352" s="48"/>
      <c r="P352" s="48"/>
      <c r="Q352" s="48"/>
      <c r="R352" s="48"/>
      <c r="S352" s="48"/>
      <c r="T352" s="48"/>
      <c r="U352" s="48"/>
      <c r="V352" s="48"/>
      <c r="W352" s="48"/>
      <c r="X352" s="48"/>
      <c r="Y352" s="48"/>
      <c r="Z352" s="48"/>
      <c r="AA352" s="48"/>
    </row>
    <row r="353" spans="2:27" ht="12.75" customHeight="1" x14ac:dyDescent="0.25">
      <c r="B353" s="48"/>
      <c r="C353" s="48"/>
      <c r="D353" s="48"/>
      <c r="E353" s="48"/>
      <c r="F353" s="48"/>
      <c r="G353" s="48"/>
      <c r="H353" s="48"/>
      <c r="I353" s="48"/>
      <c r="J353" s="48"/>
      <c r="K353" s="48"/>
      <c r="L353" s="48"/>
      <c r="M353" s="48"/>
      <c r="N353" s="48"/>
      <c r="O353" s="48"/>
      <c r="P353" s="48"/>
      <c r="Q353" s="48"/>
      <c r="R353" s="48"/>
      <c r="S353" s="48"/>
      <c r="T353" s="48"/>
      <c r="U353" s="48"/>
      <c r="V353" s="48"/>
      <c r="W353" s="48"/>
      <c r="X353" s="48"/>
      <c r="Y353" s="48"/>
      <c r="Z353" s="48"/>
      <c r="AA353" s="48"/>
    </row>
    <row r="354" spans="2:27" ht="12.75" customHeight="1" x14ac:dyDescent="0.25">
      <c r="B354" s="48"/>
      <c r="C354" s="48"/>
      <c r="D354" s="48"/>
      <c r="E354" s="48"/>
      <c r="F354" s="48"/>
      <c r="G354" s="48"/>
      <c r="H354" s="48"/>
      <c r="I354" s="48"/>
      <c r="J354" s="48"/>
      <c r="K354" s="48"/>
      <c r="L354" s="48"/>
      <c r="M354" s="48"/>
      <c r="N354" s="48"/>
      <c r="O354" s="48"/>
      <c r="P354" s="48"/>
      <c r="Q354" s="48"/>
      <c r="R354" s="48"/>
      <c r="S354" s="48"/>
      <c r="T354" s="48"/>
      <c r="U354" s="48"/>
      <c r="V354" s="48"/>
      <c r="W354" s="48"/>
      <c r="X354" s="48"/>
      <c r="Y354" s="48"/>
      <c r="Z354" s="48"/>
      <c r="AA354" s="48"/>
    </row>
    <row r="355" spans="2:27" ht="12.75" customHeight="1" x14ac:dyDescent="0.25">
      <c r="B355" s="48"/>
      <c r="C355" s="48"/>
      <c r="D355" s="48"/>
      <c r="E355" s="48"/>
      <c r="F355" s="48"/>
      <c r="G355" s="48"/>
      <c r="H355" s="48"/>
      <c r="I355" s="48"/>
      <c r="J355" s="48"/>
      <c r="K355" s="48"/>
      <c r="L355" s="48"/>
      <c r="M355" s="48"/>
      <c r="N355" s="48"/>
      <c r="O355" s="48"/>
      <c r="P355" s="48"/>
      <c r="Q355" s="48"/>
      <c r="R355" s="48"/>
      <c r="S355" s="48"/>
      <c r="T355" s="48"/>
      <c r="U355" s="48"/>
      <c r="V355" s="48"/>
      <c r="W355" s="48"/>
      <c r="X355" s="48"/>
      <c r="Y355" s="48"/>
      <c r="Z355" s="48"/>
      <c r="AA355" s="48"/>
    </row>
    <row r="356" spans="2:27" ht="12.75" customHeight="1" x14ac:dyDescent="0.25">
      <c r="B356" s="48"/>
      <c r="C356" s="48"/>
      <c r="D356" s="48"/>
      <c r="E356" s="48"/>
      <c r="F356" s="48"/>
      <c r="G356" s="48"/>
      <c r="H356" s="48"/>
      <c r="I356" s="48"/>
      <c r="J356" s="48"/>
      <c r="K356" s="48"/>
      <c r="L356" s="48"/>
      <c r="M356" s="48"/>
      <c r="N356" s="48"/>
      <c r="O356" s="48"/>
      <c r="P356" s="48"/>
      <c r="Q356" s="48"/>
      <c r="R356" s="48"/>
      <c r="S356" s="48"/>
      <c r="T356" s="48"/>
      <c r="U356" s="48"/>
      <c r="V356" s="48"/>
      <c r="W356" s="48"/>
      <c r="X356" s="48"/>
      <c r="Y356" s="48"/>
      <c r="Z356" s="48"/>
      <c r="AA356" s="48"/>
    </row>
    <row r="357" spans="2:27" ht="12.75" customHeight="1" x14ac:dyDescent="0.25">
      <c r="B357" s="48"/>
      <c r="C357" s="48"/>
      <c r="D357" s="48"/>
      <c r="E357" s="48"/>
      <c r="F357" s="48"/>
      <c r="G357" s="48"/>
      <c r="H357" s="48"/>
      <c r="I357" s="48"/>
      <c r="J357" s="48"/>
      <c r="K357" s="48"/>
      <c r="L357" s="48"/>
      <c r="M357" s="48"/>
      <c r="N357" s="48"/>
      <c r="O357" s="48"/>
      <c r="P357" s="48"/>
      <c r="Q357" s="48"/>
      <c r="R357" s="48"/>
      <c r="S357" s="48"/>
      <c r="T357" s="48"/>
      <c r="U357" s="48"/>
      <c r="V357" s="48"/>
      <c r="W357" s="48"/>
      <c r="X357" s="48"/>
      <c r="Y357" s="48"/>
      <c r="Z357" s="48"/>
      <c r="AA357" s="48"/>
    </row>
    <row r="358" spans="2:27" ht="12.75" customHeight="1" x14ac:dyDescent="0.25">
      <c r="B358" s="48"/>
      <c r="C358" s="48"/>
      <c r="D358" s="48"/>
      <c r="E358" s="48"/>
      <c r="F358" s="48"/>
      <c r="G358" s="48"/>
      <c r="H358" s="48"/>
      <c r="I358" s="48"/>
      <c r="J358" s="48"/>
      <c r="K358" s="48"/>
      <c r="L358" s="48"/>
      <c r="M358" s="48"/>
      <c r="N358" s="48"/>
      <c r="O358" s="48"/>
      <c r="P358" s="48"/>
      <c r="Q358" s="48"/>
      <c r="R358" s="48"/>
      <c r="S358" s="48"/>
      <c r="T358" s="48"/>
      <c r="U358" s="48"/>
      <c r="V358" s="48"/>
      <c r="W358" s="48"/>
      <c r="X358" s="48"/>
      <c r="Y358" s="48"/>
      <c r="Z358" s="48"/>
      <c r="AA358" s="48"/>
    </row>
    <row r="359" spans="2:27" ht="12.75" customHeight="1" x14ac:dyDescent="0.25">
      <c r="B359" s="48"/>
      <c r="C359" s="48"/>
      <c r="D359" s="48"/>
      <c r="E359" s="48"/>
      <c r="F359" s="48"/>
      <c r="G359" s="48"/>
      <c r="H359" s="48"/>
      <c r="I359" s="48"/>
      <c r="J359" s="48"/>
      <c r="K359" s="48"/>
      <c r="L359" s="48"/>
      <c r="M359" s="48"/>
      <c r="N359" s="48"/>
      <c r="O359" s="48"/>
      <c r="P359" s="48"/>
      <c r="Q359" s="48"/>
      <c r="R359" s="48"/>
      <c r="S359" s="48"/>
      <c r="T359" s="48"/>
      <c r="U359" s="48"/>
      <c r="V359" s="48"/>
      <c r="W359" s="48"/>
      <c r="X359" s="48"/>
      <c r="Y359" s="48"/>
      <c r="Z359" s="48"/>
      <c r="AA359" s="48"/>
    </row>
    <row r="360" spans="2:27" ht="12.75" customHeight="1" x14ac:dyDescent="0.25">
      <c r="B360" s="48"/>
      <c r="C360" s="48"/>
      <c r="D360" s="48"/>
      <c r="E360" s="48"/>
      <c r="F360" s="48"/>
      <c r="G360" s="48"/>
      <c r="H360" s="48"/>
      <c r="I360" s="48"/>
      <c r="J360" s="48"/>
      <c r="K360" s="48"/>
      <c r="L360" s="48"/>
      <c r="M360" s="48"/>
      <c r="N360" s="48"/>
      <c r="O360" s="48"/>
      <c r="P360" s="48"/>
      <c r="Q360" s="48"/>
      <c r="R360" s="48"/>
      <c r="S360" s="48"/>
      <c r="T360" s="48"/>
      <c r="U360" s="48"/>
      <c r="V360" s="48"/>
      <c r="W360" s="48"/>
      <c r="X360" s="48"/>
      <c r="Y360" s="48"/>
      <c r="Z360" s="48"/>
      <c r="AA360" s="48"/>
    </row>
    <row r="361" spans="2:27" ht="12.75" customHeight="1" x14ac:dyDescent="0.25">
      <c r="B361" s="48"/>
      <c r="C361" s="48"/>
      <c r="D361" s="48"/>
      <c r="E361" s="48"/>
      <c r="F361" s="48"/>
      <c r="G361" s="48"/>
      <c r="H361" s="48"/>
      <c r="I361" s="48"/>
      <c r="J361" s="48"/>
      <c r="K361" s="48"/>
      <c r="L361" s="48"/>
      <c r="M361" s="48"/>
      <c r="N361" s="48"/>
      <c r="O361" s="48"/>
      <c r="P361" s="48"/>
      <c r="Q361" s="48"/>
      <c r="R361" s="48"/>
      <c r="S361" s="48"/>
      <c r="T361" s="48"/>
      <c r="U361" s="48"/>
      <c r="V361" s="48"/>
      <c r="W361" s="48"/>
      <c r="X361" s="48"/>
      <c r="Y361" s="48"/>
      <c r="Z361" s="48"/>
      <c r="AA361" s="48"/>
    </row>
    <row r="362" spans="2:27" ht="12.75" customHeight="1" x14ac:dyDescent="0.25">
      <c r="B362" s="48"/>
      <c r="C362" s="48"/>
      <c r="D362" s="48"/>
      <c r="E362" s="48"/>
      <c r="F362" s="48"/>
      <c r="G362" s="48"/>
      <c r="H362" s="48"/>
      <c r="I362" s="48"/>
      <c r="J362" s="48"/>
      <c r="K362" s="48"/>
      <c r="L362" s="48"/>
      <c r="M362" s="48"/>
      <c r="N362" s="48"/>
      <c r="O362" s="48"/>
      <c r="P362" s="48"/>
      <c r="Q362" s="48"/>
      <c r="R362" s="48"/>
      <c r="S362" s="48"/>
      <c r="T362" s="48"/>
      <c r="U362" s="48"/>
      <c r="V362" s="48"/>
      <c r="W362" s="48"/>
      <c r="X362" s="48"/>
      <c r="Y362" s="48"/>
      <c r="Z362" s="48"/>
      <c r="AA362" s="48"/>
    </row>
    <row r="363" spans="2:27" ht="12.75" customHeight="1" x14ac:dyDescent="0.25">
      <c r="B363" s="48"/>
      <c r="C363" s="48"/>
      <c r="D363" s="48"/>
      <c r="E363" s="48"/>
      <c r="F363" s="48"/>
      <c r="G363" s="48"/>
      <c r="H363" s="48"/>
      <c r="I363" s="48"/>
      <c r="J363" s="48"/>
      <c r="K363" s="48"/>
      <c r="L363" s="48"/>
      <c r="M363" s="48"/>
      <c r="N363" s="48"/>
      <c r="O363" s="48"/>
      <c r="P363" s="48"/>
      <c r="Q363" s="48"/>
      <c r="R363" s="48"/>
      <c r="S363" s="48"/>
      <c r="T363" s="48"/>
      <c r="U363" s="48"/>
      <c r="V363" s="48"/>
      <c r="W363" s="48"/>
      <c r="X363" s="48"/>
      <c r="Y363" s="48"/>
      <c r="Z363" s="48"/>
      <c r="AA363" s="48"/>
    </row>
    <row r="364" spans="2:27" ht="12.75" customHeight="1" x14ac:dyDescent="0.25">
      <c r="B364" s="48"/>
      <c r="C364" s="48"/>
      <c r="D364" s="48"/>
      <c r="E364" s="48"/>
      <c r="F364" s="48"/>
      <c r="G364" s="48"/>
      <c r="H364" s="48"/>
      <c r="I364" s="48"/>
      <c r="J364" s="48"/>
      <c r="K364" s="48"/>
      <c r="L364" s="48"/>
      <c r="M364" s="48"/>
      <c r="N364" s="48"/>
      <c r="O364" s="48"/>
      <c r="P364" s="48"/>
      <c r="Q364" s="48"/>
      <c r="R364" s="48"/>
      <c r="S364" s="48"/>
      <c r="T364" s="48"/>
      <c r="U364" s="48"/>
      <c r="V364" s="48"/>
      <c r="W364" s="48"/>
      <c r="X364" s="48"/>
      <c r="Y364" s="48"/>
      <c r="Z364" s="48"/>
      <c r="AA364" s="48"/>
    </row>
    <row r="365" spans="2:27" ht="12.75" customHeight="1" x14ac:dyDescent="0.25">
      <c r="B365" s="48"/>
      <c r="C365" s="48"/>
      <c r="D365" s="48"/>
      <c r="E365" s="48"/>
      <c r="F365" s="48"/>
      <c r="G365" s="48"/>
      <c r="H365" s="48"/>
      <c r="I365" s="48"/>
      <c r="J365" s="48"/>
      <c r="K365" s="48"/>
      <c r="L365" s="48"/>
      <c r="M365" s="48"/>
      <c r="N365" s="48"/>
      <c r="O365" s="48"/>
      <c r="P365" s="48"/>
      <c r="Q365" s="48"/>
      <c r="R365" s="48"/>
      <c r="S365" s="48"/>
      <c r="T365" s="48"/>
      <c r="U365" s="48"/>
      <c r="V365" s="48"/>
      <c r="W365" s="48"/>
      <c r="X365" s="48"/>
      <c r="Y365" s="48"/>
      <c r="Z365" s="48"/>
      <c r="AA365" s="48"/>
    </row>
    <row r="366" spans="2:27" ht="12.75" customHeight="1" x14ac:dyDescent="0.25">
      <c r="B366" s="48"/>
      <c r="C366" s="48"/>
      <c r="D366" s="48"/>
      <c r="E366" s="48"/>
      <c r="F366" s="48"/>
      <c r="G366" s="48"/>
      <c r="H366" s="48"/>
      <c r="I366" s="48"/>
      <c r="J366" s="48"/>
      <c r="K366" s="48"/>
      <c r="L366" s="48"/>
      <c r="M366" s="48"/>
      <c r="N366" s="48"/>
      <c r="O366" s="48"/>
      <c r="P366" s="48"/>
      <c r="Q366" s="48"/>
      <c r="R366" s="48"/>
      <c r="S366" s="48"/>
      <c r="T366" s="48"/>
      <c r="U366" s="48"/>
      <c r="V366" s="48"/>
      <c r="W366" s="48"/>
      <c r="X366" s="48"/>
      <c r="Y366" s="48"/>
      <c r="Z366" s="48"/>
      <c r="AA366" s="48"/>
    </row>
    <row r="367" spans="2:27" ht="12.75" customHeight="1" x14ac:dyDescent="0.25">
      <c r="B367" s="48"/>
      <c r="C367" s="48"/>
      <c r="D367" s="48"/>
      <c r="E367" s="48"/>
      <c r="F367" s="48"/>
      <c r="G367" s="48"/>
      <c r="H367" s="48"/>
      <c r="I367" s="48"/>
      <c r="J367" s="48"/>
      <c r="K367" s="48"/>
      <c r="L367" s="48"/>
      <c r="M367" s="48"/>
      <c r="N367" s="48"/>
      <c r="O367" s="48"/>
      <c r="P367" s="48"/>
      <c r="Q367" s="48"/>
      <c r="R367" s="48"/>
      <c r="S367" s="48"/>
      <c r="T367" s="48"/>
      <c r="U367" s="48"/>
      <c r="V367" s="48"/>
      <c r="W367" s="48"/>
      <c r="X367" s="48"/>
      <c r="Y367" s="48"/>
      <c r="Z367" s="48"/>
      <c r="AA367" s="48"/>
    </row>
    <row r="368" spans="2:27" ht="12.75" customHeight="1" x14ac:dyDescent="0.25">
      <c r="B368" s="48"/>
      <c r="C368" s="48"/>
      <c r="D368" s="48"/>
      <c r="E368" s="48"/>
      <c r="F368" s="48"/>
      <c r="G368" s="48"/>
      <c r="H368" s="48"/>
      <c r="I368" s="48"/>
      <c r="J368" s="48"/>
      <c r="K368" s="48"/>
      <c r="L368" s="48"/>
      <c r="M368" s="48"/>
      <c r="N368" s="48"/>
      <c r="O368" s="48"/>
      <c r="P368" s="48"/>
      <c r="Q368" s="48"/>
      <c r="R368" s="48"/>
      <c r="S368" s="48"/>
      <c r="T368" s="48"/>
      <c r="U368" s="48"/>
      <c r="V368" s="48"/>
      <c r="W368" s="48"/>
      <c r="X368" s="48"/>
      <c r="Y368" s="48"/>
      <c r="Z368" s="48"/>
      <c r="AA368" s="48"/>
    </row>
    <row r="369" spans="2:27" ht="12.75" customHeight="1" x14ac:dyDescent="0.25">
      <c r="B369" s="48"/>
      <c r="C369" s="48"/>
      <c r="D369" s="48"/>
      <c r="E369" s="48"/>
      <c r="F369" s="48"/>
      <c r="G369" s="48"/>
      <c r="H369" s="48"/>
      <c r="I369" s="48"/>
      <c r="J369" s="48"/>
      <c r="K369" s="48"/>
      <c r="L369" s="48"/>
      <c r="M369" s="48"/>
      <c r="N369" s="48"/>
      <c r="O369" s="48"/>
      <c r="P369" s="48"/>
      <c r="Q369" s="48"/>
      <c r="R369" s="48"/>
      <c r="S369" s="48"/>
      <c r="T369" s="48"/>
      <c r="U369" s="48"/>
      <c r="V369" s="48"/>
      <c r="W369" s="48"/>
      <c r="X369" s="48"/>
      <c r="Y369" s="48"/>
      <c r="Z369" s="48"/>
      <c r="AA369" s="48"/>
    </row>
    <row r="370" spans="2:27" ht="12.75" customHeight="1" x14ac:dyDescent="0.25">
      <c r="B370" s="48"/>
      <c r="C370" s="48"/>
      <c r="D370" s="48"/>
      <c r="E370" s="48"/>
      <c r="F370" s="48"/>
      <c r="G370" s="48"/>
      <c r="H370" s="48"/>
      <c r="I370" s="48"/>
      <c r="J370" s="48"/>
      <c r="K370" s="48"/>
      <c r="L370" s="48"/>
      <c r="M370" s="48"/>
      <c r="N370" s="48"/>
      <c r="O370" s="48"/>
      <c r="P370" s="48"/>
      <c r="Q370" s="48"/>
      <c r="R370" s="48"/>
      <c r="S370" s="48"/>
      <c r="T370" s="48"/>
      <c r="U370" s="48"/>
      <c r="V370" s="48"/>
      <c r="W370" s="48"/>
      <c r="X370" s="48"/>
      <c r="Y370" s="48"/>
      <c r="Z370" s="48"/>
      <c r="AA370" s="48"/>
    </row>
    <row r="371" spans="2:27" ht="12.75" customHeight="1" x14ac:dyDescent="0.25">
      <c r="B371" s="48"/>
      <c r="C371" s="48"/>
      <c r="D371" s="48"/>
      <c r="E371" s="48"/>
      <c r="F371" s="48"/>
      <c r="G371" s="48"/>
      <c r="H371" s="48"/>
      <c r="I371" s="48"/>
      <c r="J371" s="48"/>
      <c r="K371" s="48"/>
      <c r="L371" s="48"/>
      <c r="M371" s="48"/>
      <c r="N371" s="48"/>
      <c r="O371" s="48"/>
      <c r="P371" s="48"/>
      <c r="Q371" s="48"/>
      <c r="R371" s="48"/>
      <c r="S371" s="48"/>
      <c r="T371" s="48"/>
      <c r="U371" s="48"/>
      <c r="V371" s="48"/>
      <c r="W371" s="48"/>
      <c r="X371" s="48"/>
      <c r="Y371" s="48"/>
      <c r="Z371" s="48"/>
      <c r="AA371" s="48"/>
    </row>
    <row r="372" spans="2:27" ht="12.75" customHeight="1" x14ac:dyDescent="0.25">
      <c r="B372" s="48"/>
      <c r="C372" s="48"/>
      <c r="D372" s="48"/>
      <c r="E372" s="48"/>
      <c r="F372" s="48"/>
      <c r="G372" s="48"/>
      <c r="H372" s="48"/>
      <c r="I372" s="48"/>
      <c r="J372" s="48"/>
      <c r="K372" s="48"/>
      <c r="L372" s="48"/>
      <c r="M372" s="48"/>
      <c r="N372" s="48"/>
      <c r="O372" s="48"/>
      <c r="P372" s="48"/>
      <c r="Q372" s="48"/>
      <c r="R372" s="48"/>
      <c r="S372" s="48"/>
      <c r="T372" s="48"/>
      <c r="U372" s="48"/>
      <c r="V372" s="48"/>
      <c r="W372" s="48"/>
      <c r="X372" s="48"/>
      <c r="Y372" s="48"/>
      <c r="Z372" s="48"/>
      <c r="AA372" s="48"/>
    </row>
    <row r="373" spans="2:27" ht="12.75" customHeight="1" x14ac:dyDescent="0.25">
      <c r="B373" s="48"/>
      <c r="C373" s="48"/>
      <c r="D373" s="48"/>
      <c r="E373" s="48"/>
      <c r="F373" s="48"/>
      <c r="G373" s="48"/>
      <c r="H373" s="48"/>
      <c r="I373" s="48"/>
      <c r="J373" s="48"/>
      <c r="K373" s="48"/>
      <c r="L373" s="48"/>
      <c r="M373" s="48"/>
      <c r="N373" s="48"/>
      <c r="O373" s="48"/>
      <c r="P373" s="48"/>
      <c r="Q373" s="48"/>
      <c r="R373" s="48"/>
      <c r="S373" s="48"/>
      <c r="T373" s="48"/>
      <c r="U373" s="48"/>
      <c r="V373" s="48"/>
      <c r="W373" s="48"/>
      <c r="X373" s="48"/>
      <c r="Y373" s="48"/>
      <c r="Z373" s="48"/>
      <c r="AA373" s="48"/>
    </row>
    <row r="374" spans="2:27" ht="12.75" customHeight="1" x14ac:dyDescent="0.25">
      <c r="B374" s="48"/>
      <c r="C374" s="48"/>
      <c r="D374" s="48"/>
      <c r="E374" s="48"/>
      <c r="F374" s="48"/>
      <c r="G374" s="48"/>
      <c r="H374" s="48"/>
      <c r="I374" s="48"/>
      <c r="J374" s="48"/>
      <c r="K374" s="48"/>
      <c r="L374" s="48"/>
      <c r="M374" s="48"/>
      <c r="N374" s="48"/>
      <c r="O374" s="48"/>
      <c r="P374" s="48"/>
      <c r="Q374" s="48"/>
      <c r="R374" s="48"/>
      <c r="S374" s="48"/>
      <c r="T374" s="48"/>
      <c r="U374" s="48"/>
      <c r="V374" s="48"/>
      <c r="W374" s="48"/>
      <c r="X374" s="48"/>
      <c r="Y374" s="48"/>
      <c r="Z374" s="48"/>
      <c r="AA374" s="48"/>
    </row>
    <row r="375" spans="2:27" ht="12.75" customHeight="1" x14ac:dyDescent="0.25">
      <c r="B375" s="48"/>
      <c r="C375" s="48"/>
      <c r="D375" s="48"/>
      <c r="E375" s="48"/>
      <c r="F375" s="48"/>
      <c r="G375" s="48"/>
      <c r="H375" s="48"/>
      <c r="I375" s="48"/>
      <c r="J375" s="48"/>
      <c r="K375" s="48"/>
      <c r="L375" s="48"/>
      <c r="M375" s="48"/>
      <c r="N375" s="48"/>
      <c r="O375" s="48"/>
      <c r="P375" s="48"/>
      <c r="Q375" s="48"/>
      <c r="R375" s="48"/>
      <c r="S375" s="48"/>
      <c r="T375" s="48"/>
      <c r="U375" s="48"/>
      <c r="V375" s="48"/>
      <c r="W375" s="48"/>
      <c r="X375" s="48"/>
      <c r="Y375" s="48"/>
      <c r="Z375" s="48"/>
      <c r="AA375" s="48"/>
    </row>
    <row r="376" spans="2:27" ht="12.75" customHeight="1" x14ac:dyDescent="0.25">
      <c r="B376" s="48"/>
      <c r="C376" s="48"/>
      <c r="D376" s="48"/>
      <c r="E376" s="48"/>
      <c r="F376" s="48"/>
      <c r="G376" s="48"/>
      <c r="H376" s="48"/>
      <c r="I376" s="48"/>
      <c r="J376" s="48"/>
      <c r="K376" s="48"/>
      <c r="L376" s="48"/>
      <c r="M376" s="48"/>
      <c r="N376" s="48"/>
      <c r="O376" s="48"/>
      <c r="P376" s="48"/>
      <c r="Q376" s="48"/>
      <c r="R376" s="48"/>
      <c r="S376" s="48"/>
      <c r="T376" s="48"/>
      <c r="U376" s="48"/>
      <c r="V376" s="48"/>
      <c r="W376" s="48"/>
      <c r="X376" s="48"/>
      <c r="Y376" s="48"/>
      <c r="Z376" s="48"/>
      <c r="AA376" s="48"/>
    </row>
    <row r="377" spans="2:27" ht="12.75" customHeight="1" x14ac:dyDescent="0.25">
      <c r="B377" s="48"/>
      <c r="C377" s="48"/>
      <c r="D377" s="48"/>
      <c r="E377" s="48"/>
      <c r="F377" s="48"/>
      <c r="G377" s="48"/>
      <c r="H377" s="48"/>
      <c r="I377" s="48"/>
      <c r="J377" s="48"/>
      <c r="K377" s="48"/>
      <c r="L377" s="48"/>
      <c r="M377" s="48"/>
      <c r="N377" s="48"/>
      <c r="O377" s="48"/>
      <c r="P377" s="48"/>
      <c r="Q377" s="48"/>
      <c r="R377" s="48"/>
      <c r="S377" s="48"/>
      <c r="T377" s="48"/>
      <c r="U377" s="48"/>
      <c r="V377" s="48"/>
      <c r="W377" s="48"/>
      <c r="X377" s="48"/>
      <c r="Y377" s="48"/>
      <c r="Z377" s="48"/>
      <c r="AA377" s="48"/>
    </row>
    <row r="378" spans="2:27" ht="12.75" customHeight="1" x14ac:dyDescent="0.25">
      <c r="B378" s="48"/>
      <c r="C378" s="48"/>
      <c r="D378" s="48"/>
      <c r="E378" s="48"/>
      <c r="F378" s="48"/>
      <c r="G378" s="48"/>
      <c r="H378" s="48"/>
      <c r="I378" s="48"/>
      <c r="J378" s="48"/>
      <c r="K378" s="48"/>
      <c r="L378" s="48"/>
      <c r="M378" s="48"/>
      <c r="N378" s="48"/>
      <c r="O378" s="48"/>
      <c r="P378" s="48"/>
      <c r="Q378" s="48"/>
      <c r="R378" s="48"/>
      <c r="S378" s="48"/>
      <c r="T378" s="48"/>
      <c r="U378" s="48"/>
      <c r="V378" s="48"/>
      <c r="W378" s="48"/>
      <c r="X378" s="48"/>
      <c r="Y378" s="48"/>
      <c r="Z378" s="48"/>
      <c r="AA378" s="48"/>
    </row>
    <row r="379" spans="2:27" ht="12.75" customHeight="1" x14ac:dyDescent="0.25">
      <c r="B379" s="48"/>
      <c r="C379" s="48"/>
      <c r="D379" s="48"/>
      <c r="E379" s="48"/>
      <c r="F379" s="48"/>
      <c r="G379" s="48"/>
      <c r="H379" s="48"/>
      <c r="I379" s="48"/>
      <c r="J379" s="48"/>
      <c r="K379" s="48"/>
      <c r="L379" s="48"/>
      <c r="M379" s="48"/>
      <c r="N379" s="48"/>
      <c r="O379" s="48"/>
      <c r="P379" s="48"/>
      <c r="Q379" s="48"/>
      <c r="R379" s="48"/>
      <c r="S379" s="48"/>
      <c r="T379" s="48"/>
      <c r="U379" s="48"/>
      <c r="V379" s="48"/>
      <c r="W379" s="48"/>
      <c r="X379" s="48"/>
      <c r="Y379" s="48"/>
      <c r="Z379" s="48"/>
      <c r="AA379" s="48"/>
    </row>
    <row r="380" spans="2:27" ht="12.75" customHeight="1" x14ac:dyDescent="0.25">
      <c r="B380" s="48"/>
      <c r="C380" s="48"/>
      <c r="D380" s="48"/>
      <c r="E380" s="48"/>
      <c r="F380" s="48"/>
      <c r="G380" s="48"/>
      <c r="H380" s="48"/>
      <c r="I380" s="48"/>
      <c r="J380" s="48"/>
      <c r="K380" s="48"/>
      <c r="L380" s="48"/>
      <c r="M380" s="48"/>
      <c r="N380" s="48"/>
      <c r="O380" s="48"/>
      <c r="P380" s="48"/>
      <c r="Q380" s="48"/>
      <c r="R380" s="48"/>
      <c r="S380" s="48"/>
      <c r="T380" s="48"/>
      <c r="U380" s="48"/>
      <c r="V380" s="48"/>
      <c r="W380" s="48"/>
      <c r="X380" s="48"/>
      <c r="Y380" s="48"/>
      <c r="Z380" s="48"/>
      <c r="AA380" s="48"/>
    </row>
    <row r="381" spans="2:27" ht="12.75" customHeight="1" x14ac:dyDescent="0.25">
      <c r="B381" s="48"/>
      <c r="C381" s="48"/>
      <c r="D381" s="48"/>
      <c r="E381" s="48"/>
      <c r="F381" s="48"/>
      <c r="G381" s="48"/>
      <c r="H381" s="48"/>
      <c r="I381" s="48"/>
      <c r="J381" s="48"/>
      <c r="K381" s="48"/>
      <c r="L381" s="48"/>
      <c r="M381" s="48"/>
      <c r="N381" s="48"/>
      <c r="O381" s="48"/>
      <c r="P381" s="48"/>
      <c r="Q381" s="48"/>
      <c r="R381" s="48"/>
      <c r="S381" s="48"/>
      <c r="T381" s="48"/>
      <c r="U381" s="48"/>
      <c r="V381" s="48"/>
      <c r="W381" s="48"/>
      <c r="X381" s="48"/>
      <c r="Y381" s="48"/>
      <c r="Z381" s="48"/>
      <c r="AA381" s="48"/>
    </row>
    <row r="382" spans="2:27" ht="12.75" customHeight="1" x14ac:dyDescent="0.25">
      <c r="B382" s="48"/>
      <c r="C382" s="48"/>
      <c r="D382" s="48"/>
      <c r="E382" s="48"/>
      <c r="F382" s="48"/>
      <c r="G382" s="48"/>
      <c r="H382" s="48"/>
      <c r="I382" s="48"/>
      <c r="J382" s="48"/>
      <c r="K382" s="48"/>
      <c r="L382" s="48"/>
      <c r="M382" s="48"/>
      <c r="N382" s="48"/>
      <c r="O382" s="48"/>
      <c r="P382" s="48"/>
      <c r="Q382" s="48"/>
      <c r="R382" s="48"/>
      <c r="S382" s="48"/>
      <c r="T382" s="48"/>
      <c r="U382" s="48"/>
      <c r="V382" s="48"/>
      <c r="W382" s="48"/>
      <c r="X382" s="48"/>
      <c r="Y382" s="48"/>
      <c r="Z382" s="48"/>
      <c r="AA382" s="48"/>
    </row>
    <row r="383" spans="2:27" ht="12.75" customHeight="1" x14ac:dyDescent="0.25">
      <c r="B383" s="48"/>
      <c r="C383" s="48"/>
      <c r="D383" s="48"/>
      <c r="E383" s="48"/>
      <c r="F383" s="48"/>
      <c r="G383" s="48"/>
      <c r="H383" s="48"/>
      <c r="I383" s="48"/>
      <c r="J383" s="48"/>
      <c r="K383" s="48"/>
      <c r="L383" s="48"/>
      <c r="M383" s="48"/>
      <c r="N383" s="48"/>
      <c r="O383" s="48"/>
      <c r="P383" s="48"/>
      <c r="Q383" s="48"/>
      <c r="R383" s="48"/>
      <c r="S383" s="48"/>
      <c r="T383" s="48"/>
      <c r="U383" s="48"/>
      <c r="V383" s="48"/>
      <c r="W383" s="48"/>
      <c r="X383" s="48"/>
      <c r="Y383" s="48"/>
      <c r="Z383" s="48"/>
      <c r="AA383" s="48"/>
    </row>
    <row r="384" spans="2:27" ht="12.75" customHeight="1" x14ac:dyDescent="0.25">
      <c r="B384" s="48"/>
      <c r="C384" s="48"/>
      <c r="D384" s="48"/>
      <c r="E384" s="48"/>
      <c r="F384" s="48"/>
      <c r="G384" s="48"/>
      <c r="H384" s="48"/>
      <c r="I384" s="48"/>
      <c r="J384" s="48"/>
      <c r="K384" s="48"/>
      <c r="L384" s="48"/>
      <c r="M384" s="48"/>
      <c r="N384" s="48"/>
      <c r="O384" s="48"/>
      <c r="P384" s="48"/>
      <c r="Q384" s="48"/>
      <c r="R384" s="48"/>
      <c r="S384" s="48"/>
      <c r="T384" s="48"/>
      <c r="U384" s="48"/>
      <c r="V384" s="48"/>
      <c r="W384" s="48"/>
      <c r="X384" s="48"/>
      <c r="Y384" s="48"/>
      <c r="Z384" s="48"/>
      <c r="AA384" s="48"/>
    </row>
    <row r="385" spans="2:27" ht="12.75" customHeight="1" x14ac:dyDescent="0.25">
      <c r="B385" s="48"/>
      <c r="C385" s="48"/>
      <c r="D385" s="48"/>
      <c r="E385" s="48"/>
      <c r="F385" s="48"/>
      <c r="G385" s="48"/>
      <c r="H385" s="48"/>
      <c r="I385" s="48"/>
      <c r="J385" s="48"/>
      <c r="K385" s="48"/>
      <c r="L385" s="48"/>
      <c r="M385" s="48"/>
      <c r="N385" s="48"/>
      <c r="O385" s="48"/>
      <c r="P385" s="48"/>
      <c r="Q385" s="48"/>
      <c r="R385" s="48"/>
      <c r="S385" s="48"/>
      <c r="T385" s="48"/>
      <c r="U385" s="48"/>
      <c r="V385" s="48"/>
      <c r="W385" s="48"/>
      <c r="X385" s="48"/>
      <c r="Y385" s="48"/>
      <c r="Z385" s="48"/>
      <c r="AA385" s="48"/>
    </row>
    <row r="386" spans="2:27" ht="12.75" customHeight="1" x14ac:dyDescent="0.25">
      <c r="B386" s="48"/>
      <c r="C386" s="48"/>
      <c r="D386" s="48"/>
      <c r="E386" s="48"/>
      <c r="F386" s="48"/>
      <c r="G386" s="48"/>
      <c r="H386" s="48"/>
      <c r="I386" s="48"/>
      <c r="J386" s="48"/>
      <c r="K386" s="48"/>
      <c r="L386" s="48"/>
      <c r="M386" s="48"/>
      <c r="N386" s="48"/>
      <c r="O386" s="48"/>
      <c r="P386" s="48"/>
      <c r="Q386" s="48"/>
      <c r="R386" s="48"/>
      <c r="S386" s="48"/>
      <c r="T386" s="48"/>
      <c r="U386" s="48"/>
      <c r="V386" s="48"/>
      <c r="W386" s="48"/>
      <c r="X386" s="48"/>
      <c r="Y386" s="48"/>
      <c r="Z386" s="48"/>
      <c r="AA386" s="48"/>
    </row>
    <row r="387" spans="2:27" ht="12.75" customHeight="1" x14ac:dyDescent="0.25">
      <c r="B387" s="48"/>
      <c r="C387" s="48"/>
      <c r="D387" s="48"/>
      <c r="E387" s="48"/>
      <c r="F387" s="48"/>
      <c r="G387" s="48"/>
      <c r="H387" s="48"/>
      <c r="I387" s="48"/>
      <c r="J387" s="48"/>
      <c r="K387" s="48"/>
      <c r="L387" s="48"/>
      <c r="M387" s="48"/>
      <c r="N387" s="48"/>
      <c r="O387" s="48"/>
      <c r="P387" s="48"/>
      <c r="Q387" s="48"/>
      <c r="R387" s="48"/>
      <c r="S387" s="48"/>
      <c r="T387" s="48"/>
      <c r="U387" s="48"/>
      <c r="V387" s="48"/>
      <c r="W387" s="48"/>
      <c r="X387" s="48"/>
      <c r="Y387" s="48"/>
      <c r="Z387" s="48"/>
      <c r="AA387" s="48"/>
    </row>
    <row r="388" spans="2:27" ht="12.75" customHeight="1" x14ac:dyDescent="0.25">
      <c r="B388" s="48"/>
      <c r="C388" s="48"/>
      <c r="D388" s="48"/>
      <c r="E388" s="48"/>
      <c r="F388" s="48"/>
      <c r="G388" s="48"/>
      <c r="H388" s="48"/>
      <c r="I388" s="48"/>
      <c r="J388" s="48"/>
      <c r="K388" s="48"/>
      <c r="L388" s="48"/>
      <c r="M388" s="48"/>
      <c r="N388" s="48"/>
      <c r="O388" s="48"/>
      <c r="P388" s="48"/>
      <c r="Q388" s="48"/>
      <c r="R388" s="48"/>
      <c r="S388" s="48"/>
      <c r="T388" s="48"/>
      <c r="U388" s="48"/>
      <c r="V388" s="48"/>
      <c r="W388" s="48"/>
      <c r="X388" s="48"/>
      <c r="Y388" s="48"/>
      <c r="Z388" s="48"/>
      <c r="AA388" s="48"/>
    </row>
    <row r="389" spans="2:27" ht="12.75" customHeight="1" x14ac:dyDescent="0.25">
      <c r="B389" s="48"/>
      <c r="C389" s="48"/>
      <c r="D389" s="48"/>
      <c r="E389" s="48"/>
      <c r="F389" s="48"/>
      <c r="G389" s="48"/>
      <c r="H389" s="48"/>
      <c r="I389" s="48"/>
      <c r="J389" s="48"/>
      <c r="K389" s="48"/>
      <c r="L389" s="48"/>
      <c r="M389" s="48"/>
      <c r="N389" s="48"/>
      <c r="O389" s="48"/>
      <c r="P389" s="48"/>
      <c r="Q389" s="48"/>
      <c r="R389" s="48"/>
      <c r="S389" s="48"/>
      <c r="T389" s="48"/>
      <c r="U389" s="48"/>
      <c r="V389" s="48"/>
      <c r="W389" s="48"/>
      <c r="X389" s="48"/>
      <c r="Y389" s="48"/>
      <c r="Z389" s="48"/>
      <c r="AA389" s="48"/>
    </row>
    <row r="390" spans="2:27" ht="12.75" customHeight="1" x14ac:dyDescent="0.25">
      <c r="B390" s="48"/>
      <c r="C390" s="48"/>
      <c r="D390" s="48"/>
      <c r="E390" s="48"/>
      <c r="F390" s="48"/>
      <c r="G390" s="48"/>
      <c r="H390" s="48"/>
      <c r="I390" s="48"/>
      <c r="J390" s="48"/>
      <c r="K390" s="48"/>
      <c r="L390" s="48"/>
      <c r="M390" s="48"/>
      <c r="N390" s="48"/>
      <c r="O390" s="48"/>
      <c r="P390" s="48"/>
      <c r="Q390" s="48"/>
      <c r="R390" s="48"/>
      <c r="S390" s="48"/>
      <c r="T390" s="48"/>
      <c r="U390" s="48"/>
      <c r="V390" s="48"/>
      <c r="W390" s="48"/>
      <c r="X390" s="48"/>
      <c r="Y390" s="48"/>
      <c r="Z390" s="48"/>
      <c r="AA390" s="48"/>
    </row>
    <row r="391" spans="2:27" ht="12.75" customHeight="1" x14ac:dyDescent="0.25">
      <c r="B391" s="48"/>
      <c r="C391" s="48"/>
      <c r="D391" s="48"/>
      <c r="E391" s="48"/>
      <c r="F391" s="48"/>
      <c r="G391" s="48"/>
      <c r="H391" s="48"/>
      <c r="I391" s="48"/>
      <c r="J391" s="48"/>
      <c r="K391" s="48"/>
      <c r="L391" s="48"/>
      <c r="M391" s="48"/>
      <c r="N391" s="48"/>
      <c r="O391" s="48"/>
      <c r="P391" s="48"/>
      <c r="Q391" s="48"/>
      <c r="R391" s="48"/>
      <c r="S391" s="48"/>
      <c r="T391" s="48"/>
      <c r="U391" s="48"/>
      <c r="V391" s="48"/>
      <c r="W391" s="48"/>
      <c r="X391" s="48"/>
      <c r="Y391" s="48"/>
      <c r="Z391" s="48"/>
      <c r="AA391" s="48"/>
    </row>
    <row r="392" spans="2:27" ht="12.75" customHeight="1" x14ac:dyDescent="0.25">
      <c r="B392" s="48"/>
      <c r="C392" s="48"/>
      <c r="D392" s="48"/>
      <c r="E392" s="48"/>
      <c r="F392" s="48"/>
      <c r="G392" s="48"/>
      <c r="H392" s="48"/>
      <c r="I392" s="48"/>
      <c r="J392" s="48"/>
      <c r="K392" s="48"/>
      <c r="L392" s="48"/>
      <c r="M392" s="48"/>
      <c r="N392" s="48"/>
      <c r="O392" s="48"/>
      <c r="P392" s="48"/>
      <c r="Q392" s="48"/>
      <c r="R392" s="48"/>
      <c r="S392" s="48"/>
      <c r="T392" s="48"/>
      <c r="U392" s="48"/>
      <c r="V392" s="48"/>
      <c r="W392" s="48"/>
      <c r="X392" s="48"/>
      <c r="Y392" s="48"/>
      <c r="Z392" s="48"/>
      <c r="AA392" s="48"/>
    </row>
    <row r="393" spans="2:27" ht="12.75" customHeight="1" x14ac:dyDescent="0.25">
      <c r="B393" s="48"/>
      <c r="C393" s="48"/>
      <c r="D393" s="48"/>
      <c r="E393" s="48"/>
      <c r="F393" s="48"/>
      <c r="G393" s="48"/>
      <c r="H393" s="48"/>
      <c r="I393" s="48"/>
      <c r="J393" s="48"/>
      <c r="K393" s="48"/>
      <c r="L393" s="48"/>
      <c r="M393" s="48"/>
      <c r="N393" s="48"/>
      <c r="O393" s="48"/>
      <c r="P393" s="48"/>
      <c r="Q393" s="48"/>
      <c r="R393" s="48"/>
      <c r="S393" s="48"/>
      <c r="T393" s="48"/>
      <c r="U393" s="48"/>
      <c r="V393" s="48"/>
      <c r="W393" s="48"/>
      <c r="X393" s="48"/>
      <c r="Y393" s="48"/>
      <c r="Z393" s="48"/>
      <c r="AA393" s="48"/>
    </row>
    <row r="394" spans="2:27" ht="12.75" customHeight="1" x14ac:dyDescent="0.25">
      <c r="B394" s="48"/>
      <c r="C394" s="48"/>
      <c r="D394" s="48"/>
      <c r="E394" s="48"/>
      <c r="F394" s="48"/>
      <c r="G394" s="48"/>
      <c r="H394" s="48"/>
      <c r="I394" s="48"/>
      <c r="J394" s="48"/>
      <c r="K394" s="48"/>
      <c r="L394" s="48"/>
      <c r="M394" s="48"/>
      <c r="N394" s="48"/>
      <c r="O394" s="48"/>
      <c r="P394" s="48"/>
      <c r="Q394" s="48"/>
      <c r="R394" s="48"/>
      <c r="S394" s="48"/>
      <c r="T394" s="48"/>
      <c r="U394" s="48"/>
      <c r="V394" s="48"/>
      <c r="W394" s="48"/>
      <c r="X394" s="48"/>
      <c r="Y394" s="48"/>
      <c r="Z394" s="48"/>
      <c r="AA394" s="48"/>
    </row>
    <row r="395" spans="2:27" ht="12.75" customHeight="1" x14ac:dyDescent="0.25">
      <c r="B395" s="48"/>
      <c r="C395" s="48"/>
      <c r="D395" s="48"/>
      <c r="E395" s="48"/>
      <c r="F395" s="48"/>
      <c r="G395" s="48"/>
      <c r="H395" s="48"/>
      <c r="I395" s="48"/>
      <c r="J395" s="48"/>
      <c r="K395" s="48"/>
      <c r="L395" s="48"/>
      <c r="M395" s="48"/>
      <c r="N395" s="48"/>
      <c r="O395" s="48"/>
      <c r="P395" s="48"/>
      <c r="Q395" s="48"/>
      <c r="R395" s="48"/>
      <c r="S395" s="48"/>
      <c r="T395" s="48"/>
      <c r="U395" s="48"/>
      <c r="V395" s="48"/>
      <c r="W395" s="48"/>
      <c r="X395" s="48"/>
      <c r="Y395" s="48"/>
      <c r="Z395" s="48"/>
      <c r="AA395" s="48"/>
    </row>
    <row r="396" spans="2:27" ht="12.75" customHeight="1" x14ac:dyDescent="0.25">
      <c r="B396" s="48"/>
      <c r="C396" s="48"/>
      <c r="D396" s="48"/>
      <c r="E396" s="48"/>
      <c r="F396" s="48"/>
      <c r="G396" s="48"/>
      <c r="H396" s="48"/>
      <c r="I396" s="48"/>
      <c r="J396" s="48"/>
      <c r="K396" s="48"/>
      <c r="L396" s="48"/>
      <c r="M396" s="48"/>
      <c r="N396" s="48"/>
      <c r="O396" s="48"/>
      <c r="P396" s="48"/>
      <c r="Q396" s="48"/>
      <c r="R396" s="48"/>
      <c r="S396" s="48"/>
      <c r="T396" s="48"/>
      <c r="U396" s="48"/>
      <c r="V396" s="48"/>
      <c r="W396" s="48"/>
      <c r="X396" s="48"/>
      <c r="Y396" s="48"/>
      <c r="Z396" s="48"/>
      <c r="AA396" s="48"/>
    </row>
    <row r="397" spans="2:27" ht="12.75" customHeight="1" x14ac:dyDescent="0.25">
      <c r="B397" s="48"/>
      <c r="C397" s="48"/>
      <c r="D397" s="48"/>
      <c r="E397" s="48"/>
      <c r="F397" s="48"/>
      <c r="G397" s="48"/>
      <c r="H397" s="48"/>
      <c r="I397" s="48"/>
      <c r="J397" s="48"/>
      <c r="K397" s="48"/>
      <c r="L397" s="48"/>
      <c r="M397" s="48"/>
      <c r="N397" s="48"/>
      <c r="O397" s="48"/>
      <c r="P397" s="48"/>
      <c r="Q397" s="48"/>
      <c r="R397" s="48"/>
      <c r="S397" s="48"/>
      <c r="T397" s="48"/>
      <c r="U397" s="48"/>
      <c r="V397" s="48"/>
      <c r="W397" s="48"/>
      <c r="X397" s="48"/>
      <c r="Y397" s="48"/>
      <c r="Z397" s="48"/>
      <c r="AA397" s="48"/>
    </row>
    <row r="398" spans="2:27" ht="12.75" customHeight="1" x14ac:dyDescent="0.25">
      <c r="B398" s="48"/>
      <c r="C398" s="48"/>
      <c r="D398" s="48"/>
      <c r="E398" s="48"/>
      <c r="F398" s="48"/>
      <c r="G398" s="48"/>
      <c r="H398" s="48"/>
      <c r="I398" s="48"/>
      <c r="J398" s="48"/>
      <c r="K398" s="48"/>
      <c r="L398" s="48"/>
      <c r="M398" s="48"/>
      <c r="N398" s="48"/>
      <c r="O398" s="48"/>
      <c r="P398" s="48"/>
      <c r="Q398" s="48"/>
      <c r="R398" s="48"/>
      <c r="S398" s="48"/>
      <c r="T398" s="48"/>
      <c r="U398" s="48"/>
      <c r="V398" s="48"/>
      <c r="W398" s="48"/>
      <c r="X398" s="48"/>
      <c r="Y398" s="48"/>
      <c r="Z398" s="48"/>
      <c r="AA398" s="48"/>
    </row>
    <row r="399" spans="2:27" ht="12.75" customHeight="1" x14ac:dyDescent="0.25">
      <c r="B399" s="48"/>
      <c r="C399" s="48"/>
      <c r="D399" s="48"/>
      <c r="E399" s="48"/>
      <c r="F399" s="48"/>
      <c r="G399" s="48"/>
      <c r="H399" s="48"/>
      <c r="I399" s="48"/>
      <c r="J399" s="48"/>
      <c r="K399" s="48"/>
      <c r="L399" s="48"/>
      <c r="M399" s="48"/>
      <c r="N399" s="48"/>
      <c r="O399" s="48"/>
      <c r="P399" s="48"/>
      <c r="Q399" s="48"/>
      <c r="R399" s="48"/>
      <c r="S399" s="48"/>
      <c r="T399" s="48"/>
      <c r="U399" s="48"/>
      <c r="V399" s="48"/>
      <c r="W399" s="48"/>
      <c r="X399" s="48"/>
      <c r="Y399" s="48"/>
      <c r="Z399" s="48"/>
      <c r="AA399" s="48"/>
    </row>
    <row r="400" spans="2:27" ht="12.75" customHeight="1" x14ac:dyDescent="0.25">
      <c r="B400" s="48"/>
      <c r="C400" s="48"/>
      <c r="D400" s="48"/>
      <c r="E400" s="48"/>
      <c r="F400" s="48"/>
      <c r="G400" s="48"/>
      <c r="H400" s="48"/>
      <c r="I400" s="48"/>
      <c r="J400" s="48"/>
      <c r="K400" s="48"/>
      <c r="L400" s="48"/>
      <c r="M400" s="48"/>
      <c r="N400" s="48"/>
      <c r="O400" s="48"/>
      <c r="P400" s="48"/>
      <c r="Q400" s="48"/>
      <c r="R400" s="48"/>
      <c r="S400" s="48"/>
      <c r="T400" s="48"/>
      <c r="U400" s="48"/>
      <c r="V400" s="48"/>
      <c r="W400" s="48"/>
      <c r="X400" s="48"/>
      <c r="Y400" s="48"/>
      <c r="Z400" s="48"/>
      <c r="AA400" s="48"/>
    </row>
    <row r="401" spans="2:27" ht="12.75" customHeight="1" x14ac:dyDescent="0.25">
      <c r="B401" s="48"/>
      <c r="C401" s="48"/>
      <c r="D401" s="48"/>
      <c r="E401" s="48"/>
      <c r="F401" s="48"/>
      <c r="G401" s="48"/>
      <c r="H401" s="48"/>
      <c r="I401" s="48"/>
      <c r="J401" s="48"/>
      <c r="K401" s="48"/>
      <c r="L401" s="48"/>
      <c r="M401" s="48"/>
      <c r="N401" s="48"/>
      <c r="O401" s="48"/>
      <c r="P401" s="48"/>
      <c r="Q401" s="48"/>
      <c r="R401" s="48"/>
      <c r="S401" s="48"/>
      <c r="T401" s="48"/>
      <c r="U401" s="48"/>
      <c r="V401" s="48"/>
      <c r="W401" s="48"/>
      <c r="X401" s="48"/>
      <c r="Y401" s="48"/>
      <c r="Z401" s="48"/>
      <c r="AA401" s="48"/>
    </row>
    <row r="402" spans="2:27" ht="12.75" customHeight="1" x14ac:dyDescent="0.25">
      <c r="B402" s="48"/>
      <c r="C402" s="48"/>
      <c r="D402" s="48"/>
      <c r="E402" s="48"/>
      <c r="F402" s="48"/>
      <c r="G402" s="48"/>
      <c r="H402" s="48"/>
      <c r="I402" s="48"/>
      <c r="J402" s="48"/>
      <c r="K402" s="48"/>
      <c r="L402" s="48"/>
      <c r="M402" s="48"/>
      <c r="N402" s="48"/>
      <c r="O402" s="48"/>
      <c r="P402" s="48"/>
      <c r="Q402" s="48"/>
      <c r="R402" s="48"/>
      <c r="S402" s="48"/>
      <c r="T402" s="48"/>
      <c r="U402" s="48"/>
      <c r="V402" s="48"/>
      <c r="W402" s="48"/>
      <c r="X402" s="48"/>
      <c r="Y402" s="48"/>
      <c r="Z402" s="48"/>
      <c r="AA402" s="48"/>
    </row>
    <row r="403" spans="2:27" ht="12.75" customHeight="1" x14ac:dyDescent="0.25">
      <c r="B403" s="48"/>
      <c r="C403" s="48"/>
      <c r="D403" s="48"/>
      <c r="E403" s="48"/>
      <c r="F403" s="48"/>
      <c r="G403" s="48"/>
      <c r="H403" s="48"/>
      <c r="I403" s="48"/>
      <c r="J403" s="48"/>
      <c r="K403" s="48"/>
      <c r="L403" s="48"/>
      <c r="M403" s="48"/>
      <c r="N403" s="48"/>
      <c r="O403" s="48"/>
      <c r="P403" s="48"/>
      <c r="Q403" s="48"/>
      <c r="R403" s="48"/>
      <c r="S403" s="48"/>
      <c r="T403" s="48"/>
      <c r="U403" s="48"/>
      <c r="V403" s="48"/>
      <c r="W403" s="48"/>
      <c r="X403" s="48"/>
      <c r="Y403" s="48"/>
      <c r="Z403" s="48"/>
      <c r="AA403" s="48"/>
    </row>
    <row r="404" spans="2:27" ht="12.75" customHeight="1" x14ac:dyDescent="0.25">
      <c r="B404" s="48"/>
      <c r="C404" s="48"/>
      <c r="D404" s="48"/>
      <c r="E404" s="48"/>
      <c r="F404" s="48"/>
      <c r="G404" s="48"/>
      <c r="H404" s="48"/>
      <c r="I404" s="48"/>
      <c r="J404" s="48"/>
      <c r="K404" s="48"/>
      <c r="L404" s="48"/>
      <c r="M404" s="48"/>
      <c r="N404" s="48"/>
      <c r="O404" s="48"/>
      <c r="P404" s="48"/>
      <c r="Q404" s="48"/>
      <c r="R404" s="48"/>
      <c r="S404" s="48"/>
      <c r="T404" s="48"/>
      <c r="U404" s="48"/>
      <c r="V404" s="48"/>
      <c r="W404" s="48"/>
      <c r="X404" s="48"/>
      <c r="Y404" s="48"/>
      <c r="Z404" s="48"/>
      <c r="AA404" s="48"/>
    </row>
    <row r="405" spans="2:27" ht="12.75" customHeight="1" x14ac:dyDescent="0.25">
      <c r="B405" s="48"/>
      <c r="C405" s="48"/>
      <c r="D405" s="48"/>
      <c r="E405" s="48"/>
      <c r="F405" s="48"/>
      <c r="G405" s="48"/>
      <c r="H405" s="48"/>
      <c r="I405" s="48"/>
      <c r="J405" s="48"/>
      <c r="K405" s="48"/>
      <c r="L405" s="48"/>
      <c r="M405" s="48"/>
      <c r="N405" s="48"/>
      <c r="O405" s="48"/>
      <c r="P405" s="48"/>
      <c r="Q405" s="48"/>
      <c r="R405" s="48"/>
      <c r="S405" s="48"/>
      <c r="T405" s="48"/>
      <c r="U405" s="48"/>
      <c r="V405" s="48"/>
      <c r="W405" s="48"/>
      <c r="X405" s="48"/>
      <c r="Y405" s="48"/>
      <c r="Z405" s="48"/>
      <c r="AA405" s="48"/>
    </row>
    <row r="406" spans="2:27" ht="12.75" customHeight="1" x14ac:dyDescent="0.25">
      <c r="B406" s="48"/>
      <c r="C406" s="48"/>
      <c r="D406" s="48"/>
      <c r="E406" s="48"/>
      <c r="F406" s="48"/>
      <c r="G406" s="48"/>
      <c r="H406" s="48"/>
      <c r="I406" s="48"/>
      <c r="J406" s="48"/>
      <c r="K406" s="48"/>
      <c r="L406" s="48"/>
      <c r="M406" s="48"/>
      <c r="N406" s="48"/>
      <c r="O406" s="48"/>
      <c r="P406" s="48"/>
      <c r="Q406" s="48"/>
      <c r="R406" s="48"/>
      <c r="S406" s="48"/>
      <c r="T406" s="48"/>
      <c r="U406" s="48"/>
      <c r="V406" s="48"/>
      <c r="W406" s="48"/>
      <c r="X406" s="48"/>
      <c r="Y406" s="48"/>
      <c r="Z406" s="48"/>
      <c r="AA406" s="48"/>
    </row>
    <row r="407" spans="2:27" ht="12.75" customHeight="1" x14ac:dyDescent="0.25">
      <c r="B407" s="48"/>
      <c r="C407" s="48"/>
      <c r="D407" s="48"/>
      <c r="E407" s="48"/>
      <c r="F407" s="48"/>
      <c r="G407" s="48"/>
      <c r="H407" s="48"/>
      <c r="I407" s="48"/>
      <c r="J407" s="48"/>
      <c r="K407" s="48"/>
      <c r="L407" s="48"/>
      <c r="M407" s="48"/>
      <c r="N407" s="48"/>
      <c r="O407" s="48"/>
      <c r="P407" s="48"/>
      <c r="Q407" s="48"/>
      <c r="R407" s="48"/>
      <c r="S407" s="48"/>
      <c r="T407" s="48"/>
      <c r="U407" s="48"/>
      <c r="V407" s="48"/>
      <c r="W407" s="48"/>
      <c r="X407" s="48"/>
      <c r="Y407" s="48"/>
      <c r="Z407" s="48"/>
      <c r="AA407" s="48"/>
    </row>
    <row r="408" spans="2:27" ht="12.75" customHeight="1" x14ac:dyDescent="0.25">
      <c r="B408" s="48"/>
      <c r="C408" s="48"/>
      <c r="D408" s="48"/>
      <c r="E408" s="48"/>
      <c r="F408" s="48"/>
      <c r="G408" s="48"/>
      <c r="H408" s="48"/>
      <c r="I408" s="48"/>
      <c r="J408" s="48"/>
      <c r="K408" s="48"/>
      <c r="L408" s="48"/>
      <c r="M408" s="48"/>
      <c r="N408" s="48"/>
      <c r="O408" s="48"/>
      <c r="P408" s="48"/>
      <c r="Q408" s="48"/>
      <c r="R408" s="48"/>
      <c r="S408" s="48"/>
      <c r="T408" s="48"/>
      <c r="U408" s="48"/>
      <c r="V408" s="48"/>
      <c r="W408" s="48"/>
      <c r="X408" s="48"/>
      <c r="Y408" s="48"/>
      <c r="Z408" s="48"/>
      <c r="AA408" s="48"/>
    </row>
    <row r="409" spans="2:27" ht="12.75" customHeight="1" x14ac:dyDescent="0.25">
      <c r="B409" s="48"/>
      <c r="C409" s="48"/>
      <c r="D409" s="48"/>
      <c r="E409" s="48"/>
      <c r="F409" s="48"/>
      <c r="G409" s="48"/>
      <c r="H409" s="48"/>
      <c r="I409" s="48"/>
      <c r="J409" s="48"/>
      <c r="K409" s="48"/>
      <c r="L409" s="48"/>
      <c r="M409" s="48"/>
      <c r="N409" s="48"/>
      <c r="O409" s="48"/>
      <c r="P409" s="48"/>
      <c r="Q409" s="48"/>
      <c r="R409" s="48"/>
      <c r="S409" s="48"/>
      <c r="T409" s="48"/>
      <c r="U409" s="48"/>
      <c r="V409" s="48"/>
      <c r="W409" s="48"/>
      <c r="X409" s="48"/>
      <c r="Y409" s="48"/>
      <c r="Z409" s="48"/>
      <c r="AA409" s="48"/>
    </row>
    <row r="410" spans="2:27" ht="12.75" customHeight="1" x14ac:dyDescent="0.25">
      <c r="B410" s="48"/>
      <c r="C410" s="48"/>
      <c r="D410" s="48"/>
      <c r="E410" s="48"/>
      <c r="F410" s="48"/>
      <c r="G410" s="48"/>
      <c r="H410" s="48"/>
      <c r="I410" s="48"/>
      <c r="J410" s="48"/>
      <c r="K410" s="48"/>
      <c r="L410" s="48"/>
      <c r="M410" s="48"/>
      <c r="N410" s="48"/>
      <c r="O410" s="48"/>
      <c r="P410" s="48"/>
      <c r="Q410" s="48"/>
      <c r="R410" s="48"/>
      <c r="S410" s="48"/>
      <c r="T410" s="48"/>
      <c r="U410" s="48"/>
      <c r="V410" s="48"/>
      <c r="W410" s="48"/>
      <c r="X410" s="48"/>
      <c r="Y410" s="48"/>
      <c r="Z410" s="48"/>
      <c r="AA410" s="48"/>
    </row>
    <row r="411" spans="2:27" ht="12.75" customHeight="1" x14ac:dyDescent="0.25">
      <c r="B411" s="48"/>
      <c r="C411" s="48"/>
      <c r="D411" s="48"/>
      <c r="E411" s="48"/>
      <c r="F411" s="48"/>
      <c r="G411" s="48"/>
      <c r="H411" s="48"/>
      <c r="I411" s="48"/>
      <c r="J411" s="48"/>
      <c r="K411" s="48"/>
      <c r="L411" s="48"/>
      <c r="M411" s="48"/>
      <c r="N411" s="48"/>
      <c r="O411" s="48"/>
      <c r="P411" s="48"/>
      <c r="Q411" s="48"/>
      <c r="R411" s="48"/>
      <c r="S411" s="48"/>
      <c r="T411" s="48"/>
      <c r="U411" s="48"/>
      <c r="V411" s="48"/>
      <c r="W411" s="48"/>
      <c r="X411" s="48"/>
      <c r="Y411" s="48"/>
      <c r="Z411" s="48"/>
      <c r="AA411" s="48"/>
    </row>
    <row r="412" spans="2:27" ht="12.75" customHeight="1" x14ac:dyDescent="0.25">
      <c r="B412" s="48"/>
      <c r="C412" s="48"/>
      <c r="D412" s="48"/>
      <c r="E412" s="48"/>
      <c r="F412" s="48"/>
      <c r="G412" s="48"/>
      <c r="H412" s="48"/>
      <c r="I412" s="48"/>
      <c r="J412" s="48"/>
      <c r="K412" s="48"/>
      <c r="L412" s="48"/>
      <c r="M412" s="48"/>
      <c r="N412" s="48"/>
      <c r="O412" s="48"/>
      <c r="P412" s="48"/>
      <c r="Q412" s="48"/>
      <c r="R412" s="48"/>
      <c r="S412" s="48"/>
      <c r="T412" s="48"/>
      <c r="U412" s="48"/>
      <c r="V412" s="48"/>
      <c r="W412" s="48"/>
      <c r="X412" s="48"/>
      <c r="Y412" s="48"/>
      <c r="Z412" s="48"/>
      <c r="AA412" s="48"/>
    </row>
    <row r="413" spans="2:27" ht="12.75" customHeight="1" x14ac:dyDescent="0.25">
      <c r="B413" s="48"/>
      <c r="C413" s="48"/>
      <c r="D413" s="48"/>
      <c r="E413" s="48"/>
      <c r="F413" s="48"/>
      <c r="G413" s="48"/>
      <c r="H413" s="48"/>
      <c r="I413" s="48"/>
      <c r="J413" s="48"/>
      <c r="K413" s="48"/>
      <c r="L413" s="48"/>
      <c r="M413" s="48"/>
      <c r="N413" s="48"/>
      <c r="O413" s="48"/>
      <c r="P413" s="48"/>
      <c r="Q413" s="48"/>
      <c r="R413" s="48"/>
      <c r="S413" s="48"/>
      <c r="T413" s="48"/>
      <c r="U413" s="48"/>
      <c r="V413" s="48"/>
      <c r="W413" s="48"/>
      <c r="X413" s="48"/>
      <c r="Y413" s="48"/>
      <c r="Z413" s="48"/>
      <c r="AA413" s="48"/>
    </row>
    <row r="414" spans="2:27" ht="12.75" customHeight="1" x14ac:dyDescent="0.25">
      <c r="B414" s="48"/>
      <c r="C414" s="48"/>
      <c r="D414" s="48"/>
      <c r="E414" s="48"/>
      <c r="F414" s="48"/>
      <c r="G414" s="48"/>
      <c r="H414" s="48"/>
      <c r="I414" s="48"/>
      <c r="J414" s="48"/>
      <c r="K414" s="48"/>
      <c r="L414" s="48"/>
      <c r="M414" s="48"/>
      <c r="N414" s="48"/>
      <c r="O414" s="48"/>
      <c r="P414" s="48"/>
      <c r="Q414" s="48"/>
      <c r="R414" s="48"/>
      <c r="S414" s="48"/>
      <c r="T414" s="48"/>
      <c r="U414" s="48"/>
      <c r="V414" s="48"/>
      <c r="W414" s="48"/>
      <c r="X414" s="48"/>
      <c r="Y414" s="48"/>
      <c r="Z414" s="48"/>
      <c r="AA414" s="48"/>
    </row>
    <row r="415" spans="2:27" ht="12.75" customHeight="1" x14ac:dyDescent="0.25">
      <c r="B415" s="48"/>
      <c r="C415" s="48"/>
      <c r="D415" s="48"/>
      <c r="E415" s="48"/>
      <c r="F415" s="48"/>
      <c r="G415" s="48"/>
      <c r="H415" s="48"/>
      <c r="I415" s="48"/>
      <c r="J415" s="48"/>
      <c r="K415" s="48"/>
      <c r="L415" s="48"/>
      <c r="M415" s="48"/>
      <c r="N415" s="48"/>
      <c r="O415" s="48"/>
      <c r="P415" s="48"/>
      <c r="Q415" s="48"/>
      <c r="R415" s="48"/>
      <c r="S415" s="48"/>
      <c r="T415" s="48"/>
      <c r="U415" s="48"/>
      <c r="V415" s="48"/>
      <c r="W415" s="48"/>
      <c r="X415" s="48"/>
      <c r="Y415" s="48"/>
      <c r="Z415" s="48"/>
      <c r="AA415" s="48"/>
    </row>
    <row r="416" spans="2:27" ht="12.75" customHeight="1" x14ac:dyDescent="0.25">
      <c r="B416" s="48"/>
      <c r="C416" s="48"/>
      <c r="D416" s="48"/>
      <c r="E416" s="48"/>
      <c r="F416" s="48"/>
      <c r="G416" s="48"/>
      <c r="H416" s="48"/>
      <c r="I416" s="48"/>
      <c r="J416" s="48"/>
      <c r="K416" s="48"/>
      <c r="L416" s="48"/>
      <c r="M416" s="48"/>
      <c r="N416" s="48"/>
      <c r="O416" s="48"/>
      <c r="P416" s="48"/>
      <c r="Q416" s="48"/>
      <c r="R416" s="48"/>
      <c r="S416" s="48"/>
      <c r="T416" s="48"/>
      <c r="U416" s="48"/>
      <c r="V416" s="48"/>
      <c r="W416" s="48"/>
      <c r="X416" s="48"/>
      <c r="Y416" s="48"/>
      <c r="Z416" s="48"/>
      <c r="AA416" s="48"/>
    </row>
    <row r="417" spans="2:27" ht="12.75" customHeight="1" x14ac:dyDescent="0.25">
      <c r="B417" s="48"/>
      <c r="C417" s="48"/>
      <c r="D417" s="48"/>
      <c r="E417" s="48"/>
      <c r="F417" s="48"/>
      <c r="G417" s="48"/>
      <c r="H417" s="48"/>
      <c r="I417" s="48"/>
      <c r="J417" s="48"/>
      <c r="K417" s="48"/>
      <c r="L417" s="48"/>
      <c r="M417" s="48"/>
      <c r="N417" s="48"/>
      <c r="O417" s="48"/>
      <c r="P417" s="48"/>
      <c r="Q417" s="48"/>
      <c r="R417" s="48"/>
      <c r="S417" s="48"/>
      <c r="T417" s="48"/>
      <c r="U417" s="48"/>
      <c r="V417" s="48"/>
      <c r="W417" s="48"/>
      <c r="X417" s="48"/>
      <c r="Y417" s="48"/>
      <c r="Z417" s="48"/>
      <c r="AA417" s="48"/>
    </row>
    <row r="418" spans="2:27" ht="12.75" customHeight="1" x14ac:dyDescent="0.25">
      <c r="B418" s="48"/>
      <c r="C418" s="48"/>
      <c r="D418" s="48"/>
      <c r="E418" s="48"/>
      <c r="F418" s="48"/>
      <c r="G418" s="48"/>
      <c r="H418" s="48"/>
      <c r="I418" s="48"/>
      <c r="J418" s="48"/>
      <c r="K418" s="48"/>
      <c r="L418" s="48"/>
      <c r="M418" s="48"/>
      <c r="N418" s="48"/>
      <c r="O418" s="48"/>
      <c r="P418" s="48"/>
      <c r="Q418" s="48"/>
      <c r="R418" s="48"/>
      <c r="S418" s="48"/>
      <c r="T418" s="48"/>
      <c r="U418" s="48"/>
      <c r="V418" s="48"/>
      <c r="W418" s="48"/>
      <c r="X418" s="48"/>
      <c r="Y418" s="48"/>
      <c r="Z418" s="48"/>
      <c r="AA418" s="48"/>
    </row>
    <row r="419" spans="2:27" ht="12.75" customHeight="1" x14ac:dyDescent="0.25">
      <c r="B419" s="48"/>
      <c r="C419" s="48"/>
      <c r="D419" s="48"/>
      <c r="E419" s="48"/>
      <c r="F419" s="48"/>
      <c r="G419" s="48"/>
      <c r="H419" s="48"/>
      <c r="I419" s="48"/>
      <c r="J419" s="48"/>
      <c r="K419" s="48"/>
      <c r="L419" s="48"/>
      <c r="M419" s="48"/>
      <c r="N419" s="48"/>
      <c r="O419" s="48"/>
      <c r="P419" s="48"/>
      <c r="Q419" s="48"/>
      <c r="R419" s="48"/>
      <c r="S419" s="48"/>
      <c r="T419" s="48"/>
      <c r="U419" s="48"/>
      <c r="V419" s="48"/>
      <c r="W419" s="48"/>
      <c r="X419" s="48"/>
      <c r="Y419" s="48"/>
      <c r="Z419" s="48"/>
      <c r="AA419" s="48"/>
    </row>
    <row r="420" spans="2:27" ht="12.75" customHeight="1" x14ac:dyDescent="0.25">
      <c r="B420" s="48"/>
      <c r="C420" s="48"/>
      <c r="D420" s="48"/>
      <c r="E420" s="48"/>
      <c r="F420" s="48"/>
      <c r="G420" s="48"/>
      <c r="H420" s="48"/>
      <c r="I420" s="48"/>
      <c r="J420" s="48"/>
      <c r="K420" s="48"/>
      <c r="L420" s="48"/>
      <c r="M420" s="48"/>
      <c r="N420" s="48"/>
      <c r="O420" s="48"/>
      <c r="P420" s="48"/>
      <c r="Q420" s="48"/>
      <c r="R420" s="48"/>
      <c r="S420" s="48"/>
      <c r="T420" s="48"/>
      <c r="U420" s="48"/>
      <c r="V420" s="48"/>
      <c r="W420" s="48"/>
      <c r="X420" s="48"/>
      <c r="Y420" s="48"/>
      <c r="Z420" s="48"/>
      <c r="AA420" s="48"/>
    </row>
    <row r="421" spans="2:27" ht="12.75" customHeight="1" x14ac:dyDescent="0.25">
      <c r="B421" s="48"/>
      <c r="C421" s="48"/>
      <c r="D421" s="48"/>
      <c r="E421" s="48"/>
      <c r="F421" s="48"/>
      <c r="G421" s="48"/>
      <c r="H421" s="48"/>
      <c r="I421" s="48"/>
      <c r="J421" s="48"/>
      <c r="K421" s="48"/>
      <c r="L421" s="48"/>
      <c r="M421" s="48"/>
      <c r="N421" s="48"/>
      <c r="O421" s="48"/>
      <c r="P421" s="48"/>
      <c r="Q421" s="48"/>
      <c r="R421" s="48"/>
      <c r="S421" s="48"/>
      <c r="T421" s="48"/>
      <c r="U421" s="48"/>
      <c r="V421" s="48"/>
      <c r="W421" s="48"/>
      <c r="X421" s="48"/>
      <c r="Y421" s="48"/>
      <c r="Z421" s="48"/>
      <c r="AA421" s="48"/>
    </row>
    <row r="422" spans="2:27" ht="12.75" customHeight="1" x14ac:dyDescent="0.25">
      <c r="B422" s="48"/>
      <c r="C422" s="48"/>
      <c r="D422" s="48"/>
      <c r="E422" s="48"/>
      <c r="F422" s="48"/>
      <c r="G422" s="48"/>
      <c r="H422" s="48"/>
      <c r="I422" s="48"/>
      <c r="J422" s="48"/>
      <c r="K422" s="48"/>
      <c r="L422" s="48"/>
      <c r="M422" s="48"/>
      <c r="N422" s="48"/>
      <c r="O422" s="48"/>
      <c r="P422" s="48"/>
      <c r="Q422" s="48"/>
      <c r="R422" s="48"/>
      <c r="S422" s="48"/>
      <c r="T422" s="48"/>
      <c r="U422" s="48"/>
      <c r="V422" s="48"/>
      <c r="W422" s="48"/>
      <c r="X422" s="48"/>
      <c r="Y422" s="48"/>
      <c r="Z422" s="48"/>
      <c r="AA422" s="48"/>
    </row>
    <row r="423" spans="2:27" ht="12.75" customHeight="1" x14ac:dyDescent="0.25">
      <c r="B423" s="48"/>
      <c r="C423" s="48"/>
      <c r="D423" s="48"/>
      <c r="E423" s="48"/>
      <c r="F423" s="48"/>
      <c r="G423" s="48"/>
      <c r="H423" s="48"/>
      <c r="I423" s="48"/>
      <c r="J423" s="48"/>
      <c r="K423" s="48"/>
      <c r="L423" s="48"/>
      <c r="M423" s="48"/>
      <c r="N423" s="48"/>
      <c r="O423" s="48"/>
      <c r="P423" s="48"/>
      <c r="Q423" s="48"/>
      <c r="R423" s="48"/>
      <c r="S423" s="48"/>
      <c r="T423" s="48"/>
      <c r="U423" s="48"/>
      <c r="V423" s="48"/>
      <c r="W423" s="48"/>
      <c r="X423" s="48"/>
      <c r="Y423" s="48"/>
      <c r="Z423" s="48"/>
      <c r="AA423" s="48"/>
    </row>
    <row r="424" spans="2:27" ht="12.75" customHeight="1" x14ac:dyDescent="0.25">
      <c r="B424" s="48"/>
      <c r="C424" s="48"/>
      <c r="D424" s="48"/>
      <c r="E424" s="48"/>
      <c r="F424" s="48"/>
      <c r="G424" s="48"/>
      <c r="H424" s="48"/>
      <c r="I424" s="48"/>
      <c r="J424" s="48"/>
      <c r="K424" s="48"/>
      <c r="L424" s="48"/>
      <c r="M424" s="48"/>
      <c r="N424" s="48"/>
      <c r="O424" s="48"/>
      <c r="P424" s="48"/>
      <c r="Q424" s="48"/>
      <c r="R424" s="48"/>
      <c r="S424" s="48"/>
      <c r="T424" s="48"/>
      <c r="U424" s="48"/>
      <c r="V424" s="48"/>
      <c r="W424" s="48"/>
      <c r="X424" s="48"/>
      <c r="Y424" s="48"/>
      <c r="Z424" s="48"/>
      <c r="AA424" s="48"/>
    </row>
    <row r="425" spans="2:27" ht="12.75" customHeight="1" x14ac:dyDescent="0.25">
      <c r="B425" s="48"/>
      <c r="C425" s="48"/>
      <c r="D425" s="48"/>
      <c r="E425" s="48"/>
      <c r="F425" s="48"/>
      <c r="G425" s="48"/>
      <c r="H425" s="48"/>
      <c r="I425" s="48"/>
      <c r="J425" s="48"/>
      <c r="K425" s="48"/>
      <c r="L425" s="48"/>
      <c r="M425" s="48"/>
      <c r="N425" s="48"/>
      <c r="O425" s="48"/>
      <c r="P425" s="48"/>
      <c r="Q425" s="48"/>
      <c r="R425" s="48"/>
      <c r="S425" s="48"/>
      <c r="T425" s="48"/>
      <c r="U425" s="48"/>
      <c r="V425" s="48"/>
      <c r="W425" s="48"/>
      <c r="X425" s="48"/>
      <c r="Y425" s="48"/>
      <c r="Z425" s="48"/>
      <c r="AA425" s="48"/>
    </row>
    <row r="426" spans="2:27" ht="12.75" customHeight="1" x14ac:dyDescent="0.25">
      <c r="B426" s="48"/>
      <c r="C426" s="48"/>
      <c r="D426" s="48"/>
      <c r="E426" s="48"/>
      <c r="F426" s="48"/>
      <c r="G426" s="48"/>
      <c r="H426" s="48"/>
      <c r="I426" s="48"/>
      <c r="J426" s="48"/>
      <c r="K426" s="48"/>
      <c r="L426" s="48"/>
      <c r="M426" s="48"/>
      <c r="N426" s="48"/>
      <c r="O426" s="48"/>
      <c r="P426" s="48"/>
      <c r="Q426" s="48"/>
      <c r="R426" s="48"/>
      <c r="S426" s="48"/>
      <c r="T426" s="48"/>
      <c r="U426" s="48"/>
      <c r="V426" s="48"/>
      <c r="W426" s="48"/>
      <c r="X426" s="48"/>
      <c r="Y426" s="48"/>
      <c r="Z426" s="48"/>
      <c r="AA426" s="48"/>
    </row>
    <row r="427" spans="2:27" ht="12.75" customHeight="1" x14ac:dyDescent="0.25">
      <c r="B427" s="48"/>
      <c r="C427" s="48"/>
      <c r="D427" s="48"/>
      <c r="E427" s="48"/>
      <c r="F427" s="48"/>
      <c r="G427" s="48"/>
      <c r="H427" s="48"/>
      <c r="I427" s="48"/>
      <c r="J427" s="48"/>
      <c r="K427" s="48"/>
      <c r="L427" s="48"/>
      <c r="M427" s="48"/>
      <c r="N427" s="48"/>
      <c r="O427" s="48"/>
      <c r="P427" s="48"/>
      <c r="Q427" s="48"/>
      <c r="R427" s="48"/>
      <c r="S427" s="48"/>
      <c r="T427" s="48"/>
      <c r="U427" s="48"/>
      <c r="V427" s="48"/>
      <c r="W427" s="48"/>
      <c r="X427" s="48"/>
      <c r="Y427" s="48"/>
      <c r="Z427" s="48"/>
      <c r="AA427" s="48"/>
    </row>
    <row r="428" spans="2:27" ht="12.75" customHeight="1" x14ac:dyDescent="0.25">
      <c r="B428" s="48"/>
      <c r="C428" s="48"/>
      <c r="D428" s="48"/>
      <c r="E428" s="48"/>
      <c r="F428" s="48"/>
      <c r="G428" s="48"/>
      <c r="H428" s="48"/>
      <c r="I428" s="48"/>
      <c r="J428" s="48"/>
      <c r="K428" s="48"/>
      <c r="L428" s="48"/>
      <c r="M428" s="48"/>
      <c r="N428" s="48"/>
      <c r="O428" s="48"/>
      <c r="P428" s="48"/>
      <c r="Q428" s="48"/>
      <c r="R428" s="48"/>
      <c r="S428" s="48"/>
      <c r="T428" s="48"/>
      <c r="U428" s="48"/>
      <c r="V428" s="48"/>
      <c r="W428" s="48"/>
      <c r="X428" s="48"/>
      <c r="Y428" s="48"/>
      <c r="Z428" s="48"/>
      <c r="AA428" s="48"/>
    </row>
    <row r="429" spans="2:27" ht="12.75" customHeight="1" x14ac:dyDescent="0.25">
      <c r="B429" s="48"/>
      <c r="C429" s="48"/>
      <c r="D429" s="48"/>
      <c r="E429" s="48"/>
      <c r="F429" s="48"/>
      <c r="G429" s="48"/>
      <c r="H429" s="48"/>
      <c r="I429" s="48"/>
      <c r="J429" s="48"/>
      <c r="K429" s="48"/>
      <c r="L429" s="48"/>
      <c r="M429" s="48"/>
      <c r="N429" s="48"/>
      <c r="O429" s="48"/>
      <c r="P429" s="48"/>
      <c r="Q429" s="48"/>
      <c r="R429" s="48"/>
      <c r="S429" s="48"/>
      <c r="T429" s="48"/>
      <c r="U429" s="48"/>
      <c r="V429" s="48"/>
      <c r="W429" s="48"/>
      <c r="X429" s="48"/>
      <c r="Y429" s="48"/>
      <c r="Z429" s="48"/>
      <c r="AA429" s="48"/>
    </row>
    <row r="430" spans="2:27" ht="12.75" customHeight="1" x14ac:dyDescent="0.25">
      <c r="B430" s="48"/>
      <c r="C430" s="48"/>
      <c r="D430" s="48"/>
      <c r="E430" s="48"/>
      <c r="F430" s="48"/>
      <c r="G430" s="48"/>
      <c r="H430" s="48"/>
      <c r="I430" s="48"/>
      <c r="J430" s="48"/>
      <c r="K430" s="48"/>
      <c r="L430" s="48"/>
      <c r="M430" s="48"/>
      <c r="N430" s="48"/>
      <c r="O430" s="48"/>
      <c r="P430" s="48"/>
      <c r="Q430" s="48"/>
      <c r="R430" s="48"/>
      <c r="S430" s="48"/>
      <c r="T430" s="48"/>
      <c r="U430" s="48"/>
      <c r="V430" s="48"/>
      <c r="W430" s="48"/>
      <c r="X430" s="48"/>
      <c r="Y430" s="48"/>
      <c r="Z430" s="48"/>
      <c r="AA430" s="48"/>
    </row>
    <row r="431" spans="2:27" ht="12.75" customHeight="1" x14ac:dyDescent="0.25">
      <c r="B431" s="48"/>
      <c r="C431" s="48"/>
      <c r="D431" s="48"/>
      <c r="E431" s="48"/>
      <c r="F431" s="48"/>
      <c r="G431" s="48"/>
      <c r="H431" s="48"/>
      <c r="I431" s="48"/>
      <c r="J431" s="48"/>
      <c r="K431" s="48"/>
      <c r="L431" s="48"/>
      <c r="M431" s="48"/>
      <c r="N431" s="48"/>
      <c r="O431" s="48"/>
      <c r="P431" s="48"/>
      <c r="Q431" s="48"/>
      <c r="R431" s="48"/>
      <c r="S431" s="48"/>
      <c r="T431" s="48"/>
      <c r="U431" s="48"/>
      <c r="V431" s="48"/>
      <c r="W431" s="48"/>
      <c r="X431" s="48"/>
      <c r="Y431" s="48"/>
      <c r="Z431" s="48"/>
      <c r="AA431" s="48"/>
    </row>
    <row r="432" spans="2:27" ht="12.75" customHeight="1" x14ac:dyDescent="0.25">
      <c r="B432" s="48"/>
      <c r="C432" s="48"/>
      <c r="D432" s="48"/>
      <c r="E432" s="48"/>
      <c r="F432" s="48"/>
      <c r="G432" s="48"/>
      <c r="H432" s="48"/>
      <c r="I432" s="48"/>
      <c r="J432" s="48"/>
      <c r="K432" s="48"/>
      <c r="L432" s="48"/>
      <c r="M432" s="48"/>
      <c r="N432" s="48"/>
      <c r="O432" s="48"/>
      <c r="P432" s="48"/>
      <c r="Q432" s="48"/>
      <c r="R432" s="48"/>
      <c r="S432" s="48"/>
      <c r="T432" s="48"/>
      <c r="U432" s="48"/>
      <c r="V432" s="48"/>
      <c r="W432" s="48"/>
      <c r="X432" s="48"/>
      <c r="Y432" s="48"/>
      <c r="Z432" s="48"/>
      <c r="AA432" s="48"/>
    </row>
    <row r="433" spans="2:27" ht="12.75" customHeight="1" x14ac:dyDescent="0.25">
      <c r="B433" s="48"/>
      <c r="C433" s="48"/>
      <c r="D433" s="48"/>
      <c r="E433" s="48"/>
      <c r="F433" s="48"/>
      <c r="G433" s="48"/>
      <c r="H433" s="48"/>
      <c r="I433" s="48"/>
      <c r="J433" s="48"/>
      <c r="K433" s="48"/>
      <c r="L433" s="48"/>
      <c r="M433" s="48"/>
      <c r="N433" s="48"/>
      <c r="O433" s="48"/>
      <c r="P433" s="48"/>
      <c r="Q433" s="48"/>
      <c r="R433" s="48"/>
      <c r="S433" s="48"/>
      <c r="T433" s="48"/>
      <c r="U433" s="48"/>
      <c r="V433" s="48"/>
      <c r="W433" s="48"/>
      <c r="X433" s="48"/>
      <c r="Y433" s="48"/>
      <c r="Z433" s="48"/>
      <c r="AA433" s="48"/>
    </row>
    <row r="434" spans="2:27" ht="12.75" customHeight="1" x14ac:dyDescent="0.25">
      <c r="B434" s="48"/>
      <c r="C434" s="48"/>
      <c r="D434" s="48"/>
      <c r="E434" s="48"/>
      <c r="F434" s="48"/>
      <c r="G434" s="48"/>
      <c r="H434" s="48"/>
      <c r="I434" s="48"/>
      <c r="J434" s="48"/>
      <c r="K434" s="48"/>
      <c r="L434" s="48"/>
      <c r="M434" s="48"/>
      <c r="N434" s="48"/>
      <c r="O434" s="48"/>
      <c r="P434" s="48"/>
      <c r="Q434" s="48"/>
      <c r="R434" s="48"/>
      <c r="S434" s="48"/>
      <c r="T434" s="48"/>
      <c r="U434" s="48"/>
      <c r="V434" s="48"/>
      <c r="W434" s="48"/>
      <c r="X434" s="48"/>
      <c r="Y434" s="48"/>
      <c r="Z434" s="48"/>
      <c r="AA434" s="48"/>
    </row>
    <row r="435" spans="2:27" ht="12.75" customHeight="1" x14ac:dyDescent="0.25">
      <c r="B435" s="48"/>
      <c r="C435" s="48"/>
      <c r="D435" s="48"/>
      <c r="E435" s="48"/>
      <c r="F435" s="48"/>
      <c r="G435" s="48"/>
      <c r="H435" s="48"/>
      <c r="I435" s="48"/>
      <c r="J435" s="48"/>
      <c r="K435" s="48"/>
      <c r="L435" s="48"/>
      <c r="M435" s="48"/>
      <c r="N435" s="48"/>
      <c r="O435" s="48"/>
      <c r="P435" s="48"/>
      <c r="Q435" s="48"/>
      <c r="R435" s="48"/>
      <c r="S435" s="48"/>
      <c r="T435" s="48"/>
      <c r="U435" s="48"/>
      <c r="V435" s="48"/>
      <c r="W435" s="48"/>
      <c r="X435" s="48"/>
      <c r="Y435" s="48"/>
      <c r="Z435" s="48"/>
      <c r="AA435" s="48"/>
    </row>
    <row r="436" spans="2:27" ht="12.75" customHeight="1" x14ac:dyDescent="0.25">
      <c r="B436" s="48"/>
      <c r="C436" s="48"/>
      <c r="D436" s="48"/>
      <c r="E436" s="48"/>
      <c r="F436" s="48"/>
      <c r="G436" s="48"/>
      <c r="H436" s="48"/>
      <c r="I436" s="48"/>
      <c r="J436" s="48"/>
      <c r="K436" s="48"/>
      <c r="L436" s="48"/>
      <c r="M436" s="48"/>
      <c r="N436" s="48"/>
      <c r="O436" s="48"/>
      <c r="P436" s="48"/>
      <c r="Q436" s="48"/>
      <c r="R436" s="48"/>
      <c r="S436" s="48"/>
      <c r="T436" s="48"/>
      <c r="U436" s="48"/>
      <c r="V436" s="48"/>
      <c r="W436" s="48"/>
      <c r="X436" s="48"/>
      <c r="Y436" s="48"/>
      <c r="Z436" s="48"/>
      <c r="AA436" s="48"/>
    </row>
    <row r="437" spans="2:27" ht="12.75" customHeight="1" x14ac:dyDescent="0.25">
      <c r="B437" s="48"/>
      <c r="C437" s="48"/>
      <c r="D437" s="48"/>
      <c r="E437" s="48"/>
      <c r="F437" s="48"/>
      <c r="G437" s="48"/>
      <c r="H437" s="48"/>
      <c r="I437" s="48"/>
      <c r="J437" s="48"/>
      <c r="K437" s="48"/>
      <c r="L437" s="48"/>
      <c r="M437" s="48"/>
      <c r="N437" s="48"/>
      <c r="O437" s="48"/>
      <c r="P437" s="48"/>
      <c r="Q437" s="48"/>
      <c r="R437" s="48"/>
      <c r="S437" s="48"/>
      <c r="T437" s="48"/>
      <c r="U437" s="48"/>
      <c r="V437" s="48"/>
      <c r="W437" s="48"/>
      <c r="X437" s="48"/>
      <c r="Y437" s="48"/>
      <c r="Z437" s="48"/>
      <c r="AA437" s="48"/>
    </row>
    <row r="438" spans="2:27" ht="12.75" customHeight="1" x14ac:dyDescent="0.25">
      <c r="B438" s="48"/>
      <c r="C438" s="48"/>
      <c r="D438" s="48"/>
      <c r="E438" s="48"/>
      <c r="F438" s="48"/>
      <c r="G438" s="48"/>
      <c r="H438" s="48"/>
      <c r="I438" s="48"/>
      <c r="J438" s="48"/>
      <c r="K438" s="48"/>
      <c r="L438" s="48"/>
      <c r="M438" s="48"/>
      <c r="N438" s="48"/>
      <c r="O438" s="48"/>
      <c r="P438" s="48"/>
      <c r="Q438" s="48"/>
      <c r="R438" s="48"/>
      <c r="S438" s="48"/>
      <c r="T438" s="48"/>
      <c r="U438" s="48"/>
      <c r="V438" s="48"/>
      <c r="W438" s="48"/>
      <c r="X438" s="48"/>
      <c r="Y438" s="48"/>
      <c r="Z438" s="48"/>
      <c r="AA438" s="48"/>
    </row>
    <row r="439" spans="2:27" ht="12.75" customHeight="1" x14ac:dyDescent="0.25">
      <c r="B439" s="48"/>
      <c r="C439" s="48"/>
      <c r="D439" s="48"/>
      <c r="E439" s="48"/>
      <c r="F439" s="48"/>
      <c r="G439" s="48"/>
      <c r="H439" s="48"/>
      <c r="I439" s="48"/>
      <c r="J439" s="48"/>
      <c r="K439" s="48"/>
      <c r="L439" s="48"/>
      <c r="M439" s="48"/>
      <c r="N439" s="48"/>
      <c r="O439" s="48"/>
      <c r="P439" s="48"/>
      <c r="Q439" s="48"/>
      <c r="R439" s="48"/>
      <c r="S439" s="48"/>
      <c r="T439" s="48"/>
      <c r="U439" s="48"/>
      <c r="V439" s="48"/>
      <c r="W439" s="48"/>
      <c r="X439" s="48"/>
      <c r="Y439" s="48"/>
      <c r="Z439" s="48"/>
      <c r="AA439" s="48"/>
    </row>
    <row r="440" spans="2:27" ht="12.75" customHeight="1" x14ac:dyDescent="0.25">
      <c r="B440" s="48"/>
      <c r="C440" s="48"/>
      <c r="D440" s="48"/>
      <c r="E440" s="48"/>
      <c r="F440" s="48"/>
      <c r="G440" s="48"/>
      <c r="H440" s="48"/>
      <c r="I440" s="48"/>
      <c r="J440" s="48"/>
      <c r="K440" s="48"/>
      <c r="L440" s="48"/>
      <c r="M440" s="48"/>
      <c r="N440" s="48"/>
      <c r="O440" s="48"/>
      <c r="P440" s="48"/>
      <c r="Q440" s="48"/>
      <c r="R440" s="48"/>
      <c r="S440" s="48"/>
      <c r="T440" s="48"/>
      <c r="U440" s="48"/>
      <c r="V440" s="48"/>
      <c r="W440" s="48"/>
      <c r="X440" s="48"/>
      <c r="Y440" s="48"/>
      <c r="Z440" s="48"/>
      <c r="AA440" s="48"/>
    </row>
    <row r="441" spans="2:27" ht="12.75" customHeight="1" x14ac:dyDescent="0.25">
      <c r="B441" s="48"/>
      <c r="C441" s="48"/>
      <c r="D441" s="48"/>
      <c r="E441" s="48"/>
      <c r="F441" s="48"/>
      <c r="G441" s="48"/>
      <c r="H441" s="48"/>
      <c r="I441" s="48"/>
      <c r="J441" s="48"/>
      <c r="K441" s="48"/>
      <c r="L441" s="48"/>
      <c r="M441" s="48"/>
      <c r="N441" s="48"/>
      <c r="O441" s="48"/>
      <c r="P441" s="48"/>
      <c r="Q441" s="48"/>
      <c r="R441" s="48"/>
      <c r="S441" s="48"/>
      <c r="T441" s="48"/>
      <c r="U441" s="48"/>
      <c r="V441" s="48"/>
      <c r="W441" s="48"/>
      <c r="X441" s="48"/>
      <c r="Y441" s="48"/>
      <c r="Z441" s="48"/>
      <c r="AA441" s="48"/>
    </row>
    <row r="442" spans="2:27" ht="12.75" customHeight="1" x14ac:dyDescent="0.25">
      <c r="B442" s="48"/>
      <c r="C442" s="48"/>
      <c r="D442" s="48"/>
      <c r="E442" s="48"/>
      <c r="F442" s="48"/>
      <c r="G442" s="48"/>
      <c r="H442" s="48"/>
      <c r="I442" s="48"/>
      <c r="J442" s="48"/>
      <c r="K442" s="48"/>
      <c r="L442" s="48"/>
      <c r="M442" s="48"/>
      <c r="N442" s="48"/>
      <c r="O442" s="48"/>
      <c r="P442" s="48"/>
      <c r="Q442" s="48"/>
      <c r="R442" s="48"/>
      <c r="S442" s="48"/>
      <c r="T442" s="48"/>
      <c r="U442" s="48"/>
      <c r="V442" s="48"/>
      <c r="W442" s="48"/>
      <c r="X442" s="48"/>
      <c r="Y442" s="48"/>
      <c r="Z442" s="48"/>
      <c r="AA442" s="48"/>
    </row>
    <row r="443" spans="2:27" ht="12.75" customHeight="1" x14ac:dyDescent="0.25">
      <c r="B443" s="48"/>
      <c r="C443" s="48"/>
      <c r="D443" s="48"/>
      <c r="E443" s="48"/>
      <c r="F443" s="48"/>
      <c r="G443" s="48"/>
      <c r="H443" s="48"/>
      <c r="I443" s="48"/>
      <c r="J443" s="48"/>
      <c r="K443" s="48"/>
      <c r="L443" s="48"/>
      <c r="M443" s="48"/>
      <c r="N443" s="48"/>
      <c r="O443" s="48"/>
      <c r="P443" s="48"/>
      <c r="Q443" s="48"/>
      <c r="R443" s="48"/>
      <c r="S443" s="48"/>
      <c r="T443" s="48"/>
      <c r="U443" s="48"/>
      <c r="V443" s="48"/>
      <c r="W443" s="48"/>
      <c r="X443" s="48"/>
      <c r="Y443" s="48"/>
      <c r="Z443" s="48"/>
      <c r="AA443" s="48"/>
    </row>
    <row r="444" spans="2:27" ht="12.75" customHeight="1" x14ac:dyDescent="0.25">
      <c r="B444" s="48"/>
      <c r="C444" s="48"/>
      <c r="D444" s="48"/>
      <c r="E444" s="48"/>
      <c r="F444" s="48"/>
      <c r="G444" s="48"/>
      <c r="H444" s="48"/>
      <c r="I444" s="48"/>
      <c r="J444" s="48"/>
      <c r="K444" s="48"/>
      <c r="L444" s="48"/>
      <c r="M444" s="48"/>
      <c r="N444" s="48"/>
      <c r="O444" s="48"/>
      <c r="P444" s="48"/>
      <c r="Q444" s="48"/>
      <c r="R444" s="48"/>
      <c r="S444" s="48"/>
      <c r="T444" s="48"/>
      <c r="U444" s="48"/>
      <c r="V444" s="48"/>
      <c r="W444" s="48"/>
      <c r="X444" s="48"/>
      <c r="Y444" s="48"/>
      <c r="Z444" s="48"/>
      <c r="AA444" s="48"/>
    </row>
    <row r="445" spans="2:27" ht="12.75" customHeight="1" x14ac:dyDescent="0.25">
      <c r="B445" s="48"/>
      <c r="C445" s="48"/>
      <c r="D445" s="48"/>
      <c r="E445" s="48"/>
      <c r="F445" s="48"/>
      <c r="G445" s="48"/>
      <c r="H445" s="48"/>
      <c r="I445" s="48"/>
      <c r="J445" s="48"/>
      <c r="K445" s="48"/>
      <c r="L445" s="48"/>
      <c r="M445" s="48"/>
      <c r="N445" s="48"/>
      <c r="O445" s="48"/>
      <c r="P445" s="48"/>
      <c r="Q445" s="48"/>
      <c r="R445" s="48"/>
      <c r="S445" s="48"/>
      <c r="T445" s="48"/>
      <c r="U445" s="48"/>
      <c r="V445" s="48"/>
      <c r="W445" s="48"/>
      <c r="X445" s="48"/>
      <c r="Y445" s="48"/>
      <c r="Z445" s="48"/>
      <c r="AA445" s="48"/>
    </row>
    <row r="446" spans="2:27" ht="12.75" customHeight="1" x14ac:dyDescent="0.25">
      <c r="B446" s="48"/>
      <c r="C446" s="48"/>
      <c r="D446" s="48"/>
      <c r="E446" s="48"/>
      <c r="F446" s="48"/>
      <c r="G446" s="48"/>
      <c r="H446" s="48"/>
      <c r="I446" s="48"/>
      <c r="J446" s="48"/>
      <c r="K446" s="48"/>
      <c r="L446" s="48"/>
      <c r="M446" s="48"/>
      <c r="N446" s="48"/>
      <c r="O446" s="48"/>
      <c r="P446" s="48"/>
      <c r="Q446" s="48"/>
      <c r="R446" s="48"/>
      <c r="S446" s="48"/>
      <c r="T446" s="48"/>
      <c r="U446" s="48"/>
      <c r="V446" s="48"/>
      <c r="W446" s="48"/>
      <c r="X446" s="48"/>
      <c r="Y446" s="48"/>
      <c r="Z446" s="48"/>
      <c r="AA446" s="48"/>
    </row>
    <row r="447" spans="2:27" ht="12.75" customHeight="1" x14ac:dyDescent="0.25">
      <c r="B447" s="48"/>
      <c r="C447" s="48"/>
      <c r="D447" s="48"/>
      <c r="E447" s="48"/>
      <c r="F447" s="48"/>
      <c r="G447" s="48"/>
      <c r="H447" s="48"/>
      <c r="I447" s="48"/>
      <c r="J447" s="48"/>
      <c r="K447" s="48"/>
      <c r="L447" s="48"/>
      <c r="M447" s="48"/>
      <c r="N447" s="48"/>
      <c r="O447" s="48"/>
      <c r="P447" s="48"/>
      <c r="Q447" s="48"/>
      <c r="R447" s="48"/>
      <c r="S447" s="48"/>
      <c r="T447" s="48"/>
      <c r="U447" s="48"/>
      <c r="V447" s="48"/>
      <c r="W447" s="48"/>
      <c r="X447" s="48"/>
      <c r="Y447" s="48"/>
      <c r="Z447" s="48"/>
      <c r="AA447" s="48"/>
    </row>
    <row r="448" spans="2:27" ht="12.75" customHeight="1" x14ac:dyDescent="0.25">
      <c r="B448" s="48"/>
      <c r="C448" s="48"/>
      <c r="D448" s="48"/>
      <c r="E448" s="48"/>
      <c r="F448" s="48"/>
      <c r="G448" s="48"/>
      <c r="H448" s="48"/>
      <c r="I448" s="48"/>
      <c r="J448" s="48"/>
      <c r="K448" s="48"/>
      <c r="L448" s="48"/>
      <c r="M448" s="48"/>
      <c r="N448" s="48"/>
      <c r="O448" s="48"/>
      <c r="P448" s="48"/>
      <c r="Q448" s="48"/>
      <c r="R448" s="48"/>
      <c r="S448" s="48"/>
      <c r="T448" s="48"/>
      <c r="U448" s="48"/>
      <c r="V448" s="48"/>
      <c r="W448" s="48"/>
      <c r="X448" s="48"/>
      <c r="Y448" s="48"/>
      <c r="Z448" s="48"/>
      <c r="AA448" s="48"/>
    </row>
    <row r="449" spans="2:27" ht="12.75" customHeight="1" x14ac:dyDescent="0.25">
      <c r="B449" s="48"/>
      <c r="C449" s="48"/>
      <c r="D449" s="48"/>
      <c r="E449" s="48"/>
      <c r="F449" s="48"/>
      <c r="G449" s="48"/>
      <c r="H449" s="48"/>
      <c r="I449" s="48"/>
      <c r="J449" s="48"/>
      <c r="K449" s="48"/>
      <c r="L449" s="48"/>
      <c r="M449" s="48"/>
      <c r="N449" s="48"/>
      <c r="O449" s="48"/>
      <c r="P449" s="48"/>
      <c r="Q449" s="48"/>
      <c r="R449" s="48"/>
      <c r="S449" s="48"/>
      <c r="T449" s="48"/>
      <c r="U449" s="48"/>
      <c r="V449" s="48"/>
      <c r="W449" s="48"/>
      <c r="X449" s="48"/>
      <c r="Y449" s="48"/>
      <c r="Z449" s="48"/>
      <c r="AA449" s="48"/>
    </row>
    <row r="450" spans="2:27" ht="12.75" customHeight="1" x14ac:dyDescent="0.25">
      <c r="B450" s="48"/>
      <c r="C450" s="48"/>
      <c r="D450" s="48"/>
      <c r="E450" s="48"/>
      <c r="F450" s="48"/>
      <c r="G450" s="48"/>
      <c r="H450" s="48"/>
      <c r="I450" s="48"/>
      <c r="J450" s="48"/>
      <c r="K450" s="48"/>
      <c r="L450" s="48"/>
      <c r="M450" s="48"/>
      <c r="N450" s="48"/>
      <c r="O450" s="48"/>
      <c r="P450" s="48"/>
      <c r="Q450" s="48"/>
      <c r="R450" s="48"/>
      <c r="S450" s="48"/>
      <c r="T450" s="48"/>
      <c r="U450" s="48"/>
      <c r="V450" s="48"/>
      <c r="W450" s="48"/>
      <c r="X450" s="48"/>
      <c r="Y450" s="48"/>
      <c r="Z450" s="48"/>
      <c r="AA450" s="48"/>
    </row>
    <row r="451" spans="2:27" ht="12.75" customHeight="1" x14ac:dyDescent="0.25">
      <c r="B451" s="48"/>
      <c r="C451" s="48"/>
      <c r="D451" s="48"/>
      <c r="E451" s="48"/>
      <c r="F451" s="48"/>
      <c r="G451" s="48"/>
      <c r="H451" s="48"/>
      <c r="I451" s="48"/>
      <c r="J451" s="48"/>
      <c r="K451" s="48"/>
      <c r="L451" s="48"/>
      <c r="M451" s="48"/>
      <c r="N451" s="48"/>
      <c r="O451" s="48"/>
      <c r="P451" s="48"/>
      <c r="Q451" s="48"/>
      <c r="R451" s="48"/>
      <c r="S451" s="48"/>
      <c r="T451" s="48"/>
      <c r="U451" s="48"/>
      <c r="V451" s="48"/>
      <c r="W451" s="48"/>
      <c r="X451" s="48"/>
      <c r="Y451" s="48"/>
      <c r="Z451" s="48"/>
      <c r="AA451" s="48"/>
    </row>
    <row r="452" spans="2:27" ht="12.75" customHeight="1" x14ac:dyDescent="0.25">
      <c r="B452" s="48"/>
      <c r="C452" s="48"/>
      <c r="D452" s="48"/>
      <c r="E452" s="48"/>
      <c r="F452" s="48"/>
      <c r="G452" s="48"/>
      <c r="H452" s="48"/>
      <c r="I452" s="48"/>
      <c r="J452" s="48"/>
      <c r="K452" s="48"/>
      <c r="L452" s="48"/>
      <c r="M452" s="48"/>
      <c r="N452" s="48"/>
      <c r="O452" s="48"/>
      <c r="P452" s="48"/>
      <c r="Q452" s="48"/>
      <c r="R452" s="48"/>
      <c r="S452" s="48"/>
      <c r="T452" s="48"/>
      <c r="U452" s="48"/>
      <c r="V452" s="48"/>
      <c r="W452" s="48"/>
      <c r="X452" s="48"/>
      <c r="Y452" s="48"/>
      <c r="Z452" s="48"/>
      <c r="AA452" s="48"/>
    </row>
    <row r="453" spans="2:27" ht="12.75" customHeight="1" x14ac:dyDescent="0.25">
      <c r="B453" s="48"/>
      <c r="C453" s="48"/>
      <c r="D453" s="48"/>
      <c r="E453" s="48"/>
      <c r="F453" s="48"/>
      <c r="G453" s="48"/>
      <c r="H453" s="48"/>
      <c r="I453" s="48"/>
      <c r="J453" s="48"/>
      <c r="K453" s="48"/>
      <c r="L453" s="48"/>
      <c r="M453" s="48"/>
      <c r="N453" s="48"/>
      <c r="O453" s="48"/>
      <c r="P453" s="48"/>
      <c r="Q453" s="48"/>
      <c r="R453" s="48"/>
      <c r="S453" s="48"/>
      <c r="T453" s="48"/>
      <c r="U453" s="48"/>
      <c r="V453" s="48"/>
      <c r="W453" s="48"/>
      <c r="X453" s="48"/>
      <c r="Y453" s="48"/>
      <c r="Z453" s="48"/>
      <c r="AA453" s="48"/>
    </row>
    <row r="454" spans="2:27" ht="12.75" customHeight="1" x14ac:dyDescent="0.25">
      <c r="B454" s="48"/>
      <c r="C454" s="48"/>
      <c r="D454" s="48"/>
      <c r="E454" s="48"/>
      <c r="F454" s="48"/>
      <c r="G454" s="48"/>
      <c r="H454" s="48"/>
      <c r="I454" s="48"/>
      <c r="J454" s="48"/>
      <c r="K454" s="48"/>
      <c r="L454" s="48"/>
      <c r="M454" s="48"/>
      <c r="N454" s="48"/>
      <c r="O454" s="48"/>
      <c r="P454" s="48"/>
      <c r="Q454" s="48"/>
      <c r="R454" s="48"/>
      <c r="S454" s="48"/>
      <c r="T454" s="48"/>
      <c r="U454" s="48"/>
      <c r="V454" s="48"/>
      <c r="W454" s="48"/>
      <c r="X454" s="48"/>
      <c r="Y454" s="48"/>
      <c r="Z454" s="48"/>
      <c r="AA454" s="48"/>
    </row>
    <row r="455" spans="2:27" ht="12.75" customHeight="1" x14ac:dyDescent="0.25">
      <c r="B455" s="48"/>
      <c r="C455" s="48"/>
      <c r="D455" s="48"/>
      <c r="E455" s="48"/>
      <c r="F455" s="48"/>
      <c r="G455" s="48"/>
      <c r="H455" s="48"/>
      <c r="I455" s="48"/>
      <c r="J455" s="48"/>
      <c r="K455" s="48"/>
      <c r="L455" s="48"/>
      <c r="M455" s="48"/>
      <c r="N455" s="48"/>
      <c r="O455" s="48"/>
      <c r="P455" s="48"/>
      <c r="Q455" s="48"/>
      <c r="R455" s="48"/>
      <c r="S455" s="48"/>
      <c r="T455" s="48"/>
      <c r="U455" s="48"/>
      <c r="V455" s="48"/>
      <c r="W455" s="48"/>
      <c r="X455" s="48"/>
      <c r="Y455" s="48"/>
      <c r="Z455" s="48"/>
      <c r="AA455" s="48"/>
    </row>
    <row r="456" spans="2:27" ht="12.75" customHeight="1" x14ac:dyDescent="0.25">
      <c r="B456" s="48"/>
      <c r="C456" s="48"/>
      <c r="D456" s="48"/>
      <c r="E456" s="48"/>
      <c r="F456" s="48"/>
      <c r="G456" s="48"/>
      <c r="H456" s="48"/>
      <c r="I456" s="48"/>
      <c r="J456" s="48"/>
      <c r="K456" s="48"/>
      <c r="L456" s="48"/>
      <c r="M456" s="48"/>
      <c r="N456" s="48"/>
      <c r="O456" s="48"/>
      <c r="P456" s="48"/>
      <c r="Q456" s="48"/>
      <c r="R456" s="48"/>
      <c r="S456" s="48"/>
      <c r="T456" s="48"/>
      <c r="U456" s="48"/>
      <c r="V456" s="48"/>
      <c r="W456" s="48"/>
      <c r="X456" s="48"/>
      <c r="Y456" s="48"/>
      <c r="Z456" s="48"/>
      <c r="AA456" s="48"/>
    </row>
    <row r="457" spans="2:27" ht="12.75" customHeight="1" x14ac:dyDescent="0.25">
      <c r="B457" s="48"/>
      <c r="C457" s="48"/>
      <c r="D457" s="48"/>
      <c r="E457" s="48"/>
      <c r="F457" s="48"/>
      <c r="G457" s="48"/>
      <c r="H457" s="48"/>
      <c r="I457" s="48"/>
      <c r="J457" s="48"/>
      <c r="K457" s="48"/>
      <c r="L457" s="48"/>
      <c r="M457" s="48"/>
      <c r="N457" s="48"/>
      <c r="O457" s="48"/>
      <c r="P457" s="48"/>
      <c r="Q457" s="48"/>
      <c r="R457" s="48"/>
      <c r="S457" s="48"/>
      <c r="T457" s="48"/>
      <c r="U457" s="48"/>
      <c r="V457" s="48"/>
      <c r="W457" s="48"/>
      <c r="X457" s="48"/>
      <c r="Y457" s="48"/>
      <c r="Z457" s="48"/>
      <c r="AA457" s="48"/>
    </row>
    <row r="458" spans="2:27" ht="12.75" customHeight="1" x14ac:dyDescent="0.25">
      <c r="B458" s="48"/>
      <c r="C458" s="48"/>
      <c r="D458" s="48"/>
      <c r="E458" s="48"/>
      <c r="F458" s="48"/>
      <c r="G458" s="48"/>
      <c r="H458" s="48"/>
      <c r="I458" s="48"/>
      <c r="J458" s="48"/>
      <c r="K458" s="48"/>
      <c r="L458" s="48"/>
      <c r="M458" s="48"/>
      <c r="N458" s="48"/>
      <c r="O458" s="48"/>
      <c r="P458" s="48"/>
      <c r="Q458" s="48"/>
      <c r="R458" s="48"/>
      <c r="S458" s="48"/>
      <c r="T458" s="48"/>
      <c r="U458" s="48"/>
      <c r="V458" s="48"/>
      <c r="W458" s="48"/>
      <c r="X458" s="48"/>
      <c r="Y458" s="48"/>
      <c r="Z458" s="48"/>
      <c r="AA458" s="48"/>
    </row>
    <row r="459" spans="2:27" ht="12.75" customHeight="1" x14ac:dyDescent="0.25">
      <c r="B459" s="48"/>
      <c r="C459" s="48"/>
      <c r="D459" s="48"/>
      <c r="E459" s="48"/>
      <c r="F459" s="48"/>
      <c r="G459" s="48"/>
      <c r="H459" s="48"/>
      <c r="I459" s="48"/>
      <c r="J459" s="48"/>
      <c r="K459" s="48"/>
      <c r="L459" s="48"/>
      <c r="M459" s="48"/>
      <c r="N459" s="48"/>
      <c r="O459" s="48"/>
      <c r="P459" s="48"/>
      <c r="Q459" s="48"/>
      <c r="R459" s="48"/>
      <c r="S459" s="48"/>
      <c r="T459" s="48"/>
      <c r="U459" s="48"/>
      <c r="V459" s="48"/>
      <c r="W459" s="48"/>
      <c r="X459" s="48"/>
      <c r="Y459" s="48"/>
      <c r="Z459" s="48"/>
      <c r="AA459" s="48"/>
    </row>
    <row r="460" spans="2:27" ht="12.75" customHeight="1" x14ac:dyDescent="0.25">
      <c r="B460" s="48"/>
      <c r="C460" s="48"/>
      <c r="D460" s="48"/>
      <c r="E460" s="48"/>
      <c r="F460" s="48"/>
      <c r="G460" s="48"/>
      <c r="H460" s="48"/>
      <c r="I460" s="48"/>
      <c r="J460" s="48"/>
      <c r="K460" s="48"/>
      <c r="L460" s="48"/>
      <c r="M460" s="48"/>
      <c r="N460" s="48"/>
      <c r="O460" s="48"/>
      <c r="P460" s="48"/>
      <c r="Q460" s="48"/>
      <c r="R460" s="48"/>
      <c r="S460" s="48"/>
      <c r="T460" s="48"/>
      <c r="U460" s="48"/>
      <c r="V460" s="48"/>
      <c r="W460" s="48"/>
      <c r="X460" s="48"/>
      <c r="Y460" s="48"/>
      <c r="Z460" s="48"/>
      <c r="AA460" s="48"/>
    </row>
    <row r="461" spans="2:27" ht="12.75" customHeight="1" x14ac:dyDescent="0.25">
      <c r="B461" s="48"/>
      <c r="C461" s="48"/>
      <c r="D461" s="48"/>
      <c r="E461" s="48"/>
      <c r="F461" s="48"/>
      <c r="G461" s="48"/>
      <c r="H461" s="48"/>
      <c r="I461" s="48"/>
      <c r="J461" s="48"/>
      <c r="K461" s="48"/>
      <c r="L461" s="48"/>
      <c r="M461" s="48"/>
      <c r="N461" s="48"/>
      <c r="O461" s="48"/>
      <c r="P461" s="48"/>
      <c r="Q461" s="48"/>
      <c r="R461" s="48"/>
      <c r="S461" s="48"/>
      <c r="T461" s="48"/>
      <c r="U461" s="48"/>
      <c r="V461" s="48"/>
      <c r="W461" s="48"/>
      <c r="X461" s="48"/>
      <c r="Y461" s="48"/>
      <c r="Z461" s="48"/>
      <c r="AA461" s="48"/>
    </row>
    <row r="462" spans="2:27" ht="12.75" customHeight="1" x14ac:dyDescent="0.25">
      <c r="B462" s="48"/>
      <c r="C462" s="48"/>
      <c r="D462" s="48"/>
      <c r="E462" s="48"/>
      <c r="F462" s="48"/>
      <c r="G462" s="48"/>
      <c r="H462" s="48"/>
      <c r="I462" s="48"/>
      <c r="J462" s="48"/>
      <c r="K462" s="48"/>
      <c r="L462" s="48"/>
      <c r="M462" s="48"/>
      <c r="N462" s="48"/>
      <c r="O462" s="48"/>
      <c r="P462" s="48"/>
      <c r="Q462" s="48"/>
      <c r="R462" s="48"/>
      <c r="S462" s="48"/>
      <c r="T462" s="48"/>
      <c r="U462" s="48"/>
      <c r="V462" s="48"/>
      <c r="W462" s="48"/>
      <c r="X462" s="48"/>
      <c r="Y462" s="48"/>
      <c r="Z462" s="48"/>
      <c r="AA462" s="48"/>
    </row>
    <row r="463" spans="2:27" ht="12.75" customHeight="1" x14ac:dyDescent="0.25">
      <c r="B463" s="48"/>
      <c r="C463" s="48"/>
      <c r="D463" s="48"/>
      <c r="E463" s="48"/>
      <c r="F463" s="48"/>
      <c r="G463" s="48"/>
      <c r="H463" s="48"/>
      <c r="I463" s="48"/>
      <c r="J463" s="48"/>
      <c r="K463" s="48"/>
      <c r="L463" s="48"/>
      <c r="M463" s="48"/>
      <c r="N463" s="48"/>
      <c r="O463" s="48"/>
      <c r="P463" s="48"/>
      <c r="Q463" s="48"/>
      <c r="R463" s="48"/>
      <c r="S463" s="48"/>
      <c r="T463" s="48"/>
      <c r="U463" s="48"/>
      <c r="V463" s="48"/>
      <c r="W463" s="48"/>
      <c r="X463" s="48"/>
      <c r="Y463" s="48"/>
      <c r="Z463" s="48"/>
      <c r="AA463" s="48"/>
    </row>
    <row r="464" spans="2:27" ht="12.75" customHeight="1" x14ac:dyDescent="0.25">
      <c r="B464" s="48"/>
      <c r="C464" s="48"/>
      <c r="D464" s="48"/>
      <c r="E464" s="48"/>
      <c r="F464" s="48"/>
      <c r="G464" s="48"/>
      <c r="H464" s="48"/>
      <c r="I464" s="48"/>
      <c r="J464" s="48"/>
      <c r="K464" s="48"/>
      <c r="L464" s="48"/>
      <c r="M464" s="48"/>
      <c r="N464" s="48"/>
      <c r="O464" s="48"/>
      <c r="P464" s="48"/>
      <c r="Q464" s="48"/>
      <c r="R464" s="48"/>
      <c r="S464" s="48"/>
      <c r="T464" s="48"/>
      <c r="U464" s="48"/>
      <c r="V464" s="48"/>
      <c r="W464" s="48"/>
      <c r="X464" s="48"/>
      <c r="Y464" s="48"/>
      <c r="Z464" s="48"/>
      <c r="AA464" s="48"/>
    </row>
    <row r="465" spans="2:27" ht="12.75" customHeight="1" x14ac:dyDescent="0.25">
      <c r="B465" s="48"/>
      <c r="C465" s="48"/>
      <c r="D465" s="48"/>
      <c r="E465" s="48"/>
      <c r="F465" s="48"/>
      <c r="G465" s="48"/>
      <c r="H465" s="48"/>
      <c r="I465" s="48"/>
      <c r="J465" s="48"/>
      <c r="K465" s="48"/>
      <c r="L465" s="48"/>
      <c r="M465" s="48"/>
      <c r="N465" s="48"/>
      <c r="O465" s="48"/>
      <c r="P465" s="48"/>
      <c r="Q465" s="48"/>
      <c r="R465" s="48"/>
      <c r="S465" s="48"/>
      <c r="T465" s="48"/>
      <c r="U465" s="48"/>
      <c r="V465" s="48"/>
      <c r="W465" s="48"/>
      <c r="X465" s="48"/>
      <c r="Y465" s="48"/>
      <c r="Z465" s="48"/>
      <c r="AA465" s="48"/>
    </row>
    <row r="466" spans="2:27" ht="12.75" customHeight="1" x14ac:dyDescent="0.25">
      <c r="B466" s="48"/>
      <c r="C466" s="48"/>
      <c r="D466" s="48"/>
      <c r="E466" s="48"/>
      <c r="F466" s="48"/>
      <c r="G466" s="48"/>
      <c r="H466" s="48"/>
      <c r="I466" s="48"/>
      <c r="J466" s="48"/>
      <c r="K466" s="48"/>
      <c r="L466" s="48"/>
      <c r="M466" s="48"/>
      <c r="N466" s="48"/>
      <c r="O466" s="48"/>
      <c r="P466" s="48"/>
      <c r="Q466" s="48"/>
      <c r="R466" s="48"/>
      <c r="S466" s="48"/>
      <c r="T466" s="48"/>
      <c r="U466" s="48"/>
      <c r="V466" s="48"/>
      <c r="W466" s="48"/>
      <c r="X466" s="48"/>
      <c r="Y466" s="48"/>
      <c r="Z466" s="48"/>
      <c r="AA466" s="48"/>
    </row>
    <row r="467" spans="2:27" ht="12.75" customHeight="1" x14ac:dyDescent="0.25">
      <c r="B467" s="48"/>
      <c r="C467" s="48"/>
      <c r="D467" s="48"/>
      <c r="E467" s="48"/>
      <c r="F467" s="48"/>
      <c r="G467" s="48"/>
      <c r="H467" s="48"/>
      <c r="I467" s="48"/>
      <c r="J467" s="48"/>
      <c r="K467" s="48"/>
      <c r="L467" s="48"/>
      <c r="M467" s="48"/>
      <c r="N467" s="48"/>
      <c r="O467" s="48"/>
      <c r="P467" s="48"/>
      <c r="Q467" s="48"/>
      <c r="R467" s="48"/>
      <c r="S467" s="48"/>
      <c r="T467" s="48"/>
      <c r="U467" s="48"/>
      <c r="V467" s="48"/>
      <c r="W467" s="48"/>
      <c r="X467" s="48"/>
      <c r="Y467" s="48"/>
      <c r="Z467" s="48"/>
      <c r="AA467" s="48"/>
    </row>
    <row r="468" spans="2:27" ht="12.75" customHeight="1" x14ac:dyDescent="0.25">
      <c r="B468" s="48"/>
      <c r="C468" s="48"/>
      <c r="D468" s="48"/>
      <c r="E468" s="48"/>
      <c r="F468" s="48"/>
      <c r="G468" s="48"/>
      <c r="H468" s="48"/>
      <c r="I468" s="48"/>
      <c r="J468" s="48"/>
      <c r="K468" s="48"/>
      <c r="L468" s="48"/>
      <c r="M468" s="48"/>
      <c r="N468" s="48"/>
      <c r="O468" s="48"/>
      <c r="P468" s="48"/>
      <c r="Q468" s="48"/>
      <c r="R468" s="48"/>
      <c r="S468" s="48"/>
      <c r="T468" s="48"/>
      <c r="U468" s="48"/>
      <c r="V468" s="48"/>
      <c r="W468" s="48"/>
      <c r="X468" s="48"/>
      <c r="Y468" s="48"/>
      <c r="Z468" s="48"/>
      <c r="AA468" s="48"/>
    </row>
    <row r="469" spans="2:27" ht="12.75" customHeight="1" x14ac:dyDescent="0.25">
      <c r="B469" s="48"/>
      <c r="C469" s="48"/>
      <c r="D469" s="48"/>
      <c r="E469" s="48"/>
      <c r="F469" s="48"/>
      <c r="G469" s="48"/>
      <c r="H469" s="48"/>
      <c r="I469" s="48"/>
      <c r="J469" s="48"/>
      <c r="K469" s="48"/>
      <c r="L469" s="48"/>
      <c r="M469" s="48"/>
      <c r="N469" s="48"/>
      <c r="O469" s="48"/>
      <c r="P469" s="48"/>
      <c r="Q469" s="48"/>
      <c r="R469" s="48"/>
      <c r="S469" s="48"/>
      <c r="T469" s="48"/>
      <c r="U469" s="48"/>
      <c r="V469" s="48"/>
      <c r="W469" s="48"/>
      <c r="X469" s="48"/>
      <c r="Y469" s="48"/>
      <c r="Z469" s="48"/>
      <c r="AA469" s="48"/>
    </row>
    <row r="470" spans="2:27" ht="12.75" customHeight="1" x14ac:dyDescent="0.25">
      <c r="B470" s="48"/>
      <c r="C470" s="48"/>
      <c r="D470" s="48"/>
      <c r="E470" s="48"/>
      <c r="F470" s="48"/>
      <c r="G470" s="48"/>
      <c r="H470" s="48"/>
      <c r="I470" s="48"/>
      <c r="J470" s="48"/>
      <c r="K470" s="48"/>
      <c r="L470" s="48"/>
      <c r="M470" s="48"/>
      <c r="N470" s="48"/>
      <c r="O470" s="48"/>
      <c r="P470" s="48"/>
      <c r="Q470" s="48"/>
      <c r="R470" s="48"/>
      <c r="S470" s="48"/>
      <c r="T470" s="48"/>
      <c r="U470" s="48"/>
      <c r="V470" s="48"/>
      <c r="W470" s="48"/>
      <c r="X470" s="48"/>
      <c r="Y470" s="48"/>
      <c r="Z470" s="48"/>
      <c r="AA470" s="48"/>
    </row>
    <row r="471" spans="2:27" ht="12.75" customHeight="1" x14ac:dyDescent="0.25">
      <c r="B471" s="48"/>
      <c r="C471" s="48"/>
      <c r="D471" s="48"/>
      <c r="E471" s="48"/>
      <c r="F471" s="48"/>
      <c r="G471" s="48"/>
      <c r="H471" s="48"/>
      <c r="I471" s="48"/>
      <c r="J471" s="48"/>
      <c r="K471" s="48"/>
      <c r="L471" s="48"/>
      <c r="M471" s="48"/>
      <c r="N471" s="48"/>
      <c r="O471" s="48"/>
      <c r="P471" s="48"/>
      <c r="Q471" s="48"/>
      <c r="R471" s="48"/>
      <c r="S471" s="48"/>
      <c r="T471" s="48"/>
      <c r="U471" s="48"/>
      <c r="V471" s="48"/>
      <c r="W471" s="48"/>
      <c r="X471" s="48"/>
      <c r="Y471" s="48"/>
      <c r="Z471" s="48"/>
      <c r="AA471" s="48"/>
    </row>
    <row r="472" spans="2:27" ht="12.75" customHeight="1" x14ac:dyDescent="0.25">
      <c r="B472" s="48"/>
      <c r="C472" s="48"/>
      <c r="D472" s="48"/>
      <c r="E472" s="48"/>
      <c r="F472" s="48"/>
      <c r="G472" s="48"/>
      <c r="H472" s="48"/>
      <c r="I472" s="48"/>
      <c r="J472" s="48"/>
      <c r="K472" s="48"/>
      <c r="L472" s="48"/>
      <c r="M472" s="48"/>
      <c r="N472" s="48"/>
      <c r="O472" s="48"/>
      <c r="P472" s="48"/>
      <c r="Q472" s="48"/>
      <c r="R472" s="48"/>
      <c r="S472" s="48"/>
      <c r="T472" s="48"/>
      <c r="U472" s="48"/>
      <c r="V472" s="48"/>
      <c r="W472" s="48"/>
      <c r="X472" s="48"/>
      <c r="Y472" s="48"/>
      <c r="Z472" s="48"/>
      <c r="AA472" s="48"/>
    </row>
    <row r="473" spans="2:27" ht="12.75" customHeight="1" x14ac:dyDescent="0.25">
      <c r="B473" s="48"/>
      <c r="C473" s="48"/>
      <c r="D473" s="48"/>
      <c r="E473" s="48"/>
      <c r="F473" s="48"/>
      <c r="G473" s="48"/>
      <c r="H473" s="48"/>
      <c r="I473" s="48"/>
      <c r="J473" s="48"/>
      <c r="K473" s="48"/>
      <c r="L473" s="48"/>
      <c r="M473" s="48"/>
      <c r="N473" s="48"/>
      <c r="O473" s="48"/>
      <c r="P473" s="48"/>
      <c r="Q473" s="48"/>
      <c r="R473" s="48"/>
      <c r="S473" s="48"/>
      <c r="T473" s="48"/>
      <c r="U473" s="48"/>
      <c r="V473" s="48"/>
      <c r="W473" s="48"/>
      <c r="X473" s="48"/>
      <c r="Y473" s="48"/>
      <c r="Z473" s="48"/>
      <c r="AA473" s="48"/>
    </row>
    <row r="474" spans="2:27" ht="12.75" customHeight="1" x14ac:dyDescent="0.25">
      <c r="B474" s="48"/>
      <c r="C474" s="48"/>
      <c r="D474" s="48"/>
      <c r="E474" s="48"/>
      <c r="F474" s="48"/>
      <c r="G474" s="48"/>
      <c r="H474" s="48"/>
      <c r="I474" s="48"/>
      <c r="J474" s="48"/>
      <c r="K474" s="48"/>
      <c r="L474" s="48"/>
      <c r="M474" s="48"/>
      <c r="N474" s="48"/>
      <c r="O474" s="48"/>
      <c r="P474" s="48"/>
      <c r="Q474" s="48"/>
      <c r="R474" s="48"/>
      <c r="S474" s="48"/>
      <c r="T474" s="48"/>
      <c r="U474" s="48"/>
      <c r="V474" s="48"/>
      <c r="W474" s="48"/>
      <c r="X474" s="48"/>
      <c r="Y474" s="48"/>
      <c r="Z474" s="48"/>
      <c r="AA474" s="48"/>
    </row>
    <row r="475" spans="2:27" ht="12.75" customHeight="1" x14ac:dyDescent="0.25">
      <c r="B475" s="48"/>
      <c r="C475" s="48"/>
      <c r="D475" s="48"/>
      <c r="E475" s="48"/>
      <c r="F475" s="48"/>
      <c r="G475" s="48"/>
      <c r="H475" s="48"/>
      <c r="I475" s="48"/>
      <c r="J475" s="48"/>
      <c r="K475" s="48"/>
      <c r="L475" s="48"/>
      <c r="M475" s="48"/>
      <c r="N475" s="48"/>
      <c r="O475" s="48"/>
      <c r="P475" s="48"/>
      <c r="Q475" s="48"/>
      <c r="R475" s="48"/>
      <c r="S475" s="48"/>
      <c r="T475" s="48"/>
      <c r="U475" s="48"/>
      <c r="V475" s="48"/>
      <c r="W475" s="48"/>
      <c r="X475" s="48"/>
      <c r="Y475" s="48"/>
      <c r="Z475" s="48"/>
      <c r="AA475" s="48"/>
    </row>
    <row r="476" spans="2:27" ht="12.75" customHeight="1" x14ac:dyDescent="0.25">
      <c r="B476" s="48"/>
      <c r="C476" s="48"/>
      <c r="D476" s="48"/>
      <c r="E476" s="48"/>
      <c r="F476" s="48"/>
      <c r="G476" s="48"/>
      <c r="H476" s="48"/>
      <c r="I476" s="48"/>
      <c r="J476" s="48"/>
      <c r="K476" s="48"/>
      <c r="L476" s="48"/>
      <c r="M476" s="48"/>
      <c r="N476" s="48"/>
      <c r="O476" s="48"/>
      <c r="P476" s="48"/>
      <c r="Q476" s="48"/>
      <c r="R476" s="48"/>
      <c r="S476" s="48"/>
      <c r="T476" s="48"/>
      <c r="U476" s="48"/>
      <c r="V476" s="48"/>
      <c r="W476" s="48"/>
      <c r="X476" s="48"/>
      <c r="Y476" s="48"/>
      <c r="Z476" s="48"/>
      <c r="AA476" s="48"/>
    </row>
    <row r="477" spans="2:27" ht="12.75" customHeight="1" x14ac:dyDescent="0.25">
      <c r="B477" s="48"/>
      <c r="C477" s="48"/>
      <c r="D477" s="48"/>
      <c r="E477" s="48"/>
      <c r="F477" s="48"/>
      <c r="G477" s="48"/>
      <c r="H477" s="48"/>
      <c r="I477" s="48"/>
      <c r="J477" s="48"/>
      <c r="K477" s="48"/>
      <c r="L477" s="48"/>
      <c r="M477" s="48"/>
      <c r="N477" s="48"/>
      <c r="O477" s="48"/>
      <c r="P477" s="48"/>
      <c r="Q477" s="48"/>
      <c r="R477" s="48"/>
      <c r="S477" s="48"/>
      <c r="T477" s="48"/>
      <c r="U477" s="48"/>
      <c r="V477" s="48"/>
      <c r="W477" s="48"/>
      <c r="X477" s="48"/>
      <c r="Y477" s="48"/>
      <c r="Z477" s="48"/>
      <c r="AA477" s="48"/>
    </row>
    <row r="478" spans="2:27" ht="12.75" customHeight="1" x14ac:dyDescent="0.25">
      <c r="B478" s="48"/>
      <c r="C478" s="48"/>
      <c r="D478" s="48"/>
      <c r="E478" s="48"/>
      <c r="F478" s="48"/>
      <c r="G478" s="48"/>
      <c r="H478" s="48"/>
      <c r="I478" s="48"/>
      <c r="J478" s="48"/>
      <c r="K478" s="48"/>
      <c r="L478" s="48"/>
      <c r="M478" s="48"/>
      <c r="N478" s="48"/>
      <c r="O478" s="48"/>
      <c r="P478" s="48"/>
      <c r="Q478" s="48"/>
      <c r="R478" s="48"/>
      <c r="S478" s="48"/>
      <c r="T478" s="48"/>
      <c r="U478" s="48"/>
      <c r="V478" s="48"/>
      <c r="W478" s="48"/>
      <c r="X478" s="48"/>
      <c r="Y478" s="48"/>
      <c r="Z478" s="48"/>
      <c r="AA478" s="48"/>
    </row>
    <row r="479" spans="2:27" ht="12.75" customHeight="1" x14ac:dyDescent="0.25">
      <c r="B479" s="48"/>
      <c r="C479" s="48"/>
      <c r="D479" s="48"/>
      <c r="E479" s="48"/>
      <c r="F479" s="48"/>
      <c r="G479" s="48"/>
      <c r="H479" s="48"/>
      <c r="I479" s="48"/>
      <c r="J479" s="48"/>
      <c r="K479" s="48"/>
      <c r="L479" s="48"/>
      <c r="M479" s="48"/>
      <c r="N479" s="48"/>
      <c r="O479" s="48"/>
      <c r="P479" s="48"/>
      <c r="Q479" s="48"/>
      <c r="R479" s="48"/>
      <c r="S479" s="48"/>
      <c r="T479" s="48"/>
      <c r="U479" s="48"/>
      <c r="V479" s="48"/>
      <c r="W479" s="48"/>
      <c r="X479" s="48"/>
      <c r="Y479" s="48"/>
      <c r="Z479" s="48"/>
      <c r="AA479" s="48"/>
    </row>
    <row r="480" spans="2:27" ht="12.75" customHeight="1" x14ac:dyDescent="0.25">
      <c r="B480" s="48"/>
      <c r="C480" s="48"/>
      <c r="D480" s="48"/>
      <c r="E480" s="48"/>
      <c r="F480" s="48"/>
      <c r="G480" s="48"/>
      <c r="H480" s="48"/>
      <c r="I480" s="48"/>
      <c r="J480" s="48"/>
      <c r="K480" s="48"/>
      <c r="L480" s="48"/>
      <c r="M480" s="48"/>
      <c r="N480" s="48"/>
      <c r="O480" s="48"/>
      <c r="P480" s="48"/>
      <c r="Q480" s="48"/>
      <c r="R480" s="48"/>
      <c r="S480" s="48"/>
      <c r="T480" s="48"/>
      <c r="U480" s="48"/>
      <c r="V480" s="48"/>
      <c r="W480" s="48"/>
      <c r="X480" s="48"/>
      <c r="Y480" s="48"/>
      <c r="Z480" s="48"/>
      <c r="AA480" s="48"/>
    </row>
    <row r="481" spans="2:27" ht="12.75" customHeight="1" x14ac:dyDescent="0.25">
      <c r="B481" s="48"/>
      <c r="C481" s="48"/>
      <c r="D481" s="48"/>
      <c r="E481" s="48"/>
      <c r="F481" s="48"/>
      <c r="G481" s="48"/>
      <c r="H481" s="48"/>
      <c r="I481" s="48"/>
      <c r="J481" s="48"/>
      <c r="K481" s="48"/>
      <c r="L481" s="48"/>
      <c r="M481" s="48"/>
      <c r="N481" s="48"/>
      <c r="O481" s="48"/>
      <c r="P481" s="48"/>
      <c r="Q481" s="48"/>
      <c r="R481" s="48"/>
      <c r="S481" s="48"/>
      <c r="T481" s="48"/>
      <c r="U481" s="48"/>
      <c r="V481" s="48"/>
      <c r="W481" s="48"/>
      <c r="X481" s="48"/>
      <c r="Y481" s="48"/>
      <c r="Z481" s="48"/>
      <c r="AA481" s="48"/>
    </row>
    <row r="482" spans="2:27" ht="12.75" customHeight="1" x14ac:dyDescent="0.25">
      <c r="B482" s="48"/>
      <c r="C482" s="48"/>
      <c r="D482" s="48"/>
      <c r="E482" s="48"/>
      <c r="F482" s="48"/>
      <c r="G482" s="48"/>
      <c r="H482" s="48"/>
      <c r="I482" s="48"/>
      <c r="J482" s="48"/>
      <c r="K482" s="48"/>
      <c r="L482" s="48"/>
      <c r="M482" s="48"/>
      <c r="N482" s="48"/>
      <c r="O482" s="48"/>
      <c r="P482" s="48"/>
      <c r="Q482" s="48"/>
      <c r="R482" s="48"/>
      <c r="S482" s="48"/>
      <c r="T482" s="48"/>
      <c r="U482" s="48"/>
      <c r="V482" s="48"/>
      <c r="W482" s="48"/>
      <c r="X482" s="48"/>
      <c r="Y482" s="48"/>
      <c r="Z482" s="48"/>
      <c r="AA482" s="48"/>
    </row>
    <row r="483" spans="2:27" ht="12.75" customHeight="1" x14ac:dyDescent="0.25">
      <c r="B483" s="48"/>
      <c r="C483" s="48"/>
      <c r="D483" s="48"/>
      <c r="E483" s="48"/>
      <c r="F483" s="48"/>
      <c r="G483" s="48"/>
      <c r="H483" s="48"/>
      <c r="I483" s="48"/>
      <c r="J483" s="48"/>
      <c r="K483" s="48"/>
      <c r="L483" s="48"/>
      <c r="M483" s="48"/>
      <c r="N483" s="48"/>
      <c r="O483" s="48"/>
      <c r="P483" s="48"/>
      <c r="Q483" s="48"/>
      <c r="R483" s="48"/>
      <c r="S483" s="48"/>
      <c r="T483" s="48"/>
      <c r="U483" s="48"/>
      <c r="V483" s="48"/>
      <c r="W483" s="48"/>
      <c r="X483" s="48"/>
      <c r="Y483" s="48"/>
      <c r="Z483" s="48"/>
      <c r="AA483" s="48"/>
    </row>
    <row r="484" spans="2:27" ht="12.75" customHeight="1" x14ac:dyDescent="0.25">
      <c r="B484" s="48"/>
      <c r="C484" s="48"/>
      <c r="D484" s="48"/>
      <c r="E484" s="48"/>
      <c r="F484" s="48"/>
      <c r="G484" s="48"/>
      <c r="H484" s="48"/>
      <c r="I484" s="48"/>
      <c r="J484" s="48"/>
      <c r="K484" s="48"/>
      <c r="L484" s="48"/>
      <c r="M484" s="48"/>
      <c r="N484" s="48"/>
      <c r="O484" s="48"/>
      <c r="P484" s="48"/>
      <c r="Q484" s="48"/>
      <c r="R484" s="48"/>
      <c r="S484" s="48"/>
      <c r="T484" s="48"/>
      <c r="U484" s="48"/>
      <c r="V484" s="48"/>
      <c r="W484" s="48"/>
      <c r="X484" s="48"/>
      <c r="Y484" s="48"/>
      <c r="Z484" s="48"/>
      <c r="AA484" s="48"/>
    </row>
    <row r="485" spans="2:27" ht="12.75" customHeight="1" x14ac:dyDescent="0.25">
      <c r="B485" s="48"/>
      <c r="C485" s="48"/>
      <c r="D485" s="48"/>
      <c r="E485" s="48"/>
      <c r="F485" s="48"/>
      <c r="G485" s="48"/>
      <c r="H485" s="48"/>
      <c r="I485" s="48"/>
      <c r="J485" s="48"/>
      <c r="K485" s="48"/>
      <c r="L485" s="48"/>
      <c r="M485" s="48"/>
      <c r="N485" s="48"/>
      <c r="O485" s="48"/>
      <c r="P485" s="48"/>
      <c r="Q485" s="48"/>
      <c r="R485" s="48"/>
      <c r="S485" s="48"/>
      <c r="T485" s="48"/>
      <c r="U485" s="48"/>
      <c r="V485" s="48"/>
      <c r="W485" s="48"/>
      <c r="X485" s="48"/>
      <c r="Y485" s="48"/>
      <c r="Z485" s="48"/>
      <c r="AA485" s="48"/>
    </row>
    <row r="486" spans="2:27" ht="12.75" customHeight="1" x14ac:dyDescent="0.25">
      <c r="B486" s="48"/>
      <c r="C486" s="48"/>
      <c r="D486" s="48"/>
      <c r="E486" s="48"/>
      <c r="F486" s="48"/>
      <c r="G486" s="48"/>
      <c r="H486" s="48"/>
      <c r="I486" s="48"/>
      <c r="J486" s="48"/>
      <c r="K486" s="48"/>
      <c r="L486" s="48"/>
      <c r="M486" s="48"/>
      <c r="N486" s="48"/>
      <c r="O486" s="48"/>
      <c r="P486" s="48"/>
      <c r="Q486" s="48"/>
      <c r="R486" s="48"/>
      <c r="S486" s="48"/>
      <c r="T486" s="48"/>
      <c r="U486" s="48"/>
      <c r="V486" s="48"/>
      <c r="W486" s="48"/>
      <c r="X486" s="48"/>
      <c r="Y486" s="48"/>
      <c r="Z486" s="48"/>
      <c r="AA486" s="48"/>
    </row>
    <row r="487" spans="2:27" ht="12.75" customHeight="1" x14ac:dyDescent="0.25">
      <c r="B487" s="48"/>
      <c r="C487" s="48"/>
      <c r="D487" s="48"/>
      <c r="E487" s="48"/>
      <c r="F487" s="48"/>
      <c r="G487" s="48"/>
      <c r="H487" s="48"/>
      <c r="I487" s="48"/>
      <c r="J487" s="48"/>
      <c r="K487" s="48"/>
      <c r="L487" s="48"/>
      <c r="M487" s="48"/>
      <c r="N487" s="48"/>
      <c r="O487" s="48"/>
      <c r="P487" s="48"/>
      <c r="Q487" s="48"/>
      <c r="R487" s="48"/>
      <c r="S487" s="48"/>
      <c r="T487" s="48"/>
      <c r="U487" s="48"/>
      <c r="V487" s="48"/>
      <c r="W487" s="48"/>
      <c r="X487" s="48"/>
      <c r="Y487" s="48"/>
      <c r="Z487" s="48"/>
      <c r="AA487" s="48"/>
    </row>
    <row r="488" spans="2:27" ht="12.75" customHeight="1" x14ac:dyDescent="0.25">
      <c r="B488" s="48"/>
      <c r="C488" s="48"/>
      <c r="D488" s="48"/>
      <c r="E488" s="48"/>
      <c r="F488" s="48"/>
      <c r="G488" s="48"/>
      <c r="H488" s="48"/>
      <c r="I488" s="48"/>
      <c r="J488" s="48"/>
      <c r="K488" s="48"/>
      <c r="L488" s="48"/>
      <c r="M488" s="48"/>
      <c r="N488" s="48"/>
      <c r="O488" s="48"/>
      <c r="P488" s="48"/>
      <c r="Q488" s="48"/>
      <c r="R488" s="48"/>
      <c r="S488" s="48"/>
      <c r="T488" s="48"/>
      <c r="U488" s="48"/>
      <c r="V488" s="48"/>
      <c r="W488" s="48"/>
      <c r="X488" s="48"/>
      <c r="Y488" s="48"/>
      <c r="Z488" s="48"/>
      <c r="AA488" s="48"/>
    </row>
    <row r="489" spans="2:27" ht="12.75" customHeight="1" x14ac:dyDescent="0.25">
      <c r="B489" s="48"/>
      <c r="C489" s="48"/>
      <c r="D489" s="48"/>
      <c r="E489" s="48"/>
      <c r="F489" s="48"/>
      <c r="G489" s="48"/>
      <c r="H489" s="48"/>
      <c r="I489" s="48"/>
      <c r="J489" s="48"/>
      <c r="K489" s="48"/>
      <c r="L489" s="48"/>
      <c r="M489" s="48"/>
      <c r="N489" s="48"/>
      <c r="O489" s="48"/>
      <c r="P489" s="48"/>
      <c r="Q489" s="48"/>
      <c r="R489" s="48"/>
      <c r="S489" s="48"/>
      <c r="T489" s="48"/>
      <c r="U489" s="48"/>
      <c r="V489" s="48"/>
      <c r="W489" s="48"/>
      <c r="X489" s="48"/>
      <c r="Y489" s="48"/>
      <c r="Z489" s="48"/>
      <c r="AA489" s="48"/>
    </row>
    <row r="490" spans="2:27" ht="12.75" customHeight="1" x14ac:dyDescent="0.25">
      <c r="B490" s="48"/>
      <c r="C490" s="48"/>
      <c r="D490" s="48"/>
      <c r="E490" s="48"/>
      <c r="F490" s="48"/>
      <c r="G490" s="48"/>
      <c r="H490" s="48"/>
      <c r="I490" s="48"/>
      <c r="J490" s="48"/>
      <c r="K490" s="48"/>
      <c r="L490" s="48"/>
      <c r="M490" s="48"/>
      <c r="N490" s="48"/>
      <c r="O490" s="48"/>
      <c r="P490" s="48"/>
      <c r="Q490" s="48"/>
      <c r="R490" s="48"/>
      <c r="S490" s="48"/>
      <c r="T490" s="48"/>
      <c r="U490" s="48"/>
      <c r="V490" s="48"/>
      <c r="W490" s="48"/>
      <c r="X490" s="48"/>
      <c r="Y490" s="48"/>
      <c r="Z490" s="48"/>
      <c r="AA490" s="48"/>
    </row>
    <row r="491" spans="2:27" ht="12.75" customHeight="1" x14ac:dyDescent="0.25">
      <c r="B491" s="48"/>
      <c r="C491" s="48"/>
      <c r="D491" s="48"/>
      <c r="E491" s="48"/>
      <c r="F491" s="48"/>
      <c r="G491" s="48"/>
      <c r="H491" s="48"/>
      <c r="I491" s="48"/>
      <c r="J491" s="48"/>
      <c r="K491" s="48"/>
      <c r="L491" s="48"/>
      <c r="M491" s="48"/>
      <c r="N491" s="48"/>
      <c r="O491" s="48"/>
      <c r="P491" s="48"/>
      <c r="Q491" s="48"/>
      <c r="R491" s="48"/>
      <c r="S491" s="48"/>
      <c r="T491" s="48"/>
      <c r="U491" s="48"/>
      <c r="V491" s="48"/>
      <c r="W491" s="48"/>
      <c r="X491" s="48"/>
      <c r="Y491" s="48"/>
      <c r="Z491" s="48"/>
      <c r="AA491" s="48"/>
    </row>
    <row r="492" spans="2:27" ht="12.75" customHeight="1" x14ac:dyDescent="0.25">
      <c r="B492" s="48"/>
      <c r="C492" s="48"/>
      <c r="D492" s="48"/>
      <c r="E492" s="48"/>
      <c r="F492" s="48"/>
      <c r="G492" s="48"/>
      <c r="H492" s="48"/>
      <c r="I492" s="48"/>
      <c r="J492" s="48"/>
      <c r="K492" s="48"/>
      <c r="L492" s="48"/>
      <c r="M492" s="48"/>
      <c r="N492" s="48"/>
      <c r="O492" s="48"/>
      <c r="P492" s="48"/>
      <c r="Q492" s="48"/>
      <c r="R492" s="48"/>
      <c r="S492" s="48"/>
      <c r="T492" s="48"/>
      <c r="U492" s="48"/>
      <c r="V492" s="48"/>
      <c r="W492" s="48"/>
      <c r="X492" s="48"/>
      <c r="Y492" s="48"/>
      <c r="Z492" s="48"/>
      <c r="AA492" s="48"/>
    </row>
    <row r="493" spans="2:27" ht="12.75" customHeight="1" x14ac:dyDescent="0.25">
      <c r="B493" s="48"/>
      <c r="C493" s="48"/>
      <c r="D493" s="48"/>
      <c r="E493" s="48"/>
      <c r="F493" s="48"/>
      <c r="G493" s="48"/>
      <c r="H493" s="48"/>
      <c r="I493" s="48"/>
      <c r="J493" s="48"/>
      <c r="K493" s="48"/>
      <c r="L493" s="48"/>
      <c r="M493" s="48"/>
      <c r="N493" s="48"/>
      <c r="O493" s="48"/>
      <c r="P493" s="48"/>
      <c r="Q493" s="48"/>
      <c r="R493" s="48"/>
      <c r="S493" s="48"/>
      <c r="T493" s="48"/>
      <c r="U493" s="48"/>
      <c r="V493" s="48"/>
      <c r="W493" s="48"/>
      <c r="X493" s="48"/>
      <c r="Y493" s="48"/>
      <c r="Z493" s="48"/>
      <c r="AA493" s="48"/>
    </row>
    <row r="494" spans="2:27" ht="12.75" customHeight="1" x14ac:dyDescent="0.25">
      <c r="B494" s="48"/>
      <c r="C494" s="48"/>
      <c r="D494" s="48"/>
      <c r="E494" s="48"/>
      <c r="F494" s="48"/>
      <c r="G494" s="48"/>
      <c r="H494" s="48"/>
      <c r="I494" s="48"/>
      <c r="J494" s="48"/>
      <c r="K494" s="48"/>
      <c r="L494" s="48"/>
      <c r="M494" s="48"/>
      <c r="N494" s="48"/>
      <c r="O494" s="48"/>
      <c r="P494" s="48"/>
      <c r="Q494" s="48"/>
      <c r="R494" s="48"/>
      <c r="S494" s="48"/>
      <c r="T494" s="48"/>
      <c r="U494" s="48"/>
      <c r="V494" s="48"/>
      <c r="W494" s="48"/>
      <c r="X494" s="48"/>
      <c r="Y494" s="48"/>
      <c r="Z494" s="48"/>
      <c r="AA494" s="48"/>
    </row>
    <row r="495" spans="2:27" ht="12.75" customHeight="1" x14ac:dyDescent="0.25">
      <c r="B495" s="48"/>
      <c r="C495" s="48"/>
      <c r="D495" s="48"/>
      <c r="E495" s="48"/>
      <c r="F495" s="48"/>
      <c r="G495" s="48"/>
      <c r="H495" s="48"/>
      <c r="I495" s="48"/>
      <c r="J495" s="48"/>
      <c r="K495" s="48"/>
      <c r="L495" s="48"/>
      <c r="M495" s="48"/>
      <c r="N495" s="48"/>
      <c r="O495" s="48"/>
      <c r="P495" s="48"/>
      <c r="Q495" s="48"/>
      <c r="R495" s="48"/>
      <c r="S495" s="48"/>
      <c r="T495" s="48"/>
      <c r="U495" s="48"/>
      <c r="V495" s="48"/>
      <c r="W495" s="48"/>
      <c r="X495" s="48"/>
      <c r="Y495" s="48"/>
      <c r="Z495" s="48"/>
      <c r="AA495" s="48"/>
    </row>
    <row r="496" spans="2:27" ht="12.75" customHeight="1" x14ac:dyDescent="0.25">
      <c r="B496" s="48"/>
      <c r="C496" s="48"/>
      <c r="D496" s="48"/>
      <c r="E496" s="48"/>
      <c r="F496" s="48"/>
      <c r="G496" s="48"/>
      <c r="H496" s="48"/>
      <c r="I496" s="48"/>
      <c r="J496" s="48"/>
      <c r="K496" s="48"/>
      <c r="L496" s="48"/>
      <c r="M496" s="48"/>
      <c r="N496" s="48"/>
      <c r="O496" s="48"/>
      <c r="P496" s="48"/>
      <c r="Q496" s="48"/>
      <c r="R496" s="48"/>
      <c r="S496" s="48"/>
      <c r="T496" s="48"/>
      <c r="U496" s="48"/>
      <c r="V496" s="48"/>
      <c r="W496" s="48"/>
      <c r="X496" s="48"/>
      <c r="Y496" s="48"/>
      <c r="Z496" s="48"/>
      <c r="AA496" s="48"/>
    </row>
    <row r="497" spans="2:27" ht="12.75" customHeight="1" x14ac:dyDescent="0.25">
      <c r="B497" s="48"/>
      <c r="C497" s="48"/>
      <c r="D497" s="48"/>
      <c r="E497" s="48"/>
      <c r="F497" s="48"/>
      <c r="G497" s="48"/>
      <c r="H497" s="48"/>
      <c r="I497" s="48"/>
      <c r="J497" s="48"/>
      <c r="K497" s="48"/>
      <c r="L497" s="48"/>
      <c r="M497" s="48"/>
      <c r="N497" s="48"/>
      <c r="O497" s="48"/>
      <c r="P497" s="48"/>
      <c r="Q497" s="48"/>
      <c r="R497" s="48"/>
      <c r="S497" s="48"/>
      <c r="T497" s="48"/>
      <c r="U497" s="48"/>
      <c r="V497" s="48"/>
      <c r="W497" s="48"/>
      <c r="X497" s="48"/>
      <c r="Y497" s="48"/>
      <c r="Z497" s="48"/>
      <c r="AA497" s="48"/>
    </row>
    <row r="498" spans="2:27" ht="12.75" customHeight="1" x14ac:dyDescent="0.25">
      <c r="B498" s="48"/>
      <c r="C498" s="48"/>
      <c r="D498" s="48"/>
      <c r="E498" s="48"/>
      <c r="F498" s="48"/>
      <c r="G498" s="48"/>
      <c r="H498" s="48"/>
      <c r="I498" s="48"/>
      <c r="J498" s="48"/>
      <c r="K498" s="48"/>
      <c r="L498" s="48"/>
      <c r="M498" s="48"/>
      <c r="N498" s="48"/>
      <c r="O498" s="48"/>
      <c r="P498" s="48"/>
      <c r="Q498" s="48"/>
      <c r="R498" s="48"/>
      <c r="S498" s="48"/>
      <c r="T498" s="48"/>
      <c r="U498" s="48"/>
      <c r="V498" s="48"/>
      <c r="W498" s="48"/>
      <c r="X498" s="48"/>
      <c r="Y498" s="48"/>
      <c r="Z498" s="48"/>
      <c r="AA498" s="48"/>
    </row>
    <row r="499" spans="2:27" ht="12.75" customHeight="1" x14ac:dyDescent="0.25">
      <c r="B499" s="48"/>
      <c r="C499" s="48"/>
      <c r="D499" s="48"/>
      <c r="E499" s="48"/>
      <c r="F499" s="48"/>
      <c r="G499" s="48"/>
      <c r="H499" s="48"/>
      <c r="I499" s="48"/>
      <c r="J499" s="48"/>
      <c r="K499" s="48"/>
      <c r="L499" s="48"/>
      <c r="M499" s="48"/>
      <c r="N499" s="48"/>
      <c r="O499" s="48"/>
      <c r="P499" s="48"/>
      <c r="Q499" s="48"/>
      <c r="R499" s="48"/>
      <c r="S499" s="48"/>
      <c r="T499" s="48"/>
      <c r="U499" s="48"/>
      <c r="V499" s="48"/>
      <c r="W499" s="48"/>
      <c r="X499" s="48"/>
      <c r="Y499" s="48"/>
      <c r="Z499" s="48"/>
      <c r="AA499" s="48"/>
    </row>
    <row r="500" spans="2:27" ht="12.75" customHeight="1" x14ac:dyDescent="0.25">
      <c r="B500" s="48"/>
      <c r="C500" s="48"/>
      <c r="D500" s="48"/>
      <c r="E500" s="48"/>
      <c r="F500" s="48"/>
      <c r="G500" s="48"/>
      <c r="H500" s="48"/>
      <c r="I500" s="48"/>
      <c r="J500" s="48"/>
      <c r="K500" s="48"/>
      <c r="L500" s="48"/>
      <c r="M500" s="48"/>
      <c r="N500" s="48"/>
      <c r="O500" s="48"/>
      <c r="P500" s="48"/>
      <c r="Q500" s="48"/>
      <c r="R500" s="48"/>
      <c r="S500" s="48"/>
      <c r="T500" s="48"/>
      <c r="U500" s="48"/>
      <c r="V500" s="48"/>
      <c r="W500" s="48"/>
      <c r="X500" s="48"/>
      <c r="Y500" s="48"/>
      <c r="Z500" s="48"/>
      <c r="AA500" s="48"/>
    </row>
    <row r="501" spans="2:27" ht="12.75" customHeight="1" x14ac:dyDescent="0.25">
      <c r="B501" s="48"/>
      <c r="C501" s="48"/>
      <c r="D501" s="48"/>
      <c r="E501" s="48"/>
      <c r="F501" s="48"/>
      <c r="G501" s="48"/>
      <c r="H501" s="48"/>
      <c r="I501" s="48"/>
      <c r="J501" s="48"/>
      <c r="K501" s="48"/>
      <c r="L501" s="48"/>
      <c r="M501" s="48"/>
      <c r="N501" s="48"/>
      <c r="O501" s="48"/>
      <c r="P501" s="48"/>
      <c r="Q501" s="48"/>
      <c r="R501" s="48"/>
      <c r="S501" s="48"/>
      <c r="T501" s="48"/>
      <c r="U501" s="48"/>
      <c r="V501" s="48"/>
      <c r="W501" s="48"/>
      <c r="X501" s="48"/>
      <c r="Y501" s="48"/>
      <c r="Z501" s="48"/>
      <c r="AA501" s="48"/>
    </row>
    <row r="502" spans="2:27" ht="12.75" customHeight="1" x14ac:dyDescent="0.25">
      <c r="B502" s="48"/>
      <c r="C502" s="48"/>
      <c r="D502" s="48"/>
      <c r="E502" s="48"/>
      <c r="F502" s="48"/>
      <c r="G502" s="48"/>
      <c r="H502" s="48"/>
      <c r="I502" s="48"/>
      <c r="J502" s="48"/>
      <c r="K502" s="48"/>
      <c r="L502" s="48"/>
      <c r="M502" s="48"/>
      <c r="N502" s="48"/>
      <c r="O502" s="48"/>
      <c r="P502" s="48"/>
      <c r="Q502" s="48"/>
      <c r="R502" s="48"/>
      <c r="S502" s="48"/>
      <c r="T502" s="48"/>
      <c r="U502" s="48"/>
      <c r="V502" s="48"/>
      <c r="W502" s="48"/>
      <c r="X502" s="48"/>
      <c r="Y502" s="48"/>
      <c r="Z502" s="48"/>
      <c r="AA502" s="48"/>
    </row>
    <row r="503" spans="2:27" ht="12.75" customHeight="1" x14ac:dyDescent="0.25">
      <c r="B503" s="48"/>
      <c r="C503" s="48"/>
      <c r="D503" s="48"/>
      <c r="E503" s="48"/>
      <c r="F503" s="48"/>
      <c r="G503" s="48"/>
      <c r="H503" s="48"/>
      <c r="I503" s="48"/>
      <c r="J503" s="48"/>
      <c r="K503" s="48"/>
      <c r="L503" s="48"/>
      <c r="M503" s="48"/>
      <c r="N503" s="48"/>
      <c r="O503" s="48"/>
      <c r="P503" s="48"/>
      <c r="Q503" s="48"/>
      <c r="R503" s="48"/>
      <c r="S503" s="48"/>
      <c r="T503" s="48"/>
      <c r="U503" s="48"/>
      <c r="V503" s="48"/>
      <c r="W503" s="48"/>
      <c r="X503" s="48"/>
      <c r="Y503" s="48"/>
      <c r="Z503" s="48"/>
      <c r="AA503" s="48"/>
    </row>
    <row r="504" spans="2:27" ht="12.75" customHeight="1" x14ac:dyDescent="0.25">
      <c r="B504" s="48"/>
      <c r="C504" s="48"/>
      <c r="D504" s="48"/>
      <c r="E504" s="48"/>
      <c r="F504" s="48"/>
      <c r="G504" s="48"/>
      <c r="H504" s="48"/>
      <c r="I504" s="48"/>
      <c r="J504" s="48"/>
      <c r="K504" s="48"/>
      <c r="L504" s="48"/>
      <c r="M504" s="48"/>
      <c r="N504" s="48"/>
      <c r="O504" s="48"/>
      <c r="P504" s="48"/>
      <c r="Q504" s="48"/>
      <c r="R504" s="48"/>
      <c r="S504" s="48"/>
      <c r="T504" s="48"/>
      <c r="U504" s="48"/>
      <c r="V504" s="48"/>
      <c r="W504" s="48"/>
      <c r="X504" s="48"/>
      <c r="Y504" s="48"/>
      <c r="Z504" s="48"/>
      <c r="AA504" s="48"/>
    </row>
    <row r="505" spans="2:27" ht="12.75" customHeight="1" x14ac:dyDescent="0.25">
      <c r="B505" s="48"/>
      <c r="C505" s="48"/>
      <c r="D505" s="48"/>
      <c r="E505" s="48"/>
      <c r="F505" s="48"/>
      <c r="G505" s="48"/>
      <c r="H505" s="48"/>
      <c r="I505" s="48"/>
      <c r="J505" s="48"/>
      <c r="K505" s="48"/>
      <c r="L505" s="48"/>
      <c r="M505" s="48"/>
      <c r="N505" s="48"/>
      <c r="O505" s="48"/>
      <c r="P505" s="48"/>
      <c r="Q505" s="48"/>
      <c r="R505" s="48"/>
      <c r="S505" s="48"/>
      <c r="T505" s="48"/>
      <c r="U505" s="48"/>
      <c r="V505" s="48"/>
      <c r="W505" s="48"/>
      <c r="X505" s="48"/>
      <c r="Y505" s="48"/>
      <c r="Z505" s="48"/>
      <c r="AA505" s="48"/>
    </row>
    <row r="506" spans="2:27" ht="12.75" customHeight="1" x14ac:dyDescent="0.25">
      <c r="B506" s="48"/>
      <c r="C506" s="48"/>
      <c r="D506" s="48"/>
      <c r="E506" s="48"/>
      <c r="F506" s="48"/>
      <c r="G506" s="48"/>
      <c r="H506" s="48"/>
      <c r="I506" s="48"/>
      <c r="J506" s="48"/>
      <c r="K506" s="48"/>
      <c r="L506" s="48"/>
      <c r="M506" s="48"/>
      <c r="N506" s="48"/>
      <c r="O506" s="48"/>
      <c r="P506" s="48"/>
      <c r="Q506" s="48"/>
      <c r="R506" s="48"/>
      <c r="S506" s="48"/>
      <c r="T506" s="48"/>
      <c r="U506" s="48"/>
      <c r="V506" s="48"/>
      <c r="W506" s="48"/>
      <c r="X506" s="48"/>
      <c r="Y506" s="48"/>
      <c r="Z506" s="48"/>
      <c r="AA506" s="48"/>
    </row>
    <row r="507" spans="2:27" ht="12.75" customHeight="1" x14ac:dyDescent="0.25">
      <c r="B507" s="48"/>
      <c r="C507" s="48"/>
      <c r="D507" s="48"/>
      <c r="E507" s="48"/>
      <c r="F507" s="48"/>
      <c r="G507" s="48"/>
      <c r="H507" s="48"/>
      <c r="I507" s="48"/>
      <c r="J507" s="48"/>
      <c r="K507" s="48"/>
      <c r="L507" s="48"/>
      <c r="M507" s="48"/>
      <c r="N507" s="48"/>
      <c r="O507" s="48"/>
      <c r="P507" s="48"/>
      <c r="Q507" s="48"/>
      <c r="R507" s="48"/>
      <c r="S507" s="48"/>
      <c r="T507" s="48"/>
      <c r="U507" s="48"/>
      <c r="V507" s="48"/>
      <c r="W507" s="48"/>
      <c r="X507" s="48"/>
      <c r="Y507" s="48"/>
      <c r="Z507" s="48"/>
      <c r="AA507" s="48"/>
    </row>
    <row r="508" spans="2:27" ht="12.75" customHeight="1" x14ac:dyDescent="0.25">
      <c r="B508" s="48"/>
      <c r="C508" s="48"/>
      <c r="D508" s="48"/>
      <c r="E508" s="48"/>
      <c r="F508" s="48"/>
      <c r="G508" s="48"/>
      <c r="H508" s="48"/>
      <c r="I508" s="48"/>
      <c r="J508" s="48"/>
      <c r="K508" s="48"/>
      <c r="L508" s="48"/>
      <c r="M508" s="48"/>
      <c r="N508" s="48"/>
      <c r="O508" s="48"/>
      <c r="P508" s="48"/>
      <c r="Q508" s="48"/>
      <c r="R508" s="48"/>
      <c r="S508" s="48"/>
      <c r="T508" s="48"/>
      <c r="U508" s="48"/>
      <c r="V508" s="48"/>
      <c r="W508" s="48"/>
      <c r="X508" s="48"/>
      <c r="Y508" s="48"/>
      <c r="Z508" s="48"/>
      <c r="AA508" s="48"/>
    </row>
    <row r="509" spans="2:27" ht="12.75" customHeight="1" x14ac:dyDescent="0.25">
      <c r="B509" s="48"/>
      <c r="C509" s="48"/>
      <c r="D509" s="48"/>
      <c r="E509" s="48"/>
      <c r="F509" s="48"/>
      <c r="G509" s="48"/>
      <c r="H509" s="48"/>
      <c r="I509" s="48"/>
      <c r="J509" s="48"/>
      <c r="K509" s="48"/>
      <c r="L509" s="48"/>
      <c r="M509" s="48"/>
      <c r="N509" s="48"/>
      <c r="O509" s="48"/>
      <c r="P509" s="48"/>
      <c r="Q509" s="48"/>
      <c r="R509" s="48"/>
      <c r="S509" s="48"/>
      <c r="T509" s="48"/>
      <c r="U509" s="48"/>
      <c r="V509" s="48"/>
      <c r="W509" s="48"/>
      <c r="X509" s="48"/>
      <c r="Y509" s="48"/>
      <c r="Z509" s="48"/>
      <c r="AA509" s="48"/>
    </row>
    <row r="510" spans="2:27" ht="12.75" customHeight="1" x14ac:dyDescent="0.25">
      <c r="B510" s="48"/>
      <c r="C510" s="48"/>
      <c r="D510" s="48"/>
      <c r="E510" s="48"/>
      <c r="F510" s="48"/>
      <c r="G510" s="48"/>
      <c r="H510" s="48"/>
      <c r="I510" s="48"/>
      <c r="J510" s="48"/>
      <c r="K510" s="48"/>
      <c r="L510" s="48"/>
      <c r="M510" s="48"/>
      <c r="N510" s="48"/>
      <c r="O510" s="48"/>
      <c r="P510" s="48"/>
      <c r="Q510" s="48"/>
      <c r="R510" s="48"/>
      <c r="S510" s="48"/>
      <c r="T510" s="48"/>
      <c r="U510" s="48"/>
      <c r="V510" s="48"/>
      <c r="W510" s="48"/>
      <c r="X510" s="48"/>
      <c r="Y510" s="48"/>
      <c r="Z510" s="48"/>
      <c r="AA510" s="48"/>
    </row>
    <row r="511" spans="2:27" ht="12.75" customHeight="1" x14ac:dyDescent="0.25">
      <c r="B511" s="48"/>
      <c r="C511" s="48"/>
      <c r="D511" s="48"/>
      <c r="E511" s="48"/>
      <c r="F511" s="48"/>
      <c r="G511" s="48"/>
      <c r="H511" s="48"/>
      <c r="I511" s="48"/>
      <c r="J511" s="48"/>
      <c r="K511" s="48"/>
      <c r="L511" s="48"/>
      <c r="M511" s="48"/>
      <c r="N511" s="48"/>
      <c r="O511" s="48"/>
      <c r="P511" s="48"/>
      <c r="Q511" s="48"/>
      <c r="R511" s="48"/>
      <c r="S511" s="48"/>
      <c r="T511" s="48"/>
      <c r="U511" s="48"/>
      <c r="V511" s="48"/>
      <c r="W511" s="48"/>
      <c r="X511" s="48"/>
      <c r="Y511" s="48"/>
      <c r="Z511" s="48"/>
      <c r="AA511" s="48"/>
    </row>
    <row r="512" spans="2:27" ht="12.75" customHeight="1" x14ac:dyDescent="0.25">
      <c r="B512" s="48"/>
      <c r="C512" s="48"/>
      <c r="D512" s="48"/>
      <c r="E512" s="48"/>
      <c r="F512" s="48"/>
      <c r="G512" s="48"/>
      <c r="H512" s="48"/>
      <c r="I512" s="48"/>
      <c r="J512" s="48"/>
      <c r="K512" s="48"/>
      <c r="L512" s="48"/>
      <c r="M512" s="48"/>
      <c r="N512" s="48"/>
      <c r="O512" s="48"/>
      <c r="P512" s="48"/>
      <c r="Q512" s="48"/>
      <c r="R512" s="48"/>
      <c r="S512" s="48"/>
      <c r="T512" s="48"/>
      <c r="U512" s="48"/>
      <c r="V512" s="48"/>
      <c r="W512" s="48"/>
      <c r="X512" s="48"/>
      <c r="Y512" s="48"/>
      <c r="Z512" s="48"/>
      <c r="AA512" s="48"/>
    </row>
    <row r="513" spans="2:27" ht="12.75" customHeight="1" x14ac:dyDescent="0.25">
      <c r="B513" s="48"/>
      <c r="C513" s="48"/>
      <c r="D513" s="48"/>
      <c r="E513" s="48"/>
      <c r="F513" s="48"/>
      <c r="G513" s="48"/>
      <c r="H513" s="48"/>
      <c r="I513" s="48"/>
      <c r="J513" s="48"/>
      <c r="K513" s="48"/>
      <c r="L513" s="48"/>
      <c r="M513" s="48"/>
      <c r="N513" s="48"/>
      <c r="O513" s="48"/>
      <c r="P513" s="48"/>
      <c r="Q513" s="48"/>
      <c r="R513" s="48"/>
      <c r="S513" s="48"/>
      <c r="T513" s="48"/>
      <c r="U513" s="48"/>
      <c r="V513" s="48"/>
      <c r="W513" s="48"/>
      <c r="X513" s="48"/>
      <c r="Y513" s="48"/>
      <c r="Z513" s="48"/>
      <c r="AA513" s="48"/>
    </row>
    <row r="514" spans="2:27" ht="12.75" customHeight="1" x14ac:dyDescent="0.25">
      <c r="B514" s="48"/>
      <c r="C514" s="48"/>
      <c r="D514" s="48"/>
      <c r="E514" s="48"/>
      <c r="F514" s="48"/>
      <c r="G514" s="48"/>
      <c r="H514" s="48"/>
      <c r="I514" s="48"/>
      <c r="J514" s="48"/>
      <c r="K514" s="48"/>
      <c r="L514" s="48"/>
      <c r="M514" s="48"/>
      <c r="N514" s="48"/>
      <c r="O514" s="48"/>
      <c r="P514" s="48"/>
      <c r="Q514" s="48"/>
      <c r="R514" s="48"/>
      <c r="S514" s="48"/>
      <c r="T514" s="48"/>
      <c r="U514" s="48"/>
      <c r="V514" s="48"/>
      <c r="W514" s="48"/>
      <c r="X514" s="48"/>
      <c r="Y514" s="48"/>
      <c r="Z514" s="48"/>
      <c r="AA514" s="48"/>
    </row>
    <row r="515" spans="2:27" ht="12.75" customHeight="1" x14ac:dyDescent="0.25">
      <c r="B515" s="48"/>
      <c r="C515" s="48"/>
      <c r="D515" s="48"/>
      <c r="E515" s="48"/>
      <c r="F515" s="48"/>
      <c r="G515" s="48"/>
      <c r="H515" s="48"/>
      <c r="I515" s="48"/>
      <c r="J515" s="48"/>
      <c r="K515" s="48"/>
      <c r="L515" s="48"/>
      <c r="M515" s="48"/>
      <c r="N515" s="48"/>
      <c r="O515" s="48"/>
      <c r="P515" s="48"/>
      <c r="Q515" s="48"/>
      <c r="R515" s="48"/>
      <c r="S515" s="48"/>
      <c r="T515" s="48"/>
      <c r="U515" s="48"/>
      <c r="V515" s="48"/>
      <c r="W515" s="48"/>
      <c r="X515" s="48"/>
      <c r="Y515" s="48"/>
      <c r="Z515" s="48"/>
      <c r="AA515" s="48"/>
    </row>
    <row r="516" spans="2:27" ht="12.75" customHeight="1" x14ac:dyDescent="0.25">
      <c r="B516" s="48"/>
      <c r="C516" s="48"/>
      <c r="D516" s="48"/>
      <c r="E516" s="48"/>
      <c r="F516" s="48"/>
      <c r="G516" s="48"/>
      <c r="H516" s="48"/>
      <c r="I516" s="48"/>
      <c r="J516" s="48"/>
      <c r="K516" s="48"/>
      <c r="L516" s="48"/>
      <c r="M516" s="48"/>
      <c r="N516" s="48"/>
      <c r="O516" s="48"/>
      <c r="P516" s="48"/>
      <c r="Q516" s="48"/>
      <c r="R516" s="48"/>
      <c r="S516" s="48"/>
      <c r="T516" s="48"/>
      <c r="U516" s="48"/>
      <c r="V516" s="48"/>
      <c r="W516" s="48"/>
      <c r="X516" s="48"/>
      <c r="Y516" s="48"/>
      <c r="Z516" s="48"/>
      <c r="AA516" s="48"/>
    </row>
    <row r="517" spans="2:27" ht="12.75" customHeight="1" x14ac:dyDescent="0.25">
      <c r="B517" s="48"/>
      <c r="C517" s="48"/>
      <c r="D517" s="48"/>
      <c r="E517" s="48"/>
      <c r="F517" s="48"/>
      <c r="G517" s="48"/>
      <c r="H517" s="48"/>
      <c r="I517" s="48"/>
      <c r="J517" s="48"/>
      <c r="K517" s="48"/>
      <c r="L517" s="48"/>
      <c r="M517" s="48"/>
      <c r="N517" s="48"/>
      <c r="O517" s="48"/>
      <c r="P517" s="48"/>
      <c r="Q517" s="48"/>
      <c r="R517" s="48"/>
      <c r="S517" s="48"/>
      <c r="T517" s="48"/>
      <c r="U517" s="48"/>
      <c r="V517" s="48"/>
      <c r="W517" s="48"/>
      <c r="X517" s="48"/>
      <c r="Y517" s="48"/>
      <c r="Z517" s="48"/>
      <c r="AA517" s="48"/>
    </row>
    <row r="518" spans="2:27" ht="12.75" customHeight="1" x14ac:dyDescent="0.25">
      <c r="B518" s="48"/>
      <c r="C518" s="48"/>
      <c r="D518" s="48"/>
      <c r="E518" s="48"/>
      <c r="F518" s="48"/>
      <c r="G518" s="48"/>
      <c r="H518" s="48"/>
      <c r="I518" s="48"/>
      <c r="J518" s="48"/>
      <c r="K518" s="48"/>
      <c r="L518" s="48"/>
      <c r="M518" s="48"/>
      <c r="N518" s="48"/>
      <c r="O518" s="48"/>
      <c r="P518" s="48"/>
      <c r="Q518" s="48"/>
      <c r="R518" s="48"/>
      <c r="S518" s="48"/>
      <c r="T518" s="48"/>
      <c r="U518" s="48"/>
      <c r="V518" s="48"/>
      <c r="W518" s="48"/>
      <c r="X518" s="48"/>
      <c r="Y518" s="48"/>
      <c r="Z518" s="48"/>
      <c r="AA518" s="48"/>
    </row>
    <row r="519" spans="2:27" ht="12.75" customHeight="1" x14ac:dyDescent="0.25">
      <c r="B519" s="48"/>
      <c r="C519" s="48"/>
      <c r="D519" s="48"/>
      <c r="E519" s="48"/>
      <c r="F519" s="48"/>
      <c r="G519" s="48"/>
      <c r="H519" s="48"/>
      <c r="I519" s="48"/>
      <c r="J519" s="48"/>
      <c r="K519" s="48"/>
      <c r="L519" s="48"/>
      <c r="M519" s="48"/>
      <c r="N519" s="48"/>
      <c r="O519" s="48"/>
      <c r="P519" s="48"/>
      <c r="Q519" s="48"/>
      <c r="R519" s="48"/>
      <c r="S519" s="48"/>
      <c r="T519" s="48"/>
      <c r="U519" s="48"/>
      <c r="V519" s="48"/>
      <c r="W519" s="48"/>
      <c r="X519" s="48"/>
      <c r="Y519" s="48"/>
      <c r="Z519" s="48"/>
      <c r="AA519" s="48"/>
    </row>
    <row r="520" spans="2:27" ht="12.75" customHeight="1" x14ac:dyDescent="0.25">
      <c r="B520" s="48"/>
      <c r="C520" s="48"/>
      <c r="D520" s="48"/>
      <c r="E520" s="48"/>
      <c r="F520" s="48"/>
      <c r="G520" s="48"/>
      <c r="H520" s="48"/>
      <c r="I520" s="48"/>
      <c r="J520" s="48"/>
      <c r="K520" s="48"/>
      <c r="L520" s="48"/>
      <c r="M520" s="48"/>
      <c r="N520" s="48"/>
      <c r="O520" s="48"/>
      <c r="P520" s="48"/>
      <c r="Q520" s="48"/>
      <c r="R520" s="48"/>
      <c r="S520" s="48"/>
      <c r="T520" s="48"/>
      <c r="U520" s="48"/>
      <c r="V520" s="48"/>
      <c r="W520" s="48"/>
      <c r="X520" s="48"/>
      <c r="Y520" s="48"/>
      <c r="Z520" s="48"/>
      <c r="AA520" s="48"/>
    </row>
    <row r="521" spans="2:27" ht="12.75" customHeight="1" x14ac:dyDescent="0.25">
      <c r="B521" s="48"/>
      <c r="C521" s="48"/>
      <c r="D521" s="48"/>
      <c r="E521" s="48"/>
      <c r="F521" s="48"/>
      <c r="G521" s="48"/>
      <c r="H521" s="48"/>
      <c r="I521" s="48"/>
      <c r="J521" s="48"/>
      <c r="K521" s="48"/>
      <c r="L521" s="48"/>
      <c r="M521" s="48"/>
      <c r="N521" s="48"/>
      <c r="O521" s="48"/>
      <c r="P521" s="48"/>
      <c r="Q521" s="48"/>
      <c r="R521" s="48"/>
      <c r="S521" s="48"/>
      <c r="T521" s="48"/>
      <c r="U521" s="48"/>
      <c r="V521" s="48"/>
      <c r="W521" s="48"/>
      <c r="X521" s="48"/>
      <c r="Y521" s="48"/>
      <c r="Z521" s="48"/>
      <c r="AA521" s="48"/>
    </row>
    <row r="522" spans="2:27" ht="12.75" customHeight="1" x14ac:dyDescent="0.25">
      <c r="B522" s="48"/>
      <c r="C522" s="48"/>
      <c r="D522" s="48"/>
      <c r="E522" s="48"/>
      <c r="F522" s="48"/>
      <c r="G522" s="48"/>
      <c r="H522" s="48"/>
      <c r="I522" s="48"/>
      <c r="J522" s="48"/>
      <c r="K522" s="48"/>
      <c r="L522" s="48"/>
      <c r="M522" s="48"/>
      <c r="N522" s="48"/>
      <c r="O522" s="48"/>
      <c r="P522" s="48"/>
      <c r="Q522" s="48"/>
      <c r="R522" s="48"/>
      <c r="S522" s="48"/>
      <c r="T522" s="48"/>
      <c r="U522" s="48"/>
      <c r="V522" s="48"/>
      <c r="W522" s="48"/>
      <c r="X522" s="48"/>
      <c r="Y522" s="48"/>
      <c r="Z522" s="48"/>
      <c r="AA522" s="48"/>
    </row>
    <row r="523" spans="2:27" ht="12.75" customHeight="1" x14ac:dyDescent="0.25">
      <c r="B523" s="48"/>
      <c r="C523" s="48"/>
      <c r="D523" s="48"/>
      <c r="E523" s="48"/>
      <c r="F523" s="48"/>
      <c r="G523" s="48"/>
      <c r="H523" s="48"/>
      <c r="I523" s="48"/>
      <c r="J523" s="48"/>
      <c r="K523" s="48"/>
      <c r="L523" s="48"/>
      <c r="M523" s="48"/>
      <c r="N523" s="48"/>
      <c r="O523" s="48"/>
      <c r="P523" s="48"/>
      <c r="Q523" s="48"/>
      <c r="R523" s="48"/>
      <c r="S523" s="48"/>
      <c r="T523" s="48"/>
      <c r="U523" s="48"/>
      <c r="V523" s="48"/>
      <c r="W523" s="48"/>
      <c r="X523" s="48"/>
      <c r="Y523" s="48"/>
      <c r="Z523" s="48"/>
      <c r="AA523" s="48"/>
    </row>
    <row r="524" spans="2:27" ht="12.75" customHeight="1" x14ac:dyDescent="0.25">
      <c r="B524" s="48"/>
      <c r="C524" s="48"/>
      <c r="D524" s="48"/>
      <c r="E524" s="48"/>
      <c r="F524" s="48"/>
      <c r="G524" s="48"/>
      <c r="H524" s="48"/>
      <c r="I524" s="48"/>
      <c r="J524" s="48"/>
      <c r="K524" s="48"/>
      <c r="L524" s="48"/>
      <c r="M524" s="48"/>
      <c r="N524" s="48"/>
      <c r="O524" s="48"/>
      <c r="P524" s="48"/>
      <c r="Q524" s="48"/>
      <c r="R524" s="48"/>
      <c r="S524" s="48"/>
      <c r="T524" s="48"/>
      <c r="U524" s="48"/>
      <c r="V524" s="48"/>
      <c r="W524" s="48"/>
      <c r="X524" s="48"/>
      <c r="Y524" s="48"/>
      <c r="Z524" s="48"/>
      <c r="AA524" s="48"/>
    </row>
    <row r="525" spans="2:27" ht="12.75" customHeight="1" x14ac:dyDescent="0.25">
      <c r="B525" s="48"/>
      <c r="C525" s="48"/>
      <c r="D525" s="48"/>
      <c r="E525" s="48"/>
      <c r="F525" s="48"/>
      <c r="G525" s="48"/>
      <c r="H525" s="48"/>
      <c r="I525" s="48"/>
      <c r="J525" s="48"/>
      <c r="K525" s="48"/>
      <c r="L525" s="48"/>
      <c r="M525" s="48"/>
      <c r="N525" s="48"/>
      <c r="O525" s="48"/>
      <c r="P525" s="48"/>
      <c r="Q525" s="48"/>
      <c r="R525" s="48"/>
      <c r="S525" s="48"/>
      <c r="T525" s="48"/>
      <c r="U525" s="48"/>
      <c r="V525" s="48"/>
      <c r="W525" s="48"/>
      <c r="X525" s="48"/>
      <c r="Y525" s="48"/>
      <c r="Z525" s="48"/>
      <c r="AA525" s="48"/>
    </row>
    <row r="526" spans="2:27" ht="12.75" customHeight="1" x14ac:dyDescent="0.25">
      <c r="B526" s="48"/>
      <c r="C526" s="48"/>
      <c r="D526" s="48"/>
      <c r="E526" s="48"/>
      <c r="F526" s="48"/>
      <c r="G526" s="48"/>
      <c r="H526" s="48"/>
      <c r="I526" s="48"/>
      <c r="J526" s="48"/>
      <c r="K526" s="48"/>
      <c r="L526" s="48"/>
      <c r="M526" s="48"/>
      <c r="N526" s="48"/>
      <c r="O526" s="48"/>
      <c r="P526" s="48"/>
      <c r="Q526" s="48"/>
      <c r="R526" s="48"/>
      <c r="S526" s="48"/>
      <c r="T526" s="48"/>
      <c r="U526" s="48"/>
      <c r="V526" s="48"/>
      <c r="W526" s="48"/>
      <c r="X526" s="48"/>
      <c r="Y526" s="48"/>
      <c r="Z526" s="48"/>
      <c r="AA526" s="48"/>
    </row>
    <row r="527" spans="2:27" ht="12.75" customHeight="1" x14ac:dyDescent="0.25">
      <c r="B527" s="48"/>
      <c r="C527" s="48"/>
      <c r="D527" s="48"/>
      <c r="E527" s="48"/>
      <c r="F527" s="48"/>
      <c r="G527" s="48"/>
      <c r="H527" s="48"/>
      <c r="I527" s="48"/>
      <c r="J527" s="48"/>
      <c r="K527" s="48"/>
      <c r="L527" s="48"/>
      <c r="M527" s="48"/>
      <c r="N527" s="48"/>
      <c r="O527" s="48"/>
      <c r="P527" s="48"/>
      <c r="Q527" s="48"/>
      <c r="R527" s="48"/>
      <c r="S527" s="48"/>
      <c r="T527" s="48"/>
      <c r="U527" s="48"/>
      <c r="V527" s="48"/>
      <c r="W527" s="48"/>
      <c r="X527" s="48"/>
      <c r="Y527" s="48"/>
      <c r="Z527" s="48"/>
      <c r="AA527" s="48"/>
    </row>
    <row r="528" spans="2:27" ht="12.75" customHeight="1" x14ac:dyDescent="0.25">
      <c r="B528" s="48"/>
      <c r="C528" s="48"/>
      <c r="D528" s="48"/>
      <c r="E528" s="48"/>
      <c r="F528" s="48"/>
      <c r="G528" s="48"/>
      <c r="H528" s="48"/>
      <c r="I528" s="48"/>
      <c r="J528" s="48"/>
      <c r="K528" s="48"/>
      <c r="L528" s="48"/>
      <c r="M528" s="48"/>
      <c r="N528" s="48"/>
      <c r="O528" s="48"/>
      <c r="P528" s="48"/>
      <c r="Q528" s="48"/>
      <c r="R528" s="48"/>
      <c r="S528" s="48"/>
      <c r="T528" s="48"/>
      <c r="U528" s="48"/>
      <c r="V528" s="48"/>
      <c r="W528" s="48"/>
      <c r="X528" s="48"/>
      <c r="Y528" s="48"/>
      <c r="Z528" s="48"/>
      <c r="AA528" s="48"/>
    </row>
    <row r="529" spans="2:27" ht="12.75" customHeight="1" x14ac:dyDescent="0.25">
      <c r="B529" s="48"/>
      <c r="C529" s="48"/>
      <c r="D529" s="48"/>
      <c r="E529" s="48"/>
      <c r="F529" s="48"/>
      <c r="G529" s="48"/>
      <c r="H529" s="48"/>
      <c r="I529" s="48"/>
      <c r="J529" s="48"/>
      <c r="K529" s="48"/>
      <c r="L529" s="48"/>
      <c r="M529" s="48"/>
      <c r="N529" s="48"/>
      <c r="O529" s="48"/>
      <c r="P529" s="48"/>
      <c r="Q529" s="48"/>
      <c r="R529" s="48"/>
      <c r="S529" s="48"/>
      <c r="T529" s="48"/>
      <c r="U529" s="48"/>
      <c r="V529" s="48"/>
      <c r="W529" s="48"/>
      <c r="X529" s="48"/>
      <c r="Y529" s="48"/>
      <c r="Z529" s="48"/>
      <c r="AA529" s="48"/>
    </row>
    <row r="530" spans="2:27" ht="12.75" customHeight="1" x14ac:dyDescent="0.25">
      <c r="B530" s="48"/>
      <c r="C530" s="48"/>
      <c r="D530" s="48"/>
      <c r="E530" s="48"/>
      <c r="F530" s="48"/>
      <c r="G530" s="48"/>
      <c r="H530" s="48"/>
      <c r="I530" s="48"/>
      <c r="J530" s="48"/>
      <c r="K530" s="48"/>
      <c r="L530" s="48"/>
      <c r="M530" s="48"/>
      <c r="N530" s="48"/>
      <c r="O530" s="48"/>
      <c r="P530" s="48"/>
      <c r="Q530" s="48"/>
      <c r="R530" s="48"/>
      <c r="S530" s="48"/>
      <c r="T530" s="48"/>
      <c r="U530" s="48"/>
      <c r="V530" s="48"/>
      <c r="W530" s="48"/>
      <c r="X530" s="48"/>
      <c r="Y530" s="48"/>
      <c r="Z530" s="48"/>
      <c r="AA530" s="48"/>
    </row>
    <row r="531" spans="2:27" ht="12.75" customHeight="1" x14ac:dyDescent="0.25">
      <c r="B531" s="48"/>
      <c r="C531" s="48"/>
      <c r="D531" s="48"/>
      <c r="E531" s="48"/>
      <c r="F531" s="48"/>
      <c r="G531" s="48"/>
      <c r="H531" s="48"/>
      <c r="I531" s="48"/>
      <c r="J531" s="48"/>
      <c r="K531" s="48"/>
      <c r="L531" s="48"/>
      <c r="M531" s="48"/>
      <c r="N531" s="48"/>
      <c r="O531" s="48"/>
      <c r="P531" s="48"/>
      <c r="Q531" s="48"/>
      <c r="R531" s="48"/>
      <c r="S531" s="48"/>
      <c r="T531" s="48"/>
      <c r="U531" s="48"/>
      <c r="V531" s="48"/>
      <c r="W531" s="48"/>
      <c r="X531" s="48"/>
      <c r="Y531" s="48"/>
      <c r="Z531" s="48"/>
      <c r="AA531" s="48"/>
    </row>
    <row r="532" spans="2:27" ht="12.75" customHeight="1" x14ac:dyDescent="0.25">
      <c r="B532" s="48"/>
      <c r="C532" s="48"/>
      <c r="D532" s="48"/>
      <c r="E532" s="48"/>
      <c r="F532" s="48"/>
      <c r="G532" s="48"/>
      <c r="H532" s="48"/>
      <c r="I532" s="48"/>
      <c r="J532" s="48"/>
      <c r="K532" s="48"/>
      <c r="L532" s="48"/>
      <c r="M532" s="48"/>
      <c r="N532" s="48"/>
      <c r="O532" s="48"/>
      <c r="P532" s="48"/>
      <c r="Q532" s="48"/>
      <c r="R532" s="48"/>
      <c r="S532" s="48"/>
      <c r="T532" s="48"/>
      <c r="U532" s="48"/>
      <c r="V532" s="48"/>
      <c r="W532" s="48"/>
      <c r="X532" s="48"/>
      <c r="Y532" s="48"/>
      <c r="Z532" s="48"/>
      <c r="AA532" s="48"/>
    </row>
    <row r="533" spans="2:27" ht="12.75" customHeight="1" x14ac:dyDescent="0.25">
      <c r="B533" s="48"/>
      <c r="C533" s="48"/>
      <c r="D533" s="48"/>
      <c r="E533" s="48"/>
      <c r="F533" s="48"/>
      <c r="G533" s="48"/>
      <c r="H533" s="48"/>
      <c r="I533" s="48"/>
      <c r="J533" s="48"/>
      <c r="K533" s="48"/>
      <c r="L533" s="48"/>
      <c r="M533" s="48"/>
      <c r="N533" s="48"/>
      <c r="O533" s="48"/>
      <c r="P533" s="48"/>
      <c r="Q533" s="48"/>
      <c r="R533" s="48"/>
      <c r="S533" s="48"/>
      <c r="T533" s="48"/>
      <c r="U533" s="48"/>
      <c r="V533" s="48"/>
      <c r="W533" s="48"/>
      <c r="X533" s="48"/>
      <c r="Y533" s="48"/>
      <c r="Z533" s="48"/>
      <c r="AA533" s="48"/>
    </row>
    <row r="534" spans="2:27" ht="12.75" customHeight="1" x14ac:dyDescent="0.25">
      <c r="B534" s="48"/>
      <c r="C534" s="48"/>
      <c r="D534" s="48"/>
      <c r="E534" s="48"/>
      <c r="F534" s="48"/>
      <c r="G534" s="48"/>
      <c r="H534" s="48"/>
      <c r="I534" s="48"/>
      <c r="J534" s="48"/>
      <c r="K534" s="48"/>
      <c r="L534" s="48"/>
      <c r="M534" s="48"/>
      <c r="N534" s="48"/>
      <c r="O534" s="48"/>
      <c r="P534" s="48"/>
      <c r="Q534" s="48"/>
      <c r="R534" s="48"/>
      <c r="S534" s="48"/>
      <c r="T534" s="48"/>
      <c r="U534" s="48"/>
      <c r="V534" s="48"/>
      <c r="W534" s="48"/>
      <c r="X534" s="48"/>
      <c r="Y534" s="48"/>
      <c r="Z534" s="48"/>
      <c r="AA534" s="48"/>
    </row>
    <row r="535" spans="2:27" ht="12.75" customHeight="1" x14ac:dyDescent="0.25">
      <c r="B535" s="48"/>
      <c r="C535" s="48"/>
      <c r="D535" s="48"/>
      <c r="E535" s="48"/>
      <c r="F535" s="48"/>
      <c r="G535" s="48"/>
      <c r="H535" s="48"/>
      <c r="I535" s="48"/>
      <c r="J535" s="48"/>
      <c r="K535" s="48"/>
      <c r="L535" s="48"/>
      <c r="M535" s="48"/>
      <c r="N535" s="48"/>
      <c r="O535" s="48"/>
      <c r="P535" s="48"/>
      <c r="Q535" s="48"/>
      <c r="R535" s="48"/>
      <c r="S535" s="48"/>
      <c r="T535" s="48"/>
      <c r="U535" s="48"/>
      <c r="V535" s="48"/>
      <c r="W535" s="48"/>
      <c r="X535" s="48"/>
      <c r="Y535" s="48"/>
      <c r="Z535" s="48"/>
      <c r="AA535" s="48"/>
    </row>
    <row r="536" spans="2:27" ht="12.75" customHeight="1" x14ac:dyDescent="0.25">
      <c r="B536" s="48"/>
      <c r="C536" s="48"/>
      <c r="D536" s="48"/>
      <c r="E536" s="48"/>
      <c r="F536" s="48"/>
      <c r="G536" s="48"/>
      <c r="H536" s="48"/>
      <c r="I536" s="48"/>
      <c r="J536" s="48"/>
      <c r="K536" s="48"/>
      <c r="L536" s="48"/>
      <c r="M536" s="48"/>
      <c r="N536" s="48"/>
      <c r="O536" s="48"/>
      <c r="P536" s="48"/>
      <c r="Q536" s="48"/>
      <c r="R536" s="48"/>
      <c r="S536" s="48"/>
      <c r="T536" s="48"/>
      <c r="U536" s="48"/>
      <c r="V536" s="48"/>
      <c r="W536" s="48"/>
      <c r="X536" s="48"/>
      <c r="Y536" s="48"/>
      <c r="Z536" s="48"/>
      <c r="AA536" s="48"/>
    </row>
    <row r="537" spans="2:27" ht="12.75" customHeight="1" x14ac:dyDescent="0.25">
      <c r="B537" s="48"/>
      <c r="C537" s="48"/>
      <c r="D537" s="48"/>
      <c r="E537" s="48"/>
      <c r="F537" s="48"/>
      <c r="G537" s="48"/>
      <c r="H537" s="48"/>
      <c r="I537" s="48"/>
      <c r="J537" s="48"/>
      <c r="K537" s="48"/>
      <c r="L537" s="48"/>
      <c r="M537" s="48"/>
      <c r="N537" s="48"/>
      <c r="O537" s="48"/>
      <c r="P537" s="48"/>
      <c r="Q537" s="48"/>
      <c r="R537" s="48"/>
      <c r="S537" s="48"/>
      <c r="T537" s="48"/>
      <c r="U537" s="48"/>
      <c r="V537" s="48"/>
      <c r="W537" s="48"/>
      <c r="X537" s="48"/>
      <c r="Y537" s="48"/>
      <c r="Z537" s="48"/>
      <c r="AA537" s="48"/>
    </row>
    <row r="538" spans="2:27" ht="12.75" customHeight="1" x14ac:dyDescent="0.25">
      <c r="B538" s="48"/>
      <c r="C538" s="48"/>
      <c r="D538" s="48"/>
      <c r="E538" s="48"/>
      <c r="F538" s="48"/>
      <c r="G538" s="48"/>
      <c r="H538" s="48"/>
      <c r="I538" s="48"/>
      <c r="J538" s="48"/>
      <c r="K538" s="48"/>
      <c r="L538" s="48"/>
      <c r="M538" s="48"/>
      <c r="N538" s="48"/>
      <c r="O538" s="48"/>
      <c r="P538" s="48"/>
      <c r="Q538" s="48"/>
      <c r="R538" s="48"/>
      <c r="S538" s="48"/>
      <c r="T538" s="48"/>
      <c r="U538" s="48"/>
      <c r="V538" s="48"/>
      <c r="W538" s="48"/>
      <c r="X538" s="48"/>
      <c r="Y538" s="48"/>
      <c r="Z538" s="48"/>
      <c r="AA538" s="48"/>
    </row>
    <row r="539" spans="2:27" ht="12.75" customHeight="1" x14ac:dyDescent="0.25">
      <c r="B539" s="48"/>
      <c r="C539" s="48"/>
      <c r="D539" s="48"/>
      <c r="E539" s="48"/>
      <c r="F539" s="48"/>
      <c r="G539" s="48"/>
      <c r="H539" s="48"/>
      <c r="I539" s="48"/>
      <c r="J539" s="48"/>
      <c r="K539" s="48"/>
      <c r="L539" s="48"/>
      <c r="M539" s="48"/>
      <c r="N539" s="48"/>
      <c r="O539" s="48"/>
      <c r="P539" s="48"/>
      <c r="Q539" s="48"/>
      <c r="R539" s="48"/>
      <c r="S539" s="48"/>
      <c r="T539" s="48"/>
      <c r="U539" s="48"/>
      <c r="V539" s="48"/>
      <c r="W539" s="48"/>
      <c r="X539" s="48"/>
      <c r="Y539" s="48"/>
      <c r="Z539" s="48"/>
      <c r="AA539" s="48"/>
    </row>
    <row r="540" spans="2:27" ht="12.75" customHeight="1" x14ac:dyDescent="0.25">
      <c r="B540" s="48"/>
      <c r="C540" s="48"/>
      <c r="D540" s="48"/>
      <c r="E540" s="48"/>
      <c r="F540" s="48"/>
      <c r="G540" s="48"/>
      <c r="H540" s="48"/>
      <c r="I540" s="48"/>
      <c r="J540" s="48"/>
      <c r="K540" s="48"/>
      <c r="L540" s="48"/>
      <c r="M540" s="48"/>
      <c r="N540" s="48"/>
      <c r="O540" s="48"/>
      <c r="P540" s="48"/>
      <c r="Q540" s="48"/>
      <c r="R540" s="48"/>
      <c r="S540" s="48"/>
      <c r="T540" s="48"/>
      <c r="U540" s="48"/>
      <c r="V540" s="48"/>
      <c r="W540" s="48"/>
      <c r="X540" s="48"/>
      <c r="Y540" s="48"/>
      <c r="Z540" s="48"/>
      <c r="AA540" s="48"/>
    </row>
    <row r="541" spans="2:27" ht="12.75" customHeight="1" x14ac:dyDescent="0.25">
      <c r="B541" s="48"/>
      <c r="C541" s="48"/>
      <c r="D541" s="48"/>
      <c r="E541" s="48"/>
      <c r="F541" s="48"/>
      <c r="G541" s="48"/>
      <c r="H541" s="48"/>
      <c r="I541" s="48"/>
      <c r="J541" s="48"/>
      <c r="K541" s="48"/>
      <c r="L541" s="48"/>
      <c r="M541" s="48"/>
      <c r="N541" s="48"/>
      <c r="O541" s="48"/>
      <c r="P541" s="48"/>
      <c r="Q541" s="48"/>
      <c r="R541" s="48"/>
      <c r="S541" s="48"/>
      <c r="T541" s="48"/>
      <c r="U541" s="48"/>
      <c r="V541" s="48"/>
      <c r="W541" s="48"/>
      <c r="X541" s="48"/>
      <c r="Y541" s="48"/>
      <c r="Z541" s="48"/>
      <c r="AA541" s="48"/>
    </row>
    <row r="542" spans="2:27" ht="12.75" customHeight="1" x14ac:dyDescent="0.25">
      <c r="B542" s="48"/>
      <c r="C542" s="48"/>
      <c r="D542" s="48"/>
      <c r="E542" s="48"/>
      <c r="F542" s="48"/>
      <c r="G542" s="48"/>
      <c r="H542" s="48"/>
      <c r="I542" s="48"/>
      <c r="J542" s="48"/>
      <c r="K542" s="48"/>
      <c r="L542" s="48"/>
      <c r="M542" s="48"/>
      <c r="N542" s="48"/>
      <c r="O542" s="48"/>
      <c r="P542" s="48"/>
      <c r="Q542" s="48"/>
      <c r="R542" s="48"/>
      <c r="S542" s="48"/>
      <c r="T542" s="48"/>
      <c r="U542" s="48"/>
      <c r="V542" s="48"/>
      <c r="W542" s="48"/>
      <c r="X542" s="48"/>
      <c r="Y542" s="48"/>
      <c r="Z542" s="48"/>
      <c r="AA542" s="48"/>
    </row>
    <row r="543" spans="2:27" ht="12.75" customHeight="1" x14ac:dyDescent="0.25">
      <c r="B543" s="48"/>
      <c r="C543" s="48"/>
      <c r="D543" s="48"/>
      <c r="E543" s="48"/>
      <c r="F543" s="48"/>
      <c r="G543" s="48"/>
      <c r="H543" s="48"/>
      <c r="I543" s="48"/>
      <c r="J543" s="48"/>
      <c r="K543" s="48"/>
      <c r="L543" s="48"/>
      <c r="M543" s="48"/>
      <c r="N543" s="48"/>
      <c r="O543" s="48"/>
      <c r="P543" s="48"/>
      <c r="Q543" s="48"/>
      <c r="R543" s="48"/>
      <c r="S543" s="48"/>
      <c r="T543" s="48"/>
      <c r="U543" s="48"/>
      <c r="V543" s="48"/>
      <c r="W543" s="48"/>
      <c r="X543" s="48"/>
      <c r="Y543" s="48"/>
      <c r="Z543" s="48"/>
      <c r="AA543" s="48"/>
    </row>
    <row r="544" spans="2:27" ht="12.75" customHeight="1" x14ac:dyDescent="0.25">
      <c r="B544" s="48"/>
      <c r="C544" s="48"/>
      <c r="D544" s="48"/>
      <c r="E544" s="48"/>
      <c r="F544" s="48"/>
      <c r="G544" s="48"/>
      <c r="H544" s="48"/>
      <c r="I544" s="48"/>
      <c r="J544" s="48"/>
      <c r="K544" s="48"/>
      <c r="L544" s="48"/>
      <c r="M544" s="48"/>
      <c r="N544" s="48"/>
      <c r="O544" s="48"/>
      <c r="P544" s="48"/>
      <c r="Q544" s="48"/>
      <c r="R544" s="48"/>
      <c r="S544" s="48"/>
      <c r="T544" s="48"/>
      <c r="U544" s="48"/>
      <c r="V544" s="48"/>
      <c r="W544" s="48"/>
      <c r="X544" s="48"/>
      <c r="Y544" s="48"/>
      <c r="Z544" s="48"/>
      <c r="AA544" s="48"/>
    </row>
    <row r="545" spans="2:27" ht="12.75" customHeight="1" x14ac:dyDescent="0.25">
      <c r="B545" s="48"/>
      <c r="C545" s="48"/>
      <c r="D545" s="48"/>
      <c r="E545" s="48"/>
      <c r="F545" s="48"/>
      <c r="G545" s="48"/>
      <c r="H545" s="48"/>
      <c r="I545" s="48"/>
      <c r="J545" s="48"/>
      <c r="K545" s="48"/>
      <c r="L545" s="48"/>
      <c r="M545" s="48"/>
      <c r="N545" s="48"/>
      <c r="O545" s="48"/>
      <c r="P545" s="48"/>
      <c r="Q545" s="48"/>
      <c r="R545" s="48"/>
      <c r="S545" s="48"/>
      <c r="T545" s="48"/>
      <c r="U545" s="48"/>
      <c r="V545" s="48"/>
      <c r="W545" s="48"/>
      <c r="X545" s="48"/>
      <c r="Y545" s="48"/>
      <c r="Z545" s="48"/>
      <c r="AA545" s="48"/>
    </row>
    <row r="546" spans="2:27" ht="12.75" customHeight="1" x14ac:dyDescent="0.25">
      <c r="B546" s="48"/>
      <c r="C546" s="48"/>
      <c r="D546" s="48"/>
      <c r="E546" s="48"/>
      <c r="F546" s="48"/>
      <c r="G546" s="48"/>
      <c r="H546" s="48"/>
      <c r="I546" s="48"/>
      <c r="J546" s="48"/>
      <c r="K546" s="48"/>
      <c r="L546" s="48"/>
      <c r="M546" s="48"/>
      <c r="N546" s="48"/>
      <c r="O546" s="48"/>
      <c r="P546" s="48"/>
      <c r="Q546" s="48"/>
      <c r="R546" s="48"/>
      <c r="S546" s="48"/>
      <c r="T546" s="48"/>
      <c r="U546" s="48"/>
      <c r="V546" s="48"/>
      <c r="W546" s="48"/>
      <c r="X546" s="48"/>
      <c r="Y546" s="48"/>
      <c r="Z546" s="48"/>
      <c r="AA546" s="48"/>
    </row>
    <row r="547" spans="2:27" ht="12.75" customHeight="1" x14ac:dyDescent="0.25">
      <c r="B547" s="48"/>
      <c r="C547" s="48"/>
      <c r="D547" s="48"/>
      <c r="E547" s="48"/>
      <c r="F547" s="48"/>
      <c r="G547" s="48"/>
      <c r="H547" s="48"/>
      <c r="I547" s="48"/>
      <c r="J547" s="48"/>
      <c r="K547" s="48"/>
      <c r="L547" s="48"/>
      <c r="M547" s="48"/>
      <c r="N547" s="48"/>
      <c r="O547" s="48"/>
      <c r="P547" s="48"/>
      <c r="Q547" s="48"/>
      <c r="R547" s="48"/>
      <c r="S547" s="48"/>
      <c r="T547" s="48"/>
      <c r="U547" s="48"/>
      <c r="V547" s="48"/>
      <c r="W547" s="48"/>
      <c r="X547" s="48"/>
      <c r="Y547" s="48"/>
      <c r="Z547" s="48"/>
      <c r="AA547" s="48"/>
    </row>
    <row r="548" spans="2:27" ht="12.75" customHeight="1" x14ac:dyDescent="0.25">
      <c r="B548" s="48"/>
      <c r="C548" s="48"/>
      <c r="D548" s="48"/>
      <c r="E548" s="48"/>
      <c r="F548" s="48"/>
      <c r="G548" s="48"/>
      <c r="H548" s="48"/>
      <c r="I548" s="48"/>
      <c r="J548" s="48"/>
      <c r="K548" s="48"/>
      <c r="L548" s="48"/>
      <c r="M548" s="48"/>
      <c r="N548" s="48"/>
      <c r="O548" s="48"/>
      <c r="P548" s="48"/>
      <c r="Q548" s="48"/>
      <c r="R548" s="48"/>
      <c r="S548" s="48"/>
      <c r="T548" s="48"/>
      <c r="U548" s="48"/>
      <c r="V548" s="48"/>
      <c r="W548" s="48"/>
      <c r="X548" s="48"/>
      <c r="Y548" s="48"/>
      <c r="Z548" s="48"/>
      <c r="AA548" s="48"/>
    </row>
    <row r="549" spans="2:27" ht="12.75" customHeight="1" x14ac:dyDescent="0.25">
      <c r="B549" s="48"/>
      <c r="C549" s="48"/>
      <c r="D549" s="48"/>
      <c r="E549" s="48"/>
      <c r="F549" s="48"/>
      <c r="G549" s="48"/>
      <c r="H549" s="48"/>
      <c r="I549" s="48"/>
      <c r="J549" s="48"/>
      <c r="K549" s="48"/>
      <c r="L549" s="48"/>
      <c r="M549" s="48"/>
      <c r="N549" s="48"/>
      <c r="O549" s="48"/>
      <c r="P549" s="48"/>
      <c r="Q549" s="48"/>
      <c r="R549" s="48"/>
      <c r="S549" s="48"/>
      <c r="T549" s="48"/>
      <c r="U549" s="48"/>
      <c r="V549" s="48"/>
      <c r="W549" s="48"/>
      <c r="X549" s="48"/>
      <c r="Y549" s="48"/>
      <c r="Z549" s="48"/>
      <c r="AA549" s="48"/>
    </row>
    <row r="550" spans="2:27" ht="12.75" customHeight="1" x14ac:dyDescent="0.25">
      <c r="B550" s="48"/>
      <c r="C550" s="48"/>
      <c r="D550" s="48"/>
      <c r="E550" s="48"/>
      <c r="F550" s="48"/>
      <c r="G550" s="48"/>
      <c r="H550" s="48"/>
      <c r="I550" s="48"/>
      <c r="J550" s="48"/>
      <c r="K550" s="48"/>
      <c r="L550" s="48"/>
      <c r="M550" s="48"/>
      <c r="N550" s="48"/>
      <c r="O550" s="48"/>
      <c r="P550" s="48"/>
      <c r="Q550" s="48"/>
      <c r="R550" s="48"/>
      <c r="S550" s="48"/>
      <c r="T550" s="48"/>
      <c r="U550" s="48"/>
      <c r="V550" s="48"/>
      <c r="W550" s="48"/>
      <c r="X550" s="48"/>
      <c r="Y550" s="48"/>
      <c r="Z550" s="48"/>
      <c r="AA550" s="48"/>
    </row>
    <row r="551" spans="2:27" ht="12.75" customHeight="1" x14ac:dyDescent="0.25">
      <c r="B551" s="48"/>
      <c r="C551" s="48"/>
      <c r="D551" s="48"/>
      <c r="E551" s="48"/>
      <c r="F551" s="48"/>
      <c r="G551" s="48"/>
      <c r="H551" s="48"/>
      <c r="I551" s="48"/>
      <c r="J551" s="48"/>
      <c r="K551" s="48"/>
      <c r="L551" s="48"/>
      <c r="M551" s="48"/>
      <c r="N551" s="48"/>
      <c r="O551" s="48"/>
      <c r="P551" s="48"/>
      <c r="Q551" s="48"/>
      <c r="R551" s="48"/>
      <c r="S551" s="48"/>
      <c r="T551" s="48"/>
      <c r="U551" s="48"/>
      <c r="V551" s="48"/>
      <c r="W551" s="48"/>
      <c r="X551" s="48"/>
      <c r="Y551" s="48"/>
      <c r="Z551" s="48"/>
      <c r="AA551" s="48"/>
    </row>
    <row r="552" spans="2:27" ht="12.75" customHeight="1" x14ac:dyDescent="0.25">
      <c r="B552" s="48"/>
      <c r="C552" s="48"/>
      <c r="D552" s="48"/>
      <c r="E552" s="48"/>
      <c r="F552" s="48"/>
      <c r="G552" s="48"/>
      <c r="H552" s="48"/>
      <c r="I552" s="48"/>
      <c r="J552" s="48"/>
      <c r="K552" s="48"/>
      <c r="L552" s="48"/>
      <c r="M552" s="48"/>
      <c r="N552" s="48"/>
      <c r="O552" s="48"/>
      <c r="P552" s="48"/>
      <c r="Q552" s="48"/>
      <c r="R552" s="48"/>
      <c r="S552" s="48"/>
      <c r="T552" s="48"/>
      <c r="U552" s="48"/>
      <c r="V552" s="48"/>
      <c r="W552" s="48"/>
      <c r="X552" s="48"/>
      <c r="Y552" s="48"/>
      <c r="Z552" s="48"/>
      <c r="AA552" s="48"/>
    </row>
    <row r="553" spans="2:27" ht="12.75" customHeight="1" x14ac:dyDescent="0.25">
      <c r="B553" s="48"/>
      <c r="C553" s="48"/>
      <c r="D553" s="48"/>
      <c r="E553" s="48"/>
      <c r="F553" s="48"/>
      <c r="G553" s="48"/>
      <c r="H553" s="48"/>
      <c r="I553" s="48"/>
      <c r="J553" s="48"/>
      <c r="K553" s="48"/>
      <c r="L553" s="48"/>
      <c r="M553" s="48"/>
      <c r="N553" s="48"/>
      <c r="O553" s="48"/>
      <c r="P553" s="48"/>
      <c r="Q553" s="48"/>
      <c r="R553" s="48"/>
      <c r="S553" s="48"/>
      <c r="T553" s="48"/>
      <c r="U553" s="48"/>
      <c r="V553" s="48"/>
      <c r="W553" s="48"/>
      <c r="X553" s="48"/>
      <c r="Y553" s="48"/>
      <c r="Z553" s="48"/>
      <c r="AA553" s="48"/>
    </row>
    <row r="554" spans="2:27" ht="12.75" customHeight="1" x14ac:dyDescent="0.25">
      <c r="B554" s="48"/>
      <c r="C554" s="48"/>
      <c r="D554" s="48"/>
      <c r="E554" s="48"/>
      <c r="F554" s="48"/>
      <c r="G554" s="48"/>
      <c r="H554" s="48"/>
      <c r="I554" s="48"/>
      <c r="J554" s="48"/>
      <c r="K554" s="48"/>
      <c r="L554" s="48"/>
      <c r="M554" s="48"/>
      <c r="N554" s="48"/>
      <c r="O554" s="48"/>
      <c r="P554" s="48"/>
      <c r="Q554" s="48"/>
      <c r="R554" s="48"/>
      <c r="S554" s="48"/>
      <c r="T554" s="48"/>
      <c r="U554" s="48"/>
      <c r="V554" s="48"/>
      <c r="W554" s="48"/>
      <c r="X554" s="48"/>
      <c r="Y554" s="48"/>
      <c r="Z554" s="48"/>
      <c r="AA554" s="48"/>
    </row>
    <row r="555" spans="2:27" ht="12.75" customHeight="1" x14ac:dyDescent="0.25">
      <c r="B555" s="48"/>
      <c r="C555" s="48"/>
      <c r="D555" s="48"/>
      <c r="E555" s="48"/>
      <c r="F555" s="48"/>
      <c r="G555" s="48"/>
      <c r="H555" s="48"/>
      <c r="I555" s="48"/>
      <c r="J555" s="48"/>
      <c r="K555" s="48"/>
      <c r="L555" s="48"/>
      <c r="M555" s="48"/>
      <c r="N555" s="48"/>
      <c r="O555" s="48"/>
      <c r="P555" s="48"/>
      <c r="Q555" s="48"/>
      <c r="R555" s="48"/>
      <c r="S555" s="48"/>
      <c r="T555" s="48"/>
      <c r="U555" s="48"/>
      <c r="V555" s="48"/>
      <c r="W555" s="48"/>
      <c r="X555" s="48"/>
      <c r="Y555" s="48"/>
      <c r="Z555" s="48"/>
      <c r="AA555" s="48"/>
    </row>
    <row r="556" spans="2:27" ht="12.75" customHeight="1" x14ac:dyDescent="0.25">
      <c r="B556" s="48"/>
      <c r="C556" s="48"/>
      <c r="D556" s="48"/>
      <c r="E556" s="48"/>
      <c r="F556" s="48"/>
      <c r="G556" s="48"/>
      <c r="H556" s="48"/>
      <c r="I556" s="48"/>
      <c r="J556" s="48"/>
      <c r="K556" s="48"/>
      <c r="L556" s="48"/>
      <c r="M556" s="48"/>
      <c r="N556" s="48"/>
      <c r="O556" s="48"/>
      <c r="P556" s="48"/>
      <c r="Q556" s="48"/>
      <c r="R556" s="48"/>
      <c r="S556" s="48"/>
      <c r="T556" s="48"/>
      <c r="U556" s="48"/>
      <c r="V556" s="48"/>
      <c r="W556" s="48"/>
      <c r="X556" s="48"/>
      <c r="Y556" s="48"/>
      <c r="Z556" s="48"/>
      <c r="AA556" s="48"/>
    </row>
    <row r="557" spans="2:27" ht="12.75" customHeight="1" x14ac:dyDescent="0.25">
      <c r="B557" s="48"/>
      <c r="C557" s="48"/>
      <c r="D557" s="48"/>
      <c r="E557" s="48"/>
      <c r="F557" s="48"/>
      <c r="G557" s="48"/>
      <c r="H557" s="48"/>
      <c r="I557" s="48"/>
      <c r="J557" s="48"/>
      <c r="K557" s="48"/>
      <c r="L557" s="48"/>
      <c r="M557" s="48"/>
      <c r="N557" s="48"/>
      <c r="O557" s="48"/>
      <c r="P557" s="48"/>
      <c r="Q557" s="48"/>
      <c r="R557" s="48"/>
      <c r="S557" s="48"/>
      <c r="T557" s="48"/>
      <c r="U557" s="48"/>
      <c r="V557" s="48"/>
      <c r="W557" s="48"/>
      <c r="X557" s="48"/>
      <c r="Y557" s="48"/>
      <c r="Z557" s="48"/>
      <c r="AA557" s="48"/>
    </row>
    <row r="558" spans="2:27" ht="12.75" customHeight="1" x14ac:dyDescent="0.25">
      <c r="B558" s="48"/>
      <c r="C558" s="48"/>
      <c r="D558" s="48"/>
      <c r="E558" s="48"/>
      <c r="F558" s="48"/>
      <c r="G558" s="48"/>
      <c r="H558" s="48"/>
      <c r="I558" s="48"/>
      <c r="J558" s="48"/>
      <c r="K558" s="48"/>
      <c r="L558" s="48"/>
      <c r="M558" s="48"/>
      <c r="N558" s="48"/>
      <c r="O558" s="48"/>
      <c r="P558" s="48"/>
      <c r="Q558" s="48"/>
      <c r="R558" s="48"/>
      <c r="S558" s="48"/>
      <c r="T558" s="48"/>
      <c r="U558" s="48"/>
      <c r="V558" s="48"/>
      <c r="W558" s="48"/>
      <c r="X558" s="48"/>
      <c r="Y558" s="48"/>
      <c r="Z558" s="48"/>
      <c r="AA558" s="48"/>
    </row>
    <row r="559" spans="2:27" ht="12.75" customHeight="1" x14ac:dyDescent="0.25">
      <c r="B559" s="48"/>
      <c r="C559" s="48"/>
      <c r="D559" s="48"/>
      <c r="E559" s="48"/>
      <c r="F559" s="48"/>
      <c r="G559" s="48"/>
      <c r="H559" s="48"/>
      <c r="I559" s="48"/>
      <c r="J559" s="48"/>
      <c r="K559" s="48"/>
      <c r="L559" s="48"/>
      <c r="M559" s="48"/>
      <c r="N559" s="48"/>
      <c r="O559" s="48"/>
      <c r="P559" s="48"/>
      <c r="Q559" s="48"/>
      <c r="R559" s="48"/>
      <c r="S559" s="48"/>
      <c r="T559" s="48"/>
      <c r="U559" s="48"/>
      <c r="V559" s="48"/>
      <c r="W559" s="48"/>
      <c r="X559" s="48"/>
      <c r="Y559" s="48"/>
      <c r="Z559" s="48"/>
      <c r="AA559" s="48"/>
    </row>
    <row r="560" spans="2:27" ht="12.75" customHeight="1" x14ac:dyDescent="0.25">
      <c r="B560" s="48"/>
      <c r="C560" s="48"/>
      <c r="D560" s="48"/>
      <c r="E560" s="48"/>
      <c r="F560" s="48"/>
      <c r="G560" s="48"/>
      <c r="H560" s="48"/>
      <c r="I560" s="48"/>
      <c r="J560" s="48"/>
      <c r="K560" s="48"/>
      <c r="L560" s="48"/>
      <c r="M560" s="48"/>
      <c r="N560" s="48"/>
      <c r="O560" s="48"/>
      <c r="P560" s="48"/>
      <c r="Q560" s="48"/>
      <c r="R560" s="48"/>
      <c r="S560" s="48"/>
      <c r="T560" s="48"/>
      <c r="U560" s="48"/>
      <c r="V560" s="48"/>
      <c r="W560" s="48"/>
      <c r="X560" s="48"/>
      <c r="Y560" s="48"/>
      <c r="Z560" s="48"/>
      <c r="AA560" s="48"/>
    </row>
    <row r="561" spans="2:27" ht="12.75" customHeight="1" x14ac:dyDescent="0.25">
      <c r="B561" s="48"/>
      <c r="C561" s="48"/>
      <c r="D561" s="48"/>
      <c r="E561" s="48"/>
      <c r="F561" s="48"/>
      <c r="G561" s="48"/>
      <c r="H561" s="48"/>
      <c r="I561" s="48"/>
      <c r="J561" s="48"/>
      <c r="K561" s="48"/>
      <c r="L561" s="48"/>
      <c r="M561" s="48"/>
      <c r="N561" s="48"/>
      <c r="O561" s="48"/>
      <c r="P561" s="48"/>
      <c r="Q561" s="48"/>
      <c r="R561" s="48"/>
      <c r="S561" s="48"/>
      <c r="T561" s="48"/>
      <c r="U561" s="48"/>
      <c r="V561" s="48"/>
      <c r="W561" s="48"/>
      <c r="X561" s="48"/>
      <c r="Y561" s="48"/>
      <c r="Z561" s="48"/>
      <c r="AA561" s="48"/>
    </row>
    <row r="562" spans="2:27" ht="12.75" customHeight="1" x14ac:dyDescent="0.25">
      <c r="B562" s="48"/>
      <c r="C562" s="48"/>
      <c r="D562" s="48"/>
      <c r="E562" s="48"/>
      <c r="F562" s="48"/>
      <c r="G562" s="48"/>
      <c r="H562" s="48"/>
      <c r="I562" s="48"/>
      <c r="J562" s="48"/>
      <c r="K562" s="48"/>
      <c r="L562" s="48"/>
      <c r="M562" s="48"/>
      <c r="N562" s="48"/>
      <c r="O562" s="48"/>
      <c r="P562" s="48"/>
      <c r="Q562" s="48"/>
      <c r="R562" s="48"/>
      <c r="S562" s="48"/>
      <c r="T562" s="48"/>
      <c r="U562" s="48"/>
      <c r="V562" s="48"/>
      <c r="W562" s="48"/>
      <c r="X562" s="48"/>
      <c r="Y562" s="48"/>
      <c r="Z562" s="48"/>
      <c r="AA562" s="48"/>
    </row>
    <row r="563" spans="2:27" ht="12.75" customHeight="1" x14ac:dyDescent="0.25">
      <c r="B563" s="48"/>
      <c r="C563" s="48"/>
      <c r="D563" s="48"/>
      <c r="E563" s="48"/>
      <c r="F563" s="48"/>
      <c r="G563" s="48"/>
      <c r="H563" s="48"/>
      <c r="I563" s="48"/>
      <c r="J563" s="48"/>
      <c r="K563" s="48"/>
      <c r="L563" s="48"/>
      <c r="M563" s="48"/>
      <c r="N563" s="48"/>
      <c r="O563" s="48"/>
      <c r="P563" s="48"/>
      <c r="Q563" s="48"/>
      <c r="R563" s="48"/>
      <c r="S563" s="48"/>
      <c r="T563" s="48"/>
      <c r="U563" s="48"/>
      <c r="V563" s="48"/>
      <c r="W563" s="48"/>
      <c r="X563" s="48"/>
      <c r="Y563" s="48"/>
      <c r="Z563" s="48"/>
      <c r="AA563" s="48"/>
    </row>
    <row r="564" spans="2:27" ht="12.75" customHeight="1" x14ac:dyDescent="0.25">
      <c r="B564" s="48"/>
      <c r="C564" s="48"/>
      <c r="D564" s="48"/>
      <c r="E564" s="48"/>
      <c r="F564" s="48"/>
      <c r="G564" s="48"/>
      <c r="H564" s="48"/>
      <c r="I564" s="48"/>
      <c r="J564" s="48"/>
      <c r="K564" s="48"/>
      <c r="L564" s="48"/>
      <c r="M564" s="48"/>
      <c r="N564" s="48"/>
      <c r="O564" s="48"/>
      <c r="P564" s="48"/>
      <c r="Q564" s="48"/>
      <c r="R564" s="48"/>
      <c r="S564" s="48"/>
      <c r="T564" s="48"/>
      <c r="U564" s="48"/>
      <c r="V564" s="48"/>
      <c r="W564" s="48"/>
      <c r="X564" s="48"/>
      <c r="Y564" s="48"/>
      <c r="Z564" s="48"/>
      <c r="AA564" s="48"/>
    </row>
    <row r="565" spans="2:27" ht="12.75" customHeight="1" x14ac:dyDescent="0.25">
      <c r="B565" s="48"/>
      <c r="C565" s="48"/>
      <c r="D565" s="48"/>
      <c r="E565" s="48"/>
      <c r="F565" s="48"/>
      <c r="G565" s="48"/>
      <c r="H565" s="48"/>
      <c r="I565" s="48"/>
      <c r="J565" s="48"/>
      <c r="K565" s="48"/>
      <c r="L565" s="48"/>
      <c r="M565" s="48"/>
      <c r="N565" s="48"/>
      <c r="O565" s="48"/>
      <c r="P565" s="48"/>
      <c r="Q565" s="48"/>
      <c r="R565" s="48"/>
      <c r="S565" s="48"/>
      <c r="T565" s="48"/>
      <c r="U565" s="48"/>
      <c r="V565" s="48"/>
      <c r="W565" s="48"/>
      <c r="X565" s="48"/>
      <c r="Y565" s="48"/>
      <c r="Z565" s="48"/>
      <c r="AA565" s="48"/>
    </row>
    <row r="566" spans="2:27" ht="12.75" customHeight="1" x14ac:dyDescent="0.25">
      <c r="B566" s="48"/>
      <c r="C566" s="48"/>
      <c r="D566" s="48"/>
      <c r="E566" s="48"/>
      <c r="F566" s="48"/>
      <c r="G566" s="48"/>
      <c r="H566" s="48"/>
      <c r="I566" s="48"/>
      <c r="J566" s="48"/>
      <c r="K566" s="48"/>
      <c r="L566" s="48"/>
      <c r="M566" s="48"/>
      <c r="N566" s="48"/>
      <c r="O566" s="48"/>
      <c r="P566" s="48"/>
      <c r="Q566" s="48"/>
      <c r="R566" s="48"/>
      <c r="S566" s="48"/>
      <c r="T566" s="48"/>
      <c r="U566" s="48"/>
      <c r="V566" s="48"/>
      <c r="W566" s="48"/>
      <c r="X566" s="48"/>
      <c r="Y566" s="48"/>
      <c r="Z566" s="48"/>
      <c r="AA566" s="48"/>
    </row>
    <row r="567" spans="2:27" ht="12.75" customHeight="1" x14ac:dyDescent="0.25">
      <c r="B567" s="48"/>
      <c r="C567" s="48"/>
      <c r="D567" s="48"/>
      <c r="E567" s="48"/>
      <c r="F567" s="48"/>
      <c r="G567" s="48"/>
      <c r="H567" s="48"/>
      <c r="I567" s="48"/>
      <c r="J567" s="48"/>
      <c r="K567" s="48"/>
      <c r="L567" s="48"/>
      <c r="M567" s="48"/>
      <c r="N567" s="48"/>
      <c r="O567" s="48"/>
      <c r="P567" s="48"/>
      <c r="Q567" s="48"/>
      <c r="R567" s="48"/>
      <c r="S567" s="48"/>
      <c r="T567" s="48"/>
      <c r="U567" s="48"/>
      <c r="V567" s="48"/>
      <c r="W567" s="48"/>
      <c r="X567" s="48"/>
      <c r="Y567" s="48"/>
      <c r="Z567" s="48"/>
      <c r="AA567" s="48"/>
    </row>
    <row r="568" spans="2:27" ht="12.75" customHeight="1" x14ac:dyDescent="0.25">
      <c r="B568" s="48"/>
      <c r="C568" s="48"/>
      <c r="D568" s="48"/>
      <c r="E568" s="48"/>
      <c r="F568" s="48"/>
      <c r="G568" s="48"/>
      <c r="H568" s="48"/>
      <c r="I568" s="48"/>
      <c r="J568" s="48"/>
      <c r="K568" s="48"/>
      <c r="L568" s="48"/>
      <c r="M568" s="48"/>
      <c r="N568" s="48"/>
      <c r="O568" s="48"/>
      <c r="P568" s="48"/>
      <c r="Q568" s="48"/>
      <c r="R568" s="48"/>
      <c r="S568" s="48"/>
      <c r="T568" s="48"/>
      <c r="U568" s="48"/>
      <c r="V568" s="48"/>
      <c r="W568" s="48"/>
      <c r="X568" s="48"/>
      <c r="Y568" s="48"/>
      <c r="Z568" s="48"/>
      <c r="AA568" s="48"/>
    </row>
    <row r="569" spans="2:27" ht="12.75" customHeight="1" x14ac:dyDescent="0.25">
      <c r="B569" s="48"/>
      <c r="C569" s="48"/>
      <c r="D569" s="48"/>
      <c r="E569" s="48"/>
      <c r="F569" s="48"/>
      <c r="G569" s="48"/>
      <c r="H569" s="48"/>
      <c r="I569" s="48"/>
      <c r="J569" s="48"/>
      <c r="K569" s="48"/>
      <c r="L569" s="48"/>
      <c r="M569" s="48"/>
      <c r="N569" s="48"/>
      <c r="O569" s="48"/>
      <c r="P569" s="48"/>
      <c r="Q569" s="48"/>
      <c r="R569" s="48"/>
      <c r="S569" s="48"/>
      <c r="T569" s="48"/>
      <c r="U569" s="48"/>
      <c r="V569" s="48"/>
      <c r="W569" s="48"/>
      <c r="X569" s="48"/>
      <c r="Y569" s="48"/>
      <c r="Z569" s="48"/>
      <c r="AA569" s="48"/>
    </row>
    <row r="570" spans="2:27" ht="12.75" customHeight="1" x14ac:dyDescent="0.25">
      <c r="B570" s="48"/>
      <c r="C570" s="48"/>
      <c r="D570" s="48"/>
      <c r="E570" s="48"/>
      <c r="F570" s="48"/>
      <c r="G570" s="48"/>
      <c r="H570" s="48"/>
      <c r="I570" s="48"/>
      <c r="J570" s="48"/>
      <c r="K570" s="48"/>
      <c r="L570" s="48"/>
      <c r="M570" s="48"/>
      <c r="N570" s="48"/>
      <c r="O570" s="48"/>
      <c r="P570" s="48"/>
      <c r="Q570" s="48"/>
      <c r="R570" s="48"/>
      <c r="S570" s="48"/>
      <c r="T570" s="48"/>
      <c r="U570" s="48"/>
      <c r="V570" s="48"/>
      <c r="W570" s="48"/>
      <c r="X570" s="48"/>
      <c r="Y570" s="48"/>
      <c r="Z570" s="48"/>
      <c r="AA570" s="48"/>
    </row>
    <row r="571" spans="2:27" ht="12.75" customHeight="1" x14ac:dyDescent="0.25">
      <c r="B571" s="48"/>
      <c r="C571" s="48"/>
      <c r="D571" s="48"/>
      <c r="E571" s="48"/>
      <c r="F571" s="48"/>
      <c r="G571" s="48"/>
      <c r="H571" s="48"/>
      <c r="I571" s="48"/>
      <c r="J571" s="48"/>
      <c r="K571" s="48"/>
      <c r="L571" s="48"/>
      <c r="M571" s="48"/>
      <c r="N571" s="48"/>
      <c r="O571" s="48"/>
      <c r="P571" s="48"/>
      <c r="Q571" s="48"/>
      <c r="R571" s="48"/>
      <c r="S571" s="48"/>
      <c r="T571" s="48"/>
      <c r="U571" s="48"/>
      <c r="V571" s="48"/>
      <c r="W571" s="48"/>
      <c r="X571" s="48"/>
      <c r="Y571" s="48"/>
      <c r="Z571" s="48"/>
      <c r="AA571" s="48"/>
    </row>
    <row r="572" spans="2:27" ht="12.75" customHeight="1" x14ac:dyDescent="0.25">
      <c r="B572" s="48"/>
      <c r="C572" s="48"/>
      <c r="D572" s="48"/>
      <c r="E572" s="48"/>
      <c r="F572" s="48"/>
      <c r="G572" s="48"/>
      <c r="H572" s="48"/>
      <c r="I572" s="48"/>
      <c r="J572" s="48"/>
      <c r="K572" s="48"/>
      <c r="L572" s="48"/>
      <c r="M572" s="48"/>
      <c r="N572" s="48"/>
      <c r="O572" s="48"/>
      <c r="P572" s="48"/>
      <c r="Q572" s="48"/>
      <c r="R572" s="48"/>
      <c r="S572" s="48"/>
      <c r="T572" s="48"/>
      <c r="U572" s="48"/>
      <c r="V572" s="48"/>
      <c r="W572" s="48"/>
      <c r="X572" s="48"/>
      <c r="Y572" s="48"/>
      <c r="Z572" s="48"/>
      <c r="AA572" s="48"/>
    </row>
    <row r="573" spans="2:27" ht="12.75" customHeight="1" x14ac:dyDescent="0.25">
      <c r="B573" s="48"/>
      <c r="C573" s="48"/>
      <c r="D573" s="48"/>
      <c r="E573" s="48"/>
      <c r="F573" s="48"/>
      <c r="G573" s="48"/>
      <c r="H573" s="48"/>
      <c r="I573" s="48"/>
      <c r="J573" s="48"/>
      <c r="K573" s="48"/>
      <c r="L573" s="48"/>
      <c r="M573" s="48"/>
      <c r="N573" s="48"/>
      <c r="O573" s="48"/>
      <c r="P573" s="48"/>
      <c r="Q573" s="48"/>
      <c r="R573" s="48"/>
      <c r="S573" s="48"/>
      <c r="T573" s="48"/>
      <c r="U573" s="48"/>
      <c r="V573" s="48"/>
      <c r="W573" s="48"/>
      <c r="X573" s="48"/>
      <c r="Y573" s="48"/>
      <c r="Z573" s="48"/>
      <c r="AA573" s="48"/>
    </row>
    <row r="574" spans="2:27" ht="12.75" customHeight="1" x14ac:dyDescent="0.25">
      <c r="B574" s="48"/>
      <c r="C574" s="48"/>
      <c r="D574" s="48"/>
      <c r="E574" s="48"/>
      <c r="F574" s="48"/>
      <c r="G574" s="48"/>
      <c r="H574" s="48"/>
      <c r="I574" s="48"/>
      <c r="J574" s="48"/>
      <c r="K574" s="48"/>
      <c r="L574" s="48"/>
      <c r="M574" s="48"/>
      <c r="N574" s="48"/>
      <c r="O574" s="48"/>
      <c r="P574" s="48"/>
      <c r="Q574" s="48"/>
      <c r="R574" s="48"/>
      <c r="S574" s="48"/>
      <c r="T574" s="48"/>
      <c r="U574" s="48"/>
      <c r="V574" s="48"/>
      <c r="W574" s="48"/>
      <c r="X574" s="48"/>
      <c r="Y574" s="48"/>
      <c r="Z574" s="48"/>
      <c r="AA574" s="48"/>
    </row>
    <row r="575" spans="2:27" ht="12.75" customHeight="1" x14ac:dyDescent="0.25">
      <c r="B575" s="48"/>
      <c r="C575" s="48"/>
      <c r="D575" s="48"/>
      <c r="E575" s="48"/>
      <c r="F575" s="48"/>
      <c r="G575" s="48"/>
      <c r="H575" s="48"/>
      <c r="I575" s="48"/>
      <c r="J575" s="48"/>
      <c r="K575" s="48"/>
      <c r="L575" s="48"/>
      <c r="M575" s="48"/>
      <c r="N575" s="48"/>
      <c r="O575" s="48"/>
      <c r="P575" s="48"/>
      <c r="Q575" s="48"/>
      <c r="R575" s="48"/>
      <c r="S575" s="48"/>
      <c r="T575" s="48"/>
      <c r="U575" s="48"/>
      <c r="V575" s="48"/>
      <c r="W575" s="48"/>
      <c r="X575" s="48"/>
      <c r="Y575" s="48"/>
      <c r="Z575" s="48"/>
      <c r="AA575" s="48"/>
    </row>
    <row r="576" spans="2:27" ht="12.75" customHeight="1" x14ac:dyDescent="0.25">
      <c r="B576" s="48"/>
      <c r="C576" s="48"/>
      <c r="D576" s="48"/>
      <c r="E576" s="48"/>
      <c r="F576" s="48"/>
      <c r="G576" s="48"/>
      <c r="H576" s="48"/>
      <c r="I576" s="48"/>
      <c r="J576" s="48"/>
      <c r="K576" s="48"/>
      <c r="L576" s="48"/>
      <c r="M576" s="48"/>
      <c r="N576" s="48"/>
      <c r="O576" s="48"/>
      <c r="P576" s="48"/>
      <c r="Q576" s="48"/>
      <c r="R576" s="48"/>
      <c r="S576" s="48"/>
      <c r="T576" s="48"/>
      <c r="U576" s="48"/>
      <c r="V576" s="48"/>
      <c r="W576" s="48"/>
      <c r="X576" s="48"/>
      <c r="Y576" s="48"/>
      <c r="Z576" s="48"/>
      <c r="AA576" s="48"/>
    </row>
    <row r="577" spans="2:27" ht="12.75" customHeight="1" x14ac:dyDescent="0.25">
      <c r="B577" s="48"/>
      <c r="C577" s="48"/>
      <c r="D577" s="48"/>
      <c r="E577" s="48"/>
      <c r="F577" s="48"/>
      <c r="G577" s="48"/>
      <c r="H577" s="48"/>
      <c r="I577" s="48"/>
      <c r="J577" s="48"/>
      <c r="K577" s="48"/>
      <c r="L577" s="48"/>
      <c r="M577" s="48"/>
      <c r="N577" s="48"/>
      <c r="O577" s="48"/>
      <c r="P577" s="48"/>
      <c r="Q577" s="48"/>
      <c r="R577" s="48"/>
      <c r="S577" s="48"/>
      <c r="T577" s="48"/>
      <c r="U577" s="48"/>
      <c r="V577" s="48"/>
      <c r="W577" s="48"/>
      <c r="X577" s="48"/>
      <c r="Y577" s="48"/>
      <c r="Z577" s="48"/>
      <c r="AA577" s="48"/>
    </row>
    <row r="578" spans="2:27" ht="12.75" customHeight="1" x14ac:dyDescent="0.25">
      <c r="B578" s="48"/>
      <c r="C578" s="48"/>
      <c r="D578" s="48"/>
      <c r="E578" s="48"/>
      <c r="F578" s="48"/>
      <c r="G578" s="48"/>
      <c r="H578" s="48"/>
      <c r="I578" s="48"/>
      <c r="J578" s="48"/>
      <c r="K578" s="48"/>
      <c r="L578" s="48"/>
      <c r="M578" s="48"/>
      <c r="N578" s="48"/>
      <c r="O578" s="48"/>
      <c r="P578" s="48"/>
      <c r="Q578" s="48"/>
      <c r="R578" s="48"/>
      <c r="S578" s="48"/>
      <c r="T578" s="48"/>
      <c r="U578" s="48"/>
      <c r="V578" s="48"/>
      <c r="W578" s="48"/>
      <c r="X578" s="48"/>
      <c r="Y578" s="48"/>
      <c r="Z578" s="48"/>
      <c r="AA578" s="48"/>
    </row>
    <row r="579" spans="2:27" ht="12.75" customHeight="1" x14ac:dyDescent="0.25">
      <c r="B579" s="48"/>
      <c r="C579" s="48"/>
      <c r="D579" s="48"/>
      <c r="E579" s="48"/>
      <c r="F579" s="48"/>
      <c r="G579" s="48"/>
      <c r="H579" s="48"/>
      <c r="I579" s="48"/>
      <c r="J579" s="48"/>
      <c r="K579" s="48"/>
      <c r="L579" s="48"/>
      <c r="M579" s="48"/>
      <c r="N579" s="48"/>
      <c r="O579" s="48"/>
      <c r="P579" s="48"/>
      <c r="Q579" s="48"/>
      <c r="R579" s="48"/>
      <c r="S579" s="48"/>
      <c r="T579" s="48"/>
      <c r="U579" s="48"/>
      <c r="V579" s="48"/>
      <c r="W579" s="48"/>
      <c r="X579" s="48"/>
      <c r="Y579" s="48"/>
      <c r="Z579" s="48"/>
      <c r="AA579" s="48"/>
    </row>
    <row r="580" spans="2:27" ht="12.75" customHeight="1" x14ac:dyDescent="0.25">
      <c r="B580" s="48"/>
      <c r="C580" s="48"/>
      <c r="D580" s="48"/>
      <c r="E580" s="48"/>
      <c r="F580" s="48"/>
      <c r="G580" s="48"/>
      <c r="H580" s="48"/>
      <c r="I580" s="48"/>
      <c r="J580" s="48"/>
      <c r="K580" s="48"/>
      <c r="L580" s="48"/>
      <c r="M580" s="48"/>
      <c r="N580" s="48"/>
      <c r="O580" s="48"/>
      <c r="P580" s="48"/>
      <c r="Q580" s="48"/>
      <c r="R580" s="48"/>
      <c r="S580" s="48"/>
      <c r="T580" s="48"/>
      <c r="U580" s="48"/>
      <c r="V580" s="48"/>
      <c r="W580" s="48"/>
      <c r="X580" s="48"/>
      <c r="Y580" s="48"/>
      <c r="Z580" s="48"/>
      <c r="AA580" s="48"/>
    </row>
    <row r="581" spans="2:27" ht="12.75" customHeight="1" x14ac:dyDescent="0.25">
      <c r="B581" s="48"/>
      <c r="C581" s="48"/>
      <c r="D581" s="48"/>
      <c r="E581" s="48"/>
      <c r="F581" s="48"/>
      <c r="G581" s="48"/>
      <c r="H581" s="48"/>
      <c r="I581" s="48"/>
      <c r="J581" s="48"/>
      <c r="K581" s="48"/>
      <c r="L581" s="48"/>
      <c r="M581" s="48"/>
      <c r="N581" s="48"/>
      <c r="O581" s="48"/>
      <c r="P581" s="48"/>
      <c r="Q581" s="48"/>
      <c r="R581" s="48"/>
      <c r="S581" s="48"/>
      <c r="T581" s="48"/>
      <c r="U581" s="48"/>
      <c r="V581" s="48"/>
      <c r="W581" s="48"/>
      <c r="X581" s="48"/>
      <c r="Y581" s="48"/>
      <c r="Z581" s="48"/>
      <c r="AA581" s="48"/>
    </row>
    <row r="582" spans="2:27" ht="12.75" customHeight="1" x14ac:dyDescent="0.25">
      <c r="B582" s="48"/>
      <c r="C582" s="48"/>
      <c r="D582" s="48"/>
      <c r="E582" s="48"/>
      <c r="F582" s="48"/>
      <c r="G582" s="48"/>
      <c r="H582" s="48"/>
      <c r="I582" s="48"/>
      <c r="J582" s="48"/>
      <c r="K582" s="48"/>
      <c r="L582" s="48"/>
      <c r="M582" s="48"/>
      <c r="N582" s="48"/>
      <c r="O582" s="48"/>
      <c r="P582" s="48"/>
      <c r="Q582" s="48"/>
      <c r="R582" s="48"/>
      <c r="S582" s="48"/>
      <c r="T582" s="48"/>
      <c r="U582" s="48"/>
      <c r="V582" s="48"/>
      <c r="W582" s="48"/>
      <c r="X582" s="48"/>
      <c r="Y582" s="48"/>
      <c r="Z582" s="48"/>
      <c r="AA582" s="48"/>
    </row>
    <row r="583" spans="2:27" ht="12.75" customHeight="1" x14ac:dyDescent="0.25">
      <c r="B583" s="48"/>
      <c r="C583" s="48"/>
      <c r="D583" s="48"/>
      <c r="E583" s="48"/>
      <c r="F583" s="48"/>
      <c r="G583" s="48"/>
      <c r="H583" s="48"/>
      <c r="I583" s="48"/>
      <c r="J583" s="48"/>
      <c r="K583" s="48"/>
      <c r="L583" s="48"/>
      <c r="M583" s="48"/>
      <c r="N583" s="48"/>
      <c r="O583" s="48"/>
      <c r="P583" s="48"/>
      <c r="Q583" s="48"/>
      <c r="R583" s="48"/>
      <c r="S583" s="48"/>
      <c r="T583" s="48"/>
      <c r="U583" s="48"/>
      <c r="V583" s="48"/>
      <c r="W583" s="48"/>
      <c r="X583" s="48"/>
      <c r="Y583" s="48"/>
      <c r="Z583" s="48"/>
      <c r="AA583" s="48"/>
    </row>
    <row r="584" spans="2:27" ht="12.75" customHeight="1" x14ac:dyDescent="0.25">
      <c r="B584" s="48"/>
      <c r="C584" s="48"/>
      <c r="D584" s="48"/>
      <c r="E584" s="48"/>
      <c r="F584" s="48"/>
      <c r="G584" s="48"/>
      <c r="H584" s="48"/>
      <c r="I584" s="48"/>
      <c r="J584" s="48"/>
      <c r="K584" s="48"/>
      <c r="L584" s="48"/>
      <c r="M584" s="48"/>
      <c r="N584" s="48"/>
      <c r="O584" s="48"/>
      <c r="P584" s="48"/>
      <c r="Q584" s="48"/>
      <c r="R584" s="48"/>
      <c r="S584" s="48"/>
      <c r="T584" s="48"/>
      <c r="U584" s="48"/>
      <c r="V584" s="48"/>
      <c r="W584" s="48"/>
      <c r="X584" s="48"/>
      <c r="Y584" s="48"/>
      <c r="Z584" s="48"/>
      <c r="AA584" s="48"/>
    </row>
    <row r="585" spans="2:27" ht="12.75" customHeight="1" x14ac:dyDescent="0.25">
      <c r="B585" s="48"/>
      <c r="C585" s="48"/>
      <c r="D585" s="48"/>
      <c r="E585" s="48"/>
      <c r="F585" s="48"/>
      <c r="G585" s="48"/>
      <c r="H585" s="48"/>
      <c r="I585" s="48"/>
      <c r="J585" s="48"/>
      <c r="K585" s="48"/>
      <c r="L585" s="48"/>
      <c r="M585" s="48"/>
      <c r="N585" s="48"/>
      <c r="O585" s="48"/>
      <c r="P585" s="48"/>
      <c r="Q585" s="48"/>
      <c r="R585" s="48"/>
      <c r="S585" s="48"/>
      <c r="T585" s="48"/>
      <c r="U585" s="48"/>
      <c r="V585" s="48"/>
      <c r="W585" s="48"/>
      <c r="X585" s="48"/>
      <c r="Y585" s="48"/>
      <c r="Z585" s="48"/>
      <c r="AA585" s="48"/>
    </row>
    <row r="586" spans="2:27" ht="12.75" customHeight="1" x14ac:dyDescent="0.25">
      <c r="B586" s="48"/>
      <c r="C586" s="48"/>
      <c r="D586" s="48"/>
      <c r="E586" s="48"/>
      <c r="F586" s="48"/>
      <c r="G586" s="48"/>
      <c r="H586" s="48"/>
      <c r="I586" s="48"/>
      <c r="J586" s="48"/>
      <c r="K586" s="48"/>
      <c r="L586" s="48"/>
      <c r="M586" s="48"/>
      <c r="N586" s="48"/>
      <c r="O586" s="48"/>
      <c r="P586" s="48"/>
      <c r="Q586" s="48"/>
      <c r="R586" s="48"/>
      <c r="S586" s="48"/>
      <c r="T586" s="48"/>
      <c r="U586" s="48"/>
      <c r="V586" s="48"/>
      <c r="W586" s="48"/>
      <c r="X586" s="48"/>
      <c r="Y586" s="48"/>
      <c r="Z586" s="48"/>
      <c r="AA586" s="48"/>
    </row>
    <row r="587" spans="2:27" ht="12.75" customHeight="1" x14ac:dyDescent="0.25">
      <c r="B587" s="48"/>
      <c r="C587" s="48"/>
      <c r="D587" s="48"/>
      <c r="E587" s="48"/>
      <c r="F587" s="48"/>
      <c r="G587" s="48"/>
      <c r="H587" s="48"/>
      <c r="I587" s="48"/>
      <c r="J587" s="48"/>
      <c r="K587" s="48"/>
      <c r="L587" s="48"/>
      <c r="M587" s="48"/>
      <c r="N587" s="48"/>
      <c r="O587" s="48"/>
      <c r="P587" s="48"/>
      <c r="Q587" s="48"/>
      <c r="R587" s="48"/>
      <c r="S587" s="48"/>
      <c r="T587" s="48"/>
      <c r="U587" s="48"/>
      <c r="V587" s="48"/>
      <c r="W587" s="48"/>
      <c r="X587" s="48"/>
      <c r="Y587" s="48"/>
      <c r="Z587" s="48"/>
      <c r="AA587" s="48"/>
    </row>
    <row r="588" spans="2:27" ht="12.75" customHeight="1" x14ac:dyDescent="0.25">
      <c r="B588" s="48"/>
      <c r="C588" s="48"/>
      <c r="D588" s="48"/>
      <c r="E588" s="48"/>
      <c r="F588" s="48"/>
      <c r="G588" s="48"/>
      <c r="H588" s="48"/>
      <c r="I588" s="48"/>
      <c r="J588" s="48"/>
      <c r="K588" s="48"/>
      <c r="L588" s="48"/>
      <c r="M588" s="48"/>
      <c r="N588" s="48"/>
      <c r="O588" s="48"/>
      <c r="P588" s="48"/>
      <c r="Q588" s="48"/>
      <c r="R588" s="48"/>
      <c r="S588" s="48"/>
      <c r="T588" s="48"/>
      <c r="U588" s="48"/>
      <c r="V588" s="48"/>
      <c r="W588" s="48"/>
      <c r="X588" s="48"/>
      <c r="Y588" s="48"/>
      <c r="Z588" s="48"/>
      <c r="AA588" s="48"/>
    </row>
    <row r="589" spans="2:27" ht="12.75" customHeight="1" x14ac:dyDescent="0.25">
      <c r="B589" s="48"/>
      <c r="C589" s="48"/>
      <c r="D589" s="48"/>
      <c r="E589" s="48"/>
      <c r="F589" s="48"/>
      <c r="G589" s="48"/>
      <c r="H589" s="48"/>
      <c r="I589" s="48"/>
      <c r="J589" s="48"/>
      <c r="K589" s="48"/>
      <c r="L589" s="48"/>
      <c r="M589" s="48"/>
      <c r="N589" s="48"/>
      <c r="O589" s="48"/>
      <c r="P589" s="48"/>
      <c r="Q589" s="48"/>
      <c r="R589" s="48"/>
      <c r="S589" s="48"/>
      <c r="T589" s="48"/>
      <c r="U589" s="48"/>
      <c r="V589" s="48"/>
      <c r="W589" s="48"/>
      <c r="X589" s="48"/>
      <c r="Y589" s="48"/>
      <c r="Z589" s="48"/>
      <c r="AA589" s="48"/>
    </row>
    <row r="590" spans="2:27" ht="12.75" customHeight="1" x14ac:dyDescent="0.25">
      <c r="B590" s="48"/>
      <c r="C590" s="48"/>
      <c r="D590" s="48"/>
      <c r="E590" s="48"/>
      <c r="F590" s="48"/>
      <c r="G590" s="48"/>
      <c r="H590" s="48"/>
      <c r="I590" s="48"/>
      <c r="J590" s="48"/>
      <c r="K590" s="48"/>
      <c r="L590" s="48"/>
      <c r="M590" s="48"/>
      <c r="N590" s="48"/>
      <c r="O590" s="48"/>
      <c r="P590" s="48"/>
      <c r="Q590" s="48"/>
      <c r="R590" s="48"/>
      <c r="S590" s="48"/>
      <c r="T590" s="48"/>
      <c r="U590" s="48"/>
      <c r="V590" s="48"/>
      <c r="W590" s="48"/>
      <c r="X590" s="48"/>
      <c r="Y590" s="48"/>
      <c r="Z590" s="48"/>
      <c r="AA590" s="48"/>
    </row>
    <row r="591" spans="2:27" ht="12.75" customHeight="1" x14ac:dyDescent="0.25">
      <c r="B591" s="48"/>
      <c r="C591" s="48"/>
      <c r="D591" s="48"/>
      <c r="E591" s="48"/>
      <c r="F591" s="48"/>
      <c r="G591" s="48"/>
      <c r="H591" s="48"/>
      <c r="I591" s="48"/>
      <c r="J591" s="48"/>
      <c r="K591" s="48"/>
      <c r="L591" s="48"/>
      <c r="M591" s="48"/>
      <c r="N591" s="48"/>
      <c r="O591" s="48"/>
      <c r="P591" s="48"/>
      <c r="Q591" s="48"/>
      <c r="R591" s="48"/>
      <c r="S591" s="48"/>
      <c r="T591" s="48"/>
      <c r="U591" s="48"/>
      <c r="V591" s="48"/>
      <c r="W591" s="48"/>
      <c r="X591" s="48"/>
      <c r="Y591" s="48"/>
      <c r="Z591" s="48"/>
      <c r="AA591" s="48"/>
    </row>
    <row r="592" spans="2:27" ht="12.75" customHeight="1" x14ac:dyDescent="0.25">
      <c r="B592" s="48"/>
      <c r="C592" s="48"/>
      <c r="D592" s="48"/>
      <c r="E592" s="48"/>
      <c r="F592" s="48"/>
      <c r="G592" s="48"/>
      <c r="H592" s="48"/>
      <c r="I592" s="48"/>
      <c r="J592" s="48"/>
      <c r="K592" s="48"/>
      <c r="L592" s="48"/>
      <c r="M592" s="48"/>
      <c r="N592" s="48"/>
      <c r="O592" s="48"/>
      <c r="P592" s="48"/>
      <c r="Q592" s="48"/>
      <c r="R592" s="48"/>
      <c r="S592" s="48"/>
      <c r="T592" s="48"/>
      <c r="U592" s="48"/>
      <c r="V592" s="48"/>
      <c r="W592" s="48"/>
      <c r="X592" s="48"/>
      <c r="Y592" s="48"/>
      <c r="Z592" s="48"/>
      <c r="AA592" s="48"/>
    </row>
    <row r="593" spans="2:27" ht="12.75" customHeight="1" x14ac:dyDescent="0.25">
      <c r="B593" s="48"/>
      <c r="C593" s="48"/>
      <c r="D593" s="48"/>
      <c r="E593" s="48"/>
      <c r="F593" s="48"/>
      <c r="G593" s="48"/>
      <c r="H593" s="48"/>
      <c r="I593" s="48"/>
      <c r="J593" s="48"/>
      <c r="K593" s="48"/>
      <c r="L593" s="48"/>
      <c r="M593" s="48"/>
      <c r="N593" s="48"/>
      <c r="O593" s="48"/>
      <c r="P593" s="48"/>
      <c r="Q593" s="48"/>
      <c r="R593" s="48"/>
      <c r="S593" s="48"/>
      <c r="T593" s="48"/>
      <c r="U593" s="48"/>
      <c r="V593" s="48"/>
      <c r="W593" s="48"/>
      <c r="X593" s="48"/>
      <c r="Y593" s="48"/>
      <c r="Z593" s="48"/>
      <c r="AA593" s="48"/>
    </row>
    <row r="594" spans="2:27" ht="12.75" customHeight="1" x14ac:dyDescent="0.25">
      <c r="B594" s="48"/>
      <c r="C594" s="48"/>
      <c r="D594" s="48"/>
      <c r="E594" s="48"/>
      <c r="F594" s="48"/>
      <c r="G594" s="48"/>
      <c r="H594" s="48"/>
      <c r="I594" s="48"/>
      <c r="J594" s="48"/>
      <c r="K594" s="48"/>
      <c r="L594" s="48"/>
      <c r="M594" s="48"/>
      <c r="N594" s="48"/>
      <c r="O594" s="48"/>
      <c r="P594" s="48"/>
      <c r="Q594" s="48"/>
      <c r="R594" s="48"/>
      <c r="S594" s="48"/>
      <c r="T594" s="48"/>
      <c r="U594" s="48"/>
      <c r="V594" s="48"/>
      <c r="W594" s="48"/>
      <c r="X594" s="48"/>
      <c r="Y594" s="48"/>
      <c r="Z594" s="48"/>
      <c r="AA594" s="48"/>
    </row>
    <row r="595" spans="2:27" ht="12.75" customHeight="1" x14ac:dyDescent="0.25">
      <c r="B595" s="48"/>
      <c r="C595" s="48"/>
      <c r="D595" s="48"/>
      <c r="E595" s="48"/>
      <c r="F595" s="48"/>
      <c r="G595" s="48"/>
      <c r="H595" s="48"/>
      <c r="I595" s="48"/>
      <c r="J595" s="48"/>
      <c r="K595" s="48"/>
      <c r="L595" s="48"/>
      <c r="M595" s="48"/>
      <c r="N595" s="48"/>
      <c r="O595" s="48"/>
      <c r="P595" s="48"/>
      <c r="Q595" s="48"/>
      <c r="R595" s="48"/>
      <c r="S595" s="48"/>
      <c r="T595" s="48"/>
      <c r="U595" s="48"/>
      <c r="V595" s="48"/>
      <c r="W595" s="48"/>
      <c r="X595" s="48"/>
      <c r="Y595" s="48"/>
      <c r="Z595" s="48"/>
      <c r="AA595" s="48"/>
    </row>
    <row r="596" spans="2:27" ht="12.75" customHeight="1" x14ac:dyDescent="0.25">
      <c r="B596" s="48"/>
      <c r="C596" s="48"/>
      <c r="D596" s="48"/>
      <c r="E596" s="48"/>
      <c r="F596" s="48"/>
      <c r="G596" s="48"/>
      <c r="H596" s="48"/>
      <c r="I596" s="48"/>
      <c r="J596" s="48"/>
      <c r="K596" s="48"/>
      <c r="L596" s="48"/>
      <c r="M596" s="48"/>
      <c r="N596" s="48"/>
      <c r="O596" s="48"/>
      <c r="P596" s="48"/>
      <c r="Q596" s="48"/>
      <c r="R596" s="48"/>
      <c r="S596" s="48"/>
      <c r="T596" s="48"/>
      <c r="U596" s="48"/>
      <c r="V596" s="48"/>
      <c r="W596" s="48"/>
      <c r="X596" s="48"/>
      <c r="Y596" s="48"/>
      <c r="Z596" s="48"/>
      <c r="AA596" s="48"/>
    </row>
    <row r="597" spans="2:27" ht="12.75" customHeight="1" x14ac:dyDescent="0.25">
      <c r="B597" s="48"/>
      <c r="C597" s="48"/>
      <c r="D597" s="48"/>
      <c r="E597" s="48"/>
      <c r="F597" s="48"/>
      <c r="G597" s="48"/>
      <c r="H597" s="48"/>
      <c r="I597" s="48"/>
      <c r="J597" s="48"/>
      <c r="K597" s="48"/>
      <c r="L597" s="48"/>
      <c r="M597" s="48"/>
      <c r="N597" s="48"/>
      <c r="O597" s="48"/>
      <c r="P597" s="48"/>
      <c r="Q597" s="48"/>
      <c r="R597" s="48"/>
      <c r="S597" s="48"/>
      <c r="T597" s="48"/>
      <c r="U597" s="48"/>
      <c r="V597" s="48"/>
      <c r="W597" s="48"/>
      <c r="X597" s="48"/>
      <c r="Y597" s="48"/>
      <c r="Z597" s="48"/>
      <c r="AA597" s="48"/>
    </row>
    <row r="598" spans="2:27" ht="12.75" customHeight="1" x14ac:dyDescent="0.25">
      <c r="B598" s="48"/>
      <c r="C598" s="48"/>
      <c r="D598" s="48"/>
      <c r="E598" s="48"/>
      <c r="F598" s="48"/>
      <c r="G598" s="48"/>
      <c r="H598" s="48"/>
      <c r="I598" s="48"/>
      <c r="J598" s="48"/>
      <c r="K598" s="48"/>
      <c r="L598" s="48"/>
      <c r="M598" s="48"/>
      <c r="N598" s="48"/>
      <c r="O598" s="48"/>
      <c r="P598" s="48"/>
      <c r="Q598" s="48"/>
      <c r="R598" s="48"/>
      <c r="S598" s="48"/>
      <c r="T598" s="48"/>
      <c r="U598" s="48"/>
      <c r="V598" s="48"/>
      <c r="W598" s="48"/>
      <c r="X598" s="48"/>
      <c r="Y598" s="48"/>
      <c r="Z598" s="48"/>
      <c r="AA598" s="48"/>
    </row>
    <row r="599" spans="2:27" ht="12.75" customHeight="1" x14ac:dyDescent="0.25">
      <c r="B599" s="48"/>
      <c r="C599" s="48"/>
      <c r="D599" s="48"/>
      <c r="E599" s="48"/>
      <c r="F599" s="48"/>
      <c r="G599" s="48"/>
      <c r="H599" s="48"/>
      <c r="I599" s="48"/>
      <c r="J599" s="48"/>
      <c r="K599" s="48"/>
      <c r="L599" s="48"/>
      <c r="M599" s="48"/>
      <c r="N599" s="48"/>
      <c r="O599" s="48"/>
      <c r="P599" s="48"/>
      <c r="Q599" s="48"/>
      <c r="R599" s="48"/>
      <c r="S599" s="48"/>
      <c r="T599" s="48"/>
      <c r="U599" s="48"/>
      <c r="V599" s="48"/>
      <c r="W599" s="48"/>
      <c r="X599" s="48"/>
      <c r="Y599" s="48"/>
      <c r="Z599" s="48"/>
      <c r="AA599" s="48"/>
    </row>
    <row r="600" spans="2:27" ht="12.75" customHeight="1" x14ac:dyDescent="0.25">
      <c r="B600" s="48"/>
      <c r="C600" s="48"/>
      <c r="D600" s="48"/>
      <c r="E600" s="48"/>
      <c r="F600" s="48"/>
      <c r="G600" s="48"/>
      <c r="H600" s="48"/>
      <c r="I600" s="48"/>
      <c r="J600" s="48"/>
      <c r="K600" s="48"/>
      <c r="L600" s="48"/>
      <c r="M600" s="48"/>
      <c r="N600" s="48"/>
      <c r="O600" s="48"/>
      <c r="P600" s="48"/>
      <c r="Q600" s="48"/>
      <c r="R600" s="48"/>
      <c r="S600" s="48"/>
      <c r="T600" s="48"/>
      <c r="U600" s="48"/>
      <c r="V600" s="48"/>
      <c r="W600" s="48"/>
      <c r="X600" s="48"/>
      <c r="Y600" s="48"/>
      <c r="Z600" s="48"/>
      <c r="AA600" s="48"/>
    </row>
    <row r="601" spans="2:27" ht="12.75" customHeight="1" x14ac:dyDescent="0.25">
      <c r="B601" s="48"/>
      <c r="C601" s="48"/>
      <c r="D601" s="48"/>
      <c r="E601" s="48"/>
      <c r="F601" s="48"/>
      <c r="G601" s="48"/>
      <c r="H601" s="48"/>
      <c r="I601" s="48"/>
      <c r="J601" s="48"/>
      <c r="K601" s="48"/>
      <c r="L601" s="48"/>
      <c r="M601" s="48"/>
      <c r="N601" s="48"/>
      <c r="O601" s="48"/>
      <c r="P601" s="48"/>
      <c r="Q601" s="48"/>
      <c r="R601" s="48"/>
      <c r="S601" s="48"/>
      <c r="T601" s="48"/>
      <c r="U601" s="48"/>
      <c r="V601" s="48"/>
      <c r="W601" s="48"/>
      <c r="X601" s="48"/>
      <c r="Y601" s="48"/>
      <c r="Z601" s="48"/>
      <c r="AA601" s="48"/>
    </row>
    <row r="602" spans="2:27" ht="12.75" customHeight="1" x14ac:dyDescent="0.25">
      <c r="B602" s="48"/>
      <c r="C602" s="48"/>
      <c r="D602" s="48"/>
      <c r="E602" s="48"/>
      <c r="F602" s="48"/>
      <c r="G602" s="48"/>
      <c r="H602" s="48"/>
      <c r="I602" s="48"/>
      <c r="J602" s="48"/>
      <c r="K602" s="48"/>
      <c r="L602" s="48"/>
      <c r="M602" s="48"/>
      <c r="N602" s="48"/>
      <c r="O602" s="48"/>
      <c r="P602" s="48"/>
      <c r="Q602" s="48"/>
      <c r="R602" s="48"/>
      <c r="S602" s="48"/>
      <c r="T602" s="48"/>
      <c r="U602" s="48"/>
      <c r="V602" s="48"/>
      <c r="W602" s="48"/>
      <c r="X602" s="48"/>
      <c r="Y602" s="48"/>
      <c r="Z602" s="48"/>
      <c r="AA602" s="48"/>
    </row>
    <row r="603" spans="2:27" ht="12.75" customHeight="1" x14ac:dyDescent="0.25">
      <c r="B603" s="48"/>
      <c r="C603" s="48"/>
      <c r="D603" s="48"/>
      <c r="E603" s="48"/>
      <c r="F603" s="48"/>
      <c r="G603" s="48"/>
      <c r="H603" s="48"/>
      <c r="I603" s="48"/>
      <c r="J603" s="48"/>
      <c r="K603" s="48"/>
      <c r="L603" s="48"/>
      <c r="M603" s="48"/>
      <c r="N603" s="48"/>
      <c r="O603" s="48"/>
      <c r="P603" s="48"/>
      <c r="Q603" s="48"/>
      <c r="R603" s="48"/>
      <c r="S603" s="48"/>
      <c r="T603" s="48"/>
      <c r="U603" s="48"/>
      <c r="V603" s="48"/>
      <c r="W603" s="48"/>
      <c r="X603" s="48"/>
      <c r="Y603" s="48"/>
      <c r="Z603" s="48"/>
      <c r="AA603" s="48"/>
    </row>
    <row r="604" spans="2:27" ht="12.75" customHeight="1" x14ac:dyDescent="0.25">
      <c r="B604" s="48"/>
      <c r="C604" s="48"/>
      <c r="D604" s="48"/>
      <c r="E604" s="48"/>
      <c r="F604" s="48"/>
      <c r="G604" s="48"/>
      <c r="H604" s="48"/>
      <c r="I604" s="48"/>
      <c r="J604" s="48"/>
      <c r="K604" s="48"/>
      <c r="L604" s="48"/>
      <c r="M604" s="48"/>
      <c r="N604" s="48"/>
      <c r="O604" s="48"/>
      <c r="P604" s="48"/>
      <c r="Q604" s="48"/>
      <c r="R604" s="48"/>
      <c r="S604" s="48"/>
      <c r="T604" s="48"/>
      <c r="U604" s="48"/>
      <c r="V604" s="48"/>
      <c r="W604" s="48"/>
      <c r="X604" s="48"/>
      <c r="Y604" s="48"/>
      <c r="Z604" s="48"/>
      <c r="AA604" s="48"/>
    </row>
    <row r="605" spans="2:27" ht="12.75" customHeight="1" x14ac:dyDescent="0.25">
      <c r="B605" s="48"/>
      <c r="C605" s="48"/>
      <c r="D605" s="48"/>
      <c r="E605" s="48"/>
      <c r="F605" s="48"/>
      <c r="G605" s="48"/>
      <c r="H605" s="48"/>
      <c r="I605" s="48"/>
      <c r="J605" s="48"/>
      <c r="K605" s="48"/>
      <c r="L605" s="48"/>
      <c r="M605" s="48"/>
      <c r="N605" s="48"/>
      <c r="O605" s="48"/>
      <c r="P605" s="48"/>
      <c r="Q605" s="48"/>
      <c r="R605" s="48"/>
      <c r="S605" s="48"/>
      <c r="T605" s="48"/>
      <c r="U605" s="48"/>
      <c r="V605" s="48"/>
      <c r="W605" s="48"/>
      <c r="X605" s="48"/>
      <c r="Y605" s="48"/>
      <c r="Z605" s="48"/>
      <c r="AA605" s="48"/>
    </row>
    <row r="606" spans="2:27" ht="12.75" customHeight="1" x14ac:dyDescent="0.25">
      <c r="B606" s="48"/>
      <c r="C606" s="48"/>
      <c r="D606" s="48"/>
      <c r="E606" s="48"/>
      <c r="F606" s="48"/>
      <c r="G606" s="48"/>
      <c r="H606" s="48"/>
      <c r="I606" s="48"/>
      <c r="J606" s="48"/>
      <c r="K606" s="48"/>
      <c r="L606" s="48"/>
      <c r="M606" s="48"/>
      <c r="N606" s="48"/>
      <c r="O606" s="48"/>
      <c r="P606" s="48"/>
      <c r="Q606" s="48"/>
      <c r="R606" s="48"/>
      <c r="S606" s="48"/>
      <c r="T606" s="48"/>
      <c r="U606" s="48"/>
      <c r="V606" s="48"/>
      <c r="W606" s="48"/>
      <c r="X606" s="48"/>
      <c r="Y606" s="48"/>
      <c r="Z606" s="48"/>
      <c r="AA606" s="48"/>
    </row>
    <row r="607" spans="2:27" ht="12.75" customHeight="1" x14ac:dyDescent="0.25">
      <c r="B607" s="48"/>
      <c r="C607" s="48"/>
      <c r="D607" s="48"/>
      <c r="E607" s="48"/>
      <c r="F607" s="48"/>
      <c r="G607" s="48"/>
      <c r="H607" s="48"/>
      <c r="I607" s="48"/>
      <c r="J607" s="48"/>
      <c r="K607" s="48"/>
      <c r="L607" s="48"/>
      <c r="M607" s="48"/>
      <c r="N607" s="48"/>
      <c r="O607" s="48"/>
      <c r="P607" s="48"/>
      <c r="Q607" s="48"/>
      <c r="R607" s="48"/>
      <c r="S607" s="48"/>
      <c r="T607" s="48"/>
      <c r="U607" s="48"/>
      <c r="V607" s="48"/>
      <c r="W607" s="48"/>
      <c r="X607" s="48"/>
      <c r="Y607" s="48"/>
      <c r="Z607" s="48"/>
      <c r="AA607" s="48"/>
    </row>
    <row r="608" spans="2:27" ht="12.75" customHeight="1" x14ac:dyDescent="0.25">
      <c r="B608" s="48"/>
      <c r="C608" s="48"/>
      <c r="D608" s="48"/>
      <c r="E608" s="48"/>
      <c r="F608" s="48"/>
      <c r="G608" s="48"/>
      <c r="H608" s="48"/>
      <c r="I608" s="48"/>
      <c r="J608" s="48"/>
      <c r="K608" s="48"/>
      <c r="L608" s="48"/>
      <c r="M608" s="48"/>
      <c r="N608" s="48"/>
      <c r="O608" s="48"/>
      <c r="P608" s="48"/>
      <c r="Q608" s="48"/>
      <c r="R608" s="48"/>
      <c r="S608" s="48"/>
      <c r="T608" s="48"/>
      <c r="U608" s="48"/>
      <c r="V608" s="48"/>
      <c r="W608" s="48"/>
      <c r="X608" s="48"/>
      <c r="Y608" s="48"/>
      <c r="Z608" s="48"/>
      <c r="AA608" s="48"/>
    </row>
    <row r="609" spans="2:27" ht="12.75" customHeight="1" x14ac:dyDescent="0.25">
      <c r="B609" s="48"/>
      <c r="C609" s="48"/>
      <c r="D609" s="48"/>
      <c r="E609" s="48"/>
      <c r="F609" s="48"/>
      <c r="G609" s="48"/>
      <c r="H609" s="48"/>
      <c r="I609" s="48"/>
      <c r="J609" s="48"/>
      <c r="K609" s="48"/>
      <c r="L609" s="48"/>
      <c r="M609" s="48"/>
      <c r="N609" s="48"/>
      <c r="O609" s="48"/>
      <c r="P609" s="48"/>
      <c r="Q609" s="48"/>
      <c r="R609" s="48"/>
      <c r="S609" s="48"/>
      <c r="T609" s="48"/>
      <c r="U609" s="48"/>
      <c r="V609" s="48"/>
      <c r="W609" s="48"/>
      <c r="X609" s="48"/>
      <c r="Y609" s="48"/>
      <c r="Z609" s="48"/>
      <c r="AA609" s="48"/>
    </row>
    <row r="610" spans="2:27" ht="12.75" customHeight="1" x14ac:dyDescent="0.25">
      <c r="B610" s="48"/>
      <c r="C610" s="48"/>
      <c r="D610" s="48"/>
      <c r="E610" s="48"/>
      <c r="F610" s="48"/>
      <c r="G610" s="48"/>
      <c r="H610" s="48"/>
      <c r="I610" s="48"/>
      <c r="J610" s="48"/>
      <c r="K610" s="48"/>
      <c r="L610" s="48"/>
      <c r="M610" s="48"/>
      <c r="N610" s="48"/>
      <c r="O610" s="48"/>
      <c r="P610" s="48"/>
      <c r="Q610" s="48"/>
      <c r="R610" s="48"/>
      <c r="S610" s="48"/>
      <c r="T610" s="48"/>
      <c r="U610" s="48"/>
      <c r="V610" s="48"/>
      <c r="W610" s="48"/>
      <c r="X610" s="48"/>
      <c r="Y610" s="48"/>
      <c r="Z610" s="48"/>
      <c r="AA610" s="48"/>
    </row>
    <row r="611" spans="2:27" ht="12.75" customHeight="1" x14ac:dyDescent="0.25">
      <c r="B611" s="48"/>
      <c r="C611" s="48"/>
      <c r="D611" s="48"/>
      <c r="E611" s="48"/>
      <c r="F611" s="48"/>
      <c r="G611" s="48"/>
      <c r="H611" s="48"/>
      <c r="I611" s="48"/>
      <c r="J611" s="48"/>
      <c r="K611" s="48"/>
      <c r="L611" s="48"/>
      <c r="M611" s="48"/>
      <c r="N611" s="48"/>
      <c r="O611" s="48"/>
      <c r="P611" s="48"/>
      <c r="Q611" s="48"/>
      <c r="R611" s="48"/>
      <c r="S611" s="48"/>
      <c r="T611" s="48"/>
      <c r="U611" s="48"/>
      <c r="V611" s="48"/>
      <c r="W611" s="48"/>
      <c r="X611" s="48"/>
      <c r="Y611" s="48"/>
      <c r="Z611" s="48"/>
      <c r="AA611" s="48"/>
    </row>
    <row r="612" spans="2:27" ht="12.75" customHeight="1" x14ac:dyDescent="0.25">
      <c r="B612" s="48"/>
      <c r="C612" s="48"/>
      <c r="D612" s="48"/>
      <c r="E612" s="48"/>
      <c r="F612" s="48"/>
      <c r="G612" s="48"/>
      <c r="H612" s="48"/>
      <c r="I612" s="48"/>
      <c r="J612" s="48"/>
      <c r="K612" s="48"/>
      <c r="L612" s="48"/>
      <c r="M612" s="48"/>
      <c r="N612" s="48"/>
      <c r="O612" s="48"/>
      <c r="P612" s="48"/>
      <c r="Q612" s="48"/>
      <c r="R612" s="48"/>
      <c r="S612" s="48"/>
      <c r="T612" s="48"/>
      <c r="U612" s="48"/>
      <c r="V612" s="48"/>
      <c r="W612" s="48"/>
      <c r="X612" s="48"/>
      <c r="Y612" s="48"/>
      <c r="Z612" s="48"/>
      <c r="AA612" s="48"/>
    </row>
    <row r="613" spans="2:27" ht="12.75" customHeight="1" x14ac:dyDescent="0.25">
      <c r="B613" s="48"/>
      <c r="C613" s="48"/>
      <c r="D613" s="48"/>
      <c r="E613" s="48"/>
      <c r="F613" s="48"/>
      <c r="G613" s="48"/>
      <c r="H613" s="48"/>
      <c r="I613" s="48"/>
      <c r="J613" s="48"/>
      <c r="K613" s="48"/>
      <c r="L613" s="48"/>
      <c r="M613" s="48"/>
      <c r="N613" s="48"/>
      <c r="O613" s="48"/>
      <c r="P613" s="48"/>
      <c r="Q613" s="48"/>
      <c r="R613" s="48"/>
      <c r="S613" s="48"/>
      <c r="T613" s="48"/>
      <c r="U613" s="48"/>
      <c r="V613" s="48"/>
      <c r="W613" s="48"/>
      <c r="X613" s="48"/>
      <c r="Y613" s="48"/>
      <c r="Z613" s="48"/>
      <c r="AA613" s="48"/>
    </row>
    <row r="614" spans="2:27" ht="12.75" customHeight="1" x14ac:dyDescent="0.25">
      <c r="B614" s="48"/>
      <c r="C614" s="48"/>
      <c r="D614" s="48"/>
      <c r="E614" s="48"/>
      <c r="F614" s="48"/>
      <c r="G614" s="48"/>
      <c r="H614" s="48"/>
      <c r="I614" s="48"/>
      <c r="J614" s="48"/>
      <c r="K614" s="48"/>
      <c r="L614" s="48"/>
      <c r="M614" s="48"/>
      <c r="N614" s="48"/>
      <c r="O614" s="48"/>
      <c r="P614" s="48"/>
      <c r="Q614" s="48"/>
      <c r="R614" s="48"/>
      <c r="S614" s="48"/>
      <c r="T614" s="48"/>
      <c r="U614" s="48"/>
      <c r="V614" s="48"/>
      <c r="W614" s="48"/>
      <c r="X614" s="48"/>
      <c r="Y614" s="48"/>
      <c r="Z614" s="48"/>
      <c r="AA614" s="48"/>
    </row>
    <row r="615" spans="2:27" ht="12.75" customHeight="1" x14ac:dyDescent="0.25">
      <c r="B615" s="48"/>
      <c r="C615" s="48"/>
      <c r="D615" s="48"/>
      <c r="E615" s="48"/>
      <c r="F615" s="48"/>
      <c r="G615" s="48"/>
      <c r="H615" s="48"/>
      <c r="I615" s="48"/>
      <c r="J615" s="48"/>
      <c r="K615" s="48"/>
      <c r="L615" s="48"/>
      <c r="M615" s="48"/>
      <c r="N615" s="48"/>
      <c r="O615" s="48"/>
      <c r="P615" s="48"/>
      <c r="Q615" s="48"/>
      <c r="R615" s="48"/>
      <c r="S615" s="48"/>
      <c r="T615" s="48"/>
      <c r="U615" s="48"/>
      <c r="V615" s="48"/>
      <c r="W615" s="48"/>
      <c r="X615" s="48"/>
      <c r="Y615" s="48"/>
      <c r="Z615" s="48"/>
      <c r="AA615" s="48"/>
    </row>
    <row r="616" spans="2:27" ht="12.75" customHeight="1" x14ac:dyDescent="0.25">
      <c r="B616" s="48"/>
      <c r="C616" s="48"/>
      <c r="D616" s="48"/>
      <c r="E616" s="48"/>
      <c r="F616" s="48"/>
      <c r="G616" s="48"/>
      <c r="H616" s="48"/>
      <c r="I616" s="48"/>
      <c r="J616" s="48"/>
      <c r="K616" s="48"/>
      <c r="L616" s="48"/>
      <c r="M616" s="48"/>
      <c r="N616" s="48"/>
      <c r="O616" s="48"/>
      <c r="P616" s="48"/>
      <c r="Q616" s="48"/>
      <c r="R616" s="48"/>
      <c r="S616" s="48"/>
      <c r="T616" s="48"/>
      <c r="U616" s="48"/>
      <c r="V616" s="48"/>
      <c r="W616" s="48"/>
      <c r="X616" s="48"/>
      <c r="Y616" s="48"/>
      <c r="Z616" s="48"/>
      <c r="AA616" s="48"/>
    </row>
    <row r="617" spans="2:27" ht="12.75" customHeight="1" x14ac:dyDescent="0.25">
      <c r="B617" s="48"/>
      <c r="C617" s="48"/>
      <c r="D617" s="48"/>
      <c r="E617" s="48"/>
      <c r="F617" s="48"/>
      <c r="G617" s="48"/>
      <c r="H617" s="48"/>
      <c r="I617" s="48"/>
      <c r="J617" s="48"/>
      <c r="K617" s="48"/>
      <c r="L617" s="48"/>
      <c r="M617" s="48"/>
      <c r="N617" s="48"/>
      <c r="O617" s="48"/>
      <c r="P617" s="48"/>
      <c r="Q617" s="48"/>
      <c r="R617" s="48"/>
      <c r="S617" s="48"/>
      <c r="T617" s="48"/>
      <c r="U617" s="48"/>
      <c r="V617" s="48"/>
      <c r="W617" s="48"/>
      <c r="X617" s="48"/>
      <c r="Y617" s="48"/>
      <c r="Z617" s="48"/>
      <c r="AA617" s="48"/>
    </row>
    <row r="618" spans="2:27" ht="12.75" customHeight="1" x14ac:dyDescent="0.25">
      <c r="B618" s="48"/>
      <c r="C618" s="48"/>
      <c r="D618" s="48"/>
      <c r="E618" s="48"/>
      <c r="F618" s="48"/>
      <c r="G618" s="48"/>
      <c r="H618" s="48"/>
      <c r="I618" s="48"/>
      <c r="J618" s="48"/>
      <c r="K618" s="48"/>
      <c r="L618" s="48"/>
      <c r="M618" s="48"/>
      <c r="N618" s="48"/>
      <c r="O618" s="48"/>
      <c r="P618" s="48"/>
      <c r="Q618" s="48"/>
      <c r="R618" s="48"/>
      <c r="S618" s="48"/>
      <c r="T618" s="48"/>
      <c r="U618" s="48"/>
      <c r="V618" s="48"/>
      <c r="W618" s="48"/>
      <c r="X618" s="48"/>
      <c r="Y618" s="48"/>
      <c r="Z618" s="48"/>
      <c r="AA618" s="48"/>
    </row>
    <row r="619" spans="2:27" ht="12.75" customHeight="1" x14ac:dyDescent="0.25">
      <c r="B619" s="48"/>
      <c r="C619" s="48"/>
      <c r="D619" s="48"/>
      <c r="E619" s="48"/>
      <c r="F619" s="48"/>
      <c r="G619" s="48"/>
      <c r="H619" s="48"/>
      <c r="I619" s="48"/>
      <c r="J619" s="48"/>
      <c r="K619" s="48"/>
      <c r="L619" s="48"/>
      <c r="M619" s="48"/>
      <c r="N619" s="48"/>
      <c r="O619" s="48"/>
      <c r="P619" s="48"/>
      <c r="Q619" s="48"/>
      <c r="R619" s="48"/>
      <c r="S619" s="48"/>
      <c r="T619" s="48"/>
      <c r="U619" s="48"/>
      <c r="V619" s="48"/>
      <c r="W619" s="48"/>
      <c r="X619" s="48"/>
      <c r="Y619" s="48"/>
      <c r="Z619" s="48"/>
      <c r="AA619" s="48"/>
    </row>
    <row r="620" spans="2:27" ht="12.75" customHeight="1" x14ac:dyDescent="0.25">
      <c r="B620" s="48"/>
      <c r="C620" s="48"/>
      <c r="D620" s="48"/>
      <c r="E620" s="48"/>
      <c r="F620" s="48"/>
      <c r="G620" s="48"/>
      <c r="H620" s="48"/>
      <c r="I620" s="48"/>
      <c r="J620" s="48"/>
      <c r="K620" s="48"/>
      <c r="L620" s="48"/>
      <c r="M620" s="48"/>
      <c r="N620" s="48"/>
      <c r="O620" s="48"/>
      <c r="P620" s="48"/>
      <c r="Q620" s="48"/>
      <c r="R620" s="48"/>
      <c r="S620" s="48"/>
      <c r="T620" s="48"/>
      <c r="U620" s="48"/>
      <c r="V620" s="48"/>
      <c r="W620" s="48"/>
      <c r="X620" s="48"/>
      <c r="Y620" s="48"/>
      <c r="Z620" s="48"/>
      <c r="AA620" s="48"/>
    </row>
    <row r="621" spans="2:27" ht="12.75" customHeight="1" x14ac:dyDescent="0.25">
      <c r="B621" s="48"/>
      <c r="C621" s="48"/>
      <c r="D621" s="48"/>
      <c r="E621" s="48"/>
      <c r="F621" s="48"/>
      <c r="G621" s="48"/>
      <c r="H621" s="48"/>
      <c r="I621" s="48"/>
      <c r="J621" s="48"/>
      <c r="K621" s="48"/>
      <c r="L621" s="48"/>
      <c r="M621" s="48"/>
      <c r="N621" s="48"/>
      <c r="O621" s="48"/>
      <c r="P621" s="48"/>
      <c r="Q621" s="48"/>
      <c r="R621" s="48"/>
      <c r="S621" s="48"/>
      <c r="T621" s="48"/>
      <c r="U621" s="48"/>
      <c r="V621" s="48"/>
      <c r="W621" s="48"/>
      <c r="X621" s="48"/>
      <c r="Y621" s="48"/>
      <c r="Z621" s="48"/>
      <c r="AA621" s="48"/>
    </row>
    <row r="622" spans="2:27" ht="12.75" customHeight="1" x14ac:dyDescent="0.25">
      <c r="B622" s="48"/>
      <c r="C622" s="48"/>
      <c r="D622" s="48"/>
      <c r="E622" s="48"/>
      <c r="F622" s="48"/>
      <c r="G622" s="48"/>
      <c r="H622" s="48"/>
      <c r="I622" s="48"/>
      <c r="J622" s="48"/>
      <c r="K622" s="48"/>
      <c r="L622" s="48"/>
      <c r="M622" s="48"/>
      <c r="N622" s="48"/>
      <c r="O622" s="48"/>
      <c r="P622" s="48"/>
      <c r="Q622" s="48"/>
      <c r="R622" s="48"/>
      <c r="S622" s="48"/>
      <c r="T622" s="48"/>
      <c r="U622" s="48"/>
      <c r="V622" s="48"/>
      <c r="W622" s="48"/>
      <c r="X622" s="48"/>
      <c r="Y622" s="48"/>
      <c r="Z622" s="48"/>
      <c r="AA622" s="48"/>
    </row>
    <row r="623" spans="2:27" ht="12.75" customHeight="1" x14ac:dyDescent="0.25">
      <c r="B623" s="48"/>
      <c r="C623" s="48"/>
      <c r="D623" s="48"/>
      <c r="E623" s="48"/>
      <c r="F623" s="48"/>
      <c r="G623" s="48"/>
      <c r="H623" s="48"/>
      <c r="I623" s="48"/>
      <c r="J623" s="48"/>
      <c r="K623" s="48"/>
      <c r="L623" s="48"/>
      <c r="M623" s="48"/>
      <c r="N623" s="48"/>
      <c r="O623" s="48"/>
      <c r="P623" s="48"/>
      <c r="Q623" s="48"/>
      <c r="R623" s="48"/>
      <c r="S623" s="48"/>
      <c r="T623" s="48"/>
      <c r="U623" s="48"/>
      <c r="V623" s="48"/>
      <c r="W623" s="48"/>
      <c r="X623" s="48"/>
      <c r="Y623" s="48"/>
      <c r="Z623" s="48"/>
      <c r="AA623" s="48"/>
    </row>
    <row r="624" spans="2:27" ht="12.75" customHeight="1" x14ac:dyDescent="0.25">
      <c r="B624" s="48"/>
      <c r="C624" s="48"/>
      <c r="D624" s="48"/>
      <c r="E624" s="48"/>
      <c r="F624" s="48"/>
      <c r="G624" s="48"/>
      <c r="H624" s="48"/>
      <c r="I624" s="48"/>
      <c r="J624" s="48"/>
      <c r="K624" s="48"/>
      <c r="L624" s="48"/>
      <c r="M624" s="48"/>
      <c r="N624" s="48"/>
      <c r="O624" s="48"/>
      <c r="P624" s="48"/>
      <c r="Q624" s="48"/>
      <c r="R624" s="48"/>
      <c r="S624" s="48"/>
      <c r="T624" s="48"/>
      <c r="U624" s="48"/>
      <c r="V624" s="48"/>
      <c r="W624" s="48"/>
      <c r="X624" s="48"/>
      <c r="Y624" s="48"/>
      <c r="Z624" s="48"/>
      <c r="AA624" s="48"/>
    </row>
    <row r="625" spans="2:27" ht="12.75" customHeight="1" x14ac:dyDescent="0.25">
      <c r="B625" s="48"/>
      <c r="C625" s="48"/>
      <c r="D625" s="48"/>
      <c r="E625" s="48"/>
      <c r="F625" s="48"/>
      <c r="G625" s="48"/>
      <c r="H625" s="48"/>
      <c r="I625" s="48"/>
      <c r="J625" s="48"/>
      <c r="K625" s="48"/>
      <c r="L625" s="48"/>
      <c r="M625" s="48"/>
      <c r="N625" s="48"/>
      <c r="O625" s="48"/>
      <c r="P625" s="48"/>
      <c r="Q625" s="48"/>
      <c r="R625" s="48"/>
      <c r="S625" s="48"/>
      <c r="T625" s="48"/>
      <c r="U625" s="48"/>
      <c r="V625" s="48"/>
      <c r="W625" s="48"/>
      <c r="X625" s="48"/>
      <c r="Y625" s="48"/>
      <c r="Z625" s="48"/>
      <c r="AA625" s="48"/>
    </row>
    <row r="626" spans="2:27" ht="12.75" customHeight="1" x14ac:dyDescent="0.25">
      <c r="B626" s="48"/>
      <c r="C626" s="48"/>
      <c r="D626" s="48"/>
      <c r="E626" s="48"/>
      <c r="F626" s="48"/>
      <c r="G626" s="48"/>
      <c r="H626" s="48"/>
      <c r="I626" s="48"/>
      <c r="J626" s="48"/>
      <c r="K626" s="48"/>
      <c r="L626" s="48"/>
      <c r="M626" s="48"/>
      <c r="N626" s="48"/>
      <c r="O626" s="48"/>
      <c r="P626" s="48"/>
      <c r="Q626" s="48"/>
      <c r="R626" s="48"/>
      <c r="S626" s="48"/>
      <c r="T626" s="48"/>
      <c r="U626" s="48"/>
      <c r="V626" s="48"/>
      <c r="W626" s="48"/>
      <c r="X626" s="48"/>
      <c r="Y626" s="48"/>
      <c r="Z626" s="48"/>
      <c r="AA626" s="48"/>
    </row>
    <row r="627" spans="2:27" ht="12.75" customHeight="1" x14ac:dyDescent="0.25">
      <c r="B627" s="48"/>
      <c r="C627" s="48"/>
      <c r="D627" s="48"/>
      <c r="E627" s="48"/>
      <c r="F627" s="48"/>
      <c r="G627" s="48"/>
      <c r="H627" s="48"/>
      <c r="I627" s="48"/>
      <c r="J627" s="48"/>
      <c r="K627" s="48"/>
      <c r="L627" s="48"/>
      <c r="M627" s="48"/>
      <c r="N627" s="48"/>
      <c r="O627" s="48"/>
      <c r="P627" s="48"/>
      <c r="Q627" s="48"/>
      <c r="R627" s="48"/>
      <c r="S627" s="48"/>
      <c r="T627" s="48"/>
      <c r="U627" s="48"/>
      <c r="V627" s="48"/>
      <c r="W627" s="48"/>
      <c r="X627" s="48"/>
      <c r="Y627" s="48"/>
      <c r="Z627" s="48"/>
      <c r="AA627" s="48"/>
    </row>
    <row r="628" spans="2:27" ht="12.75" customHeight="1" x14ac:dyDescent="0.25">
      <c r="B628" s="48"/>
      <c r="C628" s="48"/>
      <c r="D628" s="48"/>
      <c r="E628" s="48"/>
      <c r="F628" s="48"/>
      <c r="G628" s="48"/>
      <c r="H628" s="48"/>
      <c r="I628" s="48"/>
      <c r="J628" s="48"/>
      <c r="K628" s="48"/>
      <c r="L628" s="48"/>
      <c r="M628" s="48"/>
      <c r="N628" s="48"/>
      <c r="O628" s="48"/>
      <c r="P628" s="48"/>
      <c r="Q628" s="48"/>
      <c r="R628" s="48"/>
      <c r="S628" s="48"/>
      <c r="T628" s="48"/>
      <c r="U628" s="48"/>
      <c r="V628" s="48"/>
      <c r="W628" s="48"/>
      <c r="X628" s="48"/>
      <c r="Y628" s="48"/>
      <c r="Z628" s="48"/>
      <c r="AA628" s="48"/>
    </row>
    <row r="629" spans="2:27" ht="12.75" customHeight="1" x14ac:dyDescent="0.25">
      <c r="B629" s="48"/>
      <c r="C629" s="48"/>
      <c r="D629" s="48"/>
      <c r="E629" s="48"/>
      <c r="F629" s="48"/>
      <c r="G629" s="48"/>
      <c r="H629" s="48"/>
      <c r="I629" s="48"/>
      <c r="J629" s="48"/>
      <c r="K629" s="48"/>
      <c r="L629" s="48"/>
      <c r="M629" s="48"/>
      <c r="N629" s="48"/>
      <c r="O629" s="48"/>
      <c r="P629" s="48"/>
      <c r="Q629" s="48"/>
      <c r="R629" s="48"/>
      <c r="S629" s="48"/>
      <c r="T629" s="48"/>
      <c r="U629" s="48"/>
      <c r="V629" s="48"/>
      <c r="W629" s="48"/>
      <c r="X629" s="48"/>
      <c r="Y629" s="48"/>
      <c r="Z629" s="48"/>
      <c r="AA629" s="48"/>
    </row>
    <row r="630" spans="2:27" ht="12.75" customHeight="1" x14ac:dyDescent="0.25">
      <c r="B630" s="48"/>
      <c r="C630" s="48"/>
      <c r="D630" s="48"/>
      <c r="E630" s="48"/>
      <c r="F630" s="48"/>
      <c r="G630" s="48"/>
      <c r="H630" s="48"/>
      <c r="I630" s="48"/>
      <c r="J630" s="48"/>
      <c r="K630" s="48"/>
      <c r="L630" s="48"/>
      <c r="M630" s="48"/>
      <c r="N630" s="48"/>
      <c r="O630" s="48"/>
      <c r="P630" s="48"/>
      <c r="Q630" s="48"/>
      <c r="R630" s="48"/>
      <c r="S630" s="48"/>
      <c r="T630" s="48"/>
      <c r="U630" s="48"/>
      <c r="V630" s="48"/>
      <c r="W630" s="48"/>
      <c r="X630" s="48"/>
      <c r="Y630" s="48"/>
      <c r="Z630" s="48"/>
      <c r="AA630" s="48"/>
    </row>
    <row r="631" spans="2:27" ht="12.75" customHeight="1" x14ac:dyDescent="0.25">
      <c r="B631" s="48"/>
      <c r="C631" s="48"/>
      <c r="D631" s="48"/>
      <c r="E631" s="48"/>
      <c r="F631" s="48"/>
      <c r="G631" s="48"/>
      <c r="H631" s="48"/>
      <c r="I631" s="48"/>
      <c r="J631" s="48"/>
      <c r="K631" s="48"/>
      <c r="L631" s="48"/>
      <c r="M631" s="48"/>
      <c r="N631" s="48"/>
      <c r="O631" s="48"/>
      <c r="P631" s="48"/>
      <c r="Q631" s="48"/>
      <c r="R631" s="48"/>
      <c r="S631" s="48"/>
      <c r="T631" s="48"/>
      <c r="U631" s="48"/>
      <c r="V631" s="48"/>
      <c r="W631" s="48"/>
      <c r="X631" s="48"/>
      <c r="Y631" s="48"/>
      <c r="Z631" s="48"/>
      <c r="AA631" s="48"/>
    </row>
    <row r="632" spans="2:27" ht="12.75" customHeight="1" x14ac:dyDescent="0.25">
      <c r="B632" s="48"/>
      <c r="C632" s="48"/>
      <c r="D632" s="48"/>
      <c r="E632" s="48"/>
      <c r="F632" s="48"/>
      <c r="G632" s="48"/>
      <c r="H632" s="48"/>
      <c r="I632" s="48"/>
      <c r="J632" s="48"/>
      <c r="K632" s="48"/>
      <c r="L632" s="48"/>
      <c r="M632" s="48"/>
      <c r="N632" s="48"/>
      <c r="O632" s="48"/>
      <c r="P632" s="48"/>
      <c r="Q632" s="48"/>
      <c r="R632" s="48"/>
      <c r="S632" s="48"/>
      <c r="T632" s="48"/>
      <c r="U632" s="48"/>
      <c r="V632" s="48"/>
      <c r="W632" s="48"/>
      <c r="X632" s="48"/>
      <c r="Y632" s="48"/>
      <c r="Z632" s="48"/>
      <c r="AA632" s="48"/>
    </row>
    <row r="633" spans="2:27" ht="12.75" customHeight="1" x14ac:dyDescent="0.25">
      <c r="B633" s="48"/>
      <c r="C633" s="48"/>
      <c r="D633" s="48"/>
      <c r="E633" s="48"/>
      <c r="F633" s="48"/>
      <c r="G633" s="48"/>
      <c r="H633" s="48"/>
      <c r="I633" s="48"/>
      <c r="J633" s="48"/>
      <c r="K633" s="48"/>
      <c r="L633" s="48"/>
      <c r="M633" s="48"/>
      <c r="N633" s="48"/>
      <c r="O633" s="48"/>
      <c r="P633" s="48"/>
      <c r="Q633" s="48"/>
      <c r="R633" s="48"/>
      <c r="S633" s="48"/>
      <c r="T633" s="48"/>
      <c r="U633" s="48"/>
      <c r="V633" s="48"/>
      <c r="W633" s="48"/>
      <c r="X633" s="48"/>
      <c r="Y633" s="48"/>
      <c r="Z633" s="48"/>
      <c r="AA633" s="48"/>
    </row>
    <row r="634" spans="2:27" ht="12.75" customHeight="1" x14ac:dyDescent="0.25">
      <c r="B634" s="48"/>
      <c r="C634" s="48"/>
      <c r="D634" s="48"/>
      <c r="E634" s="48"/>
      <c r="F634" s="48"/>
      <c r="G634" s="48"/>
      <c r="H634" s="48"/>
      <c r="I634" s="48"/>
      <c r="J634" s="48"/>
      <c r="K634" s="48"/>
      <c r="L634" s="48"/>
      <c r="M634" s="48"/>
      <c r="N634" s="48"/>
      <c r="O634" s="48"/>
      <c r="P634" s="48"/>
      <c r="Q634" s="48"/>
      <c r="R634" s="48"/>
      <c r="S634" s="48"/>
      <c r="T634" s="48"/>
      <c r="U634" s="48"/>
      <c r="V634" s="48"/>
      <c r="W634" s="48"/>
      <c r="X634" s="48"/>
      <c r="Y634" s="48"/>
      <c r="Z634" s="48"/>
      <c r="AA634" s="48"/>
    </row>
    <row r="635" spans="2:27" ht="12.75" customHeight="1" x14ac:dyDescent="0.25">
      <c r="B635" s="48"/>
      <c r="C635" s="48"/>
      <c r="D635" s="48"/>
      <c r="E635" s="48"/>
      <c r="F635" s="48"/>
      <c r="G635" s="48"/>
      <c r="H635" s="48"/>
      <c r="I635" s="48"/>
      <c r="J635" s="48"/>
      <c r="K635" s="48"/>
      <c r="L635" s="48"/>
      <c r="M635" s="48"/>
      <c r="N635" s="48"/>
      <c r="O635" s="48"/>
      <c r="P635" s="48"/>
      <c r="Q635" s="48"/>
      <c r="R635" s="48"/>
      <c r="S635" s="48"/>
      <c r="T635" s="48"/>
      <c r="U635" s="48"/>
      <c r="V635" s="48"/>
      <c r="W635" s="48"/>
      <c r="X635" s="48"/>
      <c r="Y635" s="48"/>
      <c r="Z635" s="48"/>
      <c r="AA635" s="48"/>
    </row>
    <row r="636" spans="2:27" ht="12.75" customHeight="1" x14ac:dyDescent="0.25">
      <c r="B636" s="48"/>
      <c r="C636" s="48"/>
      <c r="D636" s="48"/>
      <c r="E636" s="48"/>
      <c r="F636" s="48"/>
      <c r="G636" s="48"/>
      <c r="H636" s="48"/>
      <c r="I636" s="48"/>
      <c r="J636" s="48"/>
      <c r="K636" s="48"/>
      <c r="L636" s="48"/>
      <c r="M636" s="48"/>
      <c r="N636" s="48"/>
      <c r="O636" s="48"/>
      <c r="P636" s="48"/>
      <c r="Q636" s="48"/>
      <c r="R636" s="48"/>
      <c r="S636" s="48"/>
      <c r="T636" s="48"/>
      <c r="U636" s="48"/>
      <c r="V636" s="48"/>
      <c r="W636" s="48"/>
      <c r="X636" s="48"/>
      <c r="Y636" s="48"/>
      <c r="Z636" s="48"/>
      <c r="AA636" s="48"/>
    </row>
    <row r="637" spans="2:27" ht="12.75" customHeight="1" x14ac:dyDescent="0.25">
      <c r="B637" s="48"/>
      <c r="C637" s="48"/>
      <c r="D637" s="48"/>
      <c r="E637" s="48"/>
      <c r="F637" s="48"/>
      <c r="G637" s="48"/>
      <c r="H637" s="48"/>
      <c r="I637" s="48"/>
      <c r="J637" s="48"/>
      <c r="K637" s="48"/>
      <c r="L637" s="48"/>
      <c r="M637" s="48"/>
      <c r="N637" s="48"/>
      <c r="O637" s="48"/>
      <c r="P637" s="48"/>
      <c r="Q637" s="48"/>
      <c r="R637" s="48"/>
      <c r="S637" s="48"/>
      <c r="T637" s="48"/>
      <c r="U637" s="48"/>
      <c r="V637" s="48"/>
      <c r="W637" s="48"/>
      <c r="X637" s="48"/>
      <c r="Y637" s="48"/>
      <c r="Z637" s="48"/>
      <c r="AA637" s="48"/>
    </row>
    <row r="638" spans="2:27" ht="12.75" customHeight="1" x14ac:dyDescent="0.25">
      <c r="B638" s="48"/>
      <c r="C638" s="48"/>
      <c r="D638" s="48"/>
      <c r="E638" s="48"/>
      <c r="F638" s="48"/>
      <c r="G638" s="48"/>
      <c r="H638" s="48"/>
      <c r="I638" s="48"/>
      <c r="J638" s="48"/>
      <c r="K638" s="48"/>
      <c r="L638" s="48"/>
      <c r="M638" s="48"/>
      <c r="N638" s="48"/>
      <c r="O638" s="48"/>
      <c r="P638" s="48"/>
      <c r="Q638" s="48"/>
      <c r="R638" s="48"/>
      <c r="S638" s="48"/>
      <c r="T638" s="48"/>
      <c r="U638" s="48"/>
      <c r="V638" s="48"/>
      <c r="W638" s="48"/>
      <c r="X638" s="48"/>
      <c r="Y638" s="48"/>
      <c r="Z638" s="48"/>
      <c r="AA638" s="48"/>
    </row>
    <row r="639" spans="2:27" ht="12.75" customHeight="1" x14ac:dyDescent="0.25">
      <c r="B639" s="48"/>
      <c r="C639" s="48"/>
      <c r="D639" s="48"/>
      <c r="E639" s="48"/>
      <c r="F639" s="48"/>
      <c r="G639" s="48"/>
      <c r="H639" s="48"/>
      <c r="I639" s="48"/>
      <c r="J639" s="48"/>
      <c r="K639" s="48"/>
      <c r="L639" s="48"/>
      <c r="M639" s="48"/>
      <c r="N639" s="48"/>
      <c r="O639" s="48"/>
      <c r="P639" s="48"/>
      <c r="Q639" s="48"/>
      <c r="R639" s="48"/>
      <c r="S639" s="48"/>
      <c r="T639" s="48"/>
      <c r="U639" s="48"/>
      <c r="V639" s="48"/>
      <c r="W639" s="48"/>
      <c r="X639" s="48"/>
      <c r="Y639" s="48"/>
      <c r="Z639" s="48"/>
      <c r="AA639" s="48"/>
    </row>
    <row r="640" spans="2:27" ht="12.75" customHeight="1" x14ac:dyDescent="0.25">
      <c r="B640" s="48"/>
      <c r="C640" s="48"/>
      <c r="D640" s="48"/>
      <c r="E640" s="48"/>
      <c r="F640" s="48"/>
      <c r="G640" s="48"/>
      <c r="H640" s="48"/>
      <c r="I640" s="48"/>
      <c r="J640" s="48"/>
      <c r="K640" s="48"/>
      <c r="L640" s="48"/>
      <c r="M640" s="48"/>
      <c r="N640" s="48"/>
      <c r="O640" s="48"/>
      <c r="P640" s="48"/>
      <c r="Q640" s="48"/>
      <c r="R640" s="48"/>
      <c r="S640" s="48"/>
      <c r="T640" s="48"/>
      <c r="U640" s="48"/>
      <c r="V640" s="48"/>
      <c r="W640" s="48"/>
      <c r="X640" s="48"/>
      <c r="Y640" s="48"/>
      <c r="Z640" s="48"/>
      <c r="AA640" s="48"/>
    </row>
    <row r="641" spans="2:27" ht="12.75" customHeight="1" x14ac:dyDescent="0.25">
      <c r="B641" s="48"/>
      <c r="C641" s="48"/>
      <c r="D641" s="48"/>
      <c r="E641" s="48"/>
      <c r="F641" s="48"/>
      <c r="G641" s="48"/>
      <c r="H641" s="48"/>
      <c r="I641" s="48"/>
      <c r="J641" s="48"/>
      <c r="K641" s="48"/>
      <c r="L641" s="48"/>
      <c r="M641" s="48"/>
      <c r="N641" s="48"/>
      <c r="O641" s="48"/>
      <c r="P641" s="48"/>
      <c r="Q641" s="48"/>
      <c r="R641" s="48"/>
      <c r="S641" s="48"/>
      <c r="T641" s="48"/>
      <c r="U641" s="48"/>
      <c r="V641" s="48"/>
      <c r="W641" s="48"/>
      <c r="X641" s="48"/>
      <c r="Y641" s="48"/>
      <c r="Z641" s="48"/>
      <c r="AA641" s="48"/>
    </row>
    <row r="642" spans="2:27" ht="12.75" customHeight="1" x14ac:dyDescent="0.25">
      <c r="B642" s="48"/>
      <c r="C642" s="48"/>
      <c r="D642" s="48"/>
      <c r="E642" s="48"/>
      <c r="F642" s="48"/>
      <c r="G642" s="48"/>
      <c r="H642" s="48"/>
      <c r="I642" s="48"/>
      <c r="J642" s="48"/>
      <c r="K642" s="48"/>
      <c r="L642" s="48"/>
      <c r="M642" s="48"/>
      <c r="N642" s="48"/>
      <c r="O642" s="48"/>
      <c r="P642" s="48"/>
      <c r="Q642" s="48"/>
      <c r="R642" s="48"/>
      <c r="S642" s="48"/>
      <c r="T642" s="48"/>
      <c r="U642" s="48"/>
      <c r="V642" s="48"/>
      <c r="W642" s="48"/>
      <c r="X642" s="48"/>
      <c r="Y642" s="48"/>
      <c r="Z642" s="48"/>
      <c r="AA642" s="48"/>
    </row>
    <row r="643" spans="2:27" ht="12.75" customHeight="1" x14ac:dyDescent="0.25">
      <c r="B643" s="48"/>
      <c r="C643" s="48"/>
      <c r="D643" s="48"/>
      <c r="E643" s="48"/>
      <c r="F643" s="48"/>
      <c r="G643" s="48"/>
      <c r="H643" s="48"/>
      <c r="I643" s="48"/>
      <c r="J643" s="48"/>
      <c r="K643" s="48"/>
      <c r="L643" s="48"/>
      <c r="M643" s="48"/>
      <c r="N643" s="48"/>
      <c r="O643" s="48"/>
      <c r="P643" s="48"/>
      <c r="Q643" s="48"/>
      <c r="R643" s="48"/>
      <c r="S643" s="48"/>
      <c r="T643" s="48"/>
      <c r="U643" s="48"/>
      <c r="V643" s="48"/>
      <c r="W643" s="48"/>
      <c r="X643" s="48"/>
      <c r="Y643" s="48"/>
      <c r="Z643" s="48"/>
      <c r="AA643" s="48"/>
    </row>
    <row r="644" spans="2:27" ht="12.75" customHeight="1" x14ac:dyDescent="0.25">
      <c r="B644" s="48"/>
      <c r="C644" s="48"/>
      <c r="D644" s="48"/>
      <c r="E644" s="48"/>
      <c r="F644" s="48"/>
      <c r="G644" s="48"/>
      <c r="H644" s="48"/>
      <c r="I644" s="48"/>
      <c r="J644" s="48"/>
      <c r="K644" s="48"/>
      <c r="L644" s="48"/>
      <c r="M644" s="48"/>
      <c r="N644" s="48"/>
      <c r="O644" s="48"/>
      <c r="P644" s="48"/>
      <c r="Q644" s="48"/>
      <c r="R644" s="48"/>
      <c r="S644" s="48"/>
      <c r="T644" s="48"/>
      <c r="U644" s="48"/>
      <c r="V644" s="48"/>
      <c r="W644" s="48"/>
      <c r="X644" s="48"/>
      <c r="Y644" s="48"/>
      <c r="Z644" s="48"/>
      <c r="AA644" s="48"/>
    </row>
    <row r="645" spans="2:27" ht="12.75" customHeight="1" x14ac:dyDescent="0.25">
      <c r="B645" s="48"/>
      <c r="C645" s="48"/>
      <c r="D645" s="48"/>
      <c r="E645" s="48"/>
      <c r="F645" s="48"/>
      <c r="G645" s="48"/>
      <c r="H645" s="48"/>
      <c r="I645" s="48"/>
      <c r="J645" s="48"/>
      <c r="K645" s="48"/>
      <c r="L645" s="48"/>
      <c r="M645" s="48"/>
      <c r="N645" s="48"/>
      <c r="O645" s="48"/>
      <c r="P645" s="48"/>
      <c r="Q645" s="48"/>
      <c r="R645" s="48"/>
      <c r="S645" s="48"/>
      <c r="T645" s="48"/>
      <c r="U645" s="48"/>
      <c r="V645" s="48"/>
      <c r="W645" s="48"/>
      <c r="X645" s="48"/>
      <c r="Y645" s="48"/>
      <c r="Z645" s="48"/>
      <c r="AA645" s="48"/>
    </row>
    <row r="646" spans="2:27" ht="12.75" customHeight="1" x14ac:dyDescent="0.25">
      <c r="B646" s="48"/>
      <c r="C646" s="48"/>
      <c r="D646" s="48"/>
      <c r="E646" s="48"/>
      <c r="F646" s="48"/>
      <c r="G646" s="48"/>
      <c r="H646" s="48"/>
      <c r="I646" s="48"/>
      <c r="J646" s="48"/>
      <c r="K646" s="48"/>
      <c r="L646" s="48"/>
      <c r="M646" s="48"/>
      <c r="N646" s="48"/>
      <c r="O646" s="48"/>
      <c r="P646" s="48"/>
      <c r="Q646" s="48"/>
      <c r="R646" s="48"/>
      <c r="S646" s="48"/>
      <c r="T646" s="48"/>
      <c r="U646" s="48"/>
      <c r="V646" s="48"/>
      <c r="W646" s="48"/>
      <c r="X646" s="48"/>
      <c r="Y646" s="48"/>
      <c r="Z646" s="48"/>
      <c r="AA646" s="48"/>
    </row>
    <row r="647" spans="2:27" ht="12.75" customHeight="1" x14ac:dyDescent="0.25">
      <c r="B647" s="48"/>
      <c r="C647" s="48"/>
      <c r="D647" s="48"/>
      <c r="E647" s="48"/>
      <c r="F647" s="48"/>
      <c r="G647" s="48"/>
      <c r="H647" s="48"/>
      <c r="I647" s="48"/>
      <c r="J647" s="48"/>
      <c r="K647" s="48"/>
      <c r="L647" s="48"/>
      <c r="M647" s="48"/>
      <c r="N647" s="48"/>
      <c r="O647" s="48"/>
      <c r="P647" s="48"/>
      <c r="Q647" s="48"/>
      <c r="R647" s="48"/>
      <c r="S647" s="48"/>
      <c r="T647" s="48"/>
      <c r="U647" s="48"/>
      <c r="V647" s="48"/>
      <c r="W647" s="48"/>
      <c r="X647" s="48"/>
      <c r="Y647" s="48"/>
      <c r="Z647" s="48"/>
      <c r="AA647" s="48"/>
    </row>
    <row r="648" spans="2:27" ht="12.75" customHeight="1" x14ac:dyDescent="0.25">
      <c r="B648" s="48"/>
      <c r="C648" s="48"/>
      <c r="D648" s="48"/>
      <c r="E648" s="48"/>
      <c r="F648" s="48"/>
      <c r="G648" s="48"/>
      <c r="H648" s="48"/>
      <c r="I648" s="48"/>
      <c r="J648" s="48"/>
      <c r="K648" s="48"/>
      <c r="L648" s="48"/>
      <c r="M648" s="48"/>
      <c r="N648" s="48"/>
      <c r="O648" s="48"/>
      <c r="P648" s="48"/>
      <c r="Q648" s="48"/>
      <c r="R648" s="48"/>
      <c r="S648" s="48"/>
      <c r="T648" s="48"/>
      <c r="U648" s="48"/>
      <c r="V648" s="48"/>
      <c r="W648" s="48"/>
      <c r="X648" s="48"/>
      <c r="Y648" s="48"/>
      <c r="Z648" s="48"/>
      <c r="AA648" s="48"/>
    </row>
    <row r="649" spans="2:27" ht="12.75" customHeight="1" x14ac:dyDescent="0.25">
      <c r="B649" s="48"/>
      <c r="C649" s="48"/>
      <c r="D649" s="48"/>
      <c r="E649" s="48"/>
      <c r="F649" s="48"/>
      <c r="G649" s="48"/>
      <c r="H649" s="48"/>
      <c r="I649" s="48"/>
      <c r="J649" s="48"/>
      <c r="K649" s="48"/>
      <c r="L649" s="48"/>
      <c r="M649" s="48"/>
      <c r="N649" s="48"/>
      <c r="O649" s="48"/>
      <c r="P649" s="48"/>
      <c r="Q649" s="48"/>
      <c r="R649" s="48"/>
      <c r="S649" s="48"/>
      <c r="T649" s="48"/>
      <c r="U649" s="48"/>
      <c r="V649" s="48"/>
      <c r="W649" s="48"/>
      <c r="X649" s="48"/>
      <c r="Y649" s="48"/>
      <c r="Z649" s="48"/>
      <c r="AA649" s="48"/>
    </row>
    <row r="650" spans="2:27" ht="12.75" customHeight="1" x14ac:dyDescent="0.25">
      <c r="B650" s="48"/>
      <c r="C650" s="48"/>
      <c r="D650" s="48"/>
      <c r="E650" s="48"/>
      <c r="F650" s="48"/>
      <c r="G650" s="48"/>
      <c r="H650" s="48"/>
      <c r="I650" s="48"/>
      <c r="J650" s="48"/>
      <c r="K650" s="48"/>
      <c r="L650" s="48"/>
      <c r="M650" s="48"/>
      <c r="N650" s="48"/>
      <c r="O650" s="48"/>
      <c r="P650" s="48"/>
      <c r="Q650" s="48"/>
      <c r="R650" s="48"/>
      <c r="S650" s="48"/>
      <c r="T650" s="48"/>
      <c r="U650" s="48"/>
      <c r="V650" s="48"/>
      <c r="W650" s="48"/>
      <c r="X650" s="48"/>
      <c r="Y650" s="48"/>
      <c r="Z650" s="48"/>
      <c r="AA650" s="48"/>
    </row>
    <row r="651" spans="2:27" ht="12.75" customHeight="1" x14ac:dyDescent="0.25">
      <c r="B651" s="48"/>
      <c r="C651" s="48"/>
      <c r="D651" s="48"/>
      <c r="E651" s="48"/>
      <c r="F651" s="48"/>
      <c r="G651" s="48"/>
      <c r="H651" s="48"/>
      <c r="I651" s="48"/>
      <c r="J651" s="48"/>
      <c r="K651" s="48"/>
      <c r="L651" s="48"/>
      <c r="M651" s="48"/>
      <c r="N651" s="48"/>
      <c r="O651" s="48"/>
      <c r="P651" s="48"/>
      <c r="Q651" s="48"/>
      <c r="R651" s="48"/>
      <c r="S651" s="48"/>
      <c r="T651" s="48"/>
      <c r="U651" s="48"/>
      <c r="V651" s="48"/>
      <c r="W651" s="48"/>
      <c r="X651" s="48"/>
      <c r="Y651" s="48"/>
      <c r="Z651" s="48"/>
      <c r="AA651" s="48"/>
    </row>
    <row r="652" spans="2:27" ht="12.75" customHeight="1" x14ac:dyDescent="0.25">
      <c r="B652" s="48"/>
      <c r="C652" s="48"/>
      <c r="D652" s="48"/>
      <c r="E652" s="48"/>
      <c r="F652" s="48"/>
      <c r="G652" s="48"/>
      <c r="H652" s="48"/>
      <c r="I652" s="48"/>
      <c r="J652" s="48"/>
      <c r="K652" s="48"/>
      <c r="L652" s="48"/>
      <c r="M652" s="48"/>
      <c r="N652" s="48"/>
      <c r="O652" s="48"/>
      <c r="P652" s="48"/>
      <c r="Q652" s="48"/>
      <c r="R652" s="48"/>
      <c r="S652" s="48"/>
      <c r="T652" s="48"/>
      <c r="U652" s="48"/>
      <c r="V652" s="48"/>
      <c r="W652" s="48"/>
      <c r="X652" s="48"/>
      <c r="Y652" s="48"/>
      <c r="Z652" s="48"/>
      <c r="AA652" s="48"/>
    </row>
    <row r="653" spans="2:27" ht="12.75" customHeight="1" x14ac:dyDescent="0.25">
      <c r="B653" s="48"/>
      <c r="C653" s="48"/>
      <c r="D653" s="48"/>
      <c r="E653" s="48"/>
      <c r="F653" s="48"/>
      <c r="G653" s="48"/>
      <c r="H653" s="48"/>
      <c r="I653" s="48"/>
      <c r="J653" s="48"/>
      <c r="K653" s="48"/>
      <c r="L653" s="48"/>
      <c r="M653" s="48"/>
      <c r="N653" s="48"/>
      <c r="O653" s="48"/>
      <c r="P653" s="48"/>
      <c r="Q653" s="48"/>
      <c r="R653" s="48"/>
      <c r="S653" s="48"/>
      <c r="T653" s="48"/>
      <c r="U653" s="48"/>
      <c r="V653" s="48"/>
      <c r="W653" s="48"/>
      <c r="X653" s="48"/>
      <c r="Y653" s="48"/>
      <c r="Z653" s="48"/>
      <c r="AA653" s="48"/>
    </row>
    <row r="654" spans="2:27" ht="12.75" customHeight="1" x14ac:dyDescent="0.25">
      <c r="B654" s="48"/>
      <c r="C654" s="48"/>
      <c r="D654" s="48"/>
      <c r="E654" s="48"/>
      <c r="F654" s="48"/>
      <c r="G654" s="48"/>
      <c r="H654" s="48"/>
      <c r="I654" s="48"/>
      <c r="J654" s="48"/>
      <c r="K654" s="48"/>
      <c r="L654" s="48"/>
      <c r="M654" s="48"/>
      <c r="N654" s="48"/>
      <c r="O654" s="48"/>
      <c r="P654" s="48"/>
      <c r="Q654" s="48"/>
      <c r="R654" s="48"/>
      <c r="S654" s="48"/>
      <c r="T654" s="48"/>
      <c r="U654" s="48"/>
      <c r="V654" s="48"/>
      <c r="W654" s="48"/>
      <c r="X654" s="48"/>
      <c r="Y654" s="48"/>
      <c r="Z654" s="48"/>
      <c r="AA654" s="48"/>
    </row>
    <row r="655" spans="2:27" ht="12.75" customHeight="1" x14ac:dyDescent="0.25">
      <c r="B655" s="48"/>
      <c r="C655" s="48"/>
      <c r="D655" s="48"/>
      <c r="E655" s="48"/>
      <c r="F655" s="48"/>
      <c r="G655" s="48"/>
      <c r="H655" s="48"/>
      <c r="I655" s="48"/>
      <c r="J655" s="48"/>
      <c r="K655" s="48"/>
      <c r="L655" s="48"/>
      <c r="M655" s="48"/>
      <c r="N655" s="48"/>
      <c r="O655" s="48"/>
      <c r="P655" s="48"/>
      <c r="Q655" s="48"/>
      <c r="R655" s="48"/>
      <c r="S655" s="48"/>
      <c r="T655" s="48"/>
      <c r="U655" s="48"/>
      <c r="V655" s="48"/>
      <c r="W655" s="48"/>
      <c r="X655" s="48"/>
      <c r="Y655" s="48"/>
      <c r="Z655" s="48"/>
      <c r="AA655" s="48"/>
    </row>
    <row r="656" spans="2:27" ht="12.75" customHeight="1" x14ac:dyDescent="0.25">
      <c r="B656" s="48"/>
      <c r="C656" s="48"/>
      <c r="D656" s="48"/>
      <c r="E656" s="48"/>
      <c r="F656" s="48"/>
      <c r="G656" s="48"/>
      <c r="H656" s="48"/>
      <c r="I656" s="48"/>
      <c r="J656" s="48"/>
      <c r="K656" s="48"/>
      <c r="L656" s="48"/>
      <c r="M656" s="48"/>
      <c r="N656" s="48"/>
      <c r="O656" s="48"/>
      <c r="P656" s="48"/>
      <c r="Q656" s="48"/>
      <c r="R656" s="48"/>
      <c r="S656" s="48"/>
      <c r="T656" s="48"/>
      <c r="U656" s="48"/>
      <c r="V656" s="48"/>
      <c r="W656" s="48"/>
      <c r="X656" s="48"/>
      <c r="Y656" s="48"/>
      <c r="Z656" s="48"/>
      <c r="AA656" s="48"/>
    </row>
    <row r="657" spans="2:27" ht="12.75" customHeight="1" x14ac:dyDescent="0.25">
      <c r="B657" s="48"/>
      <c r="C657" s="48"/>
      <c r="D657" s="48"/>
      <c r="E657" s="48"/>
      <c r="F657" s="48"/>
      <c r="G657" s="48"/>
      <c r="H657" s="48"/>
      <c r="I657" s="48"/>
      <c r="J657" s="48"/>
      <c r="K657" s="48"/>
      <c r="L657" s="48"/>
      <c r="M657" s="48"/>
      <c r="N657" s="48"/>
      <c r="O657" s="48"/>
      <c r="P657" s="48"/>
      <c r="Q657" s="48"/>
      <c r="R657" s="48"/>
      <c r="S657" s="48"/>
      <c r="T657" s="48"/>
      <c r="U657" s="48"/>
      <c r="V657" s="48"/>
      <c r="W657" s="48"/>
      <c r="X657" s="48"/>
      <c r="Y657" s="48"/>
      <c r="Z657" s="48"/>
      <c r="AA657" s="48"/>
    </row>
    <row r="658" spans="2:27" ht="12.75" customHeight="1" x14ac:dyDescent="0.25">
      <c r="B658" s="48"/>
      <c r="C658" s="48"/>
      <c r="D658" s="48"/>
      <c r="E658" s="48"/>
      <c r="F658" s="48"/>
      <c r="G658" s="48"/>
      <c r="H658" s="48"/>
      <c r="I658" s="48"/>
      <c r="J658" s="48"/>
      <c r="K658" s="48"/>
      <c r="L658" s="48"/>
      <c r="M658" s="48"/>
      <c r="N658" s="48"/>
      <c r="O658" s="48"/>
      <c r="P658" s="48"/>
      <c r="Q658" s="48"/>
      <c r="R658" s="48"/>
      <c r="S658" s="48"/>
      <c r="T658" s="48"/>
      <c r="U658" s="48"/>
      <c r="V658" s="48"/>
      <c r="W658" s="48"/>
      <c r="X658" s="48"/>
      <c r="Y658" s="48"/>
      <c r="Z658" s="48"/>
      <c r="AA658" s="48"/>
    </row>
    <row r="659" spans="2:27" ht="12.75" customHeight="1" x14ac:dyDescent="0.25">
      <c r="B659" s="48"/>
      <c r="C659" s="48"/>
      <c r="D659" s="48"/>
      <c r="E659" s="48"/>
      <c r="F659" s="48"/>
      <c r="G659" s="48"/>
      <c r="H659" s="48"/>
      <c r="I659" s="48"/>
      <c r="J659" s="48"/>
      <c r="K659" s="48"/>
      <c r="L659" s="48"/>
      <c r="M659" s="48"/>
      <c r="N659" s="48"/>
      <c r="O659" s="48"/>
      <c r="P659" s="48"/>
      <c r="Q659" s="48"/>
      <c r="R659" s="48"/>
      <c r="S659" s="48"/>
      <c r="T659" s="48"/>
      <c r="U659" s="48"/>
      <c r="V659" s="48"/>
      <c r="W659" s="48"/>
      <c r="X659" s="48"/>
      <c r="Y659" s="48"/>
      <c r="Z659" s="48"/>
      <c r="AA659" s="48"/>
    </row>
    <row r="660" spans="2:27" ht="12.75" customHeight="1" x14ac:dyDescent="0.25">
      <c r="B660" s="48"/>
      <c r="C660" s="48"/>
      <c r="D660" s="48"/>
      <c r="E660" s="48"/>
      <c r="F660" s="48"/>
      <c r="G660" s="48"/>
      <c r="H660" s="48"/>
      <c r="I660" s="48"/>
      <c r="J660" s="48"/>
      <c r="K660" s="48"/>
      <c r="L660" s="48"/>
      <c r="M660" s="48"/>
      <c r="N660" s="48"/>
      <c r="O660" s="48"/>
      <c r="P660" s="48"/>
      <c r="Q660" s="48"/>
      <c r="R660" s="48"/>
      <c r="S660" s="48"/>
      <c r="T660" s="48"/>
      <c r="U660" s="48"/>
      <c r="V660" s="48"/>
      <c r="W660" s="48"/>
      <c r="X660" s="48"/>
      <c r="Y660" s="48"/>
      <c r="Z660" s="48"/>
      <c r="AA660" s="48"/>
    </row>
    <row r="661" spans="2:27" ht="12.75" customHeight="1" x14ac:dyDescent="0.25">
      <c r="B661" s="48"/>
      <c r="C661" s="48"/>
      <c r="D661" s="48"/>
      <c r="E661" s="48"/>
      <c r="F661" s="48"/>
      <c r="G661" s="48"/>
      <c r="H661" s="48"/>
      <c r="I661" s="48"/>
      <c r="J661" s="48"/>
      <c r="K661" s="48"/>
      <c r="L661" s="48"/>
      <c r="M661" s="48"/>
      <c r="N661" s="48"/>
      <c r="O661" s="48"/>
      <c r="P661" s="48"/>
      <c r="Q661" s="48"/>
      <c r="R661" s="48"/>
      <c r="S661" s="48"/>
      <c r="T661" s="48"/>
      <c r="U661" s="48"/>
      <c r="V661" s="48"/>
      <c r="W661" s="48"/>
      <c r="X661" s="48"/>
      <c r="Y661" s="48"/>
      <c r="Z661" s="48"/>
      <c r="AA661" s="48"/>
    </row>
    <row r="662" spans="2:27" ht="12.75" customHeight="1" x14ac:dyDescent="0.25">
      <c r="B662" s="48"/>
      <c r="C662" s="48"/>
      <c r="D662" s="48"/>
      <c r="E662" s="48"/>
      <c r="F662" s="48"/>
      <c r="G662" s="48"/>
      <c r="H662" s="48"/>
      <c r="I662" s="48"/>
      <c r="J662" s="48"/>
      <c r="K662" s="48"/>
      <c r="L662" s="48"/>
      <c r="M662" s="48"/>
      <c r="N662" s="48"/>
      <c r="O662" s="48"/>
      <c r="P662" s="48"/>
      <c r="Q662" s="48"/>
      <c r="R662" s="48"/>
      <c r="S662" s="48"/>
      <c r="T662" s="48"/>
      <c r="U662" s="48"/>
      <c r="V662" s="48"/>
      <c r="W662" s="48"/>
      <c r="X662" s="48"/>
      <c r="Y662" s="48"/>
      <c r="Z662" s="48"/>
      <c r="AA662" s="48"/>
    </row>
    <row r="663" spans="2:27" ht="12.75" customHeight="1" x14ac:dyDescent="0.25">
      <c r="B663" s="48"/>
      <c r="C663" s="48"/>
      <c r="D663" s="48"/>
      <c r="E663" s="48"/>
      <c r="F663" s="48"/>
      <c r="G663" s="48"/>
      <c r="H663" s="48"/>
      <c r="I663" s="48"/>
      <c r="J663" s="48"/>
      <c r="K663" s="48"/>
      <c r="L663" s="48"/>
      <c r="M663" s="48"/>
      <c r="N663" s="48"/>
      <c r="O663" s="48"/>
      <c r="P663" s="48"/>
      <c r="Q663" s="48"/>
      <c r="R663" s="48"/>
      <c r="S663" s="48"/>
      <c r="T663" s="48"/>
      <c r="U663" s="48"/>
      <c r="V663" s="48"/>
      <c r="W663" s="48"/>
      <c r="X663" s="48"/>
      <c r="Y663" s="48"/>
      <c r="Z663" s="48"/>
      <c r="AA663" s="48"/>
    </row>
    <row r="664" spans="2:27" ht="12.75" customHeight="1" x14ac:dyDescent="0.25">
      <c r="B664" s="48"/>
      <c r="C664" s="48"/>
      <c r="D664" s="48"/>
      <c r="E664" s="48"/>
      <c r="F664" s="48"/>
      <c r="G664" s="48"/>
      <c r="H664" s="48"/>
      <c r="I664" s="48"/>
      <c r="J664" s="48"/>
      <c r="K664" s="48"/>
      <c r="L664" s="48"/>
      <c r="M664" s="48"/>
      <c r="N664" s="48"/>
      <c r="O664" s="48"/>
      <c r="P664" s="48"/>
      <c r="Q664" s="48"/>
      <c r="R664" s="48"/>
      <c r="S664" s="48"/>
      <c r="T664" s="48"/>
      <c r="U664" s="48"/>
      <c r="V664" s="48"/>
      <c r="W664" s="48"/>
      <c r="X664" s="48"/>
      <c r="Y664" s="48"/>
      <c r="Z664" s="48"/>
      <c r="AA664" s="48"/>
    </row>
    <row r="665" spans="2:27" ht="12.75" customHeight="1" x14ac:dyDescent="0.25">
      <c r="B665" s="48"/>
      <c r="C665" s="48"/>
      <c r="D665" s="48"/>
      <c r="E665" s="48"/>
      <c r="F665" s="48"/>
      <c r="G665" s="48"/>
      <c r="H665" s="48"/>
      <c r="I665" s="48"/>
      <c r="J665" s="48"/>
      <c r="K665" s="48"/>
      <c r="L665" s="48"/>
      <c r="M665" s="48"/>
      <c r="N665" s="48"/>
      <c r="O665" s="48"/>
      <c r="P665" s="48"/>
      <c r="Q665" s="48"/>
      <c r="R665" s="48"/>
      <c r="S665" s="48"/>
      <c r="T665" s="48"/>
      <c r="U665" s="48"/>
      <c r="V665" s="48"/>
      <c r="W665" s="48"/>
      <c r="X665" s="48"/>
      <c r="Y665" s="48"/>
      <c r="Z665" s="48"/>
      <c r="AA665" s="48"/>
    </row>
    <row r="666" spans="2:27" ht="12.75" customHeight="1" x14ac:dyDescent="0.25">
      <c r="B666" s="48"/>
      <c r="C666" s="48"/>
      <c r="D666" s="48"/>
      <c r="E666" s="48"/>
      <c r="F666" s="48"/>
      <c r="G666" s="48"/>
      <c r="H666" s="48"/>
      <c r="I666" s="48"/>
      <c r="J666" s="48"/>
      <c r="K666" s="48"/>
      <c r="L666" s="48"/>
      <c r="M666" s="48"/>
      <c r="N666" s="48"/>
      <c r="O666" s="48"/>
      <c r="P666" s="48"/>
      <c r="Q666" s="48"/>
      <c r="R666" s="48"/>
      <c r="S666" s="48"/>
      <c r="T666" s="48"/>
      <c r="U666" s="48"/>
      <c r="V666" s="48"/>
      <c r="W666" s="48"/>
      <c r="X666" s="48"/>
      <c r="Y666" s="48"/>
      <c r="Z666" s="48"/>
      <c r="AA666" s="48"/>
    </row>
    <row r="667" spans="2:27" ht="12.75" customHeight="1" x14ac:dyDescent="0.25">
      <c r="B667" s="48"/>
      <c r="C667" s="48"/>
      <c r="D667" s="48"/>
      <c r="E667" s="48"/>
      <c r="F667" s="48"/>
      <c r="G667" s="48"/>
      <c r="H667" s="48"/>
      <c r="I667" s="48"/>
      <c r="J667" s="48"/>
      <c r="K667" s="48"/>
      <c r="L667" s="48"/>
      <c r="M667" s="48"/>
      <c r="N667" s="48"/>
      <c r="O667" s="48"/>
      <c r="P667" s="48"/>
      <c r="Q667" s="48"/>
      <c r="R667" s="48"/>
      <c r="S667" s="48"/>
      <c r="T667" s="48"/>
      <c r="U667" s="48"/>
      <c r="V667" s="48"/>
      <c r="W667" s="48"/>
      <c r="X667" s="48"/>
      <c r="Y667" s="48"/>
      <c r="Z667" s="48"/>
      <c r="AA667" s="48"/>
    </row>
    <row r="668" spans="2:27" ht="12.75" customHeight="1" x14ac:dyDescent="0.25">
      <c r="B668" s="48"/>
      <c r="C668" s="48"/>
      <c r="D668" s="48"/>
      <c r="E668" s="48"/>
      <c r="F668" s="48"/>
      <c r="G668" s="48"/>
      <c r="H668" s="48"/>
      <c r="I668" s="48"/>
      <c r="J668" s="48"/>
      <c r="K668" s="48"/>
      <c r="L668" s="48"/>
      <c r="M668" s="48"/>
      <c r="N668" s="48"/>
      <c r="O668" s="48"/>
      <c r="P668" s="48"/>
      <c r="Q668" s="48"/>
      <c r="R668" s="48"/>
      <c r="S668" s="48"/>
      <c r="T668" s="48"/>
      <c r="U668" s="48"/>
      <c r="V668" s="48"/>
      <c r="W668" s="48"/>
      <c r="X668" s="48"/>
      <c r="Y668" s="48"/>
      <c r="Z668" s="48"/>
      <c r="AA668" s="48"/>
    </row>
    <row r="669" spans="2:27" ht="12.75" customHeight="1" x14ac:dyDescent="0.25">
      <c r="B669" s="48"/>
      <c r="C669" s="48"/>
      <c r="D669" s="48"/>
      <c r="E669" s="48"/>
      <c r="F669" s="48"/>
      <c r="G669" s="48"/>
      <c r="H669" s="48"/>
      <c r="I669" s="48"/>
      <c r="J669" s="48"/>
      <c r="K669" s="48"/>
      <c r="L669" s="48"/>
      <c r="M669" s="48"/>
      <c r="N669" s="48"/>
      <c r="O669" s="48"/>
      <c r="P669" s="48"/>
      <c r="Q669" s="48"/>
      <c r="R669" s="48"/>
      <c r="S669" s="48"/>
      <c r="T669" s="48"/>
      <c r="U669" s="48"/>
      <c r="V669" s="48"/>
      <c r="W669" s="48"/>
      <c r="X669" s="48"/>
      <c r="Y669" s="48"/>
      <c r="Z669" s="48"/>
      <c r="AA669" s="48"/>
    </row>
    <row r="670" spans="2:27" ht="12.75" customHeight="1" x14ac:dyDescent="0.25">
      <c r="B670" s="48"/>
      <c r="C670" s="48"/>
      <c r="D670" s="48"/>
      <c r="E670" s="48"/>
      <c r="F670" s="48"/>
      <c r="G670" s="48"/>
      <c r="H670" s="48"/>
      <c r="I670" s="48"/>
      <c r="J670" s="48"/>
      <c r="K670" s="48"/>
      <c r="L670" s="48"/>
      <c r="M670" s="48"/>
      <c r="N670" s="48"/>
      <c r="O670" s="48"/>
      <c r="P670" s="48"/>
      <c r="Q670" s="48"/>
      <c r="R670" s="48"/>
      <c r="S670" s="48"/>
      <c r="T670" s="48"/>
      <c r="U670" s="48"/>
      <c r="V670" s="48"/>
      <c r="W670" s="48"/>
      <c r="X670" s="48"/>
      <c r="Y670" s="48"/>
      <c r="Z670" s="48"/>
      <c r="AA670" s="48"/>
    </row>
    <row r="671" spans="2:27" ht="12.75" customHeight="1" x14ac:dyDescent="0.25">
      <c r="B671" s="48"/>
      <c r="C671" s="48"/>
      <c r="D671" s="48"/>
      <c r="E671" s="48"/>
      <c r="F671" s="48"/>
      <c r="G671" s="48"/>
      <c r="H671" s="48"/>
      <c r="I671" s="48"/>
      <c r="J671" s="48"/>
      <c r="K671" s="48"/>
      <c r="L671" s="48"/>
      <c r="M671" s="48"/>
      <c r="N671" s="48"/>
      <c r="O671" s="48"/>
      <c r="P671" s="48"/>
      <c r="Q671" s="48"/>
      <c r="R671" s="48"/>
      <c r="S671" s="48"/>
      <c r="T671" s="48"/>
      <c r="U671" s="48"/>
      <c r="V671" s="48"/>
      <c r="W671" s="48"/>
      <c r="X671" s="48"/>
      <c r="Y671" s="48"/>
      <c r="Z671" s="48"/>
      <c r="AA671" s="48"/>
    </row>
    <row r="672" spans="2:27" ht="12.75" customHeight="1" x14ac:dyDescent="0.25">
      <c r="B672" s="48"/>
      <c r="C672" s="48"/>
      <c r="D672" s="48"/>
      <c r="E672" s="48"/>
      <c r="F672" s="48"/>
      <c r="G672" s="48"/>
      <c r="H672" s="48"/>
      <c r="I672" s="48"/>
      <c r="J672" s="48"/>
      <c r="K672" s="48"/>
      <c r="L672" s="48"/>
      <c r="M672" s="48"/>
      <c r="N672" s="48"/>
      <c r="O672" s="48"/>
      <c r="P672" s="48"/>
      <c r="Q672" s="48"/>
      <c r="R672" s="48"/>
      <c r="S672" s="48"/>
      <c r="T672" s="48"/>
      <c r="U672" s="48"/>
      <c r="V672" s="48"/>
      <c r="W672" s="48"/>
      <c r="X672" s="48"/>
      <c r="Y672" s="48"/>
      <c r="Z672" s="48"/>
      <c r="AA672" s="48"/>
    </row>
    <row r="673" spans="2:27" ht="12.75" customHeight="1" x14ac:dyDescent="0.25">
      <c r="B673" s="48"/>
      <c r="C673" s="48"/>
      <c r="D673" s="48"/>
      <c r="E673" s="48"/>
      <c r="F673" s="48"/>
      <c r="G673" s="48"/>
      <c r="H673" s="48"/>
      <c r="I673" s="48"/>
      <c r="J673" s="48"/>
      <c r="K673" s="48"/>
      <c r="L673" s="48"/>
      <c r="M673" s="48"/>
      <c r="N673" s="48"/>
      <c r="O673" s="48"/>
      <c r="P673" s="48"/>
      <c r="Q673" s="48"/>
      <c r="R673" s="48"/>
      <c r="S673" s="48"/>
      <c r="T673" s="48"/>
      <c r="U673" s="48"/>
      <c r="V673" s="48"/>
      <c r="W673" s="48"/>
      <c r="X673" s="48"/>
      <c r="Y673" s="48"/>
      <c r="Z673" s="48"/>
      <c r="AA673" s="48"/>
    </row>
    <row r="674" spans="2:27" ht="12.75" customHeight="1" x14ac:dyDescent="0.25">
      <c r="B674" s="48"/>
      <c r="C674" s="48"/>
      <c r="D674" s="48"/>
      <c r="E674" s="48"/>
      <c r="F674" s="48"/>
      <c r="G674" s="48"/>
      <c r="H674" s="48"/>
      <c r="I674" s="48"/>
      <c r="J674" s="48"/>
      <c r="K674" s="48"/>
      <c r="L674" s="48"/>
      <c r="M674" s="48"/>
      <c r="N674" s="48"/>
      <c r="O674" s="48"/>
      <c r="P674" s="48"/>
      <c r="Q674" s="48"/>
      <c r="R674" s="48"/>
      <c r="S674" s="48"/>
      <c r="T674" s="48"/>
      <c r="U674" s="48"/>
      <c r="V674" s="48"/>
      <c r="W674" s="48"/>
      <c r="X674" s="48"/>
      <c r="Y674" s="48"/>
      <c r="Z674" s="48"/>
      <c r="AA674" s="48"/>
    </row>
    <row r="675" spans="2:27" ht="12.75" customHeight="1" x14ac:dyDescent="0.25">
      <c r="B675" s="48"/>
      <c r="C675" s="48"/>
      <c r="D675" s="48"/>
      <c r="E675" s="48"/>
      <c r="F675" s="48"/>
      <c r="G675" s="48"/>
      <c r="H675" s="48"/>
      <c r="I675" s="48"/>
      <c r="J675" s="48"/>
      <c r="K675" s="48"/>
      <c r="L675" s="48"/>
      <c r="M675" s="48"/>
      <c r="N675" s="48"/>
      <c r="O675" s="48"/>
      <c r="P675" s="48"/>
      <c r="Q675" s="48"/>
      <c r="R675" s="48"/>
      <c r="S675" s="48"/>
      <c r="T675" s="48"/>
      <c r="U675" s="48"/>
      <c r="V675" s="48"/>
      <c r="W675" s="48"/>
      <c r="X675" s="48"/>
      <c r="Y675" s="48"/>
      <c r="Z675" s="48"/>
      <c r="AA675" s="48"/>
    </row>
    <row r="676" spans="2:27" ht="12.75" customHeight="1" x14ac:dyDescent="0.25">
      <c r="B676" s="48"/>
      <c r="C676" s="48"/>
      <c r="D676" s="48"/>
      <c r="E676" s="48"/>
      <c r="F676" s="48"/>
      <c r="G676" s="48"/>
      <c r="H676" s="48"/>
      <c r="I676" s="48"/>
      <c r="J676" s="48"/>
      <c r="K676" s="48"/>
      <c r="L676" s="48"/>
      <c r="M676" s="48"/>
      <c r="N676" s="48"/>
      <c r="O676" s="48"/>
      <c r="P676" s="48"/>
      <c r="Q676" s="48"/>
      <c r="R676" s="48"/>
      <c r="S676" s="48"/>
      <c r="T676" s="48"/>
      <c r="U676" s="48"/>
      <c r="V676" s="48"/>
      <c r="W676" s="48"/>
      <c r="X676" s="48"/>
      <c r="Y676" s="48"/>
      <c r="Z676" s="48"/>
      <c r="AA676" s="48"/>
    </row>
    <row r="677" spans="2:27" ht="12.75" customHeight="1" x14ac:dyDescent="0.25">
      <c r="B677" s="48"/>
      <c r="C677" s="48"/>
      <c r="D677" s="48"/>
      <c r="E677" s="48"/>
      <c r="F677" s="48"/>
      <c r="G677" s="48"/>
      <c r="H677" s="48"/>
      <c r="I677" s="48"/>
      <c r="J677" s="48"/>
      <c r="K677" s="48"/>
      <c r="L677" s="48"/>
      <c r="M677" s="48"/>
      <c r="N677" s="48"/>
      <c r="O677" s="48"/>
      <c r="P677" s="48"/>
      <c r="Q677" s="48"/>
      <c r="R677" s="48"/>
      <c r="S677" s="48"/>
      <c r="T677" s="48"/>
      <c r="U677" s="48"/>
      <c r="V677" s="48"/>
      <c r="W677" s="48"/>
      <c r="X677" s="48"/>
      <c r="Y677" s="48"/>
      <c r="Z677" s="48"/>
      <c r="AA677" s="48"/>
    </row>
    <row r="678" spans="2:27" ht="12.75" customHeight="1" x14ac:dyDescent="0.25">
      <c r="B678" s="48"/>
      <c r="C678" s="48"/>
      <c r="D678" s="48"/>
      <c r="E678" s="48"/>
      <c r="F678" s="48"/>
      <c r="G678" s="48"/>
      <c r="H678" s="48"/>
      <c r="I678" s="48"/>
      <c r="J678" s="48"/>
      <c r="K678" s="48"/>
      <c r="L678" s="48"/>
      <c r="M678" s="48"/>
      <c r="N678" s="48"/>
      <c r="O678" s="48"/>
      <c r="P678" s="48"/>
      <c r="Q678" s="48"/>
      <c r="R678" s="48"/>
      <c r="S678" s="48"/>
      <c r="T678" s="48"/>
      <c r="U678" s="48"/>
      <c r="V678" s="48"/>
      <c r="W678" s="48"/>
      <c r="X678" s="48"/>
      <c r="Y678" s="48"/>
      <c r="Z678" s="48"/>
      <c r="AA678" s="48"/>
    </row>
    <row r="679" spans="2:27" ht="12.75" customHeight="1" x14ac:dyDescent="0.25">
      <c r="B679" s="48"/>
      <c r="C679" s="48"/>
      <c r="D679" s="48"/>
      <c r="E679" s="48"/>
      <c r="F679" s="48"/>
      <c r="G679" s="48"/>
      <c r="H679" s="48"/>
      <c r="I679" s="48"/>
      <c r="J679" s="48"/>
      <c r="K679" s="48"/>
      <c r="L679" s="48"/>
      <c r="M679" s="48"/>
      <c r="N679" s="48"/>
      <c r="O679" s="48"/>
      <c r="P679" s="48"/>
      <c r="Q679" s="48"/>
      <c r="R679" s="48"/>
      <c r="S679" s="48"/>
      <c r="T679" s="48"/>
      <c r="U679" s="48"/>
      <c r="V679" s="48"/>
      <c r="W679" s="48"/>
      <c r="X679" s="48"/>
      <c r="Y679" s="48"/>
      <c r="Z679" s="48"/>
      <c r="AA679" s="48"/>
    </row>
    <row r="680" spans="2:27" ht="12.75" customHeight="1" x14ac:dyDescent="0.25">
      <c r="B680" s="48"/>
      <c r="C680" s="48"/>
      <c r="D680" s="48"/>
      <c r="E680" s="48"/>
      <c r="F680" s="48"/>
      <c r="G680" s="48"/>
      <c r="H680" s="48"/>
      <c r="I680" s="48"/>
      <c r="J680" s="48"/>
      <c r="K680" s="48"/>
      <c r="L680" s="48"/>
      <c r="M680" s="48"/>
      <c r="N680" s="48"/>
      <c r="O680" s="48"/>
      <c r="P680" s="48"/>
      <c r="Q680" s="48"/>
      <c r="R680" s="48"/>
      <c r="S680" s="48"/>
      <c r="T680" s="48"/>
      <c r="U680" s="48"/>
      <c r="V680" s="48"/>
      <c r="W680" s="48"/>
      <c r="X680" s="48"/>
      <c r="Y680" s="48"/>
      <c r="Z680" s="48"/>
      <c r="AA680" s="48"/>
    </row>
    <row r="681" spans="2:27" ht="12.75" customHeight="1" x14ac:dyDescent="0.25">
      <c r="B681" s="48"/>
      <c r="C681" s="48"/>
      <c r="D681" s="48"/>
      <c r="E681" s="48"/>
      <c r="F681" s="48"/>
      <c r="G681" s="48"/>
      <c r="H681" s="48"/>
      <c r="I681" s="48"/>
      <c r="J681" s="48"/>
      <c r="K681" s="48"/>
      <c r="L681" s="48"/>
      <c r="M681" s="48"/>
      <c r="N681" s="48"/>
      <c r="O681" s="48"/>
      <c r="P681" s="48"/>
      <c r="Q681" s="48"/>
      <c r="R681" s="48"/>
      <c r="S681" s="48"/>
      <c r="T681" s="48"/>
      <c r="U681" s="48"/>
      <c r="V681" s="48"/>
      <c r="W681" s="48"/>
      <c r="X681" s="48"/>
      <c r="Y681" s="48"/>
      <c r="Z681" s="48"/>
      <c r="AA681" s="48"/>
    </row>
    <row r="682" spans="2:27" ht="12.75" customHeight="1" x14ac:dyDescent="0.25">
      <c r="B682" s="48"/>
      <c r="C682" s="48"/>
      <c r="D682" s="48"/>
      <c r="E682" s="48"/>
      <c r="F682" s="48"/>
      <c r="G682" s="48"/>
      <c r="H682" s="48"/>
      <c r="I682" s="48"/>
      <c r="J682" s="48"/>
      <c r="K682" s="48"/>
      <c r="L682" s="48"/>
      <c r="M682" s="48"/>
      <c r="N682" s="48"/>
      <c r="O682" s="48"/>
      <c r="P682" s="48"/>
      <c r="Q682" s="48"/>
      <c r="R682" s="48"/>
      <c r="S682" s="48"/>
      <c r="T682" s="48"/>
      <c r="U682" s="48"/>
      <c r="V682" s="48"/>
      <c r="W682" s="48"/>
      <c r="X682" s="48"/>
      <c r="Y682" s="48"/>
      <c r="Z682" s="48"/>
      <c r="AA682" s="48"/>
    </row>
    <row r="683" spans="2:27" ht="12.75" customHeight="1" x14ac:dyDescent="0.25">
      <c r="B683" s="48"/>
      <c r="C683" s="48"/>
      <c r="D683" s="48"/>
      <c r="E683" s="48"/>
      <c r="F683" s="48"/>
      <c r="G683" s="48"/>
      <c r="H683" s="48"/>
      <c r="I683" s="48"/>
      <c r="J683" s="48"/>
      <c r="K683" s="48"/>
      <c r="L683" s="48"/>
      <c r="M683" s="48"/>
      <c r="N683" s="48"/>
      <c r="O683" s="48"/>
      <c r="P683" s="48"/>
      <c r="Q683" s="48"/>
      <c r="R683" s="48"/>
      <c r="S683" s="48"/>
      <c r="T683" s="48"/>
      <c r="U683" s="48"/>
      <c r="V683" s="48"/>
      <c r="W683" s="48"/>
      <c r="X683" s="48"/>
      <c r="Y683" s="48"/>
      <c r="Z683" s="48"/>
      <c r="AA683" s="48"/>
    </row>
    <row r="684" spans="2:27" ht="12.75" customHeight="1" x14ac:dyDescent="0.25">
      <c r="B684" s="48"/>
      <c r="C684" s="48"/>
      <c r="D684" s="48"/>
      <c r="E684" s="48"/>
      <c r="F684" s="48"/>
      <c r="G684" s="48"/>
      <c r="H684" s="48"/>
      <c r="I684" s="48"/>
      <c r="J684" s="48"/>
      <c r="K684" s="48"/>
      <c r="L684" s="48"/>
      <c r="M684" s="48"/>
      <c r="N684" s="48"/>
      <c r="O684" s="48"/>
      <c r="P684" s="48"/>
      <c r="Q684" s="48"/>
      <c r="R684" s="48"/>
      <c r="S684" s="48"/>
      <c r="T684" s="48"/>
      <c r="U684" s="48"/>
      <c r="V684" s="48"/>
      <c r="W684" s="48"/>
      <c r="X684" s="48"/>
      <c r="Y684" s="48"/>
      <c r="Z684" s="48"/>
      <c r="AA684" s="48"/>
    </row>
    <row r="685" spans="2:27" ht="12.75" customHeight="1" x14ac:dyDescent="0.25">
      <c r="B685" s="48"/>
      <c r="C685" s="48"/>
      <c r="D685" s="48"/>
      <c r="E685" s="48"/>
      <c r="F685" s="48"/>
      <c r="G685" s="48"/>
      <c r="H685" s="48"/>
      <c r="I685" s="48"/>
      <c r="J685" s="48"/>
      <c r="K685" s="48"/>
      <c r="L685" s="48"/>
      <c r="M685" s="48"/>
      <c r="N685" s="48"/>
      <c r="O685" s="48"/>
      <c r="P685" s="48"/>
      <c r="Q685" s="48"/>
      <c r="R685" s="48"/>
      <c r="S685" s="48"/>
      <c r="T685" s="48"/>
      <c r="U685" s="48"/>
      <c r="V685" s="48"/>
      <c r="W685" s="48"/>
      <c r="X685" s="48"/>
      <c r="Y685" s="48"/>
      <c r="Z685" s="48"/>
      <c r="AA685" s="48"/>
    </row>
    <row r="686" spans="2:27" ht="12.75" customHeight="1" x14ac:dyDescent="0.25">
      <c r="B686" s="48"/>
      <c r="C686" s="48"/>
      <c r="D686" s="48"/>
      <c r="E686" s="48"/>
      <c r="F686" s="48"/>
      <c r="G686" s="48"/>
      <c r="H686" s="48"/>
      <c r="I686" s="48"/>
      <c r="J686" s="48"/>
      <c r="K686" s="48"/>
      <c r="L686" s="48"/>
      <c r="M686" s="48"/>
      <c r="N686" s="48"/>
      <c r="O686" s="48"/>
      <c r="P686" s="48"/>
      <c r="Q686" s="48"/>
      <c r="R686" s="48"/>
      <c r="S686" s="48"/>
      <c r="T686" s="48"/>
      <c r="U686" s="48"/>
      <c r="V686" s="48"/>
      <c r="W686" s="48"/>
      <c r="X686" s="48"/>
      <c r="Y686" s="48"/>
      <c r="Z686" s="48"/>
      <c r="AA686" s="48"/>
    </row>
    <row r="687" spans="2:27" ht="12.75" customHeight="1" x14ac:dyDescent="0.25">
      <c r="B687" s="48"/>
      <c r="C687" s="48"/>
      <c r="D687" s="48"/>
      <c r="E687" s="48"/>
      <c r="F687" s="48"/>
      <c r="G687" s="48"/>
      <c r="H687" s="48"/>
      <c r="I687" s="48"/>
      <c r="J687" s="48"/>
      <c r="K687" s="48"/>
      <c r="L687" s="48"/>
      <c r="M687" s="48"/>
      <c r="N687" s="48"/>
      <c r="O687" s="48"/>
      <c r="P687" s="48"/>
      <c r="Q687" s="48"/>
      <c r="R687" s="48"/>
      <c r="S687" s="48"/>
      <c r="T687" s="48"/>
      <c r="U687" s="48"/>
      <c r="V687" s="48"/>
      <c r="W687" s="48"/>
      <c r="X687" s="48"/>
      <c r="Y687" s="48"/>
      <c r="Z687" s="48"/>
      <c r="AA687" s="48"/>
    </row>
    <row r="688" spans="2:27" ht="12.75" customHeight="1" x14ac:dyDescent="0.25">
      <c r="B688" s="48"/>
      <c r="C688" s="48"/>
      <c r="D688" s="48"/>
      <c r="E688" s="48"/>
      <c r="F688" s="48"/>
      <c r="G688" s="48"/>
      <c r="H688" s="48"/>
      <c r="I688" s="48"/>
      <c r="J688" s="48"/>
      <c r="K688" s="48"/>
      <c r="L688" s="48"/>
      <c r="M688" s="48"/>
      <c r="N688" s="48"/>
      <c r="O688" s="48"/>
      <c r="P688" s="48"/>
      <c r="Q688" s="48"/>
      <c r="R688" s="48"/>
      <c r="S688" s="48"/>
      <c r="T688" s="48"/>
      <c r="U688" s="48"/>
      <c r="V688" s="48"/>
      <c r="W688" s="48"/>
      <c r="X688" s="48"/>
      <c r="Y688" s="48"/>
      <c r="Z688" s="48"/>
      <c r="AA688" s="48"/>
    </row>
    <row r="689" spans="2:27" ht="12.75" customHeight="1" x14ac:dyDescent="0.25">
      <c r="B689" s="48"/>
      <c r="C689" s="48"/>
      <c r="D689" s="48"/>
      <c r="E689" s="48"/>
      <c r="F689" s="48"/>
      <c r="G689" s="48"/>
      <c r="H689" s="48"/>
      <c r="I689" s="48"/>
      <c r="J689" s="48"/>
      <c r="K689" s="48"/>
      <c r="L689" s="48"/>
      <c r="M689" s="48"/>
      <c r="N689" s="48"/>
      <c r="O689" s="48"/>
      <c r="P689" s="48"/>
      <c r="Q689" s="48"/>
      <c r="R689" s="48"/>
      <c r="S689" s="48"/>
      <c r="T689" s="48"/>
      <c r="U689" s="48"/>
      <c r="V689" s="48"/>
      <c r="W689" s="48"/>
      <c r="X689" s="48"/>
      <c r="Y689" s="48"/>
      <c r="Z689" s="48"/>
      <c r="AA689" s="48"/>
    </row>
    <row r="690" spans="2:27" ht="12.75" customHeight="1" x14ac:dyDescent="0.25">
      <c r="B690" s="48"/>
      <c r="C690" s="48"/>
      <c r="D690" s="48"/>
      <c r="E690" s="48"/>
      <c r="F690" s="48"/>
      <c r="G690" s="48"/>
      <c r="H690" s="48"/>
      <c r="I690" s="48"/>
      <c r="J690" s="48"/>
      <c r="K690" s="48"/>
      <c r="L690" s="48"/>
      <c r="M690" s="48"/>
      <c r="N690" s="48"/>
      <c r="O690" s="48"/>
      <c r="P690" s="48"/>
      <c r="Q690" s="48"/>
      <c r="R690" s="48"/>
      <c r="S690" s="48"/>
      <c r="T690" s="48"/>
      <c r="U690" s="48"/>
      <c r="V690" s="48"/>
      <c r="W690" s="48"/>
      <c r="X690" s="48"/>
      <c r="Y690" s="48"/>
      <c r="Z690" s="48"/>
      <c r="AA690" s="48"/>
    </row>
    <row r="691" spans="2:27" ht="12.75" customHeight="1" x14ac:dyDescent="0.25">
      <c r="B691" s="48"/>
      <c r="C691" s="48"/>
      <c r="D691" s="48"/>
      <c r="E691" s="48"/>
      <c r="F691" s="48"/>
      <c r="G691" s="48"/>
      <c r="H691" s="48"/>
      <c r="I691" s="48"/>
      <c r="J691" s="48"/>
      <c r="K691" s="48"/>
      <c r="L691" s="48"/>
      <c r="M691" s="48"/>
      <c r="N691" s="48"/>
      <c r="O691" s="48"/>
      <c r="P691" s="48"/>
      <c r="Q691" s="48"/>
      <c r="R691" s="48"/>
      <c r="S691" s="48"/>
      <c r="T691" s="48"/>
      <c r="U691" s="48"/>
      <c r="V691" s="48"/>
      <c r="W691" s="48"/>
      <c r="X691" s="48"/>
      <c r="Y691" s="48"/>
      <c r="Z691" s="48"/>
      <c r="AA691" s="48"/>
    </row>
    <row r="692" spans="2:27" ht="12.75" customHeight="1" x14ac:dyDescent="0.25">
      <c r="B692" s="48"/>
      <c r="C692" s="48"/>
      <c r="D692" s="48"/>
      <c r="E692" s="48"/>
      <c r="F692" s="48"/>
      <c r="G692" s="48"/>
      <c r="H692" s="48"/>
      <c r="I692" s="48"/>
      <c r="J692" s="48"/>
      <c r="K692" s="48"/>
      <c r="L692" s="48"/>
      <c r="M692" s="48"/>
      <c r="N692" s="48"/>
      <c r="O692" s="48"/>
      <c r="P692" s="48"/>
      <c r="Q692" s="48"/>
      <c r="R692" s="48"/>
      <c r="S692" s="48"/>
      <c r="T692" s="48"/>
      <c r="U692" s="48"/>
      <c r="V692" s="48"/>
      <c r="W692" s="48"/>
      <c r="X692" s="48"/>
      <c r="Y692" s="48"/>
      <c r="Z692" s="48"/>
      <c r="AA692" s="48"/>
    </row>
    <row r="693" spans="2:27" ht="12.75" customHeight="1" x14ac:dyDescent="0.25">
      <c r="B693" s="48"/>
      <c r="C693" s="48"/>
      <c r="D693" s="48"/>
      <c r="E693" s="48"/>
      <c r="F693" s="48"/>
      <c r="G693" s="48"/>
      <c r="H693" s="48"/>
      <c r="I693" s="48"/>
      <c r="J693" s="48"/>
      <c r="K693" s="48"/>
      <c r="L693" s="48"/>
      <c r="M693" s="48"/>
      <c r="N693" s="48"/>
      <c r="O693" s="48"/>
      <c r="P693" s="48"/>
      <c r="Q693" s="48"/>
      <c r="R693" s="48"/>
      <c r="S693" s="48"/>
      <c r="T693" s="48"/>
      <c r="U693" s="48"/>
      <c r="V693" s="48"/>
      <c r="W693" s="48"/>
      <c r="X693" s="48"/>
      <c r="Y693" s="48"/>
      <c r="Z693" s="48"/>
      <c r="AA693" s="48"/>
    </row>
    <row r="694" spans="2:27" ht="12.75" customHeight="1" x14ac:dyDescent="0.25">
      <c r="B694" s="48"/>
      <c r="C694" s="48"/>
      <c r="D694" s="48"/>
      <c r="E694" s="48"/>
      <c r="F694" s="48"/>
      <c r="G694" s="48"/>
      <c r="H694" s="48"/>
      <c r="I694" s="48"/>
      <c r="J694" s="48"/>
      <c r="K694" s="48"/>
      <c r="L694" s="48"/>
      <c r="M694" s="48"/>
      <c r="N694" s="48"/>
      <c r="O694" s="48"/>
      <c r="P694" s="48"/>
      <c r="Q694" s="48"/>
      <c r="R694" s="48"/>
      <c r="S694" s="48"/>
      <c r="T694" s="48"/>
      <c r="U694" s="48"/>
      <c r="V694" s="48"/>
      <c r="W694" s="48"/>
      <c r="X694" s="48"/>
      <c r="Y694" s="48"/>
      <c r="Z694" s="48"/>
      <c r="AA694" s="48"/>
    </row>
    <row r="695" spans="2:27" ht="12.75" customHeight="1" x14ac:dyDescent="0.25">
      <c r="B695" s="48"/>
      <c r="C695" s="48"/>
      <c r="D695" s="48"/>
      <c r="E695" s="48"/>
      <c r="F695" s="48"/>
      <c r="G695" s="48"/>
      <c r="H695" s="48"/>
      <c r="I695" s="48"/>
      <c r="J695" s="48"/>
      <c r="K695" s="48"/>
      <c r="L695" s="48"/>
      <c r="M695" s="48"/>
      <c r="N695" s="48"/>
      <c r="O695" s="48"/>
      <c r="P695" s="48"/>
      <c r="Q695" s="48"/>
      <c r="R695" s="48"/>
      <c r="S695" s="48"/>
      <c r="T695" s="48"/>
      <c r="U695" s="48"/>
      <c r="V695" s="48"/>
      <c r="W695" s="48"/>
      <c r="X695" s="48"/>
      <c r="Y695" s="48"/>
      <c r="Z695" s="48"/>
      <c r="AA695" s="48"/>
    </row>
    <row r="696" spans="2:27" ht="12.75" customHeight="1" x14ac:dyDescent="0.25">
      <c r="B696" s="48"/>
      <c r="C696" s="48"/>
      <c r="D696" s="48"/>
      <c r="E696" s="48"/>
      <c r="F696" s="48"/>
      <c r="G696" s="48"/>
      <c r="H696" s="48"/>
      <c r="I696" s="48"/>
      <c r="J696" s="48"/>
      <c r="K696" s="48"/>
      <c r="L696" s="48"/>
      <c r="M696" s="48"/>
      <c r="N696" s="48"/>
      <c r="O696" s="48"/>
      <c r="P696" s="48"/>
      <c r="Q696" s="48"/>
      <c r="R696" s="48"/>
      <c r="S696" s="48"/>
      <c r="T696" s="48"/>
      <c r="U696" s="48"/>
      <c r="V696" s="48"/>
      <c r="W696" s="48"/>
      <c r="X696" s="48"/>
      <c r="Y696" s="48"/>
      <c r="Z696" s="48"/>
      <c r="AA696" s="48"/>
    </row>
    <row r="697" spans="2:27" ht="12.75" customHeight="1" x14ac:dyDescent="0.25">
      <c r="B697" s="48"/>
      <c r="C697" s="48"/>
      <c r="D697" s="48"/>
      <c r="E697" s="48"/>
      <c r="F697" s="48"/>
      <c r="G697" s="48"/>
      <c r="H697" s="48"/>
      <c r="I697" s="48"/>
      <c r="J697" s="48"/>
      <c r="K697" s="48"/>
      <c r="L697" s="48"/>
      <c r="M697" s="48"/>
      <c r="N697" s="48"/>
      <c r="O697" s="48"/>
      <c r="P697" s="48"/>
      <c r="Q697" s="48"/>
      <c r="R697" s="48"/>
      <c r="S697" s="48"/>
      <c r="T697" s="48"/>
      <c r="U697" s="48"/>
      <c r="V697" s="48"/>
      <c r="W697" s="48"/>
      <c r="X697" s="48"/>
      <c r="Y697" s="48"/>
      <c r="Z697" s="48"/>
      <c r="AA697" s="48"/>
    </row>
    <row r="698" spans="2:27" ht="12.75" customHeight="1" x14ac:dyDescent="0.25">
      <c r="B698" s="48"/>
      <c r="C698" s="48"/>
      <c r="D698" s="48"/>
      <c r="E698" s="48"/>
      <c r="F698" s="48"/>
      <c r="G698" s="48"/>
      <c r="H698" s="48"/>
      <c r="I698" s="48"/>
      <c r="J698" s="48"/>
      <c r="K698" s="48"/>
      <c r="L698" s="48"/>
      <c r="M698" s="48"/>
      <c r="N698" s="48"/>
      <c r="O698" s="48"/>
      <c r="P698" s="48"/>
      <c r="Q698" s="48"/>
      <c r="R698" s="48"/>
      <c r="S698" s="48"/>
      <c r="T698" s="48"/>
      <c r="U698" s="48"/>
      <c r="V698" s="48"/>
      <c r="W698" s="48"/>
      <c r="X698" s="48"/>
      <c r="Y698" s="48"/>
      <c r="Z698" s="48"/>
      <c r="AA698" s="48"/>
    </row>
    <row r="699" spans="2:27" ht="12.75" customHeight="1" x14ac:dyDescent="0.25">
      <c r="B699" s="48"/>
      <c r="C699" s="48"/>
      <c r="D699" s="48"/>
      <c r="E699" s="48"/>
      <c r="F699" s="48"/>
      <c r="G699" s="48"/>
      <c r="H699" s="48"/>
      <c r="I699" s="48"/>
      <c r="J699" s="48"/>
      <c r="K699" s="48"/>
      <c r="L699" s="48"/>
      <c r="M699" s="48"/>
      <c r="N699" s="48"/>
      <c r="O699" s="48"/>
      <c r="P699" s="48"/>
      <c r="Q699" s="48"/>
      <c r="R699" s="48"/>
      <c r="S699" s="48"/>
      <c r="T699" s="48"/>
      <c r="U699" s="48"/>
      <c r="V699" s="48"/>
      <c r="W699" s="48"/>
      <c r="X699" s="48"/>
      <c r="Y699" s="48"/>
      <c r="Z699" s="48"/>
      <c r="AA699" s="48"/>
    </row>
    <row r="700" spans="2:27" ht="12.75" customHeight="1" x14ac:dyDescent="0.25">
      <c r="B700" s="48"/>
      <c r="C700" s="48"/>
      <c r="D700" s="48"/>
      <c r="E700" s="48"/>
      <c r="F700" s="48"/>
      <c r="G700" s="48"/>
      <c r="H700" s="48"/>
      <c r="I700" s="48"/>
      <c r="J700" s="48"/>
      <c r="K700" s="48"/>
      <c r="L700" s="48"/>
      <c r="M700" s="48"/>
      <c r="N700" s="48"/>
      <c r="O700" s="48"/>
      <c r="P700" s="48"/>
      <c r="Q700" s="48"/>
      <c r="R700" s="48"/>
      <c r="S700" s="48"/>
      <c r="T700" s="48"/>
      <c r="U700" s="48"/>
      <c r="V700" s="48"/>
      <c r="W700" s="48"/>
      <c r="X700" s="48"/>
      <c r="Y700" s="48"/>
      <c r="Z700" s="48"/>
      <c r="AA700" s="48"/>
    </row>
    <row r="701" spans="2:27" ht="12.75" customHeight="1" x14ac:dyDescent="0.25">
      <c r="B701" s="48"/>
      <c r="C701" s="48"/>
      <c r="D701" s="48"/>
      <c r="E701" s="48"/>
      <c r="F701" s="48"/>
      <c r="G701" s="48"/>
      <c r="H701" s="48"/>
      <c r="I701" s="48"/>
      <c r="J701" s="48"/>
      <c r="K701" s="48"/>
      <c r="L701" s="48"/>
      <c r="M701" s="48"/>
      <c r="N701" s="48"/>
      <c r="O701" s="48"/>
      <c r="P701" s="48"/>
      <c r="Q701" s="48"/>
      <c r="R701" s="48"/>
      <c r="S701" s="48"/>
      <c r="T701" s="48"/>
      <c r="U701" s="48"/>
      <c r="V701" s="48"/>
      <c r="W701" s="48"/>
      <c r="X701" s="48"/>
      <c r="Y701" s="48"/>
      <c r="Z701" s="48"/>
      <c r="AA701" s="48"/>
    </row>
    <row r="702" spans="2:27" ht="12.75" customHeight="1" x14ac:dyDescent="0.25">
      <c r="B702" s="48"/>
      <c r="C702" s="48"/>
      <c r="D702" s="48"/>
      <c r="E702" s="48"/>
      <c r="F702" s="48"/>
      <c r="G702" s="48"/>
      <c r="H702" s="48"/>
      <c r="I702" s="48"/>
      <c r="J702" s="48"/>
      <c r="K702" s="48"/>
      <c r="L702" s="48"/>
      <c r="M702" s="48"/>
      <c r="N702" s="48"/>
      <c r="O702" s="48"/>
      <c r="P702" s="48"/>
      <c r="Q702" s="48"/>
      <c r="R702" s="48"/>
      <c r="S702" s="48"/>
      <c r="T702" s="48"/>
      <c r="U702" s="48"/>
      <c r="V702" s="48"/>
      <c r="W702" s="48"/>
      <c r="X702" s="48"/>
      <c r="Y702" s="48"/>
      <c r="Z702" s="48"/>
      <c r="AA702" s="48"/>
    </row>
    <row r="703" spans="2:27" ht="12.75" customHeight="1" x14ac:dyDescent="0.25">
      <c r="B703" s="48"/>
      <c r="C703" s="48"/>
      <c r="D703" s="48"/>
      <c r="E703" s="48"/>
      <c r="F703" s="48"/>
      <c r="G703" s="48"/>
      <c r="H703" s="48"/>
      <c r="I703" s="48"/>
      <c r="J703" s="48"/>
      <c r="K703" s="48"/>
      <c r="L703" s="48"/>
      <c r="M703" s="48"/>
      <c r="N703" s="48"/>
      <c r="O703" s="48"/>
      <c r="P703" s="48"/>
      <c r="Q703" s="48"/>
      <c r="R703" s="48"/>
      <c r="S703" s="48"/>
      <c r="T703" s="48"/>
      <c r="U703" s="48"/>
      <c r="V703" s="48"/>
      <c r="W703" s="48"/>
      <c r="X703" s="48"/>
      <c r="Y703" s="48"/>
      <c r="Z703" s="48"/>
      <c r="AA703" s="48"/>
    </row>
    <row r="704" spans="2:27" ht="12.75" customHeight="1" x14ac:dyDescent="0.25">
      <c r="B704" s="48"/>
      <c r="C704" s="48"/>
      <c r="D704" s="48"/>
      <c r="E704" s="48"/>
      <c r="F704" s="48"/>
      <c r="G704" s="48"/>
      <c r="H704" s="48"/>
      <c r="I704" s="48"/>
      <c r="J704" s="48"/>
      <c r="K704" s="48"/>
      <c r="L704" s="48"/>
      <c r="M704" s="48"/>
      <c r="N704" s="48"/>
      <c r="O704" s="48"/>
      <c r="P704" s="48"/>
      <c r="Q704" s="48"/>
      <c r="R704" s="48"/>
      <c r="S704" s="48"/>
      <c r="T704" s="48"/>
      <c r="U704" s="48"/>
      <c r="V704" s="48"/>
      <c r="W704" s="48"/>
      <c r="X704" s="48"/>
      <c r="Y704" s="48"/>
      <c r="Z704" s="48"/>
      <c r="AA704" s="48"/>
    </row>
    <row r="705" spans="2:27" ht="12.75" customHeight="1" x14ac:dyDescent="0.25">
      <c r="B705" s="48"/>
      <c r="C705" s="48"/>
      <c r="D705" s="48"/>
      <c r="E705" s="48"/>
      <c r="F705" s="48"/>
      <c r="G705" s="48"/>
      <c r="H705" s="48"/>
      <c r="I705" s="48"/>
      <c r="J705" s="48"/>
      <c r="K705" s="48"/>
      <c r="L705" s="48"/>
      <c r="M705" s="48"/>
      <c r="N705" s="48"/>
      <c r="O705" s="48"/>
      <c r="P705" s="48"/>
      <c r="Q705" s="48"/>
      <c r="R705" s="48"/>
      <c r="S705" s="48"/>
      <c r="T705" s="48"/>
      <c r="U705" s="48"/>
      <c r="V705" s="48"/>
      <c r="W705" s="48"/>
      <c r="X705" s="48"/>
      <c r="Y705" s="48"/>
      <c r="Z705" s="48"/>
      <c r="AA705" s="48"/>
    </row>
    <row r="706" spans="2:27" ht="12.75" customHeight="1" x14ac:dyDescent="0.25">
      <c r="B706" s="48"/>
      <c r="C706" s="48"/>
      <c r="D706" s="48"/>
      <c r="E706" s="48"/>
      <c r="F706" s="48"/>
      <c r="G706" s="48"/>
      <c r="H706" s="48"/>
      <c r="I706" s="48"/>
      <c r="J706" s="48"/>
      <c r="K706" s="48"/>
      <c r="L706" s="48"/>
      <c r="M706" s="48"/>
      <c r="N706" s="48"/>
      <c r="O706" s="48"/>
      <c r="P706" s="48"/>
      <c r="Q706" s="48"/>
      <c r="R706" s="48"/>
      <c r="S706" s="48"/>
      <c r="T706" s="48"/>
      <c r="U706" s="48"/>
      <c r="V706" s="48"/>
      <c r="W706" s="48"/>
      <c r="X706" s="48"/>
      <c r="Y706" s="48"/>
      <c r="Z706" s="48"/>
      <c r="AA706" s="48"/>
    </row>
    <row r="707" spans="2:27" ht="12.75" customHeight="1" x14ac:dyDescent="0.25">
      <c r="B707" s="48"/>
      <c r="C707" s="48"/>
      <c r="D707" s="48"/>
      <c r="E707" s="48"/>
      <c r="F707" s="48"/>
      <c r="G707" s="48"/>
      <c r="H707" s="48"/>
      <c r="I707" s="48"/>
      <c r="J707" s="48"/>
      <c r="K707" s="48"/>
      <c r="L707" s="48"/>
      <c r="M707" s="48"/>
      <c r="N707" s="48"/>
      <c r="O707" s="48"/>
      <c r="P707" s="48"/>
      <c r="Q707" s="48"/>
      <c r="R707" s="48"/>
      <c r="S707" s="48"/>
      <c r="T707" s="48"/>
      <c r="U707" s="48"/>
      <c r="V707" s="48"/>
      <c r="W707" s="48"/>
      <c r="X707" s="48"/>
      <c r="Y707" s="48"/>
      <c r="Z707" s="48"/>
      <c r="AA707" s="48"/>
    </row>
    <row r="708" spans="2:27" ht="12.75" customHeight="1" x14ac:dyDescent="0.25">
      <c r="B708" s="48"/>
      <c r="C708" s="48"/>
      <c r="D708" s="48"/>
      <c r="E708" s="48"/>
      <c r="F708" s="48"/>
      <c r="G708" s="48"/>
      <c r="H708" s="48"/>
      <c r="I708" s="48"/>
      <c r="J708" s="48"/>
      <c r="K708" s="48"/>
      <c r="L708" s="48"/>
      <c r="M708" s="48"/>
      <c r="N708" s="48"/>
      <c r="O708" s="48"/>
      <c r="P708" s="48"/>
      <c r="Q708" s="48"/>
      <c r="R708" s="48"/>
      <c r="S708" s="48"/>
      <c r="T708" s="48"/>
      <c r="U708" s="48"/>
      <c r="V708" s="48"/>
      <c r="W708" s="48"/>
      <c r="X708" s="48"/>
      <c r="Y708" s="48"/>
      <c r="Z708" s="48"/>
      <c r="AA708" s="48"/>
    </row>
    <row r="709" spans="2:27" ht="12.75" customHeight="1" x14ac:dyDescent="0.25">
      <c r="B709" s="48"/>
      <c r="C709" s="48"/>
      <c r="D709" s="48"/>
      <c r="E709" s="48"/>
      <c r="F709" s="48"/>
      <c r="G709" s="48"/>
      <c r="H709" s="48"/>
      <c r="I709" s="48"/>
      <c r="J709" s="48"/>
      <c r="K709" s="48"/>
      <c r="L709" s="48"/>
      <c r="M709" s="48"/>
      <c r="N709" s="48"/>
      <c r="O709" s="48"/>
      <c r="P709" s="48"/>
      <c r="Q709" s="48"/>
      <c r="R709" s="48"/>
      <c r="S709" s="48"/>
      <c r="T709" s="48"/>
      <c r="U709" s="48"/>
      <c r="V709" s="48"/>
      <c r="W709" s="48"/>
      <c r="X709" s="48"/>
      <c r="Y709" s="48"/>
      <c r="Z709" s="48"/>
      <c r="AA709" s="48"/>
    </row>
    <row r="710" spans="2:27" ht="12.75" customHeight="1" x14ac:dyDescent="0.25">
      <c r="B710" s="48"/>
      <c r="C710" s="48"/>
      <c r="D710" s="48"/>
      <c r="E710" s="48"/>
      <c r="F710" s="48"/>
      <c r="G710" s="48"/>
      <c r="H710" s="48"/>
      <c r="I710" s="48"/>
      <c r="J710" s="48"/>
      <c r="K710" s="48"/>
      <c r="L710" s="48"/>
      <c r="M710" s="48"/>
      <c r="N710" s="48"/>
      <c r="O710" s="48"/>
      <c r="P710" s="48"/>
      <c r="Q710" s="48"/>
      <c r="R710" s="48"/>
      <c r="S710" s="48"/>
      <c r="T710" s="48"/>
      <c r="U710" s="48"/>
      <c r="V710" s="48"/>
      <c r="W710" s="48"/>
      <c r="X710" s="48"/>
      <c r="Y710" s="48"/>
      <c r="Z710" s="48"/>
      <c r="AA710" s="48"/>
    </row>
    <row r="711" spans="2:27" ht="12.75" customHeight="1" x14ac:dyDescent="0.25">
      <c r="B711" s="48"/>
      <c r="C711" s="48"/>
      <c r="D711" s="48"/>
      <c r="E711" s="48"/>
      <c r="F711" s="48"/>
      <c r="G711" s="48"/>
      <c r="H711" s="48"/>
      <c r="I711" s="48"/>
      <c r="J711" s="48"/>
      <c r="K711" s="48"/>
      <c r="L711" s="48"/>
      <c r="M711" s="48"/>
      <c r="N711" s="48"/>
      <c r="O711" s="48"/>
      <c r="P711" s="48"/>
      <c r="Q711" s="48"/>
      <c r="R711" s="48"/>
      <c r="S711" s="48"/>
      <c r="T711" s="48"/>
      <c r="U711" s="48"/>
      <c r="V711" s="48"/>
      <c r="W711" s="48"/>
      <c r="X711" s="48"/>
      <c r="Y711" s="48"/>
      <c r="Z711" s="48"/>
      <c r="AA711" s="48"/>
    </row>
    <row r="712" spans="2:27" ht="12.75" customHeight="1" x14ac:dyDescent="0.25">
      <c r="B712" s="48"/>
      <c r="C712" s="48"/>
      <c r="D712" s="48"/>
      <c r="E712" s="48"/>
      <c r="F712" s="48"/>
      <c r="G712" s="48"/>
      <c r="H712" s="48"/>
      <c r="I712" s="48"/>
      <c r="J712" s="48"/>
      <c r="K712" s="48"/>
      <c r="L712" s="48"/>
      <c r="M712" s="48"/>
      <c r="N712" s="48"/>
      <c r="O712" s="48"/>
      <c r="P712" s="48"/>
      <c r="Q712" s="48"/>
      <c r="R712" s="48"/>
      <c r="S712" s="48"/>
      <c r="T712" s="48"/>
      <c r="U712" s="48"/>
      <c r="V712" s="48"/>
      <c r="W712" s="48"/>
      <c r="X712" s="48"/>
      <c r="Y712" s="48"/>
      <c r="Z712" s="48"/>
      <c r="AA712" s="48"/>
    </row>
    <row r="713" spans="2:27" ht="12.75" customHeight="1" x14ac:dyDescent="0.25">
      <c r="B713" s="48"/>
      <c r="C713" s="48"/>
      <c r="D713" s="48"/>
      <c r="E713" s="48"/>
      <c r="F713" s="48"/>
      <c r="G713" s="48"/>
      <c r="H713" s="48"/>
      <c r="I713" s="48"/>
      <c r="J713" s="48"/>
      <c r="K713" s="48"/>
      <c r="L713" s="48"/>
      <c r="M713" s="48"/>
      <c r="N713" s="48"/>
      <c r="O713" s="48"/>
      <c r="P713" s="48"/>
      <c r="Q713" s="48"/>
      <c r="R713" s="48"/>
      <c r="S713" s="48"/>
      <c r="T713" s="48"/>
      <c r="U713" s="48"/>
      <c r="V713" s="48"/>
      <c r="W713" s="48"/>
      <c r="X713" s="48"/>
      <c r="Y713" s="48"/>
      <c r="Z713" s="48"/>
      <c r="AA713" s="48"/>
    </row>
    <row r="714" spans="2:27" ht="12.75" customHeight="1" x14ac:dyDescent="0.25">
      <c r="B714" s="48"/>
      <c r="C714" s="48"/>
      <c r="D714" s="48"/>
      <c r="E714" s="48"/>
      <c r="F714" s="48"/>
      <c r="G714" s="48"/>
      <c r="H714" s="48"/>
      <c r="I714" s="48"/>
      <c r="J714" s="48"/>
      <c r="K714" s="48"/>
      <c r="L714" s="48"/>
      <c r="M714" s="48"/>
      <c r="N714" s="48"/>
      <c r="O714" s="48"/>
      <c r="P714" s="48"/>
      <c r="Q714" s="48"/>
      <c r="R714" s="48"/>
      <c r="S714" s="48"/>
      <c r="T714" s="48"/>
      <c r="U714" s="48"/>
      <c r="V714" s="48"/>
      <c r="W714" s="48"/>
      <c r="X714" s="48"/>
      <c r="Y714" s="48"/>
      <c r="Z714" s="48"/>
      <c r="AA714" s="48"/>
    </row>
    <row r="715" spans="2:27" ht="12.75" customHeight="1" x14ac:dyDescent="0.25">
      <c r="B715" s="48"/>
      <c r="C715" s="48"/>
      <c r="D715" s="48"/>
      <c r="E715" s="48"/>
      <c r="F715" s="48"/>
      <c r="G715" s="48"/>
      <c r="H715" s="48"/>
      <c r="I715" s="48"/>
      <c r="J715" s="48"/>
      <c r="K715" s="48"/>
      <c r="L715" s="48"/>
      <c r="M715" s="48"/>
      <c r="N715" s="48"/>
      <c r="O715" s="48"/>
      <c r="P715" s="48"/>
      <c r="Q715" s="48"/>
      <c r="R715" s="48"/>
      <c r="S715" s="48"/>
      <c r="T715" s="48"/>
      <c r="U715" s="48"/>
      <c r="V715" s="48"/>
      <c r="W715" s="48"/>
      <c r="X715" s="48"/>
      <c r="Y715" s="48"/>
      <c r="Z715" s="48"/>
      <c r="AA715" s="48"/>
    </row>
    <row r="716" spans="2:27" ht="12.75" customHeight="1" x14ac:dyDescent="0.25">
      <c r="B716" s="48"/>
      <c r="C716" s="48"/>
      <c r="D716" s="48"/>
      <c r="E716" s="48"/>
      <c r="F716" s="48"/>
      <c r="G716" s="48"/>
      <c r="H716" s="48"/>
      <c r="I716" s="48"/>
      <c r="J716" s="48"/>
      <c r="K716" s="48"/>
      <c r="L716" s="48"/>
      <c r="M716" s="48"/>
      <c r="N716" s="48"/>
      <c r="O716" s="48"/>
      <c r="P716" s="48"/>
      <c r="Q716" s="48"/>
      <c r="R716" s="48"/>
      <c r="S716" s="48"/>
      <c r="T716" s="48"/>
      <c r="U716" s="48"/>
      <c r="V716" s="48"/>
      <c r="W716" s="48"/>
      <c r="X716" s="48"/>
      <c r="Y716" s="48"/>
      <c r="Z716" s="48"/>
      <c r="AA716" s="48"/>
    </row>
    <row r="717" spans="2:27" ht="12.75" customHeight="1" x14ac:dyDescent="0.25">
      <c r="B717" s="48"/>
      <c r="C717" s="48"/>
      <c r="D717" s="48"/>
      <c r="E717" s="48"/>
      <c r="F717" s="48"/>
      <c r="G717" s="48"/>
      <c r="H717" s="48"/>
      <c r="I717" s="48"/>
      <c r="J717" s="48"/>
      <c r="K717" s="48"/>
      <c r="L717" s="48"/>
      <c r="M717" s="48"/>
      <c r="N717" s="48"/>
      <c r="O717" s="48"/>
      <c r="P717" s="48"/>
      <c r="Q717" s="48"/>
      <c r="R717" s="48"/>
      <c r="S717" s="48"/>
      <c r="T717" s="48"/>
      <c r="U717" s="48"/>
      <c r="V717" s="48"/>
      <c r="W717" s="48"/>
      <c r="X717" s="48"/>
      <c r="Y717" s="48"/>
      <c r="Z717" s="48"/>
      <c r="AA717" s="48"/>
    </row>
    <row r="718" spans="2:27" ht="12.75" customHeight="1" x14ac:dyDescent="0.25">
      <c r="B718" s="48"/>
      <c r="C718" s="48"/>
      <c r="D718" s="48"/>
      <c r="E718" s="48"/>
      <c r="F718" s="48"/>
      <c r="G718" s="48"/>
      <c r="H718" s="48"/>
      <c r="I718" s="48"/>
      <c r="J718" s="48"/>
      <c r="K718" s="48"/>
      <c r="L718" s="48"/>
      <c r="M718" s="48"/>
      <c r="N718" s="48"/>
      <c r="O718" s="48"/>
      <c r="P718" s="48"/>
      <c r="Q718" s="48"/>
      <c r="R718" s="48"/>
      <c r="S718" s="48"/>
      <c r="T718" s="48"/>
      <c r="U718" s="48"/>
      <c r="V718" s="48"/>
      <c r="W718" s="48"/>
      <c r="X718" s="48"/>
      <c r="Y718" s="48"/>
      <c r="Z718" s="48"/>
      <c r="AA718" s="48"/>
    </row>
    <row r="719" spans="2:27" ht="12.75" customHeight="1" x14ac:dyDescent="0.25">
      <c r="B719" s="48"/>
      <c r="C719" s="48"/>
      <c r="D719" s="48"/>
      <c r="E719" s="48"/>
      <c r="F719" s="48"/>
      <c r="G719" s="48"/>
      <c r="H719" s="48"/>
      <c r="I719" s="48"/>
      <c r="J719" s="48"/>
      <c r="K719" s="48"/>
      <c r="L719" s="48"/>
      <c r="M719" s="48"/>
      <c r="N719" s="48"/>
      <c r="O719" s="48"/>
      <c r="P719" s="48"/>
      <c r="Q719" s="48"/>
      <c r="R719" s="48"/>
      <c r="S719" s="48"/>
      <c r="T719" s="48"/>
      <c r="U719" s="48"/>
      <c r="V719" s="48"/>
      <c r="W719" s="48"/>
      <c r="X719" s="48"/>
      <c r="Y719" s="48"/>
      <c r="Z719" s="48"/>
      <c r="AA719" s="48"/>
    </row>
    <row r="720" spans="2:27" ht="12.75" customHeight="1" x14ac:dyDescent="0.25">
      <c r="B720" s="48"/>
      <c r="C720" s="48"/>
      <c r="D720" s="48"/>
      <c r="E720" s="48"/>
      <c r="F720" s="48"/>
      <c r="G720" s="48"/>
      <c r="H720" s="48"/>
      <c r="I720" s="48"/>
      <c r="J720" s="48"/>
      <c r="K720" s="48"/>
      <c r="L720" s="48"/>
      <c r="M720" s="48"/>
      <c r="N720" s="48"/>
      <c r="O720" s="48"/>
      <c r="P720" s="48"/>
      <c r="Q720" s="48"/>
      <c r="R720" s="48"/>
      <c r="S720" s="48"/>
      <c r="T720" s="48"/>
      <c r="U720" s="48"/>
      <c r="V720" s="48"/>
      <c r="W720" s="48"/>
      <c r="X720" s="48"/>
      <c r="Y720" s="48"/>
      <c r="Z720" s="48"/>
      <c r="AA720" s="48"/>
    </row>
    <row r="721" spans="2:27" ht="12.75" customHeight="1" x14ac:dyDescent="0.25">
      <c r="B721" s="48"/>
      <c r="C721" s="48"/>
      <c r="D721" s="48"/>
      <c r="E721" s="48"/>
      <c r="F721" s="48"/>
      <c r="G721" s="48"/>
      <c r="H721" s="48"/>
      <c r="I721" s="48"/>
      <c r="J721" s="48"/>
      <c r="K721" s="48"/>
      <c r="L721" s="48"/>
      <c r="M721" s="48"/>
      <c r="N721" s="48"/>
      <c r="O721" s="48"/>
      <c r="P721" s="48"/>
      <c r="Q721" s="48"/>
      <c r="R721" s="48"/>
      <c r="S721" s="48"/>
      <c r="T721" s="48"/>
      <c r="U721" s="48"/>
      <c r="V721" s="48"/>
      <c r="W721" s="48"/>
      <c r="X721" s="48"/>
      <c r="Y721" s="48"/>
      <c r="Z721" s="48"/>
      <c r="AA721" s="48"/>
    </row>
    <row r="722" spans="2:27" ht="12.75" customHeight="1" x14ac:dyDescent="0.25">
      <c r="B722" s="48"/>
      <c r="C722" s="48"/>
      <c r="D722" s="48"/>
      <c r="E722" s="48"/>
      <c r="F722" s="48"/>
      <c r="G722" s="48"/>
      <c r="H722" s="48"/>
      <c r="I722" s="48"/>
      <c r="J722" s="48"/>
      <c r="K722" s="48"/>
      <c r="L722" s="48"/>
      <c r="M722" s="48"/>
      <c r="N722" s="48"/>
      <c r="O722" s="48"/>
      <c r="P722" s="48"/>
      <c r="Q722" s="48"/>
      <c r="R722" s="48"/>
      <c r="S722" s="48"/>
      <c r="T722" s="48"/>
      <c r="U722" s="48"/>
      <c r="V722" s="48"/>
      <c r="W722" s="48"/>
      <c r="X722" s="48"/>
      <c r="Y722" s="48"/>
      <c r="Z722" s="48"/>
      <c r="AA722" s="48"/>
    </row>
    <row r="723" spans="2:27" ht="12.75" customHeight="1" x14ac:dyDescent="0.25">
      <c r="B723" s="48"/>
      <c r="C723" s="48"/>
      <c r="D723" s="48"/>
      <c r="E723" s="48"/>
      <c r="F723" s="48"/>
      <c r="G723" s="48"/>
      <c r="H723" s="48"/>
      <c r="I723" s="48"/>
      <c r="J723" s="48"/>
      <c r="K723" s="48"/>
      <c r="L723" s="48"/>
      <c r="M723" s="48"/>
      <c r="N723" s="48"/>
      <c r="O723" s="48"/>
      <c r="P723" s="48"/>
      <c r="Q723" s="48"/>
      <c r="R723" s="48"/>
      <c r="S723" s="48"/>
      <c r="T723" s="48"/>
      <c r="U723" s="48"/>
      <c r="V723" s="48"/>
      <c r="W723" s="48"/>
      <c r="X723" s="48"/>
      <c r="Y723" s="48"/>
      <c r="Z723" s="48"/>
      <c r="AA723" s="48"/>
    </row>
    <row r="724" spans="2:27" ht="12.75" customHeight="1" x14ac:dyDescent="0.25">
      <c r="B724" s="48"/>
      <c r="C724" s="48"/>
      <c r="D724" s="48"/>
      <c r="E724" s="48"/>
      <c r="F724" s="48"/>
      <c r="G724" s="48"/>
      <c r="H724" s="48"/>
      <c r="I724" s="48"/>
      <c r="J724" s="48"/>
      <c r="K724" s="48"/>
      <c r="L724" s="48"/>
      <c r="M724" s="48"/>
      <c r="N724" s="48"/>
      <c r="O724" s="48"/>
      <c r="P724" s="48"/>
      <c r="Q724" s="48"/>
      <c r="R724" s="48"/>
      <c r="S724" s="48"/>
      <c r="T724" s="48"/>
      <c r="U724" s="48"/>
      <c r="V724" s="48"/>
      <c r="W724" s="48"/>
      <c r="X724" s="48"/>
      <c r="Y724" s="48"/>
      <c r="Z724" s="48"/>
      <c r="AA724" s="48"/>
    </row>
    <row r="725" spans="2:27" ht="12.75" customHeight="1" x14ac:dyDescent="0.25">
      <c r="B725" s="48"/>
      <c r="C725" s="48"/>
      <c r="D725" s="48"/>
      <c r="E725" s="48"/>
      <c r="F725" s="48"/>
      <c r="G725" s="48"/>
      <c r="H725" s="48"/>
      <c r="I725" s="48"/>
      <c r="J725" s="48"/>
      <c r="K725" s="48"/>
      <c r="L725" s="48"/>
      <c r="M725" s="48"/>
      <c r="N725" s="48"/>
      <c r="O725" s="48"/>
      <c r="P725" s="48"/>
      <c r="Q725" s="48"/>
      <c r="R725" s="48"/>
      <c r="S725" s="48"/>
      <c r="T725" s="48"/>
      <c r="U725" s="48"/>
      <c r="V725" s="48"/>
      <c r="W725" s="48"/>
      <c r="X725" s="48"/>
      <c r="Y725" s="48"/>
      <c r="Z725" s="48"/>
      <c r="AA725" s="48"/>
    </row>
    <row r="726" spans="2:27" ht="12.75" customHeight="1" x14ac:dyDescent="0.25">
      <c r="B726" s="48"/>
      <c r="C726" s="48"/>
      <c r="D726" s="48"/>
      <c r="E726" s="48"/>
      <c r="F726" s="48"/>
      <c r="G726" s="48"/>
      <c r="H726" s="48"/>
      <c r="I726" s="48"/>
      <c r="J726" s="48"/>
      <c r="K726" s="48"/>
      <c r="L726" s="48"/>
      <c r="M726" s="48"/>
      <c r="N726" s="48"/>
      <c r="O726" s="48"/>
      <c r="P726" s="48"/>
      <c r="Q726" s="48"/>
      <c r="R726" s="48"/>
      <c r="S726" s="48"/>
      <c r="T726" s="48"/>
      <c r="U726" s="48"/>
      <c r="V726" s="48"/>
      <c r="W726" s="48"/>
      <c r="X726" s="48"/>
      <c r="Y726" s="48"/>
      <c r="Z726" s="48"/>
      <c r="AA726" s="48"/>
    </row>
    <row r="727" spans="2:27" ht="12.75" customHeight="1" x14ac:dyDescent="0.25">
      <c r="B727" s="48"/>
      <c r="C727" s="48"/>
      <c r="D727" s="48"/>
      <c r="E727" s="48"/>
      <c r="F727" s="48"/>
      <c r="G727" s="48"/>
      <c r="H727" s="48"/>
      <c r="I727" s="48"/>
      <c r="J727" s="48"/>
      <c r="K727" s="48"/>
      <c r="L727" s="48"/>
      <c r="M727" s="48"/>
      <c r="N727" s="48"/>
      <c r="O727" s="48"/>
      <c r="P727" s="48"/>
      <c r="Q727" s="48"/>
      <c r="R727" s="48"/>
      <c r="S727" s="48"/>
      <c r="T727" s="48"/>
      <c r="U727" s="48"/>
      <c r="V727" s="48"/>
      <c r="W727" s="48"/>
      <c r="X727" s="48"/>
      <c r="Y727" s="48"/>
      <c r="Z727" s="48"/>
      <c r="AA727" s="48"/>
    </row>
    <row r="728" spans="2:27" ht="12.75" customHeight="1" x14ac:dyDescent="0.25">
      <c r="B728" s="48"/>
      <c r="C728" s="48"/>
      <c r="D728" s="48"/>
      <c r="E728" s="48"/>
      <c r="F728" s="48"/>
      <c r="G728" s="48"/>
      <c r="H728" s="48"/>
      <c r="I728" s="48"/>
      <c r="J728" s="48"/>
      <c r="K728" s="48"/>
      <c r="L728" s="48"/>
      <c r="M728" s="48"/>
      <c r="N728" s="48"/>
      <c r="O728" s="48"/>
      <c r="P728" s="48"/>
      <c r="Q728" s="48"/>
      <c r="R728" s="48"/>
      <c r="S728" s="48"/>
      <c r="T728" s="48"/>
      <c r="U728" s="48"/>
      <c r="V728" s="48"/>
      <c r="W728" s="48"/>
      <c r="X728" s="48"/>
      <c r="Y728" s="48"/>
      <c r="Z728" s="48"/>
      <c r="AA728" s="48"/>
    </row>
    <row r="729" spans="2:27" ht="12.75" customHeight="1" x14ac:dyDescent="0.25">
      <c r="B729" s="48"/>
      <c r="C729" s="48"/>
      <c r="D729" s="48"/>
      <c r="E729" s="48"/>
      <c r="F729" s="48"/>
      <c r="G729" s="48"/>
      <c r="H729" s="48"/>
      <c r="I729" s="48"/>
      <c r="J729" s="48"/>
      <c r="K729" s="48"/>
      <c r="L729" s="48"/>
      <c r="M729" s="48"/>
      <c r="N729" s="48"/>
      <c r="O729" s="48"/>
      <c r="P729" s="48"/>
      <c r="Q729" s="48"/>
      <c r="R729" s="48"/>
      <c r="S729" s="48"/>
      <c r="T729" s="48"/>
      <c r="U729" s="48"/>
      <c r="V729" s="48"/>
      <c r="W729" s="48"/>
      <c r="X729" s="48"/>
      <c r="Y729" s="48"/>
      <c r="Z729" s="48"/>
      <c r="AA729" s="48"/>
    </row>
    <row r="730" spans="2:27" ht="12.75" customHeight="1" x14ac:dyDescent="0.25">
      <c r="B730" s="48"/>
      <c r="C730" s="48"/>
      <c r="D730" s="48"/>
      <c r="E730" s="48"/>
      <c r="F730" s="48"/>
      <c r="G730" s="48"/>
      <c r="H730" s="48"/>
      <c r="I730" s="48"/>
      <c r="J730" s="48"/>
      <c r="K730" s="48"/>
      <c r="L730" s="48"/>
      <c r="M730" s="48"/>
      <c r="N730" s="48"/>
      <c r="O730" s="48"/>
      <c r="P730" s="48"/>
      <c r="Q730" s="48"/>
      <c r="R730" s="48"/>
      <c r="S730" s="48"/>
      <c r="T730" s="48"/>
      <c r="U730" s="48"/>
      <c r="V730" s="48"/>
      <c r="W730" s="48"/>
      <c r="X730" s="48"/>
      <c r="Y730" s="48"/>
      <c r="Z730" s="48"/>
      <c r="AA730" s="48"/>
    </row>
    <row r="731" spans="2:27" ht="12.75" customHeight="1" x14ac:dyDescent="0.25">
      <c r="B731" s="48"/>
      <c r="C731" s="48"/>
      <c r="D731" s="48"/>
      <c r="E731" s="48"/>
      <c r="F731" s="48"/>
      <c r="G731" s="48"/>
      <c r="H731" s="48"/>
      <c r="I731" s="48"/>
      <c r="J731" s="48"/>
      <c r="K731" s="48"/>
      <c r="L731" s="48"/>
      <c r="M731" s="48"/>
      <c r="N731" s="48"/>
      <c r="O731" s="48"/>
      <c r="P731" s="48"/>
      <c r="Q731" s="48"/>
      <c r="R731" s="48"/>
      <c r="S731" s="48"/>
      <c r="T731" s="48"/>
      <c r="U731" s="48"/>
      <c r="V731" s="48"/>
      <c r="W731" s="48"/>
      <c r="X731" s="48"/>
      <c r="Y731" s="48"/>
      <c r="Z731" s="48"/>
      <c r="AA731" s="48"/>
    </row>
    <row r="732" spans="2:27" ht="12.75" customHeight="1" x14ac:dyDescent="0.25">
      <c r="B732" s="48"/>
      <c r="C732" s="48"/>
      <c r="D732" s="48"/>
      <c r="E732" s="48"/>
      <c r="F732" s="48"/>
      <c r="G732" s="48"/>
      <c r="H732" s="48"/>
      <c r="I732" s="48"/>
      <c r="J732" s="48"/>
      <c r="K732" s="48"/>
      <c r="L732" s="48"/>
      <c r="M732" s="48"/>
      <c r="N732" s="48"/>
      <c r="O732" s="48"/>
      <c r="P732" s="48"/>
      <c r="Q732" s="48"/>
      <c r="R732" s="48"/>
      <c r="S732" s="48"/>
      <c r="T732" s="48"/>
      <c r="U732" s="48"/>
      <c r="V732" s="48"/>
      <c r="W732" s="48"/>
      <c r="X732" s="48"/>
      <c r="Y732" s="48"/>
      <c r="Z732" s="48"/>
      <c r="AA732" s="48"/>
    </row>
    <row r="733" spans="2:27" ht="12.75" customHeight="1" x14ac:dyDescent="0.25">
      <c r="B733" s="48"/>
      <c r="C733" s="48"/>
      <c r="D733" s="48"/>
      <c r="E733" s="48"/>
      <c r="F733" s="48"/>
      <c r="G733" s="48"/>
      <c r="H733" s="48"/>
      <c r="I733" s="48"/>
      <c r="J733" s="48"/>
      <c r="K733" s="48"/>
      <c r="L733" s="48"/>
      <c r="M733" s="48"/>
      <c r="N733" s="48"/>
      <c r="O733" s="48"/>
      <c r="P733" s="48"/>
      <c r="Q733" s="48"/>
      <c r="R733" s="48"/>
      <c r="S733" s="48"/>
      <c r="T733" s="48"/>
      <c r="U733" s="48"/>
      <c r="V733" s="48"/>
      <c r="W733" s="48"/>
      <c r="X733" s="48"/>
      <c r="Y733" s="48"/>
      <c r="Z733" s="48"/>
      <c r="AA733" s="48"/>
    </row>
    <row r="734" spans="2:27" ht="12.75" customHeight="1" x14ac:dyDescent="0.25">
      <c r="B734" s="48"/>
      <c r="C734" s="48"/>
      <c r="D734" s="48"/>
      <c r="E734" s="48"/>
      <c r="F734" s="48"/>
      <c r="G734" s="48"/>
      <c r="H734" s="48"/>
      <c r="I734" s="48"/>
      <c r="J734" s="48"/>
      <c r="K734" s="48"/>
      <c r="L734" s="48"/>
      <c r="M734" s="48"/>
      <c r="N734" s="48"/>
      <c r="O734" s="48"/>
      <c r="P734" s="48"/>
      <c r="Q734" s="48"/>
      <c r="R734" s="48"/>
      <c r="S734" s="48"/>
      <c r="T734" s="48"/>
      <c r="U734" s="48"/>
      <c r="V734" s="48"/>
      <c r="W734" s="48"/>
      <c r="X734" s="48"/>
      <c r="Y734" s="48"/>
      <c r="Z734" s="48"/>
      <c r="AA734" s="48"/>
    </row>
    <row r="735" spans="2:27" ht="12.75" customHeight="1" x14ac:dyDescent="0.25">
      <c r="B735" s="48"/>
      <c r="C735" s="48"/>
      <c r="D735" s="48"/>
      <c r="E735" s="48"/>
      <c r="F735" s="48"/>
      <c r="G735" s="48"/>
      <c r="H735" s="48"/>
      <c r="I735" s="48"/>
      <c r="J735" s="48"/>
      <c r="K735" s="48"/>
      <c r="L735" s="48"/>
      <c r="M735" s="48"/>
      <c r="N735" s="48"/>
      <c r="O735" s="48"/>
      <c r="P735" s="48"/>
      <c r="Q735" s="48"/>
      <c r="R735" s="48"/>
      <c r="S735" s="48"/>
      <c r="T735" s="48"/>
      <c r="U735" s="48"/>
      <c r="V735" s="48"/>
      <c r="W735" s="48"/>
      <c r="X735" s="48"/>
      <c r="Y735" s="48"/>
      <c r="Z735" s="48"/>
      <c r="AA735" s="48"/>
    </row>
    <row r="736" spans="2:27" ht="12.75" customHeight="1" x14ac:dyDescent="0.25">
      <c r="B736" s="48"/>
      <c r="C736" s="48"/>
      <c r="D736" s="48"/>
      <c r="E736" s="48"/>
      <c r="F736" s="48"/>
      <c r="G736" s="48"/>
      <c r="H736" s="48"/>
      <c r="I736" s="48"/>
      <c r="J736" s="48"/>
      <c r="K736" s="48"/>
      <c r="L736" s="48"/>
      <c r="M736" s="48"/>
      <c r="N736" s="48"/>
      <c r="O736" s="48"/>
      <c r="P736" s="48"/>
      <c r="Q736" s="48"/>
      <c r="R736" s="48"/>
      <c r="S736" s="48"/>
      <c r="T736" s="48"/>
      <c r="U736" s="48"/>
      <c r="V736" s="48"/>
      <c r="W736" s="48"/>
      <c r="X736" s="48"/>
      <c r="Y736" s="48"/>
      <c r="Z736" s="48"/>
      <c r="AA736" s="48"/>
    </row>
    <row r="737" spans="2:27" ht="12.75" customHeight="1" x14ac:dyDescent="0.25">
      <c r="B737" s="48"/>
      <c r="C737" s="48"/>
      <c r="D737" s="48"/>
      <c r="E737" s="48"/>
      <c r="F737" s="48"/>
      <c r="G737" s="48"/>
      <c r="H737" s="48"/>
      <c r="I737" s="48"/>
      <c r="J737" s="48"/>
      <c r="K737" s="48"/>
      <c r="L737" s="48"/>
      <c r="M737" s="48"/>
      <c r="N737" s="48"/>
      <c r="O737" s="48"/>
      <c r="P737" s="48"/>
      <c r="Q737" s="48"/>
      <c r="R737" s="48"/>
      <c r="S737" s="48"/>
      <c r="T737" s="48"/>
      <c r="U737" s="48"/>
      <c r="V737" s="48"/>
      <c r="W737" s="48"/>
      <c r="X737" s="48"/>
      <c r="Y737" s="48"/>
      <c r="Z737" s="48"/>
      <c r="AA737" s="48"/>
    </row>
    <row r="738" spans="2:27" ht="12.75" customHeight="1" x14ac:dyDescent="0.25">
      <c r="B738" s="48"/>
      <c r="C738" s="48"/>
      <c r="D738" s="48"/>
      <c r="E738" s="48"/>
      <c r="F738" s="48"/>
      <c r="G738" s="48"/>
      <c r="H738" s="48"/>
      <c r="I738" s="48"/>
      <c r="J738" s="48"/>
      <c r="K738" s="48"/>
      <c r="L738" s="48"/>
      <c r="M738" s="48"/>
      <c r="N738" s="48"/>
      <c r="O738" s="48"/>
      <c r="P738" s="48"/>
      <c r="Q738" s="48"/>
      <c r="R738" s="48"/>
      <c r="S738" s="48"/>
      <c r="T738" s="48"/>
      <c r="U738" s="48"/>
      <c r="V738" s="48"/>
      <c r="W738" s="48"/>
      <c r="X738" s="48"/>
      <c r="Y738" s="48"/>
      <c r="Z738" s="48"/>
      <c r="AA738" s="48"/>
    </row>
    <row r="739" spans="2:27" ht="12.75" customHeight="1" x14ac:dyDescent="0.25">
      <c r="B739" s="48"/>
      <c r="C739" s="48"/>
      <c r="D739" s="48"/>
      <c r="E739" s="48"/>
      <c r="F739" s="48"/>
      <c r="G739" s="48"/>
      <c r="H739" s="48"/>
      <c r="I739" s="48"/>
      <c r="J739" s="48"/>
      <c r="K739" s="48"/>
      <c r="L739" s="48"/>
      <c r="M739" s="48"/>
      <c r="N739" s="48"/>
      <c r="O739" s="48"/>
      <c r="P739" s="48"/>
      <c r="Q739" s="48"/>
      <c r="R739" s="48"/>
      <c r="S739" s="48"/>
      <c r="T739" s="48"/>
      <c r="U739" s="48"/>
      <c r="V739" s="48"/>
      <c r="W739" s="48"/>
      <c r="X739" s="48"/>
      <c r="Y739" s="48"/>
      <c r="Z739" s="48"/>
      <c r="AA739" s="48"/>
    </row>
    <row r="740" spans="2:27" ht="12.75" customHeight="1" x14ac:dyDescent="0.25">
      <c r="B740" s="48"/>
      <c r="C740" s="48"/>
      <c r="D740" s="48"/>
      <c r="E740" s="48"/>
      <c r="F740" s="48"/>
      <c r="G740" s="48"/>
      <c r="H740" s="48"/>
      <c r="I740" s="48"/>
      <c r="J740" s="48"/>
      <c r="K740" s="48"/>
      <c r="L740" s="48"/>
      <c r="M740" s="48"/>
      <c r="N740" s="48"/>
      <c r="O740" s="48"/>
      <c r="P740" s="48"/>
      <c r="Q740" s="48"/>
      <c r="R740" s="48"/>
      <c r="S740" s="48"/>
      <c r="T740" s="48"/>
      <c r="U740" s="48"/>
      <c r="V740" s="48"/>
      <c r="W740" s="48"/>
      <c r="X740" s="48"/>
      <c r="Y740" s="48"/>
      <c r="Z740" s="48"/>
      <c r="AA740" s="48"/>
    </row>
    <row r="741" spans="2:27" ht="12.75" customHeight="1" x14ac:dyDescent="0.25">
      <c r="B741" s="48"/>
      <c r="C741" s="48"/>
      <c r="D741" s="48"/>
      <c r="E741" s="48"/>
      <c r="F741" s="48"/>
      <c r="G741" s="48"/>
      <c r="H741" s="48"/>
      <c r="I741" s="48"/>
      <c r="J741" s="48"/>
      <c r="K741" s="48"/>
      <c r="L741" s="48"/>
      <c r="M741" s="48"/>
      <c r="N741" s="48"/>
      <c r="O741" s="48"/>
      <c r="P741" s="48"/>
      <c r="Q741" s="48"/>
      <c r="R741" s="48"/>
      <c r="S741" s="48"/>
      <c r="T741" s="48"/>
      <c r="U741" s="48"/>
      <c r="V741" s="48"/>
      <c r="W741" s="48"/>
      <c r="X741" s="48"/>
      <c r="Y741" s="48"/>
      <c r="Z741" s="48"/>
      <c r="AA741" s="48"/>
    </row>
    <row r="742" spans="2:27" ht="12.75" customHeight="1" x14ac:dyDescent="0.25">
      <c r="B742" s="48"/>
      <c r="C742" s="48"/>
      <c r="D742" s="48"/>
      <c r="E742" s="48"/>
      <c r="F742" s="48"/>
      <c r="G742" s="48"/>
      <c r="H742" s="48"/>
      <c r="I742" s="48"/>
      <c r="J742" s="48"/>
      <c r="K742" s="48"/>
      <c r="L742" s="48"/>
      <c r="M742" s="48"/>
      <c r="N742" s="48"/>
      <c r="O742" s="48"/>
      <c r="P742" s="48"/>
      <c r="Q742" s="48"/>
      <c r="R742" s="48"/>
      <c r="S742" s="48"/>
      <c r="T742" s="48"/>
      <c r="U742" s="48"/>
      <c r="V742" s="48"/>
      <c r="W742" s="48"/>
      <c r="X742" s="48"/>
      <c r="Y742" s="48"/>
      <c r="Z742" s="48"/>
      <c r="AA742" s="48"/>
    </row>
    <row r="743" spans="2:27" ht="12.75" customHeight="1" x14ac:dyDescent="0.25">
      <c r="B743" s="48"/>
      <c r="C743" s="48"/>
      <c r="D743" s="48"/>
      <c r="E743" s="48"/>
      <c r="F743" s="48"/>
      <c r="G743" s="48"/>
      <c r="H743" s="48"/>
      <c r="I743" s="48"/>
      <c r="J743" s="48"/>
      <c r="K743" s="48"/>
      <c r="L743" s="48"/>
      <c r="M743" s="48"/>
      <c r="N743" s="48"/>
      <c r="O743" s="48"/>
      <c r="P743" s="48"/>
      <c r="Q743" s="48"/>
      <c r="R743" s="48"/>
      <c r="S743" s="48"/>
      <c r="T743" s="48"/>
      <c r="U743" s="48"/>
      <c r="V743" s="48"/>
      <c r="W743" s="48"/>
      <c r="X743" s="48"/>
      <c r="Y743" s="48"/>
      <c r="Z743" s="48"/>
      <c r="AA743" s="48"/>
    </row>
    <row r="744" spans="2:27" ht="12.75" customHeight="1" x14ac:dyDescent="0.25">
      <c r="B744" s="48"/>
      <c r="C744" s="48"/>
      <c r="D744" s="48"/>
      <c r="E744" s="48"/>
      <c r="F744" s="48"/>
      <c r="G744" s="48"/>
      <c r="H744" s="48"/>
      <c r="I744" s="48"/>
      <c r="J744" s="48"/>
      <c r="K744" s="48"/>
      <c r="L744" s="48"/>
      <c r="M744" s="48"/>
      <c r="N744" s="48"/>
      <c r="O744" s="48"/>
      <c r="P744" s="48"/>
      <c r="Q744" s="48"/>
      <c r="R744" s="48"/>
      <c r="S744" s="48"/>
      <c r="T744" s="48"/>
      <c r="U744" s="48"/>
      <c r="V744" s="48"/>
      <c r="W744" s="48"/>
      <c r="X744" s="48"/>
      <c r="Y744" s="48"/>
      <c r="Z744" s="48"/>
      <c r="AA744" s="48"/>
    </row>
    <row r="745" spans="2:27" ht="12.75" customHeight="1" x14ac:dyDescent="0.25">
      <c r="B745" s="48"/>
      <c r="C745" s="48"/>
      <c r="D745" s="48"/>
      <c r="E745" s="48"/>
      <c r="F745" s="48"/>
      <c r="G745" s="48"/>
      <c r="H745" s="48"/>
      <c r="I745" s="48"/>
      <c r="J745" s="48"/>
      <c r="K745" s="48"/>
      <c r="L745" s="48"/>
      <c r="M745" s="48"/>
      <c r="N745" s="48"/>
      <c r="O745" s="48"/>
      <c r="P745" s="48"/>
      <c r="Q745" s="48"/>
      <c r="R745" s="48"/>
      <c r="S745" s="48"/>
      <c r="T745" s="48"/>
      <c r="U745" s="48"/>
      <c r="V745" s="48"/>
      <c r="W745" s="48"/>
      <c r="X745" s="48"/>
      <c r="Y745" s="48"/>
      <c r="Z745" s="48"/>
      <c r="AA745" s="48"/>
    </row>
    <row r="746" spans="2:27" ht="12.75" customHeight="1" x14ac:dyDescent="0.25">
      <c r="B746" s="48"/>
      <c r="C746" s="48"/>
      <c r="D746" s="48"/>
      <c r="E746" s="48"/>
      <c r="F746" s="48"/>
      <c r="G746" s="48"/>
      <c r="H746" s="48"/>
      <c r="I746" s="48"/>
      <c r="J746" s="48"/>
      <c r="K746" s="48"/>
      <c r="L746" s="48"/>
      <c r="M746" s="48"/>
      <c r="N746" s="48"/>
      <c r="O746" s="48"/>
      <c r="P746" s="48"/>
      <c r="Q746" s="48"/>
      <c r="R746" s="48"/>
      <c r="S746" s="48"/>
      <c r="T746" s="48"/>
      <c r="U746" s="48"/>
      <c r="V746" s="48"/>
      <c r="W746" s="48"/>
      <c r="X746" s="48"/>
      <c r="Y746" s="48"/>
      <c r="Z746" s="48"/>
      <c r="AA746" s="48"/>
    </row>
    <row r="747" spans="2:27" ht="12.75" customHeight="1" x14ac:dyDescent="0.25">
      <c r="B747" s="48"/>
      <c r="C747" s="48"/>
      <c r="D747" s="48"/>
      <c r="E747" s="48"/>
      <c r="F747" s="48"/>
      <c r="G747" s="48"/>
      <c r="H747" s="48"/>
      <c r="I747" s="48"/>
      <c r="J747" s="48"/>
      <c r="K747" s="48"/>
      <c r="L747" s="48"/>
      <c r="M747" s="48"/>
      <c r="N747" s="48"/>
      <c r="O747" s="48"/>
      <c r="P747" s="48"/>
      <c r="Q747" s="48"/>
      <c r="R747" s="48"/>
      <c r="S747" s="48"/>
      <c r="T747" s="48"/>
      <c r="U747" s="48"/>
      <c r="V747" s="48"/>
      <c r="W747" s="48"/>
      <c r="X747" s="48"/>
      <c r="Y747" s="48"/>
      <c r="Z747" s="48"/>
      <c r="AA747" s="48"/>
    </row>
    <row r="748" spans="2:27" ht="12.75" customHeight="1" x14ac:dyDescent="0.25">
      <c r="B748" s="48"/>
      <c r="C748" s="48"/>
      <c r="D748" s="48"/>
      <c r="E748" s="48"/>
      <c r="F748" s="48"/>
      <c r="G748" s="48"/>
      <c r="H748" s="48"/>
      <c r="I748" s="48"/>
      <c r="J748" s="48"/>
      <c r="K748" s="48"/>
      <c r="L748" s="48"/>
      <c r="M748" s="48"/>
      <c r="N748" s="48"/>
      <c r="O748" s="48"/>
      <c r="P748" s="48"/>
      <c r="Q748" s="48"/>
      <c r="R748" s="48"/>
      <c r="S748" s="48"/>
      <c r="T748" s="48"/>
      <c r="U748" s="48"/>
      <c r="V748" s="48"/>
      <c r="W748" s="48"/>
      <c r="X748" s="48"/>
      <c r="Y748" s="48"/>
      <c r="Z748" s="48"/>
      <c r="AA748" s="48"/>
    </row>
    <row r="749" spans="2:27" ht="12.75" customHeight="1" x14ac:dyDescent="0.25">
      <c r="B749" s="48"/>
      <c r="C749" s="48"/>
      <c r="D749" s="48"/>
      <c r="E749" s="48"/>
      <c r="F749" s="48"/>
      <c r="G749" s="48"/>
      <c r="H749" s="48"/>
      <c r="I749" s="48"/>
      <c r="J749" s="48"/>
      <c r="K749" s="48"/>
      <c r="L749" s="48"/>
      <c r="M749" s="48"/>
      <c r="N749" s="48"/>
      <c r="O749" s="48"/>
      <c r="P749" s="48"/>
      <c r="Q749" s="48"/>
      <c r="R749" s="48"/>
      <c r="S749" s="48"/>
      <c r="T749" s="48"/>
      <c r="U749" s="48"/>
      <c r="V749" s="48"/>
      <c r="W749" s="48"/>
      <c r="X749" s="48"/>
      <c r="Y749" s="48"/>
      <c r="Z749" s="48"/>
      <c r="AA749" s="48"/>
    </row>
    <row r="750" spans="2:27" ht="12.75" customHeight="1" x14ac:dyDescent="0.25">
      <c r="B750" s="48"/>
      <c r="C750" s="48"/>
      <c r="D750" s="48"/>
      <c r="E750" s="48"/>
      <c r="F750" s="48"/>
      <c r="G750" s="48"/>
      <c r="H750" s="48"/>
      <c r="I750" s="48"/>
      <c r="J750" s="48"/>
      <c r="K750" s="48"/>
      <c r="L750" s="48"/>
      <c r="M750" s="48"/>
      <c r="N750" s="48"/>
      <c r="O750" s="48"/>
      <c r="P750" s="48"/>
      <c r="Q750" s="48"/>
      <c r="R750" s="48"/>
      <c r="S750" s="48"/>
      <c r="T750" s="48"/>
      <c r="U750" s="48"/>
      <c r="V750" s="48"/>
      <c r="W750" s="48"/>
      <c r="X750" s="48"/>
      <c r="Y750" s="48"/>
      <c r="Z750" s="48"/>
      <c r="AA750" s="48"/>
    </row>
    <row r="751" spans="2:27" ht="12.75" customHeight="1" x14ac:dyDescent="0.25">
      <c r="B751" s="48"/>
      <c r="C751" s="48"/>
      <c r="D751" s="48"/>
      <c r="E751" s="48"/>
      <c r="F751" s="48"/>
      <c r="G751" s="48"/>
      <c r="H751" s="48"/>
      <c r="I751" s="48"/>
      <c r="J751" s="48"/>
      <c r="K751" s="48"/>
      <c r="L751" s="48"/>
      <c r="M751" s="48"/>
      <c r="N751" s="48"/>
      <c r="O751" s="48"/>
      <c r="P751" s="48"/>
      <c r="Q751" s="48"/>
      <c r="R751" s="48"/>
      <c r="S751" s="48"/>
      <c r="T751" s="48"/>
      <c r="U751" s="48"/>
      <c r="V751" s="48"/>
      <c r="W751" s="48"/>
      <c r="X751" s="48"/>
      <c r="Y751" s="48"/>
      <c r="Z751" s="48"/>
      <c r="AA751" s="48"/>
    </row>
    <row r="752" spans="2:27" ht="12.75" customHeight="1" x14ac:dyDescent="0.25">
      <c r="B752" s="48"/>
      <c r="C752" s="48"/>
      <c r="D752" s="48"/>
      <c r="E752" s="48"/>
      <c r="F752" s="48"/>
      <c r="G752" s="48"/>
      <c r="H752" s="48"/>
      <c r="I752" s="48"/>
      <c r="J752" s="48"/>
      <c r="K752" s="48"/>
      <c r="L752" s="48"/>
      <c r="M752" s="48"/>
      <c r="N752" s="48"/>
      <c r="O752" s="48"/>
      <c r="P752" s="48"/>
      <c r="Q752" s="48"/>
      <c r="R752" s="48"/>
      <c r="S752" s="48"/>
      <c r="T752" s="48"/>
      <c r="U752" s="48"/>
      <c r="V752" s="48"/>
      <c r="W752" s="48"/>
      <c r="X752" s="48"/>
      <c r="Y752" s="48"/>
      <c r="Z752" s="48"/>
      <c r="AA752" s="48"/>
    </row>
    <row r="753" spans="2:27" ht="12.75" customHeight="1" x14ac:dyDescent="0.25">
      <c r="B753" s="48"/>
      <c r="C753" s="48"/>
      <c r="D753" s="48"/>
      <c r="E753" s="48"/>
      <c r="F753" s="48"/>
      <c r="G753" s="48"/>
      <c r="H753" s="48"/>
      <c r="I753" s="48"/>
      <c r="J753" s="48"/>
      <c r="K753" s="48"/>
      <c r="L753" s="48"/>
      <c r="M753" s="48"/>
      <c r="N753" s="48"/>
      <c r="O753" s="48"/>
      <c r="P753" s="48"/>
      <c r="Q753" s="48"/>
      <c r="R753" s="48"/>
      <c r="S753" s="48"/>
      <c r="T753" s="48"/>
      <c r="U753" s="48"/>
      <c r="V753" s="48"/>
      <c r="W753" s="48"/>
      <c r="X753" s="48"/>
      <c r="Y753" s="48"/>
      <c r="Z753" s="48"/>
      <c r="AA753" s="48"/>
    </row>
    <row r="754" spans="2:27" ht="12.75" customHeight="1" x14ac:dyDescent="0.25">
      <c r="B754" s="48"/>
      <c r="C754" s="48"/>
      <c r="D754" s="48"/>
      <c r="E754" s="48"/>
      <c r="F754" s="48"/>
      <c r="G754" s="48"/>
      <c r="H754" s="48"/>
      <c r="I754" s="48"/>
      <c r="J754" s="48"/>
      <c r="K754" s="48"/>
      <c r="L754" s="48"/>
      <c r="M754" s="48"/>
      <c r="N754" s="48"/>
      <c r="O754" s="48"/>
      <c r="P754" s="48"/>
      <c r="Q754" s="48"/>
      <c r="R754" s="48"/>
      <c r="S754" s="48"/>
      <c r="T754" s="48"/>
      <c r="U754" s="48"/>
      <c r="V754" s="48"/>
      <c r="W754" s="48"/>
      <c r="X754" s="48"/>
      <c r="Y754" s="48"/>
      <c r="Z754" s="48"/>
      <c r="AA754" s="48"/>
    </row>
    <row r="755" spans="2:27" ht="12.75" customHeight="1" x14ac:dyDescent="0.25">
      <c r="B755" s="48"/>
      <c r="C755" s="48"/>
      <c r="D755" s="48"/>
      <c r="E755" s="48"/>
      <c r="F755" s="48"/>
      <c r="G755" s="48"/>
      <c r="H755" s="48"/>
      <c r="I755" s="48"/>
      <c r="J755" s="48"/>
      <c r="K755" s="48"/>
      <c r="L755" s="48"/>
      <c r="M755" s="48"/>
      <c r="N755" s="48"/>
      <c r="O755" s="48"/>
      <c r="P755" s="48"/>
      <c r="Q755" s="48"/>
      <c r="R755" s="48"/>
      <c r="S755" s="48"/>
      <c r="T755" s="48"/>
      <c r="U755" s="48"/>
      <c r="V755" s="48"/>
      <c r="W755" s="48"/>
      <c r="X755" s="48"/>
      <c r="Y755" s="48"/>
      <c r="Z755" s="48"/>
      <c r="AA755" s="48"/>
    </row>
    <row r="756" spans="2:27" ht="12.75" customHeight="1" x14ac:dyDescent="0.25">
      <c r="B756" s="48"/>
      <c r="C756" s="48"/>
      <c r="D756" s="48"/>
      <c r="E756" s="48"/>
      <c r="F756" s="48"/>
      <c r="G756" s="48"/>
      <c r="H756" s="48"/>
      <c r="I756" s="48"/>
      <c r="J756" s="48"/>
      <c r="K756" s="48"/>
      <c r="L756" s="48"/>
      <c r="M756" s="48"/>
      <c r="N756" s="48"/>
      <c r="O756" s="48"/>
      <c r="P756" s="48"/>
      <c r="Q756" s="48"/>
      <c r="R756" s="48"/>
      <c r="S756" s="48"/>
      <c r="T756" s="48"/>
      <c r="U756" s="48"/>
      <c r="V756" s="48"/>
      <c r="W756" s="48"/>
      <c r="X756" s="48"/>
      <c r="Y756" s="48"/>
      <c r="Z756" s="48"/>
      <c r="AA756" s="48"/>
    </row>
    <row r="757" spans="2:27" ht="12.75" customHeight="1" x14ac:dyDescent="0.25">
      <c r="B757" s="48"/>
      <c r="C757" s="48"/>
      <c r="D757" s="48"/>
      <c r="E757" s="48"/>
      <c r="F757" s="48"/>
      <c r="G757" s="48"/>
      <c r="H757" s="48"/>
      <c r="I757" s="48"/>
      <c r="J757" s="48"/>
      <c r="K757" s="48"/>
      <c r="L757" s="48"/>
      <c r="M757" s="48"/>
      <c r="N757" s="48"/>
      <c r="O757" s="48"/>
      <c r="P757" s="48"/>
      <c r="Q757" s="48"/>
      <c r="R757" s="48"/>
      <c r="S757" s="48"/>
      <c r="T757" s="48"/>
      <c r="U757" s="48"/>
      <c r="V757" s="48"/>
      <c r="W757" s="48"/>
      <c r="X757" s="48"/>
      <c r="Y757" s="48"/>
      <c r="Z757" s="48"/>
      <c r="AA757" s="48"/>
    </row>
    <row r="758" spans="2:27" ht="12.75" customHeight="1" x14ac:dyDescent="0.25">
      <c r="B758" s="48"/>
      <c r="C758" s="48"/>
      <c r="D758" s="48"/>
      <c r="E758" s="48"/>
      <c r="F758" s="48"/>
      <c r="G758" s="48"/>
      <c r="H758" s="48"/>
      <c r="I758" s="48"/>
      <c r="J758" s="48"/>
      <c r="K758" s="48"/>
      <c r="L758" s="48"/>
      <c r="M758" s="48"/>
      <c r="N758" s="48"/>
      <c r="O758" s="48"/>
      <c r="P758" s="48"/>
      <c r="Q758" s="48"/>
      <c r="R758" s="48"/>
      <c r="S758" s="48"/>
      <c r="T758" s="48"/>
      <c r="U758" s="48"/>
      <c r="V758" s="48"/>
      <c r="W758" s="48"/>
      <c r="X758" s="48"/>
      <c r="Y758" s="48"/>
      <c r="Z758" s="48"/>
      <c r="AA758" s="48"/>
    </row>
    <row r="759" spans="2:27" ht="12.75" customHeight="1" x14ac:dyDescent="0.25">
      <c r="B759" s="48"/>
      <c r="C759" s="48"/>
      <c r="D759" s="48"/>
      <c r="E759" s="48"/>
      <c r="F759" s="48"/>
      <c r="G759" s="48"/>
      <c r="H759" s="48"/>
      <c r="I759" s="48"/>
      <c r="J759" s="48"/>
      <c r="K759" s="48"/>
      <c r="L759" s="48"/>
      <c r="M759" s="48"/>
      <c r="N759" s="48"/>
      <c r="O759" s="48"/>
      <c r="P759" s="48"/>
      <c r="Q759" s="48"/>
      <c r="R759" s="48"/>
      <c r="S759" s="48"/>
      <c r="T759" s="48"/>
      <c r="U759" s="48"/>
      <c r="V759" s="48"/>
      <c r="W759" s="48"/>
      <c r="X759" s="48"/>
      <c r="Y759" s="48"/>
      <c r="Z759" s="48"/>
      <c r="AA759" s="48"/>
    </row>
    <row r="760" spans="2:27" ht="12.75" customHeight="1" x14ac:dyDescent="0.25">
      <c r="B760" s="48"/>
      <c r="C760" s="48"/>
      <c r="D760" s="48"/>
      <c r="E760" s="48"/>
      <c r="F760" s="48"/>
      <c r="G760" s="48"/>
      <c r="H760" s="48"/>
      <c r="I760" s="48"/>
      <c r="J760" s="48"/>
      <c r="K760" s="48"/>
      <c r="L760" s="48"/>
      <c r="M760" s="48"/>
      <c r="N760" s="48"/>
      <c r="O760" s="48"/>
      <c r="P760" s="48"/>
      <c r="Q760" s="48"/>
      <c r="R760" s="48"/>
      <c r="S760" s="48"/>
      <c r="T760" s="48"/>
      <c r="U760" s="48"/>
      <c r="V760" s="48"/>
      <c r="W760" s="48"/>
      <c r="X760" s="48"/>
      <c r="Y760" s="48"/>
      <c r="Z760" s="48"/>
      <c r="AA760" s="48"/>
    </row>
    <row r="761" spans="2:27" ht="12.75" customHeight="1" x14ac:dyDescent="0.25">
      <c r="B761" s="48"/>
      <c r="C761" s="48"/>
      <c r="D761" s="48"/>
      <c r="E761" s="48"/>
      <c r="F761" s="48"/>
      <c r="G761" s="48"/>
      <c r="H761" s="48"/>
      <c r="I761" s="48"/>
      <c r="J761" s="48"/>
      <c r="K761" s="48"/>
      <c r="L761" s="48"/>
      <c r="M761" s="48"/>
      <c r="N761" s="48"/>
      <c r="O761" s="48"/>
      <c r="P761" s="48"/>
      <c r="Q761" s="48"/>
      <c r="R761" s="48"/>
      <c r="S761" s="48"/>
      <c r="T761" s="48"/>
      <c r="U761" s="48"/>
      <c r="V761" s="48"/>
      <c r="W761" s="48"/>
      <c r="X761" s="48"/>
      <c r="Y761" s="48"/>
      <c r="Z761" s="48"/>
      <c r="AA761" s="48"/>
    </row>
    <row r="762" spans="2:27" ht="12.75" customHeight="1" x14ac:dyDescent="0.25">
      <c r="B762" s="48"/>
      <c r="C762" s="48"/>
      <c r="D762" s="48"/>
      <c r="E762" s="48"/>
      <c r="F762" s="48"/>
      <c r="G762" s="48"/>
      <c r="H762" s="48"/>
      <c r="I762" s="48"/>
      <c r="J762" s="48"/>
      <c r="K762" s="48"/>
      <c r="L762" s="48"/>
      <c r="M762" s="48"/>
      <c r="N762" s="48"/>
      <c r="O762" s="48"/>
      <c r="P762" s="48"/>
      <c r="Q762" s="48"/>
      <c r="R762" s="48"/>
      <c r="S762" s="48"/>
      <c r="T762" s="48"/>
      <c r="U762" s="48"/>
      <c r="V762" s="48"/>
      <c r="W762" s="48"/>
      <c r="X762" s="48"/>
      <c r="Y762" s="48"/>
      <c r="Z762" s="48"/>
      <c r="AA762" s="48"/>
    </row>
    <row r="763" spans="2:27" ht="12.75" customHeight="1" x14ac:dyDescent="0.25">
      <c r="B763" s="48"/>
      <c r="C763" s="48"/>
      <c r="D763" s="48"/>
      <c r="E763" s="48"/>
      <c r="F763" s="48"/>
      <c r="G763" s="48"/>
      <c r="H763" s="48"/>
      <c r="I763" s="48"/>
      <c r="J763" s="48"/>
      <c r="K763" s="48"/>
      <c r="L763" s="48"/>
      <c r="M763" s="48"/>
      <c r="N763" s="48"/>
      <c r="O763" s="48"/>
      <c r="P763" s="48"/>
      <c r="Q763" s="48"/>
      <c r="R763" s="48"/>
      <c r="S763" s="48"/>
      <c r="T763" s="48"/>
      <c r="U763" s="48"/>
      <c r="V763" s="48"/>
      <c r="W763" s="48"/>
      <c r="X763" s="48"/>
      <c r="Y763" s="48"/>
      <c r="Z763" s="48"/>
      <c r="AA763" s="48"/>
    </row>
    <row r="764" spans="2:27" ht="12.75" customHeight="1" x14ac:dyDescent="0.25">
      <c r="B764" s="48"/>
      <c r="C764" s="48"/>
      <c r="D764" s="48"/>
      <c r="E764" s="48"/>
      <c r="F764" s="48"/>
      <c r="G764" s="48"/>
      <c r="H764" s="48"/>
      <c r="I764" s="48"/>
      <c r="J764" s="48"/>
      <c r="K764" s="48"/>
      <c r="L764" s="48"/>
      <c r="M764" s="48"/>
      <c r="N764" s="48"/>
      <c r="O764" s="48"/>
      <c r="P764" s="48"/>
      <c r="Q764" s="48"/>
      <c r="R764" s="48"/>
      <c r="S764" s="48"/>
      <c r="T764" s="48"/>
      <c r="U764" s="48"/>
      <c r="V764" s="48"/>
      <c r="W764" s="48"/>
      <c r="X764" s="48"/>
      <c r="Y764" s="48"/>
      <c r="Z764" s="48"/>
      <c r="AA764" s="48"/>
    </row>
    <row r="765" spans="2:27" ht="12.75" customHeight="1" x14ac:dyDescent="0.25">
      <c r="B765" s="48"/>
      <c r="C765" s="48"/>
      <c r="D765" s="48"/>
      <c r="E765" s="48"/>
      <c r="F765" s="48"/>
      <c r="G765" s="48"/>
      <c r="H765" s="48"/>
      <c r="I765" s="48"/>
      <c r="J765" s="48"/>
      <c r="K765" s="48"/>
      <c r="L765" s="48"/>
      <c r="M765" s="48"/>
      <c r="N765" s="48"/>
      <c r="O765" s="48"/>
      <c r="P765" s="48"/>
      <c r="Q765" s="48"/>
      <c r="R765" s="48"/>
      <c r="S765" s="48"/>
      <c r="T765" s="48"/>
      <c r="U765" s="48"/>
      <c r="V765" s="48"/>
      <c r="W765" s="48"/>
      <c r="X765" s="48"/>
      <c r="Y765" s="48"/>
      <c r="Z765" s="48"/>
      <c r="AA765" s="48"/>
    </row>
    <row r="766" spans="2:27" ht="12.75" customHeight="1" x14ac:dyDescent="0.25">
      <c r="B766" s="48"/>
      <c r="C766" s="48"/>
      <c r="D766" s="48"/>
      <c r="E766" s="48"/>
      <c r="F766" s="48"/>
      <c r="G766" s="48"/>
      <c r="H766" s="48"/>
      <c r="I766" s="48"/>
      <c r="J766" s="48"/>
      <c r="K766" s="48"/>
      <c r="L766" s="48"/>
      <c r="M766" s="48"/>
      <c r="N766" s="48"/>
      <c r="O766" s="48"/>
      <c r="P766" s="48"/>
      <c r="Q766" s="48"/>
      <c r="R766" s="48"/>
      <c r="S766" s="48"/>
      <c r="T766" s="48"/>
      <c r="U766" s="48"/>
      <c r="V766" s="48"/>
      <c r="W766" s="48"/>
      <c r="X766" s="48"/>
      <c r="Y766" s="48"/>
      <c r="Z766" s="48"/>
      <c r="AA766" s="48"/>
    </row>
    <row r="767" spans="2:27" ht="12.75" customHeight="1" x14ac:dyDescent="0.25">
      <c r="B767" s="48"/>
      <c r="C767" s="48"/>
      <c r="D767" s="48"/>
      <c r="E767" s="48"/>
      <c r="F767" s="48"/>
      <c r="G767" s="48"/>
      <c r="H767" s="48"/>
      <c r="I767" s="48"/>
      <c r="J767" s="48"/>
      <c r="K767" s="48"/>
      <c r="L767" s="48"/>
      <c r="M767" s="48"/>
      <c r="N767" s="48"/>
      <c r="O767" s="48"/>
      <c r="P767" s="48"/>
      <c r="Q767" s="48"/>
      <c r="R767" s="48"/>
      <c r="S767" s="48"/>
      <c r="T767" s="48"/>
      <c r="U767" s="48"/>
      <c r="V767" s="48"/>
      <c r="W767" s="48"/>
      <c r="X767" s="48"/>
      <c r="Y767" s="48"/>
      <c r="Z767" s="48"/>
      <c r="AA767" s="48"/>
    </row>
    <row r="768" spans="2:27" ht="12.75" customHeight="1" x14ac:dyDescent="0.25">
      <c r="B768" s="48"/>
      <c r="C768" s="48"/>
      <c r="D768" s="48"/>
      <c r="E768" s="48"/>
      <c r="F768" s="48"/>
      <c r="G768" s="48"/>
      <c r="H768" s="48"/>
      <c r="I768" s="48"/>
      <c r="J768" s="48"/>
      <c r="K768" s="48"/>
      <c r="L768" s="48"/>
      <c r="M768" s="48"/>
      <c r="N768" s="48"/>
      <c r="O768" s="48"/>
      <c r="P768" s="48"/>
      <c r="Q768" s="48"/>
      <c r="R768" s="48"/>
      <c r="S768" s="48"/>
      <c r="T768" s="48"/>
      <c r="U768" s="48"/>
      <c r="V768" s="48"/>
      <c r="W768" s="48"/>
      <c r="X768" s="48"/>
      <c r="Y768" s="48"/>
      <c r="Z768" s="48"/>
      <c r="AA768" s="48"/>
    </row>
    <row r="769" spans="2:27" ht="12.75" customHeight="1" x14ac:dyDescent="0.25">
      <c r="B769" s="48"/>
      <c r="C769" s="48"/>
      <c r="D769" s="48"/>
      <c r="E769" s="48"/>
      <c r="F769" s="48"/>
      <c r="G769" s="48"/>
      <c r="H769" s="48"/>
      <c r="I769" s="48"/>
      <c r="J769" s="48"/>
      <c r="K769" s="48"/>
      <c r="L769" s="48"/>
      <c r="M769" s="48"/>
      <c r="N769" s="48"/>
      <c r="O769" s="48"/>
      <c r="P769" s="48"/>
      <c r="Q769" s="48"/>
      <c r="R769" s="48"/>
      <c r="S769" s="48"/>
      <c r="T769" s="48"/>
      <c r="U769" s="48"/>
      <c r="V769" s="48"/>
      <c r="W769" s="48"/>
      <c r="X769" s="48"/>
      <c r="Y769" s="48"/>
      <c r="Z769" s="48"/>
      <c r="AA769" s="48"/>
    </row>
    <row r="770" spans="2:27" ht="12.75" customHeight="1" x14ac:dyDescent="0.25">
      <c r="B770" s="48"/>
      <c r="C770" s="48"/>
      <c r="D770" s="48"/>
      <c r="E770" s="48"/>
      <c r="F770" s="48"/>
      <c r="G770" s="48"/>
      <c r="H770" s="48"/>
      <c r="I770" s="48"/>
      <c r="J770" s="48"/>
      <c r="K770" s="48"/>
      <c r="L770" s="48"/>
      <c r="M770" s="48"/>
      <c r="N770" s="48"/>
      <c r="O770" s="48"/>
      <c r="P770" s="48"/>
      <c r="Q770" s="48"/>
      <c r="R770" s="48"/>
      <c r="S770" s="48"/>
      <c r="T770" s="48"/>
      <c r="U770" s="48"/>
      <c r="V770" s="48"/>
      <c r="W770" s="48"/>
      <c r="X770" s="48"/>
      <c r="Y770" s="48"/>
      <c r="Z770" s="48"/>
      <c r="AA770" s="48"/>
    </row>
    <row r="771" spans="2:27" ht="12.75" customHeight="1" x14ac:dyDescent="0.25">
      <c r="B771" s="48"/>
      <c r="C771" s="48"/>
      <c r="D771" s="48"/>
      <c r="E771" s="48"/>
      <c r="F771" s="48"/>
      <c r="G771" s="48"/>
      <c r="H771" s="48"/>
      <c r="I771" s="48"/>
      <c r="J771" s="48"/>
      <c r="K771" s="48"/>
      <c r="L771" s="48"/>
      <c r="M771" s="48"/>
      <c r="N771" s="48"/>
      <c r="O771" s="48"/>
      <c r="P771" s="48"/>
      <c r="Q771" s="48"/>
      <c r="R771" s="48"/>
      <c r="S771" s="48"/>
      <c r="T771" s="48"/>
      <c r="U771" s="48"/>
      <c r="V771" s="48"/>
      <c r="W771" s="48"/>
      <c r="X771" s="48"/>
      <c r="Y771" s="48"/>
      <c r="Z771" s="48"/>
      <c r="AA771" s="48"/>
    </row>
    <row r="772" spans="2:27" ht="12.75" customHeight="1" x14ac:dyDescent="0.25">
      <c r="B772" s="48"/>
      <c r="C772" s="48"/>
      <c r="D772" s="48"/>
      <c r="E772" s="48"/>
      <c r="F772" s="48"/>
      <c r="G772" s="48"/>
      <c r="H772" s="48"/>
      <c r="I772" s="48"/>
      <c r="J772" s="48"/>
      <c r="K772" s="48"/>
      <c r="L772" s="48"/>
      <c r="M772" s="48"/>
      <c r="N772" s="48"/>
      <c r="O772" s="48"/>
      <c r="P772" s="48"/>
      <c r="Q772" s="48"/>
      <c r="R772" s="48"/>
      <c r="S772" s="48"/>
      <c r="T772" s="48"/>
      <c r="U772" s="48"/>
      <c r="V772" s="48"/>
      <c r="W772" s="48"/>
      <c r="X772" s="48"/>
      <c r="Y772" s="48"/>
      <c r="Z772" s="48"/>
      <c r="AA772" s="48"/>
    </row>
    <row r="773" spans="2:27" ht="12.75" customHeight="1" x14ac:dyDescent="0.25">
      <c r="B773" s="48"/>
      <c r="C773" s="48"/>
      <c r="D773" s="48"/>
      <c r="E773" s="48"/>
      <c r="F773" s="48"/>
      <c r="G773" s="48"/>
      <c r="H773" s="48"/>
      <c r="I773" s="48"/>
      <c r="J773" s="48"/>
      <c r="K773" s="48"/>
      <c r="L773" s="48"/>
      <c r="M773" s="48"/>
      <c r="N773" s="48"/>
      <c r="O773" s="48"/>
      <c r="P773" s="48"/>
      <c r="Q773" s="48"/>
      <c r="R773" s="48"/>
      <c r="S773" s="48"/>
      <c r="T773" s="48"/>
      <c r="U773" s="48"/>
      <c r="V773" s="48"/>
      <c r="W773" s="48"/>
      <c r="X773" s="48"/>
      <c r="Y773" s="48"/>
      <c r="Z773" s="48"/>
      <c r="AA773" s="48"/>
    </row>
    <row r="774" spans="2:27" ht="12.75" customHeight="1" x14ac:dyDescent="0.25">
      <c r="B774" s="48"/>
      <c r="C774" s="48"/>
      <c r="D774" s="48"/>
      <c r="E774" s="48"/>
      <c r="F774" s="48"/>
      <c r="G774" s="48"/>
      <c r="H774" s="48"/>
      <c r="I774" s="48"/>
      <c r="J774" s="48"/>
      <c r="K774" s="48"/>
      <c r="L774" s="48"/>
      <c r="M774" s="48"/>
      <c r="N774" s="48"/>
      <c r="O774" s="48"/>
      <c r="P774" s="48"/>
      <c r="Q774" s="48"/>
      <c r="R774" s="48"/>
      <c r="S774" s="48"/>
      <c r="T774" s="48"/>
      <c r="U774" s="48"/>
      <c r="V774" s="48"/>
      <c r="W774" s="48"/>
      <c r="X774" s="48"/>
      <c r="Y774" s="48"/>
      <c r="Z774" s="48"/>
      <c r="AA774" s="48"/>
    </row>
    <row r="775" spans="2:27" ht="12.75" customHeight="1" x14ac:dyDescent="0.25">
      <c r="B775" s="48"/>
      <c r="C775" s="48"/>
      <c r="D775" s="48"/>
      <c r="E775" s="48"/>
      <c r="F775" s="48"/>
      <c r="G775" s="48"/>
      <c r="H775" s="48"/>
      <c r="I775" s="48"/>
      <c r="J775" s="48"/>
      <c r="K775" s="48"/>
      <c r="L775" s="48"/>
      <c r="M775" s="48"/>
      <c r="N775" s="48"/>
      <c r="O775" s="48"/>
      <c r="P775" s="48"/>
      <c r="Q775" s="48"/>
      <c r="R775" s="48"/>
      <c r="S775" s="48"/>
      <c r="T775" s="48"/>
      <c r="U775" s="48"/>
      <c r="V775" s="48"/>
      <c r="W775" s="48"/>
      <c r="X775" s="48"/>
      <c r="Y775" s="48"/>
      <c r="Z775" s="48"/>
      <c r="AA775" s="48"/>
    </row>
    <row r="776" spans="2:27" ht="12.75" customHeight="1" x14ac:dyDescent="0.25">
      <c r="B776" s="48"/>
      <c r="C776" s="48"/>
      <c r="D776" s="48"/>
      <c r="E776" s="48"/>
      <c r="F776" s="48"/>
      <c r="G776" s="48"/>
      <c r="H776" s="48"/>
      <c r="I776" s="48"/>
      <c r="J776" s="48"/>
      <c r="K776" s="48"/>
      <c r="L776" s="48"/>
      <c r="M776" s="48"/>
      <c r="N776" s="48"/>
      <c r="O776" s="48"/>
      <c r="P776" s="48"/>
      <c r="Q776" s="48"/>
      <c r="R776" s="48"/>
      <c r="S776" s="48"/>
      <c r="T776" s="48"/>
      <c r="U776" s="48"/>
      <c r="V776" s="48"/>
      <c r="W776" s="48"/>
      <c r="X776" s="48"/>
      <c r="Y776" s="48"/>
      <c r="Z776" s="48"/>
      <c r="AA776" s="48"/>
    </row>
    <row r="777" spans="2:27" ht="12.75" customHeight="1" x14ac:dyDescent="0.25">
      <c r="B777" s="48"/>
      <c r="C777" s="48"/>
      <c r="D777" s="48"/>
      <c r="E777" s="48"/>
      <c r="F777" s="48"/>
      <c r="G777" s="48"/>
      <c r="H777" s="48"/>
      <c r="I777" s="48"/>
      <c r="J777" s="48"/>
      <c r="K777" s="48"/>
      <c r="L777" s="48"/>
      <c r="M777" s="48"/>
      <c r="N777" s="48"/>
      <c r="O777" s="48"/>
      <c r="P777" s="48"/>
      <c r="Q777" s="48"/>
      <c r="R777" s="48"/>
      <c r="S777" s="48"/>
      <c r="T777" s="48"/>
      <c r="U777" s="48"/>
      <c r="V777" s="48"/>
      <c r="W777" s="48"/>
      <c r="X777" s="48"/>
      <c r="Y777" s="48"/>
      <c r="Z777" s="48"/>
      <c r="AA777" s="48"/>
    </row>
    <row r="778" spans="2:27" ht="12.75" customHeight="1" x14ac:dyDescent="0.25">
      <c r="B778" s="48"/>
      <c r="C778" s="48"/>
      <c r="D778" s="48"/>
      <c r="E778" s="48"/>
      <c r="F778" s="48"/>
      <c r="G778" s="48"/>
      <c r="H778" s="48"/>
      <c r="I778" s="48"/>
      <c r="J778" s="48"/>
      <c r="K778" s="48"/>
      <c r="L778" s="48"/>
      <c r="M778" s="48"/>
      <c r="N778" s="48"/>
      <c r="O778" s="48"/>
      <c r="P778" s="48"/>
      <c r="Q778" s="48"/>
      <c r="R778" s="48"/>
      <c r="S778" s="48"/>
      <c r="T778" s="48"/>
      <c r="U778" s="48"/>
      <c r="V778" s="48"/>
      <c r="W778" s="48"/>
      <c r="X778" s="48"/>
      <c r="Y778" s="48"/>
      <c r="Z778" s="48"/>
      <c r="AA778" s="48"/>
    </row>
    <row r="779" spans="2:27" ht="12.75" customHeight="1" x14ac:dyDescent="0.25">
      <c r="B779" s="48"/>
      <c r="C779" s="48"/>
      <c r="D779" s="48"/>
      <c r="E779" s="48"/>
      <c r="F779" s="48"/>
      <c r="G779" s="48"/>
      <c r="H779" s="48"/>
      <c r="I779" s="48"/>
      <c r="J779" s="48"/>
      <c r="K779" s="48"/>
      <c r="L779" s="48"/>
      <c r="M779" s="48"/>
      <c r="N779" s="48"/>
      <c r="O779" s="48"/>
      <c r="P779" s="48"/>
      <c r="Q779" s="48"/>
      <c r="R779" s="48"/>
      <c r="S779" s="48"/>
      <c r="T779" s="48"/>
      <c r="U779" s="48"/>
      <c r="V779" s="48"/>
      <c r="W779" s="48"/>
      <c r="X779" s="48"/>
      <c r="Y779" s="48"/>
      <c r="Z779" s="48"/>
      <c r="AA779" s="48"/>
    </row>
    <row r="780" spans="2:27" ht="12.75" customHeight="1" x14ac:dyDescent="0.25">
      <c r="B780" s="48"/>
      <c r="C780" s="48"/>
      <c r="D780" s="48"/>
      <c r="E780" s="48"/>
      <c r="F780" s="48"/>
      <c r="G780" s="48"/>
      <c r="H780" s="48"/>
      <c r="I780" s="48"/>
      <c r="J780" s="48"/>
      <c r="K780" s="48"/>
      <c r="L780" s="48"/>
      <c r="M780" s="48"/>
      <c r="N780" s="48"/>
      <c r="O780" s="48"/>
      <c r="P780" s="48"/>
      <c r="Q780" s="48"/>
      <c r="R780" s="48"/>
      <c r="S780" s="48"/>
      <c r="T780" s="48"/>
      <c r="U780" s="48"/>
      <c r="V780" s="48"/>
      <c r="W780" s="48"/>
      <c r="X780" s="48"/>
      <c r="Y780" s="48"/>
      <c r="Z780" s="48"/>
      <c r="AA780" s="48"/>
    </row>
    <row r="781" spans="2:27" ht="12.75" customHeight="1" x14ac:dyDescent="0.25">
      <c r="B781" s="48"/>
      <c r="C781" s="48"/>
      <c r="D781" s="48"/>
      <c r="E781" s="48"/>
      <c r="F781" s="48"/>
      <c r="G781" s="48"/>
      <c r="H781" s="48"/>
      <c r="I781" s="48"/>
      <c r="J781" s="48"/>
      <c r="K781" s="48"/>
      <c r="L781" s="48"/>
      <c r="M781" s="48"/>
      <c r="N781" s="48"/>
      <c r="O781" s="48"/>
      <c r="P781" s="48"/>
      <c r="Q781" s="48"/>
      <c r="R781" s="48"/>
      <c r="S781" s="48"/>
      <c r="T781" s="48"/>
      <c r="U781" s="48"/>
      <c r="V781" s="48"/>
      <c r="W781" s="48"/>
      <c r="X781" s="48"/>
      <c r="Y781" s="48"/>
      <c r="Z781" s="48"/>
      <c r="AA781" s="48"/>
    </row>
    <row r="782" spans="2:27" ht="12.75" customHeight="1" x14ac:dyDescent="0.25">
      <c r="B782" s="48"/>
      <c r="C782" s="48"/>
      <c r="D782" s="48"/>
      <c r="E782" s="48"/>
      <c r="F782" s="48"/>
      <c r="G782" s="48"/>
      <c r="H782" s="48"/>
      <c r="I782" s="48"/>
      <c r="J782" s="48"/>
      <c r="K782" s="48"/>
      <c r="L782" s="48"/>
      <c r="M782" s="48"/>
      <c r="N782" s="48"/>
      <c r="O782" s="48"/>
      <c r="P782" s="48"/>
      <c r="Q782" s="48"/>
      <c r="R782" s="48"/>
      <c r="S782" s="48"/>
      <c r="T782" s="48"/>
      <c r="U782" s="48"/>
      <c r="V782" s="48"/>
      <c r="W782" s="48"/>
      <c r="X782" s="48"/>
      <c r="Y782" s="48"/>
      <c r="Z782" s="48"/>
      <c r="AA782" s="48"/>
    </row>
    <row r="783" spans="2:27" ht="12.75" customHeight="1" x14ac:dyDescent="0.25">
      <c r="B783" s="48"/>
      <c r="C783" s="48"/>
      <c r="D783" s="48"/>
      <c r="E783" s="48"/>
      <c r="F783" s="48"/>
      <c r="G783" s="48"/>
      <c r="H783" s="48"/>
      <c r="I783" s="48"/>
      <c r="J783" s="48"/>
      <c r="K783" s="48"/>
      <c r="L783" s="48"/>
      <c r="M783" s="48"/>
      <c r="N783" s="48"/>
      <c r="O783" s="48"/>
      <c r="P783" s="48"/>
      <c r="Q783" s="48"/>
      <c r="R783" s="48"/>
      <c r="S783" s="48"/>
      <c r="T783" s="48"/>
      <c r="U783" s="48"/>
      <c r="V783" s="48"/>
      <c r="W783" s="48"/>
      <c r="X783" s="48"/>
      <c r="Y783" s="48"/>
      <c r="Z783" s="48"/>
      <c r="AA783" s="48"/>
    </row>
    <row r="784" spans="2:27" ht="12.75" customHeight="1" x14ac:dyDescent="0.25">
      <c r="B784" s="48"/>
      <c r="C784" s="48"/>
      <c r="D784" s="48"/>
      <c r="E784" s="48"/>
      <c r="F784" s="48"/>
      <c r="G784" s="48"/>
      <c r="H784" s="48"/>
      <c r="I784" s="48"/>
      <c r="J784" s="48"/>
      <c r="K784" s="48"/>
      <c r="L784" s="48"/>
      <c r="M784" s="48"/>
      <c r="N784" s="48"/>
      <c r="O784" s="48"/>
      <c r="P784" s="48"/>
      <c r="Q784" s="48"/>
      <c r="R784" s="48"/>
      <c r="S784" s="48"/>
      <c r="T784" s="48"/>
      <c r="U784" s="48"/>
      <c r="V784" s="48"/>
      <c r="W784" s="48"/>
      <c r="X784" s="48"/>
      <c r="Y784" s="48"/>
      <c r="Z784" s="48"/>
      <c r="AA784" s="48"/>
    </row>
    <row r="785" spans="2:27" ht="12.75" customHeight="1" x14ac:dyDescent="0.25">
      <c r="B785" s="48"/>
      <c r="C785" s="48"/>
      <c r="D785" s="48"/>
      <c r="E785" s="48"/>
      <c r="F785" s="48"/>
      <c r="G785" s="48"/>
      <c r="H785" s="48"/>
      <c r="I785" s="48"/>
      <c r="J785" s="48"/>
      <c r="K785" s="48"/>
      <c r="L785" s="48"/>
      <c r="M785" s="48"/>
      <c r="N785" s="48"/>
      <c r="O785" s="48"/>
      <c r="P785" s="48"/>
      <c r="Q785" s="48"/>
      <c r="R785" s="48"/>
      <c r="S785" s="48"/>
      <c r="T785" s="48"/>
      <c r="U785" s="48"/>
      <c r="V785" s="48"/>
      <c r="W785" s="48"/>
      <c r="X785" s="48"/>
      <c r="Y785" s="48"/>
      <c r="Z785" s="48"/>
      <c r="AA785" s="48"/>
    </row>
    <row r="786" spans="2:27" ht="12.75" customHeight="1" x14ac:dyDescent="0.25">
      <c r="B786" s="48"/>
      <c r="C786" s="48"/>
      <c r="D786" s="48"/>
      <c r="E786" s="48"/>
      <c r="F786" s="48"/>
      <c r="G786" s="48"/>
      <c r="H786" s="48"/>
      <c r="I786" s="48"/>
      <c r="J786" s="48"/>
      <c r="K786" s="48"/>
      <c r="L786" s="48"/>
      <c r="M786" s="48"/>
      <c r="N786" s="48"/>
      <c r="O786" s="48"/>
      <c r="P786" s="48"/>
      <c r="Q786" s="48"/>
      <c r="R786" s="48"/>
      <c r="S786" s="48"/>
      <c r="T786" s="48"/>
      <c r="U786" s="48"/>
      <c r="V786" s="48"/>
      <c r="W786" s="48"/>
      <c r="X786" s="48"/>
      <c r="Y786" s="48"/>
      <c r="Z786" s="48"/>
      <c r="AA786" s="48"/>
    </row>
    <row r="787" spans="2:27" ht="12.75" customHeight="1" x14ac:dyDescent="0.25">
      <c r="B787" s="48"/>
      <c r="C787" s="48"/>
      <c r="D787" s="48"/>
      <c r="E787" s="48"/>
      <c r="F787" s="48"/>
      <c r="G787" s="48"/>
      <c r="H787" s="48"/>
      <c r="I787" s="48"/>
      <c r="J787" s="48"/>
      <c r="K787" s="48"/>
      <c r="L787" s="48"/>
      <c r="M787" s="48"/>
      <c r="N787" s="48"/>
      <c r="O787" s="48"/>
      <c r="P787" s="48"/>
      <c r="Q787" s="48"/>
      <c r="R787" s="48"/>
      <c r="S787" s="48"/>
      <c r="T787" s="48"/>
      <c r="U787" s="48"/>
      <c r="V787" s="48"/>
      <c r="W787" s="48"/>
      <c r="X787" s="48"/>
      <c r="Y787" s="48"/>
      <c r="Z787" s="48"/>
      <c r="AA787" s="48"/>
    </row>
    <row r="788" spans="2:27" ht="12.75" customHeight="1" x14ac:dyDescent="0.25">
      <c r="B788" s="48"/>
      <c r="C788" s="48"/>
      <c r="D788" s="48"/>
      <c r="E788" s="48"/>
      <c r="F788" s="48"/>
      <c r="G788" s="48"/>
      <c r="H788" s="48"/>
      <c r="I788" s="48"/>
      <c r="J788" s="48"/>
      <c r="K788" s="48"/>
      <c r="L788" s="48"/>
      <c r="M788" s="48"/>
      <c r="N788" s="48"/>
      <c r="O788" s="48"/>
      <c r="P788" s="48"/>
      <c r="Q788" s="48"/>
      <c r="R788" s="48"/>
      <c r="S788" s="48"/>
      <c r="T788" s="48"/>
      <c r="U788" s="48"/>
      <c r="V788" s="48"/>
      <c r="W788" s="48"/>
      <c r="X788" s="48"/>
      <c r="Y788" s="48"/>
      <c r="Z788" s="48"/>
      <c r="AA788" s="48"/>
    </row>
    <row r="789" spans="2:27" ht="12.75" customHeight="1" x14ac:dyDescent="0.25">
      <c r="B789" s="48"/>
      <c r="C789" s="48"/>
      <c r="D789" s="48"/>
      <c r="E789" s="48"/>
      <c r="F789" s="48"/>
      <c r="G789" s="48"/>
      <c r="H789" s="48"/>
      <c r="I789" s="48"/>
      <c r="J789" s="48"/>
      <c r="K789" s="48"/>
      <c r="L789" s="48"/>
      <c r="M789" s="48"/>
      <c r="N789" s="48"/>
      <c r="O789" s="48"/>
      <c r="P789" s="48"/>
      <c r="Q789" s="48"/>
      <c r="R789" s="48"/>
      <c r="S789" s="48"/>
      <c r="T789" s="48"/>
      <c r="U789" s="48"/>
      <c r="V789" s="48"/>
      <c r="W789" s="48"/>
      <c r="X789" s="48"/>
      <c r="Y789" s="48"/>
      <c r="Z789" s="48"/>
      <c r="AA789" s="48"/>
    </row>
    <row r="790" spans="2:27" ht="12.75" customHeight="1" x14ac:dyDescent="0.25">
      <c r="B790" s="48"/>
      <c r="C790" s="48"/>
      <c r="D790" s="48"/>
      <c r="E790" s="48"/>
      <c r="F790" s="48"/>
      <c r="G790" s="48"/>
      <c r="H790" s="48"/>
      <c r="I790" s="48"/>
      <c r="J790" s="48"/>
      <c r="K790" s="48"/>
      <c r="L790" s="48"/>
      <c r="M790" s="48"/>
      <c r="N790" s="48"/>
      <c r="O790" s="48"/>
      <c r="P790" s="48"/>
      <c r="Q790" s="48"/>
      <c r="R790" s="48"/>
      <c r="S790" s="48"/>
      <c r="T790" s="48"/>
      <c r="U790" s="48"/>
      <c r="V790" s="48"/>
      <c r="W790" s="48"/>
      <c r="X790" s="48"/>
      <c r="Y790" s="48"/>
      <c r="Z790" s="48"/>
      <c r="AA790" s="48"/>
    </row>
    <row r="791" spans="2:27" ht="12.75" customHeight="1" x14ac:dyDescent="0.25">
      <c r="B791" s="48"/>
      <c r="C791" s="48"/>
      <c r="D791" s="48"/>
      <c r="E791" s="48"/>
      <c r="F791" s="48"/>
      <c r="G791" s="48"/>
      <c r="H791" s="48"/>
      <c r="I791" s="48"/>
      <c r="J791" s="48"/>
      <c r="K791" s="48"/>
      <c r="L791" s="48"/>
      <c r="M791" s="48"/>
      <c r="N791" s="48"/>
      <c r="O791" s="48"/>
      <c r="P791" s="48"/>
      <c r="Q791" s="48"/>
      <c r="R791" s="48"/>
      <c r="S791" s="48"/>
      <c r="T791" s="48"/>
      <c r="U791" s="48"/>
      <c r="V791" s="48"/>
      <c r="W791" s="48"/>
      <c r="X791" s="48"/>
      <c r="Y791" s="48"/>
      <c r="Z791" s="48"/>
      <c r="AA791" s="48"/>
    </row>
    <row r="792" spans="2:27" ht="12.75" customHeight="1" x14ac:dyDescent="0.25">
      <c r="B792" s="48"/>
      <c r="C792" s="48"/>
      <c r="D792" s="48"/>
      <c r="E792" s="48"/>
      <c r="F792" s="48"/>
      <c r="G792" s="48"/>
      <c r="H792" s="48"/>
      <c r="I792" s="48"/>
      <c r="J792" s="48"/>
      <c r="K792" s="48"/>
      <c r="L792" s="48"/>
      <c r="M792" s="48"/>
      <c r="N792" s="48"/>
      <c r="O792" s="48"/>
      <c r="P792" s="48"/>
      <c r="Q792" s="48"/>
      <c r="R792" s="48"/>
      <c r="S792" s="48"/>
      <c r="T792" s="48"/>
      <c r="U792" s="48"/>
      <c r="V792" s="48"/>
      <c r="W792" s="48"/>
      <c r="X792" s="48"/>
      <c r="Y792" s="48"/>
      <c r="Z792" s="48"/>
      <c r="AA792" s="48"/>
    </row>
    <row r="793" spans="2:27" ht="12.75" customHeight="1" x14ac:dyDescent="0.25">
      <c r="B793" s="48"/>
      <c r="C793" s="48"/>
      <c r="D793" s="48"/>
      <c r="E793" s="48"/>
      <c r="F793" s="48"/>
      <c r="G793" s="48"/>
      <c r="H793" s="48"/>
      <c r="I793" s="48"/>
      <c r="J793" s="48"/>
      <c r="K793" s="48"/>
      <c r="L793" s="48"/>
      <c r="M793" s="48"/>
      <c r="N793" s="48"/>
      <c r="O793" s="48"/>
      <c r="P793" s="48"/>
      <c r="Q793" s="48"/>
      <c r="R793" s="48"/>
      <c r="S793" s="48"/>
      <c r="T793" s="48"/>
      <c r="U793" s="48"/>
      <c r="V793" s="48"/>
      <c r="W793" s="48"/>
      <c r="X793" s="48"/>
      <c r="Y793" s="48"/>
      <c r="Z793" s="48"/>
      <c r="AA793" s="48"/>
    </row>
    <row r="794" spans="2:27" ht="12.75" customHeight="1" x14ac:dyDescent="0.25">
      <c r="B794" s="48"/>
      <c r="C794" s="48"/>
      <c r="D794" s="48"/>
      <c r="E794" s="48"/>
      <c r="F794" s="48"/>
      <c r="G794" s="48"/>
      <c r="H794" s="48"/>
      <c r="I794" s="48"/>
      <c r="J794" s="48"/>
      <c r="K794" s="48"/>
      <c r="L794" s="48"/>
      <c r="M794" s="48"/>
      <c r="N794" s="48"/>
      <c r="O794" s="48"/>
      <c r="P794" s="48"/>
      <c r="Q794" s="48"/>
      <c r="R794" s="48"/>
      <c r="S794" s="48"/>
      <c r="T794" s="48"/>
      <c r="U794" s="48"/>
      <c r="V794" s="48"/>
      <c r="W794" s="48"/>
      <c r="X794" s="48"/>
      <c r="Y794" s="48"/>
      <c r="Z794" s="48"/>
      <c r="AA794" s="48"/>
    </row>
    <row r="795" spans="2:27" ht="12.75" customHeight="1" x14ac:dyDescent="0.25">
      <c r="B795" s="48"/>
      <c r="C795" s="48"/>
      <c r="D795" s="48"/>
      <c r="E795" s="48"/>
      <c r="F795" s="48"/>
      <c r="G795" s="48"/>
      <c r="H795" s="48"/>
      <c r="I795" s="48"/>
      <c r="J795" s="48"/>
      <c r="K795" s="48"/>
      <c r="L795" s="48"/>
      <c r="M795" s="48"/>
      <c r="N795" s="48"/>
      <c r="O795" s="48"/>
      <c r="P795" s="48"/>
      <c r="Q795" s="48"/>
      <c r="R795" s="48"/>
      <c r="S795" s="48"/>
      <c r="T795" s="48"/>
      <c r="U795" s="48"/>
      <c r="V795" s="48"/>
      <c r="W795" s="48"/>
      <c r="X795" s="48"/>
      <c r="Y795" s="48"/>
      <c r="Z795" s="48"/>
      <c r="AA795" s="48"/>
    </row>
    <row r="796" spans="2:27" ht="12.75" customHeight="1" x14ac:dyDescent="0.25">
      <c r="B796" s="48"/>
      <c r="C796" s="48"/>
      <c r="D796" s="48"/>
      <c r="E796" s="48"/>
      <c r="F796" s="48"/>
      <c r="G796" s="48"/>
      <c r="H796" s="48"/>
      <c r="I796" s="48"/>
      <c r="J796" s="48"/>
      <c r="K796" s="48"/>
      <c r="L796" s="48"/>
      <c r="M796" s="48"/>
      <c r="N796" s="48"/>
      <c r="O796" s="48"/>
      <c r="P796" s="48"/>
      <c r="Q796" s="48"/>
      <c r="R796" s="48"/>
      <c r="S796" s="48"/>
      <c r="T796" s="48"/>
      <c r="U796" s="48"/>
      <c r="V796" s="48"/>
      <c r="W796" s="48"/>
      <c r="X796" s="48"/>
      <c r="Y796" s="48"/>
      <c r="Z796" s="48"/>
      <c r="AA796" s="48"/>
    </row>
    <row r="797" spans="2:27" ht="12.75" customHeight="1" x14ac:dyDescent="0.25">
      <c r="B797" s="48"/>
      <c r="C797" s="48"/>
      <c r="D797" s="48"/>
      <c r="E797" s="48"/>
      <c r="F797" s="48"/>
      <c r="G797" s="48"/>
      <c r="H797" s="48"/>
      <c r="I797" s="48"/>
      <c r="J797" s="48"/>
      <c r="K797" s="48"/>
      <c r="L797" s="48"/>
      <c r="M797" s="48"/>
      <c r="N797" s="48"/>
      <c r="O797" s="48"/>
      <c r="P797" s="48"/>
      <c r="Q797" s="48"/>
      <c r="R797" s="48"/>
      <c r="S797" s="48"/>
      <c r="T797" s="48"/>
      <c r="U797" s="48"/>
      <c r="V797" s="48"/>
      <c r="W797" s="48"/>
      <c r="X797" s="48"/>
      <c r="Y797" s="48"/>
      <c r="Z797" s="48"/>
      <c r="AA797" s="48"/>
    </row>
    <row r="798" spans="2:27" ht="12.75" customHeight="1" x14ac:dyDescent="0.25">
      <c r="B798" s="48"/>
      <c r="C798" s="48"/>
      <c r="D798" s="48"/>
      <c r="E798" s="48"/>
      <c r="F798" s="48"/>
      <c r="G798" s="48"/>
      <c r="H798" s="48"/>
      <c r="I798" s="48"/>
      <c r="J798" s="48"/>
      <c r="K798" s="48"/>
      <c r="L798" s="48"/>
      <c r="M798" s="48"/>
      <c r="N798" s="48"/>
      <c r="O798" s="48"/>
      <c r="P798" s="48"/>
      <c r="Q798" s="48"/>
      <c r="R798" s="48"/>
      <c r="S798" s="48"/>
      <c r="T798" s="48"/>
      <c r="U798" s="48"/>
      <c r="V798" s="48"/>
      <c r="W798" s="48"/>
      <c r="X798" s="48"/>
      <c r="Y798" s="48"/>
      <c r="Z798" s="48"/>
      <c r="AA798" s="48"/>
    </row>
    <row r="799" spans="2:27" ht="12.75" customHeight="1" x14ac:dyDescent="0.25">
      <c r="B799" s="48"/>
      <c r="C799" s="48"/>
      <c r="D799" s="48"/>
      <c r="E799" s="48"/>
      <c r="F799" s="48"/>
      <c r="G799" s="48"/>
      <c r="H799" s="48"/>
      <c r="I799" s="48"/>
      <c r="J799" s="48"/>
      <c r="K799" s="48"/>
      <c r="L799" s="48"/>
      <c r="M799" s="48"/>
      <c r="N799" s="48"/>
      <c r="O799" s="48"/>
      <c r="P799" s="48"/>
      <c r="Q799" s="48"/>
      <c r="R799" s="48"/>
      <c r="S799" s="48"/>
      <c r="T799" s="48"/>
      <c r="U799" s="48"/>
      <c r="V799" s="48"/>
      <c r="W799" s="48"/>
      <c r="X799" s="48"/>
      <c r="Y799" s="48"/>
      <c r="Z799" s="48"/>
      <c r="AA799" s="48"/>
    </row>
    <row r="800" spans="2:27" ht="12.75" customHeight="1" x14ac:dyDescent="0.25">
      <c r="B800" s="48"/>
      <c r="C800" s="48"/>
      <c r="D800" s="48"/>
      <c r="E800" s="48"/>
      <c r="F800" s="48"/>
      <c r="G800" s="48"/>
      <c r="H800" s="48"/>
      <c r="I800" s="48"/>
      <c r="J800" s="48"/>
      <c r="K800" s="48"/>
      <c r="L800" s="48"/>
      <c r="M800" s="48"/>
      <c r="N800" s="48"/>
      <c r="O800" s="48"/>
      <c r="P800" s="48"/>
      <c r="Q800" s="48"/>
      <c r="R800" s="48"/>
      <c r="S800" s="48"/>
      <c r="T800" s="48"/>
      <c r="U800" s="48"/>
      <c r="V800" s="48"/>
      <c r="W800" s="48"/>
      <c r="X800" s="48"/>
      <c r="Y800" s="48"/>
      <c r="Z800" s="48"/>
      <c r="AA800" s="48"/>
    </row>
    <row r="801" spans="2:27" ht="12.75" customHeight="1" x14ac:dyDescent="0.25">
      <c r="B801" s="48"/>
      <c r="C801" s="48"/>
      <c r="D801" s="48"/>
      <c r="E801" s="48"/>
      <c r="F801" s="48"/>
      <c r="G801" s="48"/>
      <c r="H801" s="48"/>
      <c r="I801" s="48"/>
      <c r="J801" s="48"/>
      <c r="K801" s="48"/>
      <c r="L801" s="48"/>
      <c r="M801" s="48"/>
      <c r="N801" s="48"/>
      <c r="O801" s="48"/>
      <c r="P801" s="48"/>
      <c r="Q801" s="48"/>
      <c r="R801" s="48"/>
      <c r="S801" s="48"/>
      <c r="T801" s="48"/>
      <c r="U801" s="48"/>
      <c r="V801" s="48"/>
      <c r="W801" s="48"/>
      <c r="X801" s="48"/>
      <c r="Y801" s="48"/>
      <c r="Z801" s="48"/>
      <c r="AA801" s="48"/>
    </row>
    <row r="802" spans="2:27" ht="12.75" customHeight="1" x14ac:dyDescent="0.25">
      <c r="B802" s="48"/>
      <c r="C802" s="48"/>
      <c r="D802" s="48"/>
      <c r="E802" s="48"/>
      <c r="F802" s="48"/>
      <c r="G802" s="48"/>
      <c r="H802" s="48"/>
      <c r="I802" s="48"/>
      <c r="J802" s="48"/>
      <c r="K802" s="48"/>
      <c r="L802" s="48"/>
      <c r="M802" s="48"/>
      <c r="N802" s="48"/>
      <c r="O802" s="48"/>
      <c r="P802" s="48"/>
      <c r="Q802" s="48"/>
      <c r="R802" s="48"/>
      <c r="S802" s="48"/>
      <c r="T802" s="48"/>
      <c r="U802" s="48"/>
      <c r="V802" s="48"/>
      <c r="W802" s="48"/>
      <c r="X802" s="48"/>
      <c r="Y802" s="48"/>
      <c r="Z802" s="48"/>
      <c r="AA802" s="48"/>
    </row>
    <row r="803" spans="2:27" ht="12.75" customHeight="1" x14ac:dyDescent="0.25">
      <c r="B803" s="48"/>
      <c r="C803" s="48"/>
      <c r="D803" s="48"/>
      <c r="E803" s="48"/>
      <c r="F803" s="48"/>
      <c r="G803" s="48"/>
      <c r="H803" s="48"/>
      <c r="I803" s="48"/>
      <c r="J803" s="48"/>
      <c r="K803" s="48"/>
      <c r="L803" s="48"/>
      <c r="M803" s="48"/>
      <c r="N803" s="48"/>
      <c r="O803" s="48"/>
      <c r="P803" s="48"/>
      <c r="Q803" s="48"/>
      <c r="R803" s="48"/>
      <c r="S803" s="48"/>
      <c r="T803" s="48"/>
      <c r="U803" s="48"/>
      <c r="V803" s="48"/>
      <c r="W803" s="48"/>
      <c r="X803" s="48"/>
      <c r="Y803" s="48"/>
      <c r="Z803" s="48"/>
      <c r="AA803" s="48"/>
    </row>
    <row r="804" spans="2:27" ht="12.75" customHeight="1" x14ac:dyDescent="0.25">
      <c r="B804" s="48"/>
      <c r="C804" s="48"/>
      <c r="D804" s="48"/>
      <c r="E804" s="48"/>
      <c r="F804" s="48"/>
      <c r="G804" s="48"/>
      <c r="H804" s="48"/>
      <c r="I804" s="48"/>
      <c r="J804" s="48"/>
      <c r="K804" s="48"/>
      <c r="L804" s="48"/>
      <c r="M804" s="48"/>
      <c r="N804" s="48"/>
      <c r="O804" s="48"/>
      <c r="P804" s="48"/>
      <c r="Q804" s="48"/>
      <c r="R804" s="48"/>
      <c r="S804" s="48"/>
      <c r="T804" s="48"/>
      <c r="U804" s="48"/>
      <c r="V804" s="48"/>
      <c r="W804" s="48"/>
      <c r="X804" s="48"/>
      <c r="Y804" s="48"/>
      <c r="Z804" s="48"/>
      <c r="AA804" s="48"/>
    </row>
    <row r="805" spans="2:27" ht="12.75" customHeight="1" x14ac:dyDescent="0.25">
      <c r="B805" s="48"/>
      <c r="C805" s="48"/>
      <c r="D805" s="48"/>
      <c r="E805" s="48"/>
      <c r="F805" s="48"/>
      <c r="G805" s="48"/>
      <c r="H805" s="48"/>
      <c r="I805" s="48"/>
      <c r="J805" s="48"/>
      <c r="K805" s="48"/>
      <c r="L805" s="48"/>
      <c r="M805" s="48"/>
      <c r="N805" s="48"/>
      <c r="O805" s="48"/>
      <c r="P805" s="48"/>
      <c r="Q805" s="48"/>
      <c r="R805" s="48"/>
      <c r="S805" s="48"/>
      <c r="T805" s="48"/>
      <c r="U805" s="48"/>
      <c r="V805" s="48"/>
      <c r="W805" s="48"/>
      <c r="X805" s="48"/>
      <c r="Y805" s="48"/>
      <c r="Z805" s="48"/>
      <c r="AA805" s="48"/>
    </row>
    <row r="806" spans="2:27" ht="12.75" customHeight="1" x14ac:dyDescent="0.25">
      <c r="B806" s="48"/>
      <c r="C806" s="48"/>
      <c r="D806" s="48"/>
      <c r="E806" s="48"/>
      <c r="F806" s="48"/>
      <c r="G806" s="48"/>
      <c r="H806" s="48"/>
      <c r="I806" s="48"/>
      <c r="J806" s="48"/>
      <c r="K806" s="48"/>
      <c r="L806" s="48"/>
      <c r="M806" s="48"/>
      <c r="N806" s="48"/>
      <c r="O806" s="48"/>
      <c r="P806" s="48"/>
      <c r="Q806" s="48"/>
      <c r="R806" s="48"/>
      <c r="S806" s="48"/>
      <c r="T806" s="48"/>
      <c r="U806" s="48"/>
      <c r="V806" s="48"/>
      <c r="W806" s="48"/>
      <c r="X806" s="48"/>
      <c r="Y806" s="48"/>
      <c r="Z806" s="48"/>
      <c r="AA806" s="48"/>
    </row>
    <row r="807" spans="2:27" ht="12.75" customHeight="1" x14ac:dyDescent="0.25">
      <c r="B807" s="48"/>
      <c r="C807" s="48"/>
      <c r="D807" s="48"/>
      <c r="E807" s="48"/>
      <c r="F807" s="48"/>
      <c r="G807" s="48"/>
      <c r="H807" s="48"/>
      <c r="I807" s="48"/>
      <c r="J807" s="48"/>
      <c r="K807" s="48"/>
      <c r="L807" s="48"/>
      <c r="M807" s="48"/>
      <c r="N807" s="48"/>
      <c r="O807" s="48"/>
      <c r="P807" s="48"/>
      <c r="Q807" s="48"/>
      <c r="R807" s="48"/>
      <c r="S807" s="48"/>
      <c r="T807" s="48"/>
      <c r="U807" s="48"/>
      <c r="V807" s="48"/>
      <c r="W807" s="48"/>
      <c r="X807" s="48"/>
      <c r="Y807" s="48"/>
      <c r="Z807" s="48"/>
      <c r="AA807" s="48"/>
    </row>
    <row r="808" spans="2:27" ht="12.75" customHeight="1" x14ac:dyDescent="0.25">
      <c r="B808" s="48"/>
      <c r="C808" s="48"/>
      <c r="D808" s="48"/>
      <c r="E808" s="48"/>
      <c r="F808" s="48"/>
      <c r="G808" s="48"/>
      <c r="H808" s="48"/>
      <c r="I808" s="48"/>
      <c r="J808" s="48"/>
      <c r="K808" s="48"/>
      <c r="L808" s="48"/>
      <c r="M808" s="48"/>
      <c r="N808" s="48"/>
      <c r="O808" s="48"/>
      <c r="P808" s="48"/>
      <c r="Q808" s="48"/>
      <c r="R808" s="48"/>
      <c r="S808" s="48"/>
      <c r="T808" s="48"/>
      <c r="U808" s="48"/>
      <c r="V808" s="48"/>
      <c r="W808" s="48"/>
      <c r="X808" s="48"/>
      <c r="Y808" s="48"/>
      <c r="Z808" s="48"/>
      <c r="AA808" s="48"/>
    </row>
    <row r="809" spans="2:27" ht="12.75" customHeight="1" x14ac:dyDescent="0.25">
      <c r="B809" s="48"/>
      <c r="C809" s="48"/>
      <c r="D809" s="48"/>
      <c r="E809" s="48"/>
      <c r="F809" s="48"/>
      <c r="G809" s="48"/>
      <c r="H809" s="48"/>
      <c r="I809" s="48"/>
      <c r="J809" s="48"/>
      <c r="K809" s="48"/>
      <c r="L809" s="48"/>
      <c r="M809" s="48"/>
      <c r="N809" s="48"/>
      <c r="O809" s="48"/>
      <c r="P809" s="48"/>
      <c r="Q809" s="48"/>
      <c r="R809" s="48"/>
      <c r="S809" s="48"/>
      <c r="T809" s="48"/>
      <c r="U809" s="48"/>
      <c r="V809" s="48"/>
      <c r="W809" s="48"/>
      <c r="X809" s="48"/>
      <c r="Y809" s="48"/>
      <c r="Z809" s="48"/>
      <c r="AA809" s="48"/>
    </row>
    <row r="810" spans="2:27" ht="12.75" customHeight="1" x14ac:dyDescent="0.25">
      <c r="B810" s="48"/>
      <c r="C810" s="48"/>
      <c r="D810" s="48"/>
      <c r="E810" s="48"/>
      <c r="F810" s="48"/>
      <c r="G810" s="48"/>
      <c r="H810" s="48"/>
      <c r="I810" s="48"/>
      <c r="J810" s="48"/>
      <c r="K810" s="48"/>
      <c r="L810" s="48"/>
      <c r="M810" s="48"/>
      <c r="N810" s="48"/>
      <c r="O810" s="48"/>
      <c r="P810" s="48"/>
      <c r="Q810" s="48"/>
      <c r="R810" s="48"/>
      <c r="S810" s="48"/>
      <c r="T810" s="48"/>
      <c r="U810" s="48"/>
      <c r="V810" s="48"/>
      <c r="W810" s="48"/>
      <c r="X810" s="48"/>
      <c r="Y810" s="48"/>
      <c r="Z810" s="48"/>
      <c r="AA810" s="48"/>
    </row>
    <row r="811" spans="2:27" ht="12.75" customHeight="1" x14ac:dyDescent="0.25">
      <c r="B811" s="48"/>
      <c r="C811" s="48"/>
      <c r="D811" s="48"/>
      <c r="E811" s="48"/>
      <c r="F811" s="48"/>
      <c r="G811" s="48"/>
      <c r="H811" s="48"/>
      <c r="I811" s="48"/>
      <c r="J811" s="48"/>
      <c r="K811" s="48"/>
      <c r="L811" s="48"/>
      <c r="M811" s="48"/>
      <c r="N811" s="48"/>
      <c r="O811" s="48"/>
      <c r="P811" s="48"/>
      <c r="Q811" s="48"/>
      <c r="R811" s="48"/>
      <c r="S811" s="48"/>
      <c r="T811" s="48"/>
      <c r="U811" s="48"/>
      <c r="V811" s="48"/>
      <c r="W811" s="48"/>
      <c r="X811" s="48"/>
      <c r="Y811" s="48"/>
      <c r="Z811" s="48"/>
      <c r="AA811" s="48"/>
    </row>
    <row r="812" spans="2:27" ht="12.75" customHeight="1" x14ac:dyDescent="0.25">
      <c r="B812" s="48"/>
      <c r="C812" s="48"/>
      <c r="D812" s="48"/>
      <c r="E812" s="48"/>
      <c r="F812" s="48"/>
      <c r="G812" s="48"/>
      <c r="H812" s="48"/>
      <c r="I812" s="48"/>
      <c r="J812" s="48"/>
      <c r="K812" s="48"/>
      <c r="L812" s="48"/>
      <c r="M812" s="48"/>
      <c r="N812" s="48"/>
      <c r="O812" s="48"/>
      <c r="P812" s="48"/>
      <c r="Q812" s="48"/>
      <c r="R812" s="48"/>
      <c r="S812" s="48"/>
      <c r="T812" s="48"/>
      <c r="U812" s="48"/>
      <c r="V812" s="48"/>
      <c r="W812" s="48"/>
      <c r="X812" s="48"/>
      <c r="Y812" s="48"/>
      <c r="Z812" s="48"/>
      <c r="AA812" s="48"/>
    </row>
    <row r="813" spans="2:27" ht="12.75" customHeight="1" x14ac:dyDescent="0.25">
      <c r="B813" s="48"/>
      <c r="C813" s="48"/>
      <c r="D813" s="48"/>
      <c r="E813" s="48"/>
      <c r="F813" s="48"/>
      <c r="G813" s="48"/>
      <c r="H813" s="48"/>
      <c r="I813" s="48"/>
      <c r="J813" s="48"/>
      <c r="K813" s="48"/>
      <c r="L813" s="48"/>
      <c r="M813" s="48"/>
      <c r="N813" s="48"/>
      <c r="O813" s="48"/>
      <c r="P813" s="48"/>
      <c r="Q813" s="48"/>
      <c r="R813" s="48"/>
      <c r="S813" s="48"/>
      <c r="T813" s="48"/>
      <c r="U813" s="48"/>
      <c r="V813" s="48"/>
      <c r="W813" s="48"/>
      <c r="X813" s="48"/>
      <c r="Y813" s="48"/>
      <c r="Z813" s="48"/>
      <c r="AA813" s="48"/>
    </row>
    <row r="814" spans="2:27" ht="12.75" customHeight="1" x14ac:dyDescent="0.25">
      <c r="B814" s="48"/>
      <c r="C814" s="48"/>
      <c r="D814" s="48"/>
      <c r="E814" s="48"/>
      <c r="F814" s="48"/>
      <c r="G814" s="48"/>
      <c r="H814" s="48"/>
      <c r="I814" s="48"/>
      <c r="J814" s="48"/>
      <c r="K814" s="48"/>
      <c r="L814" s="48"/>
      <c r="M814" s="48"/>
      <c r="N814" s="48"/>
      <c r="O814" s="48"/>
      <c r="P814" s="48"/>
      <c r="Q814" s="48"/>
      <c r="R814" s="48"/>
      <c r="S814" s="48"/>
      <c r="T814" s="48"/>
      <c r="U814" s="48"/>
      <c r="V814" s="48"/>
      <c r="W814" s="48"/>
      <c r="X814" s="48"/>
      <c r="Y814" s="48"/>
      <c r="Z814" s="48"/>
      <c r="AA814" s="48"/>
    </row>
    <row r="815" spans="2:27" ht="12.75" customHeight="1" x14ac:dyDescent="0.25">
      <c r="B815" s="48"/>
      <c r="C815" s="48"/>
      <c r="D815" s="48"/>
      <c r="E815" s="48"/>
      <c r="F815" s="48"/>
      <c r="G815" s="48"/>
      <c r="H815" s="48"/>
      <c r="I815" s="48"/>
      <c r="J815" s="48"/>
      <c r="K815" s="48"/>
      <c r="L815" s="48"/>
      <c r="M815" s="48"/>
      <c r="N815" s="48"/>
      <c r="O815" s="48"/>
      <c r="P815" s="48"/>
      <c r="Q815" s="48"/>
      <c r="R815" s="48"/>
      <c r="S815" s="48"/>
      <c r="T815" s="48"/>
      <c r="U815" s="48"/>
      <c r="V815" s="48"/>
      <c r="W815" s="48"/>
      <c r="X815" s="48"/>
      <c r="Y815" s="48"/>
      <c r="Z815" s="48"/>
      <c r="AA815" s="48"/>
    </row>
    <row r="816" spans="2:27" ht="12.75" customHeight="1" x14ac:dyDescent="0.25">
      <c r="B816" s="48"/>
      <c r="C816" s="48"/>
      <c r="D816" s="48"/>
      <c r="E816" s="48"/>
      <c r="F816" s="48"/>
      <c r="G816" s="48"/>
      <c r="H816" s="48"/>
      <c r="I816" s="48"/>
      <c r="J816" s="48"/>
      <c r="K816" s="48"/>
      <c r="L816" s="48"/>
      <c r="M816" s="48"/>
      <c r="N816" s="48"/>
      <c r="O816" s="48"/>
      <c r="P816" s="48"/>
      <c r="Q816" s="48"/>
      <c r="R816" s="48"/>
      <c r="S816" s="48"/>
      <c r="T816" s="48"/>
      <c r="U816" s="48"/>
      <c r="V816" s="48"/>
      <c r="W816" s="48"/>
      <c r="X816" s="48"/>
      <c r="Y816" s="48"/>
      <c r="Z816" s="48"/>
      <c r="AA816" s="48"/>
    </row>
    <row r="817" spans="2:27" ht="12.75" customHeight="1" x14ac:dyDescent="0.25">
      <c r="B817" s="48"/>
      <c r="C817" s="48"/>
      <c r="D817" s="48"/>
      <c r="E817" s="48"/>
      <c r="F817" s="48"/>
      <c r="G817" s="48"/>
      <c r="H817" s="48"/>
      <c r="I817" s="48"/>
      <c r="J817" s="48"/>
      <c r="K817" s="48"/>
      <c r="L817" s="48"/>
      <c r="M817" s="48"/>
      <c r="N817" s="48"/>
      <c r="O817" s="48"/>
      <c r="P817" s="48"/>
      <c r="Q817" s="48"/>
      <c r="R817" s="48"/>
      <c r="S817" s="48"/>
      <c r="T817" s="48"/>
      <c r="U817" s="48"/>
      <c r="V817" s="48"/>
      <c r="W817" s="48"/>
      <c r="X817" s="48"/>
      <c r="Y817" s="48"/>
      <c r="Z817" s="48"/>
      <c r="AA817" s="48"/>
    </row>
    <row r="818" spans="2:27" ht="12.75" customHeight="1" x14ac:dyDescent="0.25">
      <c r="B818" s="48"/>
      <c r="C818" s="48"/>
      <c r="D818" s="48"/>
      <c r="E818" s="48"/>
      <c r="F818" s="48"/>
      <c r="G818" s="48"/>
      <c r="H818" s="48"/>
      <c r="I818" s="48"/>
      <c r="J818" s="48"/>
      <c r="K818" s="48"/>
      <c r="L818" s="48"/>
      <c r="M818" s="48"/>
      <c r="N818" s="48"/>
      <c r="O818" s="48"/>
      <c r="P818" s="48"/>
      <c r="Q818" s="48"/>
      <c r="R818" s="48"/>
      <c r="S818" s="48"/>
      <c r="T818" s="48"/>
      <c r="U818" s="48"/>
      <c r="V818" s="48"/>
      <c r="W818" s="48"/>
      <c r="X818" s="48"/>
      <c r="Y818" s="48"/>
      <c r="Z818" s="48"/>
      <c r="AA818" s="48"/>
    </row>
    <row r="819" spans="2:27" ht="12.75" customHeight="1" x14ac:dyDescent="0.25">
      <c r="B819" s="48"/>
      <c r="C819" s="48"/>
      <c r="D819" s="48"/>
      <c r="E819" s="48"/>
      <c r="F819" s="48"/>
      <c r="G819" s="48"/>
      <c r="H819" s="48"/>
      <c r="I819" s="48"/>
      <c r="J819" s="48"/>
      <c r="K819" s="48"/>
      <c r="L819" s="48"/>
      <c r="M819" s="48"/>
      <c r="N819" s="48"/>
      <c r="O819" s="48"/>
      <c r="P819" s="48"/>
      <c r="Q819" s="48"/>
      <c r="R819" s="48"/>
      <c r="S819" s="48"/>
      <c r="T819" s="48"/>
      <c r="U819" s="48"/>
      <c r="V819" s="48"/>
      <c r="W819" s="48"/>
      <c r="X819" s="48"/>
      <c r="Y819" s="48"/>
      <c r="Z819" s="48"/>
      <c r="AA819" s="48"/>
    </row>
    <row r="820" spans="2:27" ht="12.75" customHeight="1" x14ac:dyDescent="0.25">
      <c r="B820" s="48"/>
      <c r="C820" s="48"/>
      <c r="D820" s="48"/>
      <c r="E820" s="48"/>
      <c r="F820" s="48"/>
      <c r="G820" s="48"/>
      <c r="H820" s="48"/>
      <c r="I820" s="48"/>
      <c r="J820" s="48"/>
      <c r="K820" s="48"/>
      <c r="L820" s="48"/>
      <c r="M820" s="48"/>
      <c r="N820" s="48"/>
      <c r="O820" s="48"/>
      <c r="P820" s="48"/>
      <c r="Q820" s="48"/>
      <c r="R820" s="48"/>
      <c r="S820" s="48"/>
      <c r="T820" s="48"/>
      <c r="U820" s="48"/>
      <c r="V820" s="48"/>
      <c r="W820" s="48"/>
      <c r="X820" s="48"/>
      <c r="Y820" s="48"/>
      <c r="Z820" s="48"/>
      <c r="AA820" s="48"/>
    </row>
    <row r="821" spans="2:27" ht="12.75" customHeight="1" x14ac:dyDescent="0.25">
      <c r="B821" s="48"/>
      <c r="C821" s="48"/>
      <c r="D821" s="48"/>
      <c r="E821" s="48"/>
      <c r="F821" s="48"/>
      <c r="G821" s="48"/>
      <c r="H821" s="48"/>
      <c r="I821" s="48"/>
      <c r="J821" s="48"/>
      <c r="K821" s="48"/>
      <c r="L821" s="48"/>
      <c r="M821" s="48"/>
      <c r="N821" s="48"/>
      <c r="O821" s="48"/>
      <c r="P821" s="48"/>
      <c r="Q821" s="48"/>
      <c r="R821" s="48"/>
      <c r="S821" s="48"/>
      <c r="T821" s="48"/>
      <c r="U821" s="48"/>
      <c r="V821" s="48"/>
      <c r="W821" s="48"/>
      <c r="X821" s="48"/>
      <c r="Y821" s="48"/>
      <c r="Z821" s="48"/>
      <c r="AA821" s="48"/>
    </row>
    <row r="822" spans="2:27" ht="12.75" customHeight="1" x14ac:dyDescent="0.25">
      <c r="B822" s="48"/>
      <c r="C822" s="48"/>
      <c r="D822" s="48"/>
      <c r="E822" s="48"/>
      <c r="F822" s="48"/>
      <c r="G822" s="48"/>
      <c r="H822" s="48"/>
      <c r="I822" s="48"/>
      <c r="J822" s="48"/>
      <c r="K822" s="48"/>
      <c r="L822" s="48"/>
      <c r="M822" s="48"/>
      <c r="N822" s="48"/>
      <c r="O822" s="48"/>
      <c r="P822" s="48"/>
      <c r="Q822" s="48"/>
      <c r="R822" s="48"/>
      <c r="S822" s="48"/>
      <c r="T822" s="48"/>
      <c r="U822" s="48"/>
      <c r="V822" s="48"/>
      <c r="W822" s="48"/>
      <c r="X822" s="48"/>
      <c r="Y822" s="48"/>
      <c r="Z822" s="48"/>
      <c r="AA822" s="48"/>
    </row>
    <row r="823" spans="2:27" ht="12.75" customHeight="1" x14ac:dyDescent="0.25">
      <c r="B823" s="48"/>
      <c r="C823" s="48"/>
      <c r="D823" s="48"/>
      <c r="E823" s="48"/>
      <c r="F823" s="48"/>
      <c r="G823" s="48"/>
      <c r="H823" s="48"/>
      <c r="I823" s="48"/>
      <c r="J823" s="48"/>
      <c r="K823" s="48"/>
      <c r="L823" s="48"/>
      <c r="M823" s="48"/>
      <c r="N823" s="48"/>
      <c r="O823" s="48"/>
      <c r="P823" s="48"/>
      <c r="Q823" s="48"/>
      <c r="R823" s="48"/>
      <c r="S823" s="48"/>
      <c r="T823" s="48"/>
      <c r="U823" s="48"/>
      <c r="V823" s="48"/>
      <c r="W823" s="48"/>
      <c r="X823" s="48"/>
      <c r="Y823" s="48"/>
      <c r="Z823" s="48"/>
      <c r="AA823" s="48"/>
    </row>
    <row r="824" spans="2:27" ht="12.75" customHeight="1" x14ac:dyDescent="0.25">
      <c r="B824" s="48"/>
      <c r="C824" s="48"/>
      <c r="D824" s="48"/>
      <c r="E824" s="48"/>
      <c r="F824" s="48"/>
      <c r="G824" s="48"/>
      <c r="H824" s="48"/>
      <c r="I824" s="48"/>
      <c r="J824" s="48"/>
      <c r="K824" s="48"/>
      <c r="L824" s="48"/>
      <c r="M824" s="48"/>
      <c r="N824" s="48"/>
      <c r="O824" s="48"/>
      <c r="P824" s="48"/>
      <c r="Q824" s="48"/>
      <c r="R824" s="48"/>
      <c r="S824" s="48"/>
      <c r="T824" s="48"/>
      <c r="U824" s="48"/>
      <c r="V824" s="48"/>
      <c r="W824" s="48"/>
      <c r="X824" s="48"/>
      <c r="Y824" s="48"/>
      <c r="Z824" s="48"/>
      <c r="AA824" s="48"/>
    </row>
    <row r="825" spans="2:27" ht="12.75" customHeight="1" x14ac:dyDescent="0.25">
      <c r="B825" s="48"/>
      <c r="C825" s="48"/>
      <c r="D825" s="48"/>
      <c r="E825" s="48"/>
      <c r="F825" s="48"/>
      <c r="G825" s="48"/>
      <c r="H825" s="48"/>
      <c r="I825" s="48"/>
      <c r="J825" s="48"/>
      <c r="K825" s="48"/>
      <c r="L825" s="48"/>
      <c r="M825" s="48"/>
      <c r="N825" s="48"/>
      <c r="O825" s="48"/>
      <c r="P825" s="48"/>
      <c r="Q825" s="48"/>
      <c r="R825" s="48"/>
      <c r="S825" s="48"/>
      <c r="T825" s="48"/>
      <c r="U825" s="48"/>
      <c r="V825" s="48"/>
      <c r="W825" s="48"/>
      <c r="X825" s="48"/>
      <c r="Y825" s="48"/>
      <c r="Z825" s="48"/>
      <c r="AA825" s="48"/>
    </row>
    <row r="826" spans="2:27" ht="12.75" customHeight="1" x14ac:dyDescent="0.25">
      <c r="B826" s="48"/>
      <c r="C826" s="48"/>
      <c r="D826" s="48"/>
      <c r="E826" s="48"/>
      <c r="F826" s="48"/>
      <c r="G826" s="48"/>
      <c r="H826" s="48"/>
      <c r="I826" s="48"/>
      <c r="J826" s="48"/>
      <c r="K826" s="48"/>
      <c r="L826" s="48"/>
      <c r="M826" s="48"/>
      <c r="N826" s="48"/>
      <c r="O826" s="48"/>
      <c r="P826" s="48"/>
      <c r="Q826" s="48"/>
      <c r="R826" s="48"/>
      <c r="S826" s="48"/>
      <c r="T826" s="48"/>
      <c r="U826" s="48"/>
      <c r="V826" s="48"/>
      <c r="W826" s="48"/>
      <c r="X826" s="48"/>
      <c r="Y826" s="48"/>
      <c r="Z826" s="48"/>
      <c r="AA826" s="48"/>
    </row>
    <row r="827" spans="2:27" ht="12.75" customHeight="1" x14ac:dyDescent="0.25">
      <c r="B827" s="48"/>
      <c r="C827" s="48"/>
      <c r="D827" s="48"/>
      <c r="E827" s="48"/>
      <c r="F827" s="48"/>
      <c r="G827" s="48"/>
      <c r="H827" s="48"/>
      <c r="I827" s="48"/>
      <c r="J827" s="48"/>
      <c r="K827" s="48"/>
      <c r="L827" s="48"/>
      <c r="M827" s="48"/>
      <c r="N827" s="48"/>
      <c r="O827" s="48"/>
      <c r="P827" s="48"/>
      <c r="Q827" s="48"/>
      <c r="R827" s="48"/>
      <c r="S827" s="48"/>
      <c r="T827" s="48"/>
      <c r="U827" s="48"/>
      <c r="V827" s="48"/>
      <c r="W827" s="48"/>
      <c r="X827" s="48"/>
      <c r="Y827" s="48"/>
      <c r="Z827" s="48"/>
      <c r="AA827" s="48"/>
    </row>
    <row r="828" spans="2:27" ht="12.75" customHeight="1" x14ac:dyDescent="0.25">
      <c r="B828" s="48"/>
      <c r="C828" s="48"/>
      <c r="D828" s="48"/>
      <c r="E828" s="48"/>
      <c r="F828" s="48"/>
      <c r="G828" s="48"/>
      <c r="H828" s="48"/>
      <c r="I828" s="48"/>
      <c r="J828" s="48"/>
      <c r="K828" s="48"/>
      <c r="L828" s="48"/>
      <c r="M828" s="48"/>
      <c r="N828" s="48"/>
      <c r="O828" s="48"/>
      <c r="P828" s="48"/>
      <c r="Q828" s="48"/>
      <c r="R828" s="48"/>
      <c r="S828" s="48"/>
      <c r="T828" s="48"/>
      <c r="U828" s="48"/>
      <c r="V828" s="48"/>
      <c r="W828" s="48"/>
      <c r="X828" s="48"/>
      <c r="Y828" s="48"/>
      <c r="Z828" s="48"/>
      <c r="AA828" s="48"/>
    </row>
    <row r="829" spans="2:27" ht="12.75" customHeight="1" x14ac:dyDescent="0.25">
      <c r="B829" s="48"/>
      <c r="C829" s="48"/>
      <c r="D829" s="48"/>
      <c r="E829" s="48"/>
      <c r="F829" s="48"/>
      <c r="G829" s="48"/>
      <c r="H829" s="48"/>
      <c r="I829" s="48"/>
      <c r="J829" s="48"/>
      <c r="K829" s="48"/>
      <c r="L829" s="48"/>
      <c r="M829" s="48"/>
      <c r="N829" s="48"/>
      <c r="O829" s="48"/>
      <c r="P829" s="48"/>
      <c r="Q829" s="48"/>
      <c r="R829" s="48"/>
      <c r="S829" s="48"/>
      <c r="T829" s="48"/>
      <c r="U829" s="48"/>
      <c r="V829" s="48"/>
      <c r="W829" s="48"/>
      <c r="X829" s="48"/>
      <c r="Y829" s="48"/>
      <c r="Z829" s="48"/>
      <c r="AA829" s="48"/>
    </row>
    <row r="830" spans="2:27" ht="12.75" customHeight="1" x14ac:dyDescent="0.25">
      <c r="B830" s="48"/>
      <c r="C830" s="48"/>
      <c r="D830" s="48"/>
      <c r="E830" s="48"/>
      <c r="F830" s="48"/>
      <c r="G830" s="48"/>
      <c r="H830" s="48"/>
      <c r="I830" s="48"/>
      <c r="J830" s="48"/>
      <c r="K830" s="48"/>
      <c r="L830" s="48"/>
      <c r="M830" s="48"/>
      <c r="N830" s="48"/>
      <c r="O830" s="48"/>
      <c r="P830" s="48"/>
      <c r="Q830" s="48"/>
      <c r="R830" s="48"/>
      <c r="S830" s="48"/>
      <c r="T830" s="48"/>
      <c r="U830" s="48"/>
      <c r="V830" s="48"/>
      <c r="W830" s="48"/>
      <c r="X830" s="48"/>
      <c r="Y830" s="48"/>
      <c r="Z830" s="48"/>
      <c r="AA830" s="48"/>
    </row>
    <row r="831" spans="2:27" ht="12.75" customHeight="1" x14ac:dyDescent="0.25">
      <c r="B831" s="48"/>
      <c r="C831" s="48"/>
      <c r="D831" s="48"/>
      <c r="E831" s="48"/>
      <c r="F831" s="48"/>
      <c r="G831" s="48"/>
      <c r="H831" s="48"/>
      <c r="I831" s="48"/>
      <c r="J831" s="48"/>
      <c r="K831" s="48"/>
      <c r="L831" s="48"/>
      <c r="M831" s="48"/>
      <c r="N831" s="48"/>
      <c r="O831" s="48"/>
      <c r="P831" s="48"/>
      <c r="Q831" s="48"/>
      <c r="R831" s="48"/>
      <c r="S831" s="48"/>
      <c r="T831" s="48"/>
      <c r="U831" s="48"/>
      <c r="V831" s="48"/>
      <c r="W831" s="48"/>
      <c r="X831" s="48"/>
      <c r="Y831" s="48"/>
      <c r="Z831" s="48"/>
      <c r="AA831" s="48"/>
    </row>
    <row r="832" spans="2:27" ht="12.75" customHeight="1" x14ac:dyDescent="0.25">
      <c r="B832" s="48"/>
      <c r="C832" s="48"/>
      <c r="D832" s="48"/>
      <c r="E832" s="48"/>
      <c r="F832" s="48"/>
      <c r="G832" s="48"/>
      <c r="H832" s="48"/>
      <c r="I832" s="48"/>
      <c r="J832" s="48"/>
      <c r="K832" s="48"/>
      <c r="L832" s="48"/>
      <c r="M832" s="48"/>
      <c r="N832" s="48"/>
      <c r="O832" s="48"/>
      <c r="P832" s="48"/>
      <c r="Q832" s="48"/>
      <c r="R832" s="48"/>
      <c r="S832" s="48"/>
      <c r="T832" s="48"/>
      <c r="U832" s="48"/>
      <c r="V832" s="48"/>
      <c r="W832" s="48"/>
      <c r="X832" s="48"/>
      <c r="Y832" s="48"/>
      <c r="Z832" s="48"/>
      <c r="AA832" s="48"/>
    </row>
    <row r="833" spans="2:27" ht="12.75" customHeight="1" x14ac:dyDescent="0.25">
      <c r="B833" s="48"/>
      <c r="C833" s="48"/>
      <c r="D833" s="48"/>
      <c r="E833" s="48"/>
      <c r="F833" s="48"/>
      <c r="G833" s="48"/>
      <c r="H833" s="48"/>
      <c r="I833" s="48"/>
      <c r="J833" s="48"/>
      <c r="K833" s="48"/>
      <c r="L833" s="48"/>
      <c r="M833" s="48"/>
      <c r="N833" s="48"/>
      <c r="O833" s="48"/>
      <c r="P833" s="48"/>
      <c r="Q833" s="48"/>
      <c r="R833" s="48"/>
      <c r="S833" s="48"/>
      <c r="T833" s="48"/>
      <c r="U833" s="48"/>
      <c r="V833" s="48"/>
      <c r="W833" s="48"/>
      <c r="X833" s="48"/>
      <c r="Y833" s="48"/>
      <c r="Z833" s="48"/>
      <c r="AA833" s="48"/>
    </row>
    <row r="834" spans="2:27" ht="12.75" customHeight="1" x14ac:dyDescent="0.25">
      <c r="B834" s="48"/>
      <c r="C834" s="48"/>
      <c r="D834" s="48"/>
      <c r="E834" s="48"/>
      <c r="F834" s="48"/>
      <c r="G834" s="48"/>
      <c r="H834" s="48"/>
      <c r="I834" s="48"/>
      <c r="J834" s="48"/>
      <c r="K834" s="48"/>
      <c r="L834" s="48"/>
      <c r="M834" s="48"/>
      <c r="N834" s="48"/>
      <c r="O834" s="48"/>
      <c r="P834" s="48"/>
      <c r="Q834" s="48"/>
      <c r="R834" s="48"/>
      <c r="S834" s="48"/>
      <c r="T834" s="48"/>
      <c r="U834" s="48"/>
      <c r="V834" s="48"/>
      <c r="W834" s="48"/>
      <c r="X834" s="48"/>
      <c r="Y834" s="48"/>
      <c r="Z834" s="48"/>
      <c r="AA834" s="48"/>
    </row>
    <row r="835" spans="2:27" ht="12.75" customHeight="1" x14ac:dyDescent="0.25">
      <c r="B835" s="48"/>
      <c r="C835" s="48"/>
      <c r="D835" s="48"/>
      <c r="E835" s="48"/>
      <c r="F835" s="48"/>
      <c r="G835" s="48"/>
      <c r="H835" s="48"/>
      <c r="I835" s="48"/>
      <c r="J835" s="48"/>
      <c r="K835" s="48"/>
      <c r="L835" s="48"/>
      <c r="M835" s="48"/>
      <c r="N835" s="48"/>
      <c r="O835" s="48"/>
      <c r="P835" s="48"/>
      <c r="Q835" s="48"/>
      <c r="R835" s="48"/>
      <c r="S835" s="48"/>
      <c r="T835" s="48"/>
      <c r="U835" s="48"/>
      <c r="V835" s="48"/>
      <c r="W835" s="48"/>
      <c r="X835" s="48"/>
      <c r="Y835" s="48"/>
      <c r="Z835" s="48"/>
      <c r="AA835" s="48"/>
    </row>
    <row r="836" spans="2:27" ht="12.75" customHeight="1" x14ac:dyDescent="0.25">
      <c r="B836" s="48"/>
      <c r="C836" s="48"/>
      <c r="D836" s="48"/>
      <c r="E836" s="48"/>
      <c r="F836" s="48"/>
      <c r="G836" s="48"/>
      <c r="H836" s="48"/>
      <c r="I836" s="48"/>
      <c r="J836" s="48"/>
      <c r="K836" s="48"/>
      <c r="L836" s="48"/>
      <c r="M836" s="48"/>
      <c r="N836" s="48"/>
      <c r="O836" s="48"/>
      <c r="P836" s="48"/>
      <c r="Q836" s="48"/>
      <c r="R836" s="48"/>
      <c r="S836" s="48"/>
      <c r="T836" s="48"/>
      <c r="U836" s="48"/>
      <c r="V836" s="48"/>
      <c r="W836" s="48"/>
      <c r="X836" s="48"/>
      <c r="Y836" s="48"/>
      <c r="Z836" s="48"/>
      <c r="AA836" s="48"/>
    </row>
    <row r="837" spans="2:27" ht="12.75" customHeight="1" x14ac:dyDescent="0.25">
      <c r="B837" s="48"/>
      <c r="C837" s="48"/>
      <c r="D837" s="48"/>
      <c r="E837" s="48"/>
      <c r="F837" s="48"/>
      <c r="G837" s="48"/>
      <c r="H837" s="48"/>
      <c r="I837" s="48"/>
      <c r="J837" s="48"/>
      <c r="K837" s="48"/>
      <c r="L837" s="48"/>
      <c r="M837" s="48"/>
      <c r="N837" s="48"/>
      <c r="O837" s="48"/>
      <c r="P837" s="48"/>
      <c r="Q837" s="48"/>
      <c r="R837" s="48"/>
      <c r="S837" s="48"/>
      <c r="T837" s="48"/>
      <c r="U837" s="48"/>
      <c r="V837" s="48"/>
      <c r="W837" s="48"/>
      <c r="X837" s="48"/>
      <c r="Y837" s="48"/>
      <c r="Z837" s="48"/>
      <c r="AA837" s="48"/>
    </row>
    <row r="838" spans="2:27" ht="12.75" customHeight="1" x14ac:dyDescent="0.25">
      <c r="B838" s="48"/>
      <c r="C838" s="48"/>
      <c r="D838" s="48"/>
      <c r="E838" s="48"/>
      <c r="F838" s="48"/>
      <c r="G838" s="48"/>
      <c r="H838" s="48"/>
      <c r="I838" s="48"/>
      <c r="J838" s="48"/>
      <c r="K838" s="48"/>
      <c r="L838" s="48"/>
      <c r="M838" s="48"/>
      <c r="N838" s="48"/>
      <c r="O838" s="48"/>
      <c r="P838" s="48"/>
      <c r="Q838" s="48"/>
      <c r="R838" s="48"/>
      <c r="S838" s="48"/>
      <c r="T838" s="48"/>
      <c r="U838" s="48"/>
      <c r="V838" s="48"/>
      <c r="W838" s="48"/>
      <c r="X838" s="48"/>
      <c r="Y838" s="48"/>
      <c r="Z838" s="48"/>
      <c r="AA838" s="48"/>
    </row>
    <row r="839" spans="2:27" ht="12.75" customHeight="1" x14ac:dyDescent="0.25">
      <c r="B839" s="48"/>
      <c r="C839" s="48"/>
      <c r="D839" s="48"/>
      <c r="E839" s="48"/>
      <c r="F839" s="48"/>
      <c r="G839" s="48"/>
      <c r="H839" s="48"/>
      <c r="I839" s="48"/>
      <c r="J839" s="48"/>
      <c r="K839" s="48"/>
      <c r="L839" s="48"/>
      <c r="M839" s="48"/>
      <c r="N839" s="48"/>
      <c r="O839" s="48"/>
      <c r="P839" s="48"/>
      <c r="Q839" s="48"/>
      <c r="R839" s="48"/>
      <c r="S839" s="48"/>
      <c r="T839" s="48"/>
      <c r="U839" s="48"/>
      <c r="V839" s="48"/>
      <c r="W839" s="48"/>
      <c r="X839" s="48"/>
      <c r="Y839" s="48"/>
      <c r="Z839" s="48"/>
      <c r="AA839" s="48"/>
    </row>
    <row r="840" spans="2:27" ht="12.75" customHeight="1" x14ac:dyDescent="0.25">
      <c r="B840" s="48"/>
      <c r="C840" s="48"/>
      <c r="D840" s="48"/>
      <c r="E840" s="48"/>
      <c r="F840" s="48"/>
      <c r="G840" s="48"/>
      <c r="H840" s="48"/>
      <c r="I840" s="48"/>
      <c r="J840" s="48"/>
      <c r="K840" s="48"/>
      <c r="L840" s="48"/>
      <c r="M840" s="48"/>
      <c r="N840" s="48"/>
      <c r="O840" s="48"/>
      <c r="P840" s="48"/>
      <c r="Q840" s="48"/>
      <c r="R840" s="48"/>
      <c r="S840" s="48"/>
      <c r="T840" s="48"/>
      <c r="U840" s="48"/>
      <c r="V840" s="48"/>
      <c r="W840" s="48"/>
      <c r="X840" s="48"/>
      <c r="Y840" s="48"/>
      <c r="Z840" s="48"/>
      <c r="AA840" s="48"/>
    </row>
    <row r="841" spans="2:27" ht="12.75" customHeight="1" x14ac:dyDescent="0.25">
      <c r="B841" s="48"/>
      <c r="C841" s="48"/>
      <c r="D841" s="48"/>
      <c r="E841" s="48"/>
      <c r="F841" s="48"/>
      <c r="G841" s="48"/>
      <c r="H841" s="48"/>
      <c r="I841" s="48"/>
      <c r="J841" s="48"/>
      <c r="K841" s="48"/>
      <c r="L841" s="48"/>
      <c r="M841" s="48"/>
      <c r="N841" s="48"/>
      <c r="O841" s="48"/>
      <c r="P841" s="48"/>
      <c r="Q841" s="48"/>
      <c r="R841" s="48"/>
      <c r="S841" s="48"/>
      <c r="T841" s="48"/>
      <c r="U841" s="48"/>
      <c r="V841" s="48"/>
      <c r="W841" s="48"/>
      <c r="X841" s="48"/>
      <c r="Y841" s="48"/>
      <c r="Z841" s="48"/>
      <c r="AA841" s="48"/>
    </row>
    <row r="842" spans="2:27" ht="12.75" customHeight="1" x14ac:dyDescent="0.25">
      <c r="B842" s="48"/>
      <c r="C842" s="48"/>
      <c r="D842" s="48"/>
      <c r="E842" s="48"/>
      <c r="F842" s="48"/>
      <c r="G842" s="48"/>
      <c r="H842" s="48"/>
      <c r="I842" s="48"/>
      <c r="J842" s="48"/>
      <c r="K842" s="48"/>
      <c r="L842" s="48"/>
      <c r="M842" s="48"/>
      <c r="N842" s="48"/>
      <c r="O842" s="48"/>
      <c r="P842" s="48"/>
      <c r="Q842" s="48"/>
      <c r="R842" s="48"/>
      <c r="S842" s="48"/>
      <c r="T842" s="48"/>
      <c r="U842" s="48"/>
      <c r="V842" s="48"/>
      <c r="W842" s="48"/>
      <c r="X842" s="48"/>
      <c r="Y842" s="48"/>
      <c r="Z842" s="48"/>
      <c r="AA842" s="48"/>
    </row>
    <row r="843" spans="2:27" ht="12.75" customHeight="1" x14ac:dyDescent="0.25">
      <c r="B843" s="48"/>
      <c r="C843" s="48"/>
      <c r="D843" s="48"/>
      <c r="E843" s="48"/>
      <c r="F843" s="48"/>
      <c r="G843" s="48"/>
      <c r="H843" s="48"/>
      <c r="I843" s="48"/>
      <c r="J843" s="48"/>
      <c r="K843" s="48"/>
      <c r="L843" s="48"/>
      <c r="M843" s="48"/>
      <c r="N843" s="48"/>
      <c r="O843" s="48"/>
      <c r="P843" s="48"/>
      <c r="Q843" s="48"/>
      <c r="R843" s="48"/>
      <c r="S843" s="48"/>
      <c r="T843" s="48"/>
      <c r="U843" s="48"/>
      <c r="V843" s="48"/>
      <c r="W843" s="48"/>
      <c r="X843" s="48"/>
      <c r="Y843" s="48"/>
      <c r="Z843" s="48"/>
      <c r="AA843" s="48"/>
    </row>
    <row r="844" spans="2:27" ht="12.75" customHeight="1" x14ac:dyDescent="0.25">
      <c r="B844" s="48"/>
      <c r="C844" s="48"/>
      <c r="D844" s="48"/>
      <c r="E844" s="48"/>
      <c r="F844" s="48"/>
      <c r="G844" s="48"/>
      <c r="H844" s="48"/>
      <c r="I844" s="48"/>
      <c r="J844" s="48"/>
      <c r="K844" s="48"/>
      <c r="L844" s="48"/>
      <c r="M844" s="48"/>
      <c r="N844" s="48"/>
      <c r="O844" s="48"/>
      <c r="P844" s="48"/>
      <c r="Q844" s="48"/>
      <c r="R844" s="48"/>
      <c r="S844" s="48"/>
      <c r="T844" s="48"/>
      <c r="U844" s="48"/>
      <c r="V844" s="48"/>
      <c r="W844" s="48"/>
      <c r="X844" s="48"/>
      <c r="Y844" s="48"/>
      <c r="Z844" s="48"/>
      <c r="AA844" s="48"/>
    </row>
    <row r="845" spans="2:27" ht="12.75" customHeight="1" x14ac:dyDescent="0.25">
      <c r="B845" s="48"/>
      <c r="C845" s="48"/>
      <c r="D845" s="48"/>
      <c r="E845" s="48"/>
      <c r="F845" s="48"/>
      <c r="G845" s="48"/>
      <c r="H845" s="48"/>
      <c r="I845" s="48"/>
      <c r="J845" s="48"/>
      <c r="K845" s="48"/>
      <c r="L845" s="48"/>
      <c r="M845" s="48"/>
      <c r="N845" s="48"/>
      <c r="O845" s="48"/>
      <c r="P845" s="48"/>
      <c r="Q845" s="48"/>
      <c r="R845" s="48"/>
      <c r="S845" s="48"/>
      <c r="T845" s="48"/>
      <c r="U845" s="48"/>
      <c r="V845" s="48"/>
      <c r="W845" s="48"/>
      <c r="X845" s="48"/>
      <c r="Y845" s="48"/>
      <c r="Z845" s="48"/>
      <c r="AA845" s="48"/>
    </row>
    <row r="846" spans="2:27" ht="12.75" customHeight="1" x14ac:dyDescent="0.25">
      <c r="B846" s="48"/>
      <c r="C846" s="48"/>
      <c r="D846" s="48"/>
      <c r="E846" s="48"/>
      <c r="F846" s="48"/>
      <c r="G846" s="48"/>
      <c r="H846" s="48"/>
      <c r="I846" s="48"/>
      <c r="J846" s="48"/>
      <c r="K846" s="48"/>
      <c r="L846" s="48"/>
      <c r="M846" s="48"/>
      <c r="N846" s="48"/>
      <c r="O846" s="48"/>
      <c r="P846" s="48"/>
      <c r="Q846" s="48"/>
      <c r="R846" s="48"/>
      <c r="S846" s="48"/>
      <c r="T846" s="48"/>
      <c r="U846" s="48"/>
      <c r="V846" s="48"/>
      <c r="W846" s="48"/>
      <c r="X846" s="48"/>
      <c r="Y846" s="48"/>
      <c r="Z846" s="48"/>
      <c r="AA846" s="48"/>
    </row>
    <row r="847" spans="2:27" ht="12.75" customHeight="1" x14ac:dyDescent="0.25">
      <c r="B847" s="48"/>
      <c r="C847" s="48"/>
      <c r="D847" s="48"/>
      <c r="E847" s="48"/>
      <c r="F847" s="48"/>
      <c r="G847" s="48"/>
      <c r="H847" s="48"/>
      <c r="I847" s="48"/>
      <c r="J847" s="48"/>
      <c r="K847" s="48"/>
      <c r="L847" s="48"/>
      <c r="M847" s="48"/>
      <c r="N847" s="48"/>
      <c r="O847" s="48"/>
      <c r="P847" s="48"/>
      <c r="Q847" s="48"/>
      <c r="R847" s="48"/>
      <c r="S847" s="48"/>
      <c r="T847" s="48"/>
      <c r="U847" s="48"/>
      <c r="V847" s="48"/>
      <c r="W847" s="48"/>
      <c r="X847" s="48"/>
      <c r="Y847" s="48"/>
      <c r="Z847" s="48"/>
      <c r="AA847" s="48"/>
    </row>
    <row r="848" spans="2:27" ht="12.75" customHeight="1" x14ac:dyDescent="0.25">
      <c r="B848" s="48"/>
      <c r="C848" s="48"/>
      <c r="D848" s="48"/>
      <c r="E848" s="48"/>
      <c r="F848" s="48"/>
      <c r="G848" s="48"/>
      <c r="H848" s="48"/>
      <c r="I848" s="48"/>
      <c r="J848" s="48"/>
      <c r="K848" s="48"/>
      <c r="L848" s="48"/>
      <c r="M848" s="48"/>
      <c r="N848" s="48"/>
      <c r="O848" s="48"/>
      <c r="P848" s="48"/>
      <c r="Q848" s="48"/>
      <c r="R848" s="48"/>
      <c r="S848" s="48"/>
      <c r="T848" s="48"/>
      <c r="U848" s="48"/>
      <c r="V848" s="48"/>
      <c r="W848" s="48"/>
      <c r="X848" s="48"/>
      <c r="Y848" s="48"/>
      <c r="Z848" s="48"/>
      <c r="AA848" s="48"/>
    </row>
    <row r="849" spans="2:27" ht="12.75" customHeight="1" x14ac:dyDescent="0.25">
      <c r="B849" s="48"/>
      <c r="C849" s="48"/>
      <c r="D849" s="48"/>
      <c r="E849" s="48"/>
      <c r="F849" s="48"/>
      <c r="G849" s="48"/>
      <c r="H849" s="48"/>
      <c r="I849" s="48"/>
      <c r="J849" s="48"/>
      <c r="K849" s="48"/>
      <c r="L849" s="48"/>
      <c r="M849" s="48"/>
      <c r="N849" s="48"/>
      <c r="O849" s="48"/>
      <c r="P849" s="48"/>
      <c r="Q849" s="48"/>
      <c r="R849" s="48"/>
      <c r="S849" s="48"/>
      <c r="T849" s="48"/>
      <c r="U849" s="48"/>
      <c r="V849" s="48"/>
      <c r="W849" s="48"/>
      <c r="X849" s="48"/>
      <c r="Y849" s="48"/>
      <c r="Z849" s="48"/>
      <c r="AA849" s="48"/>
    </row>
    <row r="850" spans="2:27" ht="12.75" customHeight="1" x14ac:dyDescent="0.25">
      <c r="B850" s="48"/>
      <c r="C850" s="48"/>
      <c r="D850" s="48"/>
      <c r="E850" s="48"/>
      <c r="F850" s="48"/>
      <c r="G850" s="48"/>
      <c r="H850" s="48"/>
      <c r="I850" s="48"/>
      <c r="J850" s="48"/>
      <c r="K850" s="48"/>
      <c r="L850" s="48"/>
      <c r="M850" s="48"/>
      <c r="N850" s="48"/>
      <c r="O850" s="48"/>
      <c r="P850" s="48"/>
      <c r="Q850" s="48"/>
      <c r="R850" s="48"/>
      <c r="S850" s="48"/>
      <c r="T850" s="48"/>
      <c r="U850" s="48"/>
      <c r="V850" s="48"/>
      <c r="W850" s="48"/>
      <c r="X850" s="48"/>
      <c r="Y850" s="48"/>
      <c r="Z850" s="48"/>
      <c r="AA850" s="48"/>
    </row>
    <row r="851" spans="2:27" ht="12.75" customHeight="1" x14ac:dyDescent="0.25">
      <c r="B851" s="48"/>
      <c r="C851" s="48"/>
      <c r="D851" s="48"/>
      <c r="E851" s="48"/>
      <c r="F851" s="48"/>
      <c r="G851" s="48"/>
      <c r="H851" s="48"/>
      <c r="I851" s="48"/>
      <c r="J851" s="48"/>
      <c r="K851" s="48"/>
      <c r="L851" s="48"/>
      <c r="M851" s="48"/>
      <c r="N851" s="48"/>
      <c r="O851" s="48"/>
      <c r="P851" s="48"/>
      <c r="Q851" s="48"/>
      <c r="R851" s="48"/>
      <c r="S851" s="48"/>
      <c r="T851" s="48"/>
      <c r="U851" s="48"/>
      <c r="V851" s="48"/>
      <c r="W851" s="48"/>
      <c r="X851" s="48"/>
      <c r="Y851" s="48"/>
      <c r="Z851" s="48"/>
      <c r="AA851" s="48"/>
    </row>
    <row r="852" spans="2:27" ht="12.75" customHeight="1" x14ac:dyDescent="0.25">
      <c r="B852" s="48"/>
      <c r="C852" s="48"/>
      <c r="D852" s="48"/>
      <c r="E852" s="48"/>
      <c r="F852" s="48"/>
      <c r="G852" s="48"/>
      <c r="H852" s="48"/>
      <c r="I852" s="48"/>
      <c r="J852" s="48"/>
      <c r="K852" s="48"/>
      <c r="L852" s="48"/>
      <c r="M852" s="48"/>
      <c r="N852" s="48"/>
      <c r="O852" s="48"/>
      <c r="P852" s="48"/>
      <c r="Q852" s="48"/>
      <c r="R852" s="48"/>
      <c r="S852" s="48"/>
      <c r="T852" s="48"/>
      <c r="U852" s="48"/>
      <c r="V852" s="48"/>
      <c r="W852" s="48"/>
      <c r="X852" s="48"/>
      <c r="Y852" s="48"/>
      <c r="Z852" s="48"/>
      <c r="AA852" s="48"/>
    </row>
    <row r="853" spans="2:27" ht="12.75" customHeight="1" x14ac:dyDescent="0.25">
      <c r="B853" s="48"/>
      <c r="C853" s="48"/>
      <c r="D853" s="48"/>
      <c r="E853" s="48"/>
      <c r="F853" s="48"/>
      <c r="G853" s="48"/>
      <c r="H853" s="48"/>
      <c r="I853" s="48"/>
      <c r="J853" s="48"/>
      <c r="K853" s="48"/>
      <c r="L853" s="48"/>
      <c r="M853" s="48"/>
      <c r="N853" s="48"/>
      <c r="O853" s="48"/>
      <c r="P853" s="48"/>
      <c r="Q853" s="48"/>
      <c r="R853" s="48"/>
      <c r="S853" s="48"/>
      <c r="T853" s="48"/>
      <c r="U853" s="48"/>
      <c r="V853" s="48"/>
      <c r="W853" s="48"/>
      <c r="X853" s="48"/>
      <c r="Y853" s="48"/>
      <c r="Z853" s="48"/>
      <c r="AA853" s="48"/>
    </row>
    <row r="854" spans="2:27" ht="12.75" customHeight="1" x14ac:dyDescent="0.25">
      <c r="B854" s="48"/>
      <c r="C854" s="48"/>
      <c r="D854" s="48"/>
      <c r="E854" s="48"/>
      <c r="F854" s="48"/>
      <c r="G854" s="48"/>
      <c r="H854" s="48"/>
      <c r="I854" s="48"/>
      <c r="J854" s="48"/>
      <c r="K854" s="48"/>
      <c r="L854" s="48"/>
      <c r="M854" s="48"/>
      <c r="N854" s="48"/>
      <c r="O854" s="48"/>
      <c r="P854" s="48"/>
      <c r="Q854" s="48"/>
      <c r="R854" s="48"/>
      <c r="S854" s="48"/>
      <c r="T854" s="48"/>
      <c r="U854" s="48"/>
      <c r="V854" s="48"/>
      <c r="W854" s="48"/>
      <c r="X854" s="48"/>
      <c r="Y854" s="48"/>
      <c r="Z854" s="48"/>
      <c r="AA854" s="48"/>
    </row>
    <row r="855" spans="2:27" ht="12.75" customHeight="1" x14ac:dyDescent="0.25">
      <c r="B855" s="48"/>
      <c r="C855" s="48"/>
      <c r="D855" s="48"/>
      <c r="E855" s="48"/>
      <c r="F855" s="48"/>
      <c r="G855" s="48"/>
      <c r="H855" s="48"/>
      <c r="I855" s="48"/>
      <c r="J855" s="48"/>
      <c r="K855" s="48"/>
      <c r="L855" s="48"/>
      <c r="M855" s="48"/>
      <c r="N855" s="48"/>
      <c r="O855" s="48"/>
      <c r="P855" s="48"/>
      <c r="Q855" s="48"/>
      <c r="R855" s="48"/>
      <c r="S855" s="48"/>
      <c r="T855" s="48"/>
      <c r="U855" s="48"/>
      <c r="V855" s="48"/>
      <c r="W855" s="48"/>
      <c r="X855" s="48"/>
      <c r="Y855" s="48"/>
      <c r="Z855" s="48"/>
      <c r="AA855" s="48"/>
    </row>
    <row r="856" spans="2:27" ht="12.75" customHeight="1" x14ac:dyDescent="0.25">
      <c r="B856" s="48"/>
      <c r="C856" s="48"/>
      <c r="D856" s="48"/>
      <c r="E856" s="48"/>
      <c r="F856" s="48"/>
      <c r="G856" s="48"/>
      <c r="H856" s="48"/>
      <c r="I856" s="48"/>
      <c r="J856" s="48"/>
      <c r="K856" s="48"/>
      <c r="L856" s="48"/>
      <c r="M856" s="48"/>
      <c r="N856" s="48"/>
      <c r="O856" s="48"/>
      <c r="P856" s="48"/>
      <c r="Q856" s="48"/>
      <c r="R856" s="48"/>
      <c r="S856" s="48"/>
      <c r="T856" s="48"/>
      <c r="U856" s="48"/>
      <c r="V856" s="48"/>
      <c r="W856" s="48"/>
      <c r="X856" s="48"/>
      <c r="Y856" s="48"/>
      <c r="Z856" s="48"/>
      <c r="AA856" s="48"/>
    </row>
    <row r="857" spans="2:27" ht="12.75" customHeight="1" x14ac:dyDescent="0.25">
      <c r="B857" s="48"/>
      <c r="C857" s="48"/>
      <c r="D857" s="48"/>
      <c r="E857" s="48"/>
      <c r="F857" s="48"/>
      <c r="G857" s="48"/>
      <c r="H857" s="48"/>
      <c r="I857" s="48"/>
      <c r="J857" s="48"/>
      <c r="K857" s="48"/>
      <c r="L857" s="48"/>
      <c r="M857" s="48"/>
      <c r="N857" s="48"/>
      <c r="O857" s="48"/>
      <c r="P857" s="48"/>
      <c r="Q857" s="48"/>
      <c r="R857" s="48"/>
      <c r="S857" s="48"/>
      <c r="T857" s="48"/>
      <c r="U857" s="48"/>
      <c r="V857" s="48"/>
      <c r="W857" s="48"/>
      <c r="X857" s="48"/>
      <c r="Y857" s="48"/>
      <c r="Z857" s="48"/>
      <c r="AA857" s="48"/>
    </row>
    <row r="858" spans="2:27" ht="12.75" customHeight="1" x14ac:dyDescent="0.25">
      <c r="B858" s="48"/>
      <c r="C858" s="48"/>
      <c r="D858" s="48"/>
      <c r="E858" s="48"/>
      <c r="F858" s="48"/>
      <c r="G858" s="48"/>
      <c r="H858" s="48"/>
      <c r="I858" s="48"/>
      <c r="J858" s="48"/>
      <c r="K858" s="48"/>
      <c r="L858" s="48"/>
      <c r="M858" s="48"/>
      <c r="N858" s="48"/>
      <c r="O858" s="48"/>
      <c r="P858" s="48"/>
      <c r="Q858" s="48"/>
      <c r="R858" s="48"/>
      <c r="S858" s="48"/>
      <c r="T858" s="48"/>
      <c r="U858" s="48"/>
      <c r="V858" s="48"/>
      <c r="W858" s="48"/>
      <c r="X858" s="48"/>
      <c r="Y858" s="48"/>
      <c r="Z858" s="48"/>
      <c r="AA858" s="48"/>
    </row>
    <row r="859" spans="2:27" ht="12.75" customHeight="1" x14ac:dyDescent="0.25">
      <c r="B859" s="48"/>
      <c r="C859" s="48"/>
      <c r="D859" s="48"/>
      <c r="E859" s="48"/>
      <c r="F859" s="48"/>
      <c r="G859" s="48"/>
      <c r="H859" s="48"/>
      <c r="I859" s="48"/>
      <c r="J859" s="48"/>
      <c r="K859" s="48"/>
      <c r="L859" s="48"/>
      <c r="M859" s="48"/>
      <c r="N859" s="48"/>
      <c r="O859" s="48"/>
      <c r="P859" s="48"/>
      <c r="Q859" s="48"/>
      <c r="R859" s="48"/>
      <c r="S859" s="48"/>
      <c r="T859" s="48"/>
      <c r="U859" s="48"/>
      <c r="V859" s="48"/>
      <c r="W859" s="48"/>
      <c r="X859" s="48"/>
      <c r="Y859" s="48"/>
      <c r="Z859" s="48"/>
      <c r="AA859" s="48"/>
    </row>
    <row r="860" spans="2:27" ht="12.75" customHeight="1" x14ac:dyDescent="0.25">
      <c r="B860" s="48"/>
      <c r="C860" s="48"/>
      <c r="D860" s="48"/>
      <c r="E860" s="48"/>
      <c r="F860" s="48"/>
      <c r="G860" s="48"/>
      <c r="H860" s="48"/>
      <c r="I860" s="48"/>
      <c r="J860" s="48"/>
      <c r="K860" s="48"/>
      <c r="L860" s="48"/>
      <c r="M860" s="48"/>
      <c r="N860" s="48"/>
      <c r="O860" s="48"/>
      <c r="P860" s="48"/>
      <c r="Q860" s="48"/>
      <c r="R860" s="48"/>
      <c r="S860" s="48"/>
      <c r="T860" s="48"/>
      <c r="U860" s="48"/>
      <c r="V860" s="48"/>
      <c r="W860" s="48"/>
      <c r="X860" s="48"/>
      <c r="Y860" s="48"/>
      <c r="Z860" s="48"/>
      <c r="AA860" s="48"/>
    </row>
    <row r="861" spans="2:27" ht="12.75" customHeight="1" x14ac:dyDescent="0.25">
      <c r="B861" s="48"/>
      <c r="C861" s="48"/>
      <c r="D861" s="48"/>
      <c r="E861" s="48"/>
      <c r="F861" s="48"/>
      <c r="G861" s="48"/>
      <c r="H861" s="48"/>
      <c r="I861" s="48"/>
      <c r="J861" s="48"/>
      <c r="K861" s="48"/>
      <c r="L861" s="48"/>
      <c r="M861" s="48"/>
      <c r="N861" s="48"/>
      <c r="O861" s="48"/>
      <c r="P861" s="48"/>
      <c r="Q861" s="48"/>
      <c r="R861" s="48"/>
      <c r="S861" s="48"/>
      <c r="T861" s="48"/>
      <c r="U861" s="48"/>
      <c r="V861" s="48"/>
      <c r="W861" s="48"/>
      <c r="X861" s="48"/>
      <c r="Y861" s="48"/>
      <c r="Z861" s="48"/>
      <c r="AA861" s="48"/>
    </row>
    <row r="862" spans="2:27" ht="12.75" customHeight="1" x14ac:dyDescent="0.25">
      <c r="B862" s="48"/>
      <c r="C862" s="48"/>
      <c r="D862" s="48"/>
      <c r="E862" s="48"/>
      <c r="F862" s="48"/>
      <c r="G862" s="48"/>
      <c r="H862" s="48"/>
      <c r="I862" s="48"/>
      <c r="J862" s="48"/>
      <c r="K862" s="48"/>
      <c r="L862" s="48"/>
      <c r="M862" s="48"/>
      <c r="N862" s="48"/>
      <c r="O862" s="48"/>
      <c r="P862" s="48"/>
      <c r="Q862" s="48"/>
      <c r="R862" s="48"/>
      <c r="S862" s="48"/>
      <c r="T862" s="48"/>
      <c r="U862" s="48"/>
      <c r="V862" s="48"/>
      <c r="W862" s="48"/>
      <c r="X862" s="48"/>
      <c r="Y862" s="48"/>
      <c r="Z862" s="48"/>
      <c r="AA862" s="48"/>
    </row>
    <row r="863" spans="2:27" ht="12.75" customHeight="1" x14ac:dyDescent="0.25">
      <c r="B863" s="48"/>
      <c r="C863" s="48"/>
      <c r="D863" s="48"/>
      <c r="E863" s="48"/>
      <c r="F863" s="48"/>
      <c r="G863" s="48"/>
      <c r="H863" s="48"/>
      <c r="I863" s="48"/>
      <c r="J863" s="48"/>
      <c r="K863" s="48"/>
      <c r="L863" s="48"/>
      <c r="M863" s="48"/>
      <c r="N863" s="48"/>
      <c r="O863" s="48"/>
      <c r="P863" s="48"/>
      <c r="Q863" s="48"/>
      <c r="R863" s="48"/>
      <c r="S863" s="48"/>
      <c r="T863" s="48"/>
      <c r="U863" s="48"/>
      <c r="V863" s="48"/>
      <c r="W863" s="48"/>
      <c r="X863" s="48"/>
      <c r="Y863" s="48"/>
      <c r="Z863" s="48"/>
      <c r="AA863" s="48"/>
    </row>
    <row r="864" spans="2:27" ht="12.75" customHeight="1" x14ac:dyDescent="0.25">
      <c r="B864" s="48"/>
      <c r="C864" s="48"/>
      <c r="D864" s="48"/>
      <c r="E864" s="48"/>
      <c r="F864" s="48"/>
      <c r="G864" s="48"/>
      <c r="H864" s="48"/>
      <c r="I864" s="48"/>
      <c r="J864" s="48"/>
      <c r="K864" s="48"/>
      <c r="L864" s="48"/>
      <c r="M864" s="48"/>
      <c r="N864" s="48"/>
      <c r="O864" s="48"/>
      <c r="P864" s="48"/>
      <c r="Q864" s="48"/>
      <c r="R864" s="48"/>
      <c r="S864" s="48"/>
      <c r="T864" s="48"/>
      <c r="U864" s="48"/>
      <c r="V864" s="48"/>
      <c r="W864" s="48"/>
      <c r="X864" s="48"/>
      <c r="Y864" s="48"/>
      <c r="Z864" s="48"/>
      <c r="AA864" s="48"/>
    </row>
    <row r="865" spans="2:27" ht="12.75" customHeight="1" x14ac:dyDescent="0.25">
      <c r="B865" s="48"/>
      <c r="C865" s="48"/>
      <c r="D865" s="48"/>
      <c r="E865" s="48"/>
      <c r="F865" s="48"/>
      <c r="G865" s="48"/>
      <c r="H865" s="48"/>
      <c r="I865" s="48"/>
      <c r="J865" s="48"/>
      <c r="K865" s="48"/>
      <c r="L865" s="48"/>
      <c r="M865" s="48"/>
      <c r="N865" s="48"/>
      <c r="O865" s="48"/>
      <c r="P865" s="48"/>
      <c r="Q865" s="48"/>
      <c r="R865" s="48"/>
      <c r="S865" s="48"/>
      <c r="T865" s="48"/>
      <c r="U865" s="48"/>
      <c r="V865" s="48"/>
      <c r="W865" s="48"/>
      <c r="X865" s="48"/>
      <c r="Y865" s="48"/>
      <c r="Z865" s="48"/>
      <c r="AA865" s="48"/>
    </row>
    <row r="866" spans="2:27" ht="12.75" customHeight="1" x14ac:dyDescent="0.25">
      <c r="B866" s="48"/>
      <c r="C866" s="48"/>
      <c r="D866" s="48"/>
      <c r="E866" s="48"/>
      <c r="F866" s="48"/>
      <c r="G866" s="48"/>
      <c r="H866" s="48"/>
      <c r="I866" s="48"/>
      <c r="J866" s="48"/>
      <c r="K866" s="48"/>
      <c r="L866" s="48"/>
      <c r="M866" s="48"/>
      <c r="N866" s="48"/>
      <c r="O866" s="48"/>
      <c r="P866" s="48"/>
      <c r="Q866" s="48"/>
      <c r="R866" s="48"/>
      <c r="S866" s="48"/>
      <c r="T866" s="48"/>
      <c r="U866" s="48"/>
      <c r="V866" s="48"/>
      <c r="W866" s="48"/>
      <c r="X866" s="48"/>
      <c r="Y866" s="48"/>
      <c r="Z866" s="48"/>
      <c r="AA866" s="48"/>
    </row>
    <row r="867" spans="2:27" ht="12.75" customHeight="1" x14ac:dyDescent="0.25">
      <c r="B867" s="48"/>
      <c r="C867" s="48"/>
      <c r="D867" s="48"/>
      <c r="E867" s="48"/>
      <c r="F867" s="48"/>
      <c r="G867" s="48"/>
      <c r="H867" s="48"/>
      <c r="I867" s="48"/>
      <c r="J867" s="48"/>
      <c r="K867" s="48"/>
      <c r="L867" s="48"/>
      <c r="M867" s="48"/>
      <c r="N867" s="48"/>
      <c r="O867" s="48"/>
      <c r="P867" s="48"/>
      <c r="Q867" s="48"/>
      <c r="R867" s="48"/>
      <c r="S867" s="48"/>
      <c r="T867" s="48"/>
      <c r="U867" s="48"/>
      <c r="V867" s="48"/>
      <c r="W867" s="48"/>
      <c r="X867" s="48"/>
      <c r="Y867" s="48"/>
      <c r="Z867" s="48"/>
      <c r="AA867" s="48"/>
    </row>
    <row r="868" spans="2:27" ht="12.75" customHeight="1" x14ac:dyDescent="0.25">
      <c r="B868" s="48"/>
      <c r="C868" s="48"/>
      <c r="D868" s="48"/>
      <c r="E868" s="48"/>
      <c r="F868" s="48"/>
      <c r="G868" s="48"/>
      <c r="H868" s="48"/>
      <c r="I868" s="48"/>
      <c r="J868" s="48"/>
      <c r="K868" s="48"/>
      <c r="L868" s="48"/>
      <c r="M868" s="48"/>
      <c r="N868" s="48"/>
      <c r="O868" s="48"/>
      <c r="P868" s="48"/>
      <c r="Q868" s="48"/>
      <c r="R868" s="48"/>
      <c r="S868" s="48"/>
      <c r="T868" s="48"/>
      <c r="U868" s="48"/>
      <c r="V868" s="48"/>
      <c r="W868" s="48"/>
      <c r="X868" s="48"/>
      <c r="Y868" s="48"/>
      <c r="Z868" s="48"/>
      <c r="AA868" s="48"/>
    </row>
    <row r="869" spans="2:27" ht="12.75" customHeight="1" x14ac:dyDescent="0.25">
      <c r="B869" s="48"/>
      <c r="C869" s="48"/>
      <c r="D869" s="48"/>
      <c r="E869" s="48"/>
      <c r="F869" s="48"/>
      <c r="G869" s="48"/>
      <c r="H869" s="48"/>
      <c r="I869" s="48"/>
      <c r="J869" s="48"/>
      <c r="K869" s="48"/>
      <c r="L869" s="48"/>
      <c r="M869" s="48"/>
      <c r="N869" s="48"/>
      <c r="O869" s="48"/>
      <c r="P869" s="48"/>
      <c r="Q869" s="48"/>
      <c r="R869" s="48"/>
      <c r="S869" s="48"/>
      <c r="T869" s="48"/>
      <c r="U869" s="48"/>
      <c r="V869" s="48"/>
      <c r="W869" s="48"/>
      <c r="X869" s="48"/>
      <c r="Y869" s="48"/>
      <c r="Z869" s="48"/>
      <c r="AA869" s="48"/>
    </row>
    <row r="870" spans="2:27" ht="12.75" customHeight="1" x14ac:dyDescent="0.25">
      <c r="B870" s="48"/>
      <c r="C870" s="48"/>
      <c r="D870" s="48"/>
      <c r="E870" s="48"/>
      <c r="F870" s="48"/>
      <c r="G870" s="48"/>
      <c r="H870" s="48"/>
      <c r="I870" s="48"/>
      <c r="J870" s="48"/>
      <c r="K870" s="48"/>
      <c r="L870" s="48"/>
      <c r="M870" s="48"/>
      <c r="N870" s="48"/>
      <c r="O870" s="48"/>
      <c r="P870" s="48"/>
      <c r="Q870" s="48"/>
      <c r="R870" s="48"/>
      <c r="S870" s="48"/>
      <c r="T870" s="48"/>
      <c r="U870" s="48"/>
      <c r="V870" s="48"/>
      <c r="W870" s="48"/>
      <c r="X870" s="48"/>
      <c r="Y870" s="48"/>
      <c r="Z870" s="48"/>
      <c r="AA870" s="48"/>
    </row>
    <row r="871" spans="2:27" ht="12.75" customHeight="1" x14ac:dyDescent="0.25">
      <c r="B871" s="48"/>
      <c r="C871" s="48"/>
      <c r="D871" s="48"/>
      <c r="E871" s="48"/>
      <c r="F871" s="48"/>
      <c r="G871" s="48"/>
      <c r="H871" s="48"/>
      <c r="I871" s="48"/>
      <c r="J871" s="48"/>
      <c r="K871" s="48"/>
      <c r="L871" s="48"/>
      <c r="M871" s="48"/>
      <c r="N871" s="48"/>
      <c r="O871" s="48"/>
      <c r="P871" s="48"/>
      <c r="Q871" s="48"/>
      <c r="R871" s="48"/>
      <c r="S871" s="48"/>
      <c r="T871" s="48"/>
      <c r="U871" s="48"/>
      <c r="V871" s="48"/>
      <c r="W871" s="48"/>
      <c r="X871" s="48"/>
      <c r="Y871" s="48"/>
      <c r="Z871" s="48"/>
      <c r="AA871" s="48"/>
    </row>
    <row r="872" spans="2:27" ht="12.75" customHeight="1" x14ac:dyDescent="0.25">
      <c r="B872" s="48"/>
      <c r="C872" s="48"/>
      <c r="D872" s="48"/>
      <c r="E872" s="48"/>
      <c r="F872" s="48"/>
      <c r="G872" s="48"/>
      <c r="H872" s="48"/>
      <c r="I872" s="48"/>
      <c r="J872" s="48"/>
      <c r="K872" s="48"/>
      <c r="L872" s="48"/>
      <c r="M872" s="48"/>
      <c r="N872" s="48"/>
      <c r="O872" s="48"/>
      <c r="P872" s="48"/>
      <c r="Q872" s="48"/>
      <c r="R872" s="48"/>
      <c r="S872" s="48"/>
      <c r="T872" s="48"/>
      <c r="U872" s="48"/>
      <c r="V872" s="48"/>
      <c r="W872" s="48"/>
      <c r="X872" s="48"/>
      <c r="Y872" s="48"/>
      <c r="Z872" s="48"/>
      <c r="AA872" s="48"/>
    </row>
    <row r="873" spans="2:27" ht="12.75" customHeight="1" x14ac:dyDescent="0.25">
      <c r="B873" s="48"/>
      <c r="C873" s="48"/>
      <c r="D873" s="48"/>
      <c r="E873" s="48"/>
      <c r="F873" s="48"/>
      <c r="G873" s="48"/>
      <c r="H873" s="48"/>
      <c r="I873" s="48"/>
      <c r="J873" s="48"/>
      <c r="K873" s="48"/>
      <c r="L873" s="48"/>
      <c r="M873" s="48"/>
      <c r="N873" s="48"/>
      <c r="O873" s="48"/>
      <c r="P873" s="48"/>
      <c r="Q873" s="48"/>
      <c r="R873" s="48"/>
      <c r="S873" s="48"/>
      <c r="T873" s="48"/>
      <c r="U873" s="48"/>
      <c r="V873" s="48"/>
      <c r="W873" s="48"/>
      <c r="X873" s="48"/>
      <c r="Y873" s="48"/>
      <c r="Z873" s="48"/>
      <c r="AA873" s="48"/>
    </row>
    <row r="874" spans="2:27" ht="12.75" customHeight="1" x14ac:dyDescent="0.25">
      <c r="B874" s="48"/>
      <c r="C874" s="48"/>
      <c r="D874" s="48"/>
      <c r="E874" s="48"/>
      <c r="F874" s="48"/>
      <c r="G874" s="48"/>
      <c r="H874" s="48"/>
      <c r="I874" s="48"/>
      <c r="J874" s="48"/>
      <c r="K874" s="48"/>
      <c r="L874" s="48"/>
      <c r="M874" s="48"/>
      <c r="N874" s="48"/>
      <c r="O874" s="48"/>
      <c r="P874" s="48"/>
      <c r="Q874" s="48"/>
      <c r="R874" s="48"/>
      <c r="S874" s="48"/>
      <c r="T874" s="48"/>
      <c r="U874" s="48"/>
      <c r="V874" s="48"/>
      <c r="W874" s="48"/>
      <c r="X874" s="48"/>
      <c r="Y874" s="48"/>
      <c r="Z874" s="48"/>
      <c r="AA874" s="48"/>
    </row>
    <row r="875" spans="2:27" ht="12.75" customHeight="1" x14ac:dyDescent="0.25">
      <c r="B875" s="48"/>
      <c r="C875" s="48"/>
      <c r="D875" s="48"/>
      <c r="E875" s="48"/>
      <c r="F875" s="48"/>
      <c r="G875" s="48"/>
      <c r="H875" s="48"/>
      <c r="I875" s="48"/>
      <c r="J875" s="48"/>
      <c r="K875" s="48"/>
      <c r="L875" s="48"/>
      <c r="M875" s="48"/>
      <c r="N875" s="48"/>
      <c r="O875" s="48"/>
      <c r="P875" s="48"/>
      <c r="Q875" s="48"/>
      <c r="R875" s="48"/>
      <c r="S875" s="48"/>
      <c r="T875" s="48"/>
      <c r="U875" s="48"/>
      <c r="V875" s="48"/>
      <c r="W875" s="48"/>
      <c r="X875" s="48"/>
      <c r="Y875" s="48"/>
      <c r="Z875" s="48"/>
      <c r="AA875" s="48"/>
    </row>
    <row r="876" spans="2:27" ht="12.75" customHeight="1" x14ac:dyDescent="0.25">
      <c r="B876" s="48"/>
      <c r="C876" s="48"/>
      <c r="D876" s="48"/>
      <c r="E876" s="48"/>
      <c r="F876" s="48"/>
      <c r="G876" s="48"/>
      <c r="H876" s="48"/>
      <c r="I876" s="48"/>
      <c r="J876" s="48"/>
      <c r="K876" s="48"/>
      <c r="L876" s="48"/>
      <c r="M876" s="48"/>
      <c r="N876" s="48"/>
      <c r="O876" s="48"/>
      <c r="P876" s="48"/>
      <c r="Q876" s="48"/>
      <c r="R876" s="48"/>
      <c r="S876" s="48"/>
      <c r="T876" s="48"/>
      <c r="U876" s="48"/>
      <c r="V876" s="48"/>
      <c r="W876" s="48"/>
      <c r="X876" s="48"/>
      <c r="Y876" s="48"/>
      <c r="Z876" s="48"/>
      <c r="AA876" s="48"/>
    </row>
    <row r="877" spans="2:27" ht="12.75" customHeight="1" x14ac:dyDescent="0.25">
      <c r="B877" s="48"/>
      <c r="C877" s="48"/>
      <c r="D877" s="48"/>
      <c r="E877" s="48"/>
      <c r="F877" s="48"/>
      <c r="G877" s="48"/>
      <c r="H877" s="48"/>
      <c r="I877" s="48"/>
      <c r="J877" s="48"/>
      <c r="K877" s="48"/>
      <c r="L877" s="48"/>
      <c r="M877" s="48"/>
      <c r="N877" s="48"/>
      <c r="O877" s="48"/>
      <c r="P877" s="48"/>
      <c r="Q877" s="48"/>
      <c r="R877" s="48"/>
      <c r="S877" s="48"/>
      <c r="T877" s="48"/>
      <c r="U877" s="48"/>
      <c r="V877" s="48"/>
      <c r="W877" s="48"/>
      <c r="X877" s="48"/>
      <c r="Y877" s="48"/>
      <c r="Z877" s="48"/>
      <c r="AA877" s="48"/>
    </row>
    <row r="878" spans="2:27" ht="12.75" customHeight="1" x14ac:dyDescent="0.25">
      <c r="B878" s="48"/>
      <c r="C878" s="48"/>
      <c r="D878" s="48"/>
      <c r="E878" s="48"/>
      <c r="F878" s="48"/>
      <c r="G878" s="48"/>
      <c r="H878" s="48"/>
      <c r="I878" s="48"/>
      <c r="J878" s="48"/>
      <c r="K878" s="48"/>
      <c r="L878" s="48"/>
      <c r="M878" s="48"/>
      <c r="N878" s="48"/>
      <c r="O878" s="48"/>
      <c r="P878" s="48"/>
      <c r="Q878" s="48"/>
      <c r="R878" s="48"/>
      <c r="S878" s="48"/>
      <c r="T878" s="48"/>
      <c r="U878" s="48"/>
      <c r="V878" s="48"/>
      <c r="W878" s="48"/>
      <c r="X878" s="48"/>
      <c r="Y878" s="48"/>
      <c r="Z878" s="48"/>
      <c r="AA878" s="48"/>
    </row>
    <row r="879" spans="2:27" ht="12.75" customHeight="1" x14ac:dyDescent="0.25">
      <c r="B879" s="48"/>
      <c r="C879" s="48"/>
      <c r="D879" s="48"/>
      <c r="E879" s="48"/>
      <c r="F879" s="48"/>
      <c r="G879" s="48"/>
      <c r="H879" s="48"/>
      <c r="I879" s="48"/>
      <c r="J879" s="48"/>
      <c r="K879" s="48"/>
      <c r="L879" s="48"/>
      <c r="M879" s="48"/>
      <c r="N879" s="48"/>
      <c r="O879" s="48"/>
      <c r="P879" s="48"/>
      <c r="Q879" s="48"/>
      <c r="R879" s="48"/>
      <c r="S879" s="48"/>
      <c r="T879" s="48"/>
      <c r="U879" s="48"/>
      <c r="V879" s="48"/>
      <c r="W879" s="48"/>
      <c r="X879" s="48"/>
      <c r="Y879" s="48"/>
      <c r="Z879" s="48"/>
      <c r="AA879" s="48"/>
    </row>
    <row r="880" spans="2:27" ht="12.75" customHeight="1" x14ac:dyDescent="0.25">
      <c r="B880" s="48"/>
      <c r="C880" s="48"/>
      <c r="D880" s="48"/>
      <c r="E880" s="48"/>
      <c r="F880" s="48"/>
      <c r="G880" s="48"/>
      <c r="H880" s="48"/>
      <c r="I880" s="48"/>
      <c r="J880" s="48"/>
      <c r="K880" s="48"/>
      <c r="L880" s="48"/>
      <c r="M880" s="48"/>
      <c r="N880" s="48"/>
      <c r="O880" s="48"/>
      <c r="P880" s="48"/>
      <c r="Q880" s="48"/>
      <c r="R880" s="48"/>
      <c r="S880" s="48"/>
      <c r="T880" s="48"/>
      <c r="U880" s="48"/>
      <c r="V880" s="48"/>
      <c r="W880" s="48"/>
      <c r="X880" s="48"/>
      <c r="Y880" s="48"/>
      <c r="Z880" s="48"/>
      <c r="AA880" s="48"/>
    </row>
    <row r="881" spans="2:27" ht="12.75" customHeight="1" x14ac:dyDescent="0.25">
      <c r="B881" s="48"/>
      <c r="C881" s="48"/>
      <c r="D881" s="48"/>
      <c r="E881" s="48"/>
      <c r="F881" s="48"/>
      <c r="G881" s="48"/>
      <c r="H881" s="48"/>
      <c r="I881" s="48"/>
      <c r="J881" s="48"/>
      <c r="K881" s="48"/>
      <c r="L881" s="48"/>
      <c r="M881" s="48"/>
      <c r="N881" s="48"/>
      <c r="O881" s="48"/>
      <c r="P881" s="48"/>
      <c r="Q881" s="48"/>
      <c r="R881" s="48"/>
      <c r="S881" s="48"/>
      <c r="T881" s="48"/>
      <c r="U881" s="48"/>
      <c r="V881" s="48"/>
      <c r="W881" s="48"/>
      <c r="X881" s="48"/>
      <c r="Y881" s="48"/>
      <c r="Z881" s="48"/>
      <c r="AA881" s="48"/>
    </row>
    <row r="882" spans="2:27" ht="12.75" customHeight="1" x14ac:dyDescent="0.25">
      <c r="B882" s="48"/>
      <c r="C882" s="48"/>
      <c r="D882" s="48"/>
      <c r="E882" s="48"/>
      <c r="F882" s="48"/>
      <c r="G882" s="48"/>
      <c r="H882" s="48"/>
      <c r="I882" s="48"/>
      <c r="J882" s="48"/>
      <c r="K882" s="48"/>
      <c r="L882" s="48"/>
      <c r="M882" s="48"/>
      <c r="N882" s="48"/>
      <c r="O882" s="48"/>
      <c r="P882" s="48"/>
      <c r="Q882" s="48"/>
      <c r="R882" s="48"/>
      <c r="S882" s="48"/>
      <c r="T882" s="48"/>
      <c r="U882" s="48"/>
      <c r="V882" s="48"/>
      <c r="W882" s="48"/>
      <c r="X882" s="48"/>
      <c r="Y882" s="48"/>
      <c r="Z882" s="48"/>
      <c r="AA882" s="48"/>
    </row>
    <row r="883" spans="2:27" ht="12.75" customHeight="1" x14ac:dyDescent="0.25">
      <c r="B883" s="48"/>
      <c r="C883" s="48"/>
      <c r="D883" s="48"/>
      <c r="E883" s="48"/>
      <c r="F883" s="48"/>
      <c r="G883" s="48"/>
      <c r="H883" s="48"/>
      <c r="I883" s="48"/>
      <c r="J883" s="48"/>
      <c r="K883" s="48"/>
      <c r="L883" s="48"/>
      <c r="M883" s="48"/>
      <c r="N883" s="48"/>
      <c r="O883" s="48"/>
      <c r="P883" s="48"/>
      <c r="Q883" s="48"/>
      <c r="R883" s="48"/>
      <c r="S883" s="48"/>
      <c r="T883" s="48"/>
      <c r="U883" s="48"/>
      <c r="V883" s="48"/>
      <c r="W883" s="48"/>
      <c r="X883" s="48"/>
      <c r="Y883" s="48"/>
      <c r="Z883" s="48"/>
      <c r="AA883" s="48"/>
    </row>
    <row r="884" spans="2:27" ht="12.75" customHeight="1" x14ac:dyDescent="0.25">
      <c r="B884" s="48"/>
      <c r="C884" s="48"/>
      <c r="D884" s="48"/>
      <c r="E884" s="48"/>
      <c r="F884" s="48"/>
      <c r="G884" s="48"/>
      <c r="H884" s="48"/>
      <c r="I884" s="48"/>
      <c r="J884" s="48"/>
      <c r="K884" s="48"/>
      <c r="L884" s="48"/>
      <c r="M884" s="48"/>
      <c r="N884" s="48"/>
      <c r="O884" s="48"/>
      <c r="P884" s="48"/>
      <c r="Q884" s="48"/>
      <c r="R884" s="48"/>
      <c r="S884" s="48"/>
      <c r="T884" s="48"/>
      <c r="U884" s="48"/>
      <c r="V884" s="48"/>
      <c r="W884" s="48"/>
      <c r="X884" s="48"/>
      <c r="Y884" s="48"/>
      <c r="Z884" s="48"/>
      <c r="AA884" s="48"/>
    </row>
    <row r="885" spans="2:27" ht="12.75" customHeight="1" x14ac:dyDescent="0.25">
      <c r="B885" s="48"/>
      <c r="C885" s="48"/>
      <c r="D885" s="48"/>
      <c r="E885" s="48"/>
      <c r="F885" s="48"/>
      <c r="G885" s="48"/>
      <c r="H885" s="48"/>
      <c r="I885" s="48"/>
      <c r="J885" s="48"/>
      <c r="K885" s="48"/>
      <c r="L885" s="48"/>
      <c r="M885" s="48"/>
      <c r="N885" s="48"/>
      <c r="O885" s="48"/>
      <c r="P885" s="48"/>
      <c r="Q885" s="48"/>
      <c r="R885" s="48"/>
      <c r="S885" s="48"/>
      <c r="T885" s="48"/>
      <c r="U885" s="48"/>
      <c r="V885" s="48"/>
      <c r="W885" s="48"/>
      <c r="X885" s="48"/>
      <c r="Y885" s="48"/>
      <c r="Z885" s="48"/>
      <c r="AA885" s="48"/>
    </row>
    <row r="886" spans="2:27" ht="12.75" customHeight="1" x14ac:dyDescent="0.25">
      <c r="B886" s="48"/>
      <c r="C886" s="48"/>
      <c r="D886" s="48"/>
      <c r="E886" s="48"/>
      <c r="F886" s="48"/>
      <c r="G886" s="48"/>
      <c r="H886" s="48"/>
      <c r="I886" s="48"/>
      <c r="J886" s="48"/>
      <c r="K886" s="48"/>
      <c r="L886" s="48"/>
      <c r="M886" s="48"/>
      <c r="N886" s="48"/>
      <c r="O886" s="48"/>
      <c r="P886" s="48"/>
      <c r="Q886" s="48"/>
      <c r="R886" s="48"/>
      <c r="S886" s="48"/>
      <c r="T886" s="48"/>
      <c r="U886" s="48"/>
      <c r="V886" s="48"/>
      <c r="W886" s="48"/>
      <c r="X886" s="48"/>
      <c r="Y886" s="48"/>
      <c r="Z886" s="48"/>
      <c r="AA886" s="48"/>
    </row>
    <row r="887" spans="2:27" ht="12.75" customHeight="1" x14ac:dyDescent="0.25">
      <c r="B887" s="48"/>
      <c r="C887" s="48"/>
      <c r="D887" s="48"/>
      <c r="E887" s="48"/>
      <c r="F887" s="48"/>
      <c r="G887" s="48"/>
      <c r="H887" s="48"/>
      <c r="I887" s="48"/>
      <c r="J887" s="48"/>
      <c r="K887" s="48"/>
      <c r="L887" s="48"/>
      <c r="M887" s="48"/>
      <c r="N887" s="48"/>
      <c r="O887" s="48"/>
      <c r="P887" s="48"/>
      <c r="Q887" s="48"/>
      <c r="R887" s="48"/>
      <c r="S887" s="48"/>
      <c r="T887" s="48"/>
      <c r="U887" s="48"/>
      <c r="V887" s="48"/>
      <c r="W887" s="48"/>
      <c r="X887" s="48"/>
      <c r="Y887" s="48"/>
      <c r="Z887" s="48"/>
      <c r="AA887" s="48"/>
    </row>
    <row r="888" spans="2:27" ht="12.75" customHeight="1" x14ac:dyDescent="0.25">
      <c r="B888" s="48"/>
      <c r="C888" s="48"/>
      <c r="D888" s="48"/>
      <c r="E888" s="48"/>
      <c r="F888" s="48"/>
      <c r="G888" s="48"/>
      <c r="H888" s="48"/>
      <c r="I888" s="48"/>
      <c r="J888" s="48"/>
      <c r="K888" s="48"/>
      <c r="L888" s="48"/>
      <c r="M888" s="48"/>
      <c r="N888" s="48"/>
      <c r="O888" s="48"/>
      <c r="P888" s="48"/>
      <c r="Q888" s="48"/>
      <c r="R888" s="48"/>
      <c r="S888" s="48"/>
      <c r="T888" s="48"/>
      <c r="U888" s="48"/>
      <c r="V888" s="48"/>
      <c r="W888" s="48"/>
      <c r="X888" s="48"/>
      <c r="Y888" s="48"/>
      <c r="Z888" s="48"/>
      <c r="AA888" s="48"/>
    </row>
    <row r="889" spans="2:27" ht="12.75" customHeight="1" x14ac:dyDescent="0.25">
      <c r="B889" s="48"/>
      <c r="C889" s="48"/>
      <c r="D889" s="48"/>
      <c r="E889" s="48"/>
      <c r="F889" s="48"/>
      <c r="G889" s="48"/>
      <c r="H889" s="48"/>
      <c r="I889" s="48"/>
      <c r="J889" s="48"/>
      <c r="K889" s="48"/>
      <c r="L889" s="48"/>
      <c r="M889" s="48"/>
      <c r="N889" s="48"/>
      <c r="O889" s="48"/>
      <c r="P889" s="48"/>
      <c r="Q889" s="48"/>
      <c r="R889" s="48"/>
      <c r="S889" s="48"/>
      <c r="T889" s="48"/>
      <c r="U889" s="48"/>
      <c r="V889" s="48"/>
      <c r="W889" s="48"/>
      <c r="X889" s="48"/>
      <c r="Y889" s="48"/>
      <c r="Z889" s="48"/>
      <c r="AA889" s="48"/>
    </row>
    <row r="890" spans="2:27" ht="12.75" customHeight="1" x14ac:dyDescent="0.25">
      <c r="B890" s="48"/>
      <c r="C890" s="48"/>
      <c r="D890" s="48"/>
      <c r="E890" s="48"/>
      <c r="F890" s="48"/>
      <c r="G890" s="48"/>
      <c r="H890" s="48"/>
      <c r="I890" s="48"/>
      <c r="J890" s="48"/>
      <c r="K890" s="48"/>
      <c r="L890" s="48"/>
      <c r="M890" s="48"/>
      <c r="N890" s="48"/>
      <c r="O890" s="48"/>
      <c r="P890" s="48"/>
      <c r="Q890" s="48"/>
      <c r="R890" s="48"/>
      <c r="S890" s="48"/>
      <c r="T890" s="48"/>
      <c r="U890" s="48"/>
      <c r="V890" s="48"/>
      <c r="W890" s="48"/>
      <c r="X890" s="48"/>
      <c r="Y890" s="48"/>
      <c r="Z890" s="48"/>
      <c r="AA890" s="48"/>
    </row>
    <row r="891" spans="2:27" ht="12.75" customHeight="1" x14ac:dyDescent="0.25">
      <c r="B891" s="48"/>
      <c r="C891" s="48"/>
      <c r="D891" s="48"/>
      <c r="E891" s="48"/>
      <c r="F891" s="48"/>
      <c r="G891" s="48"/>
      <c r="H891" s="48"/>
      <c r="I891" s="48"/>
      <c r="J891" s="48"/>
      <c r="K891" s="48"/>
      <c r="L891" s="48"/>
      <c r="M891" s="48"/>
      <c r="N891" s="48"/>
      <c r="O891" s="48"/>
      <c r="P891" s="48"/>
      <c r="Q891" s="48"/>
      <c r="R891" s="48"/>
      <c r="S891" s="48"/>
      <c r="T891" s="48"/>
      <c r="U891" s="48"/>
      <c r="V891" s="48"/>
      <c r="W891" s="48"/>
      <c r="X891" s="48"/>
      <c r="Y891" s="48"/>
      <c r="Z891" s="48"/>
      <c r="AA891" s="48"/>
    </row>
    <row r="892" spans="2:27" ht="12.75" customHeight="1" x14ac:dyDescent="0.25">
      <c r="B892" s="48"/>
      <c r="C892" s="48"/>
      <c r="D892" s="48"/>
      <c r="E892" s="48"/>
      <c r="F892" s="48"/>
      <c r="G892" s="48"/>
      <c r="H892" s="48"/>
      <c r="I892" s="48"/>
      <c r="J892" s="48"/>
      <c r="K892" s="48"/>
      <c r="L892" s="48"/>
      <c r="M892" s="48"/>
      <c r="N892" s="48"/>
      <c r="O892" s="48"/>
      <c r="P892" s="48"/>
      <c r="Q892" s="48"/>
      <c r="R892" s="48"/>
      <c r="S892" s="48"/>
      <c r="T892" s="48"/>
      <c r="U892" s="48"/>
      <c r="V892" s="48"/>
      <c r="W892" s="48"/>
      <c r="X892" s="48"/>
      <c r="Y892" s="48"/>
      <c r="Z892" s="48"/>
      <c r="AA892" s="48"/>
    </row>
    <row r="893" spans="2:27" ht="12.75" customHeight="1" x14ac:dyDescent="0.25">
      <c r="B893" s="48"/>
      <c r="C893" s="48"/>
      <c r="D893" s="48"/>
      <c r="E893" s="48"/>
      <c r="F893" s="48"/>
      <c r="G893" s="48"/>
      <c r="H893" s="48"/>
      <c r="I893" s="48"/>
      <c r="J893" s="48"/>
      <c r="K893" s="48"/>
      <c r="L893" s="48"/>
      <c r="M893" s="48"/>
      <c r="N893" s="48"/>
      <c r="O893" s="48"/>
      <c r="P893" s="48"/>
      <c r="Q893" s="48"/>
      <c r="R893" s="48"/>
      <c r="S893" s="48"/>
      <c r="T893" s="48"/>
      <c r="U893" s="48"/>
      <c r="V893" s="48"/>
      <c r="W893" s="48"/>
      <c r="X893" s="48"/>
      <c r="Y893" s="48"/>
      <c r="Z893" s="48"/>
      <c r="AA893" s="48"/>
    </row>
    <row r="894" spans="2:27" ht="12.75" customHeight="1" x14ac:dyDescent="0.25">
      <c r="B894" s="48"/>
      <c r="C894" s="48"/>
      <c r="D894" s="48"/>
      <c r="E894" s="48"/>
      <c r="F894" s="48"/>
      <c r="G894" s="48"/>
      <c r="H894" s="48"/>
      <c r="I894" s="48"/>
      <c r="J894" s="48"/>
      <c r="K894" s="48"/>
      <c r="L894" s="48"/>
      <c r="M894" s="48"/>
      <c r="N894" s="48"/>
      <c r="O894" s="48"/>
      <c r="P894" s="48"/>
      <c r="Q894" s="48"/>
      <c r="R894" s="48"/>
      <c r="S894" s="48"/>
      <c r="T894" s="48"/>
      <c r="U894" s="48"/>
      <c r="V894" s="48"/>
      <c r="W894" s="48"/>
      <c r="X894" s="48"/>
      <c r="Y894" s="48"/>
      <c r="Z894" s="48"/>
      <c r="AA894" s="48"/>
    </row>
    <row r="895" spans="2:27" ht="12.75" customHeight="1" x14ac:dyDescent="0.25">
      <c r="B895" s="48"/>
      <c r="C895" s="48"/>
      <c r="D895" s="48"/>
      <c r="E895" s="48"/>
      <c r="F895" s="48"/>
      <c r="G895" s="48"/>
      <c r="H895" s="48"/>
      <c r="I895" s="48"/>
      <c r="J895" s="48"/>
      <c r="K895" s="48"/>
      <c r="L895" s="48"/>
      <c r="M895" s="48"/>
      <c r="N895" s="48"/>
      <c r="O895" s="48"/>
      <c r="P895" s="48"/>
      <c r="Q895" s="48"/>
      <c r="R895" s="48"/>
      <c r="S895" s="48"/>
      <c r="T895" s="48"/>
      <c r="U895" s="48"/>
      <c r="V895" s="48"/>
      <c r="W895" s="48"/>
      <c r="X895" s="48"/>
      <c r="Y895" s="48"/>
      <c r="Z895" s="48"/>
      <c r="AA895" s="48"/>
    </row>
    <row r="896" spans="2:27" ht="12.75" customHeight="1" x14ac:dyDescent="0.25">
      <c r="B896" s="48"/>
      <c r="C896" s="48"/>
      <c r="D896" s="48"/>
      <c r="E896" s="48"/>
      <c r="F896" s="48"/>
      <c r="G896" s="48"/>
      <c r="H896" s="48"/>
      <c r="I896" s="48"/>
      <c r="J896" s="48"/>
      <c r="K896" s="48"/>
      <c r="L896" s="48"/>
      <c r="M896" s="48"/>
      <c r="N896" s="48"/>
      <c r="O896" s="48"/>
      <c r="P896" s="48"/>
      <c r="Q896" s="48"/>
      <c r="R896" s="48"/>
      <c r="S896" s="48"/>
      <c r="T896" s="48"/>
      <c r="U896" s="48"/>
      <c r="V896" s="48"/>
      <c r="W896" s="48"/>
      <c r="X896" s="48"/>
      <c r="Y896" s="48"/>
      <c r="Z896" s="48"/>
      <c r="AA896" s="48"/>
    </row>
    <row r="897" spans="2:27" ht="12.75" customHeight="1" x14ac:dyDescent="0.25">
      <c r="B897" s="48"/>
      <c r="C897" s="48"/>
      <c r="D897" s="48"/>
      <c r="E897" s="48"/>
      <c r="F897" s="48"/>
      <c r="G897" s="48"/>
      <c r="H897" s="48"/>
      <c r="I897" s="48"/>
      <c r="J897" s="48"/>
      <c r="K897" s="48"/>
      <c r="L897" s="48"/>
      <c r="M897" s="48"/>
      <c r="N897" s="48"/>
      <c r="O897" s="48"/>
      <c r="P897" s="48"/>
      <c r="Q897" s="48"/>
      <c r="R897" s="48"/>
      <c r="S897" s="48"/>
      <c r="T897" s="48"/>
      <c r="U897" s="48"/>
      <c r="V897" s="48"/>
      <c r="W897" s="48"/>
      <c r="X897" s="48"/>
      <c r="Y897" s="48"/>
      <c r="Z897" s="48"/>
      <c r="AA897" s="48"/>
    </row>
    <row r="898" spans="2:27" ht="12.75" customHeight="1" x14ac:dyDescent="0.25">
      <c r="B898" s="48"/>
      <c r="C898" s="48"/>
      <c r="D898" s="48"/>
      <c r="E898" s="48"/>
      <c r="F898" s="48"/>
      <c r="G898" s="48"/>
      <c r="H898" s="48"/>
      <c r="I898" s="48"/>
      <c r="J898" s="48"/>
      <c r="K898" s="48"/>
      <c r="L898" s="48"/>
      <c r="M898" s="48"/>
      <c r="N898" s="48"/>
      <c r="O898" s="48"/>
      <c r="P898" s="48"/>
      <c r="Q898" s="48"/>
      <c r="R898" s="48"/>
      <c r="S898" s="48"/>
      <c r="T898" s="48"/>
      <c r="U898" s="48"/>
      <c r="V898" s="48"/>
      <c r="W898" s="48"/>
      <c r="X898" s="48"/>
      <c r="Y898" s="48"/>
      <c r="Z898" s="48"/>
      <c r="AA898" s="48"/>
    </row>
    <row r="899" spans="2:27" ht="12.75" customHeight="1" x14ac:dyDescent="0.25">
      <c r="B899" s="48"/>
      <c r="C899" s="48"/>
      <c r="D899" s="48"/>
      <c r="E899" s="48"/>
      <c r="F899" s="48"/>
      <c r="G899" s="48"/>
      <c r="H899" s="48"/>
      <c r="I899" s="48"/>
      <c r="J899" s="48"/>
      <c r="K899" s="48"/>
      <c r="L899" s="48"/>
      <c r="M899" s="48"/>
      <c r="N899" s="48"/>
      <c r="O899" s="48"/>
      <c r="P899" s="48"/>
      <c r="Q899" s="48"/>
      <c r="R899" s="48"/>
      <c r="S899" s="48"/>
      <c r="T899" s="48"/>
      <c r="U899" s="48"/>
      <c r="V899" s="48"/>
      <c r="W899" s="48"/>
      <c r="X899" s="48"/>
      <c r="Y899" s="48"/>
      <c r="Z899" s="48"/>
      <c r="AA899" s="48"/>
    </row>
    <row r="900" spans="2:27" ht="12.75" customHeight="1" x14ac:dyDescent="0.25">
      <c r="B900" s="48"/>
      <c r="C900" s="48"/>
      <c r="D900" s="48"/>
      <c r="E900" s="48"/>
      <c r="F900" s="48"/>
      <c r="G900" s="48"/>
      <c r="H900" s="48"/>
      <c r="I900" s="48"/>
      <c r="J900" s="48"/>
      <c r="K900" s="48"/>
      <c r="L900" s="48"/>
      <c r="M900" s="48"/>
      <c r="N900" s="48"/>
      <c r="O900" s="48"/>
      <c r="P900" s="48"/>
      <c r="Q900" s="48"/>
      <c r="R900" s="48"/>
      <c r="S900" s="48"/>
      <c r="T900" s="48"/>
      <c r="U900" s="48"/>
      <c r="V900" s="48"/>
      <c r="W900" s="48"/>
      <c r="X900" s="48"/>
      <c r="Y900" s="48"/>
      <c r="Z900" s="48"/>
      <c r="AA900" s="48"/>
    </row>
    <row r="901" spans="2:27" ht="12.75" customHeight="1" x14ac:dyDescent="0.25">
      <c r="B901" s="48"/>
      <c r="C901" s="48"/>
      <c r="D901" s="48"/>
      <c r="E901" s="48"/>
      <c r="F901" s="48"/>
      <c r="G901" s="48"/>
      <c r="H901" s="48"/>
      <c r="I901" s="48"/>
      <c r="J901" s="48"/>
      <c r="K901" s="48"/>
      <c r="L901" s="48"/>
      <c r="M901" s="48"/>
      <c r="N901" s="48"/>
      <c r="O901" s="48"/>
      <c r="P901" s="48"/>
      <c r="Q901" s="48"/>
      <c r="R901" s="48"/>
      <c r="S901" s="48"/>
      <c r="T901" s="48"/>
      <c r="U901" s="48"/>
      <c r="V901" s="48"/>
      <c r="W901" s="48"/>
      <c r="X901" s="48"/>
      <c r="Y901" s="48"/>
      <c r="Z901" s="48"/>
      <c r="AA901" s="48"/>
    </row>
    <row r="902" spans="2:27" ht="12.75" customHeight="1" x14ac:dyDescent="0.25">
      <c r="B902" s="48"/>
      <c r="C902" s="48"/>
      <c r="D902" s="48"/>
      <c r="E902" s="48"/>
      <c r="F902" s="48"/>
      <c r="G902" s="48"/>
      <c r="H902" s="48"/>
      <c r="I902" s="48"/>
      <c r="J902" s="48"/>
      <c r="K902" s="48"/>
      <c r="L902" s="48"/>
      <c r="M902" s="48"/>
      <c r="N902" s="48"/>
      <c r="O902" s="48"/>
      <c r="P902" s="48"/>
      <c r="Q902" s="48"/>
      <c r="R902" s="48"/>
      <c r="S902" s="48"/>
      <c r="T902" s="48"/>
      <c r="U902" s="48"/>
      <c r="V902" s="48"/>
      <c r="W902" s="48"/>
      <c r="X902" s="48"/>
      <c r="Y902" s="48"/>
      <c r="Z902" s="48"/>
      <c r="AA902" s="48"/>
    </row>
    <row r="903" spans="2:27" ht="12.75" customHeight="1" x14ac:dyDescent="0.25">
      <c r="B903" s="48"/>
      <c r="C903" s="48"/>
      <c r="D903" s="48"/>
      <c r="E903" s="48"/>
      <c r="F903" s="48"/>
      <c r="G903" s="48"/>
      <c r="H903" s="48"/>
      <c r="I903" s="48"/>
      <c r="J903" s="48"/>
      <c r="K903" s="48"/>
      <c r="L903" s="48"/>
      <c r="M903" s="48"/>
      <c r="N903" s="48"/>
      <c r="O903" s="48"/>
      <c r="P903" s="48"/>
      <c r="Q903" s="48"/>
      <c r="R903" s="48"/>
      <c r="S903" s="48"/>
      <c r="T903" s="48"/>
      <c r="U903" s="48"/>
      <c r="V903" s="48"/>
      <c r="W903" s="48"/>
      <c r="X903" s="48"/>
      <c r="Y903" s="48"/>
      <c r="Z903" s="48"/>
      <c r="AA903" s="48"/>
    </row>
    <row r="904" spans="2:27" ht="12.75" customHeight="1" x14ac:dyDescent="0.25">
      <c r="B904" s="48"/>
      <c r="C904" s="48"/>
      <c r="D904" s="48"/>
      <c r="E904" s="48"/>
      <c r="F904" s="48"/>
      <c r="G904" s="48"/>
      <c r="H904" s="48"/>
      <c r="I904" s="48"/>
      <c r="J904" s="48"/>
      <c r="K904" s="48"/>
      <c r="L904" s="48"/>
      <c r="M904" s="48"/>
      <c r="N904" s="48"/>
      <c r="O904" s="48"/>
      <c r="P904" s="48"/>
      <c r="Q904" s="48"/>
      <c r="R904" s="48"/>
      <c r="S904" s="48"/>
      <c r="T904" s="48"/>
      <c r="U904" s="48"/>
      <c r="V904" s="48"/>
      <c r="W904" s="48"/>
      <c r="X904" s="48"/>
      <c r="Y904" s="48"/>
      <c r="Z904" s="48"/>
      <c r="AA904" s="48"/>
    </row>
    <row r="905" spans="2:27" ht="12.75" customHeight="1" x14ac:dyDescent="0.25">
      <c r="B905" s="48"/>
      <c r="C905" s="48"/>
      <c r="D905" s="48"/>
      <c r="E905" s="48"/>
      <c r="F905" s="48"/>
      <c r="G905" s="48"/>
      <c r="H905" s="48"/>
      <c r="I905" s="48"/>
      <c r="J905" s="48"/>
      <c r="K905" s="48"/>
      <c r="L905" s="48"/>
      <c r="M905" s="48"/>
      <c r="N905" s="48"/>
      <c r="O905" s="48"/>
      <c r="P905" s="48"/>
      <c r="Q905" s="48"/>
      <c r="R905" s="48"/>
      <c r="S905" s="48"/>
      <c r="T905" s="48"/>
      <c r="U905" s="48"/>
      <c r="V905" s="48"/>
      <c r="W905" s="48"/>
      <c r="X905" s="48"/>
      <c r="Y905" s="48"/>
      <c r="Z905" s="48"/>
      <c r="AA905" s="48"/>
    </row>
    <row r="906" spans="2:27" ht="12.75" customHeight="1" x14ac:dyDescent="0.25">
      <c r="B906" s="48"/>
      <c r="C906" s="48"/>
      <c r="D906" s="48"/>
      <c r="E906" s="48"/>
      <c r="F906" s="48"/>
      <c r="G906" s="48"/>
      <c r="H906" s="48"/>
      <c r="I906" s="48"/>
      <c r="J906" s="48"/>
      <c r="K906" s="48"/>
      <c r="L906" s="48"/>
      <c r="M906" s="48"/>
      <c r="N906" s="48"/>
      <c r="O906" s="48"/>
      <c r="P906" s="48"/>
      <c r="Q906" s="48"/>
      <c r="R906" s="48"/>
      <c r="S906" s="48"/>
      <c r="T906" s="48"/>
      <c r="U906" s="48"/>
      <c r="V906" s="48"/>
      <c r="W906" s="48"/>
      <c r="X906" s="48"/>
      <c r="Y906" s="48"/>
      <c r="Z906" s="48"/>
      <c r="AA906" s="48"/>
    </row>
    <row r="907" spans="2:27" ht="12.75" customHeight="1" x14ac:dyDescent="0.25">
      <c r="B907" s="48"/>
      <c r="C907" s="48"/>
      <c r="D907" s="48"/>
      <c r="E907" s="48"/>
      <c r="F907" s="48"/>
      <c r="G907" s="48"/>
      <c r="H907" s="48"/>
      <c r="I907" s="48"/>
      <c r="J907" s="48"/>
      <c r="K907" s="48"/>
      <c r="L907" s="48"/>
      <c r="M907" s="48"/>
      <c r="N907" s="48"/>
      <c r="O907" s="48"/>
      <c r="P907" s="48"/>
      <c r="Q907" s="48"/>
      <c r="R907" s="48"/>
      <c r="S907" s="48"/>
      <c r="T907" s="48"/>
      <c r="U907" s="48"/>
      <c r="V907" s="48"/>
      <c r="W907" s="48"/>
      <c r="X907" s="48"/>
      <c r="Y907" s="48"/>
      <c r="Z907" s="48"/>
      <c r="AA907" s="48"/>
    </row>
    <row r="908" spans="2:27" ht="12.75" customHeight="1" x14ac:dyDescent="0.25">
      <c r="B908" s="48"/>
      <c r="C908" s="48"/>
      <c r="D908" s="48"/>
      <c r="E908" s="48"/>
      <c r="F908" s="48"/>
      <c r="G908" s="48"/>
      <c r="H908" s="48"/>
      <c r="I908" s="48"/>
      <c r="J908" s="48"/>
      <c r="K908" s="48"/>
      <c r="L908" s="48"/>
      <c r="M908" s="48"/>
      <c r="N908" s="48"/>
      <c r="O908" s="48"/>
      <c r="P908" s="48"/>
      <c r="Q908" s="48"/>
      <c r="R908" s="48"/>
      <c r="S908" s="48"/>
      <c r="T908" s="48"/>
      <c r="U908" s="48"/>
      <c r="V908" s="48"/>
      <c r="W908" s="48"/>
      <c r="X908" s="48"/>
      <c r="Y908" s="48"/>
      <c r="Z908" s="48"/>
      <c r="AA908" s="48"/>
    </row>
    <row r="909" spans="2:27" ht="12.75" customHeight="1" x14ac:dyDescent="0.25">
      <c r="B909" s="48"/>
      <c r="C909" s="48"/>
      <c r="D909" s="48"/>
      <c r="E909" s="48"/>
      <c r="F909" s="48"/>
      <c r="G909" s="48"/>
      <c r="H909" s="48"/>
      <c r="I909" s="48"/>
      <c r="J909" s="48"/>
      <c r="K909" s="48"/>
      <c r="L909" s="48"/>
      <c r="M909" s="48"/>
      <c r="N909" s="48"/>
      <c r="O909" s="48"/>
      <c r="P909" s="48"/>
      <c r="Q909" s="48"/>
      <c r="R909" s="48"/>
      <c r="S909" s="48"/>
      <c r="T909" s="48"/>
      <c r="U909" s="48"/>
      <c r="V909" s="48"/>
      <c r="W909" s="48"/>
      <c r="X909" s="48"/>
      <c r="Y909" s="48"/>
      <c r="Z909" s="48"/>
      <c r="AA909" s="48"/>
    </row>
    <row r="910" spans="2:27" ht="12.75" customHeight="1" x14ac:dyDescent="0.25">
      <c r="B910" s="48"/>
      <c r="C910" s="48"/>
      <c r="D910" s="48"/>
      <c r="E910" s="48"/>
      <c r="F910" s="48"/>
      <c r="G910" s="48"/>
      <c r="H910" s="48"/>
      <c r="I910" s="48"/>
      <c r="J910" s="48"/>
      <c r="K910" s="48"/>
      <c r="L910" s="48"/>
      <c r="M910" s="48"/>
      <c r="N910" s="48"/>
      <c r="O910" s="48"/>
      <c r="P910" s="48"/>
      <c r="Q910" s="48"/>
      <c r="R910" s="48"/>
      <c r="S910" s="48"/>
      <c r="T910" s="48"/>
      <c r="U910" s="48"/>
      <c r="V910" s="48"/>
      <c r="W910" s="48"/>
      <c r="X910" s="48"/>
      <c r="Y910" s="48"/>
      <c r="Z910" s="48"/>
      <c r="AA910" s="48"/>
    </row>
    <row r="911" spans="2:27" ht="12.75" customHeight="1" x14ac:dyDescent="0.25">
      <c r="B911" s="48"/>
      <c r="C911" s="48"/>
      <c r="D911" s="48"/>
      <c r="E911" s="48"/>
      <c r="F911" s="48"/>
      <c r="G911" s="48"/>
      <c r="H911" s="48"/>
      <c r="I911" s="48"/>
      <c r="J911" s="48"/>
      <c r="K911" s="48"/>
      <c r="L911" s="48"/>
      <c r="M911" s="48"/>
      <c r="N911" s="48"/>
      <c r="O911" s="48"/>
      <c r="P911" s="48"/>
      <c r="Q911" s="48"/>
      <c r="R911" s="48"/>
      <c r="S911" s="48"/>
      <c r="T911" s="48"/>
      <c r="U911" s="48"/>
      <c r="V911" s="48"/>
      <c r="W911" s="48"/>
      <c r="X911" s="48"/>
      <c r="Y911" s="48"/>
      <c r="Z911" s="48"/>
      <c r="AA911" s="48"/>
    </row>
    <row r="912" spans="2:27" ht="12.75" customHeight="1" x14ac:dyDescent="0.25">
      <c r="B912" s="48"/>
      <c r="C912" s="48"/>
      <c r="D912" s="48"/>
      <c r="E912" s="48"/>
      <c r="F912" s="48"/>
      <c r="G912" s="48"/>
      <c r="H912" s="48"/>
      <c r="I912" s="48"/>
      <c r="J912" s="48"/>
      <c r="K912" s="48"/>
      <c r="L912" s="48"/>
      <c r="M912" s="48"/>
      <c r="N912" s="48"/>
      <c r="O912" s="48"/>
      <c r="P912" s="48"/>
      <c r="Q912" s="48"/>
      <c r="R912" s="48"/>
      <c r="S912" s="48"/>
      <c r="T912" s="48"/>
      <c r="U912" s="48"/>
      <c r="V912" s="48"/>
      <c r="W912" s="48"/>
      <c r="X912" s="48"/>
      <c r="Y912" s="48"/>
      <c r="Z912" s="48"/>
      <c r="AA912" s="48"/>
    </row>
    <row r="913" spans="2:27" ht="12.75" customHeight="1" x14ac:dyDescent="0.25">
      <c r="B913" s="48"/>
      <c r="C913" s="48"/>
      <c r="D913" s="48"/>
      <c r="E913" s="48"/>
      <c r="F913" s="48"/>
      <c r="G913" s="48"/>
      <c r="H913" s="48"/>
      <c r="I913" s="48"/>
      <c r="J913" s="48"/>
      <c r="K913" s="48"/>
      <c r="L913" s="48"/>
      <c r="M913" s="48"/>
      <c r="N913" s="48"/>
      <c r="O913" s="48"/>
      <c r="P913" s="48"/>
      <c r="Q913" s="48"/>
      <c r="R913" s="48"/>
      <c r="S913" s="48"/>
      <c r="T913" s="48"/>
      <c r="U913" s="48"/>
      <c r="V913" s="48"/>
      <c r="W913" s="48"/>
      <c r="X913" s="48"/>
      <c r="Y913" s="48"/>
      <c r="Z913" s="48"/>
      <c r="AA913" s="48"/>
    </row>
    <row r="914" spans="2:27" ht="12.75" customHeight="1" x14ac:dyDescent="0.25">
      <c r="B914" s="48"/>
      <c r="C914" s="48"/>
      <c r="D914" s="48"/>
      <c r="E914" s="48"/>
      <c r="F914" s="48"/>
      <c r="G914" s="48"/>
      <c r="H914" s="48"/>
      <c r="I914" s="48"/>
      <c r="J914" s="48"/>
      <c r="K914" s="48"/>
      <c r="L914" s="48"/>
      <c r="M914" s="48"/>
      <c r="N914" s="48"/>
      <c r="O914" s="48"/>
      <c r="P914" s="48"/>
      <c r="Q914" s="48"/>
      <c r="R914" s="48"/>
      <c r="S914" s="48"/>
      <c r="T914" s="48"/>
      <c r="U914" s="48"/>
      <c r="V914" s="48"/>
      <c r="W914" s="48"/>
      <c r="X914" s="48"/>
      <c r="Y914" s="48"/>
      <c r="Z914" s="48"/>
      <c r="AA914" s="48"/>
    </row>
    <row r="915" spans="2:27" ht="12.75" customHeight="1" x14ac:dyDescent="0.25">
      <c r="B915" s="48"/>
      <c r="C915" s="48"/>
      <c r="D915" s="48"/>
      <c r="E915" s="48"/>
      <c r="F915" s="48"/>
      <c r="G915" s="48"/>
      <c r="H915" s="48"/>
      <c r="I915" s="48"/>
      <c r="J915" s="48"/>
      <c r="K915" s="48"/>
      <c r="L915" s="48"/>
      <c r="M915" s="48"/>
      <c r="N915" s="48"/>
      <c r="O915" s="48"/>
      <c r="P915" s="48"/>
      <c r="Q915" s="48"/>
      <c r="R915" s="48"/>
      <c r="S915" s="48"/>
      <c r="T915" s="48"/>
      <c r="U915" s="48"/>
      <c r="V915" s="48"/>
      <c r="W915" s="48"/>
      <c r="X915" s="48"/>
      <c r="Y915" s="48"/>
      <c r="Z915" s="48"/>
      <c r="AA915" s="48"/>
    </row>
    <row r="916" spans="2:27" ht="12.75" customHeight="1" x14ac:dyDescent="0.25">
      <c r="B916" s="48"/>
      <c r="C916" s="48"/>
      <c r="D916" s="48"/>
      <c r="E916" s="48"/>
      <c r="F916" s="48"/>
      <c r="G916" s="48"/>
      <c r="H916" s="48"/>
      <c r="I916" s="48"/>
      <c r="J916" s="48"/>
      <c r="K916" s="48"/>
      <c r="L916" s="48"/>
      <c r="M916" s="48"/>
      <c r="N916" s="48"/>
      <c r="O916" s="48"/>
      <c r="P916" s="48"/>
      <c r="Q916" s="48"/>
      <c r="R916" s="48"/>
      <c r="S916" s="48"/>
      <c r="T916" s="48"/>
      <c r="U916" s="48"/>
      <c r="V916" s="48"/>
      <c r="W916" s="48"/>
      <c r="X916" s="48"/>
      <c r="Y916" s="48"/>
      <c r="Z916" s="48"/>
      <c r="AA916" s="48"/>
    </row>
    <row r="917" spans="2:27" ht="12.75" customHeight="1" x14ac:dyDescent="0.25">
      <c r="B917" s="48"/>
      <c r="C917" s="48"/>
      <c r="D917" s="48"/>
      <c r="E917" s="48"/>
      <c r="F917" s="48"/>
      <c r="G917" s="48"/>
      <c r="H917" s="48"/>
      <c r="I917" s="48"/>
      <c r="J917" s="48"/>
      <c r="K917" s="48"/>
      <c r="L917" s="48"/>
      <c r="M917" s="48"/>
      <c r="N917" s="48"/>
      <c r="O917" s="48"/>
      <c r="P917" s="48"/>
      <c r="Q917" s="48"/>
      <c r="R917" s="48"/>
      <c r="S917" s="48"/>
      <c r="T917" s="48"/>
      <c r="U917" s="48"/>
      <c r="V917" s="48"/>
      <c r="W917" s="48"/>
      <c r="X917" s="48"/>
      <c r="Y917" s="48"/>
      <c r="Z917" s="48"/>
      <c r="AA917" s="48"/>
    </row>
    <row r="918" spans="2:27" ht="12.75" customHeight="1" x14ac:dyDescent="0.25">
      <c r="B918" s="48"/>
      <c r="C918" s="48"/>
      <c r="D918" s="48"/>
      <c r="E918" s="48"/>
      <c r="F918" s="48"/>
      <c r="G918" s="48"/>
      <c r="H918" s="48"/>
      <c r="I918" s="48"/>
      <c r="J918" s="48"/>
      <c r="K918" s="48"/>
      <c r="L918" s="48"/>
      <c r="M918" s="48"/>
      <c r="N918" s="48"/>
      <c r="O918" s="48"/>
      <c r="P918" s="48"/>
      <c r="Q918" s="48"/>
      <c r="R918" s="48"/>
      <c r="S918" s="48"/>
      <c r="T918" s="48"/>
      <c r="U918" s="48"/>
      <c r="V918" s="48"/>
      <c r="W918" s="48"/>
      <c r="X918" s="48"/>
      <c r="Y918" s="48"/>
      <c r="Z918" s="48"/>
      <c r="AA918" s="48"/>
    </row>
    <row r="919" spans="2:27" ht="12.75" customHeight="1" x14ac:dyDescent="0.25">
      <c r="B919" s="48"/>
      <c r="C919" s="48"/>
      <c r="D919" s="48"/>
      <c r="E919" s="48"/>
      <c r="F919" s="48"/>
      <c r="G919" s="48"/>
      <c r="H919" s="48"/>
      <c r="I919" s="48"/>
      <c r="J919" s="48"/>
      <c r="K919" s="48"/>
      <c r="L919" s="48"/>
      <c r="M919" s="48"/>
      <c r="N919" s="48"/>
      <c r="O919" s="48"/>
      <c r="P919" s="48"/>
      <c r="Q919" s="48"/>
      <c r="R919" s="48"/>
      <c r="S919" s="48"/>
      <c r="T919" s="48"/>
      <c r="U919" s="48"/>
      <c r="V919" s="48"/>
      <c r="W919" s="48"/>
      <c r="X919" s="48"/>
      <c r="Y919" s="48"/>
      <c r="Z919" s="48"/>
      <c r="AA919" s="48"/>
    </row>
    <row r="920" spans="2:27" ht="12.75" customHeight="1" x14ac:dyDescent="0.25">
      <c r="B920" s="48"/>
      <c r="C920" s="48"/>
      <c r="D920" s="48"/>
      <c r="E920" s="48"/>
      <c r="F920" s="48"/>
      <c r="G920" s="48"/>
      <c r="H920" s="48"/>
      <c r="I920" s="48"/>
      <c r="J920" s="48"/>
      <c r="K920" s="48"/>
      <c r="L920" s="48"/>
      <c r="M920" s="48"/>
      <c r="N920" s="48"/>
      <c r="O920" s="48"/>
      <c r="P920" s="48"/>
      <c r="Q920" s="48"/>
      <c r="R920" s="48"/>
      <c r="S920" s="48"/>
      <c r="T920" s="48"/>
      <c r="U920" s="48"/>
      <c r="V920" s="48"/>
      <c r="W920" s="48"/>
      <c r="X920" s="48"/>
      <c r="Y920" s="48"/>
      <c r="Z920" s="48"/>
      <c r="AA920" s="48"/>
    </row>
    <row r="921" spans="2:27" ht="12.75" customHeight="1" x14ac:dyDescent="0.25">
      <c r="B921" s="48"/>
      <c r="C921" s="48"/>
      <c r="D921" s="48"/>
      <c r="E921" s="48"/>
      <c r="F921" s="48"/>
      <c r="G921" s="48"/>
      <c r="H921" s="48"/>
      <c r="I921" s="48"/>
      <c r="J921" s="48"/>
      <c r="K921" s="48"/>
      <c r="L921" s="48"/>
      <c r="M921" s="48"/>
      <c r="N921" s="48"/>
      <c r="O921" s="48"/>
      <c r="P921" s="48"/>
      <c r="Q921" s="48"/>
      <c r="R921" s="48"/>
      <c r="S921" s="48"/>
      <c r="T921" s="48"/>
      <c r="U921" s="48"/>
      <c r="V921" s="48"/>
      <c r="W921" s="48"/>
      <c r="X921" s="48"/>
      <c r="Y921" s="48"/>
      <c r="Z921" s="48"/>
      <c r="AA921" s="48"/>
    </row>
    <row r="922" spans="2:27" ht="12.75" customHeight="1" x14ac:dyDescent="0.25">
      <c r="B922" s="48"/>
      <c r="C922" s="48"/>
      <c r="D922" s="48"/>
      <c r="E922" s="48"/>
      <c r="F922" s="48"/>
      <c r="G922" s="48"/>
      <c r="H922" s="48"/>
      <c r="I922" s="48"/>
      <c r="J922" s="48"/>
      <c r="K922" s="48"/>
      <c r="L922" s="48"/>
      <c r="M922" s="48"/>
      <c r="N922" s="48"/>
      <c r="O922" s="48"/>
      <c r="P922" s="48"/>
      <c r="Q922" s="48"/>
      <c r="R922" s="48"/>
      <c r="S922" s="48"/>
      <c r="T922" s="48"/>
      <c r="U922" s="48"/>
      <c r="V922" s="48"/>
      <c r="W922" s="48"/>
      <c r="X922" s="48"/>
      <c r="Y922" s="48"/>
      <c r="Z922" s="48"/>
      <c r="AA922" s="48"/>
    </row>
    <row r="923" spans="2:27" ht="12.75" customHeight="1" x14ac:dyDescent="0.25">
      <c r="B923" s="48"/>
      <c r="C923" s="48"/>
      <c r="D923" s="48"/>
      <c r="E923" s="48"/>
      <c r="F923" s="48"/>
      <c r="G923" s="48"/>
      <c r="H923" s="48"/>
      <c r="I923" s="48"/>
      <c r="J923" s="48"/>
      <c r="K923" s="48"/>
      <c r="L923" s="48"/>
      <c r="M923" s="48"/>
      <c r="N923" s="48"/>
      <c r="O923" s="48"/>
      <c r="P923" s="48"/>
      <c r="Q923" s="48"/>
      <c r="R923" s="48"/>
      <c r="S923" s="48"/>
      <c r="T923" s="48"/>
      <c r="U923" s="48"/>
      <c r="V923" s="48"/>
      <c r="W923" s="48"/>
      <c r="X923" s="48"/>
      <c r="Y923" s="48"/>
      <c r="Z923" s="48"/>
      <c r="AA923" s="48"/>
    </row>
    <row r="924" spans="2:27" ht="12.75" customHeight="1" x14ac:dyDescent="0.25">
      <c r="B924" s="48"/>
      <c r="C924" s="48"/>
      <c r="D924" s="48"/>
      <c r="E924" s="48"/>
      <c r="F924" s="48"/>
      <c r="G924" s="48"/>
      <c r="H924" s="48"/>
      <c r="I924" s="48"/>
      <c r="J924" s="48"/>
      <c r="K924" s="48"/>
      <c r="L924" s="48"/>
      <c r="M924" s="48"/>
      <c r="N924" s="48"/>
      <c r="O924" s="48"/>
      <c r="P924" s="48"/>
      <c r="Q924" s="48"/>
      <c r="R924" s="48"/>
      <c r="S924" s="48"/>
      <c r="T924" s="48"/>
      <c r="U924" s="48"/>
      <c r="V924" s="48"/>
      <c r="W924" s="48"/>
      <c r="X924" s="48"/>
      <c r="Y924" s="48"/>
      <c r="Z924" s="48"/>
      <c r="AA924" s="48"/>
    </row>
    <row r="925" spans="2:27" ht="12.75" customHeight="1" x14ac:dyDescent="0.25">
      <c r="B925" s="48"/>
      <c r="C925" s="48"/>
      <c r="D925" s="48"/>
      <c r="E925" s="48"/>
      <c r="F925" s="48"/>
      <c r="G925" s="48"/>
      <c r="H925" s="48"/>
      <c r="I925" s="48"/>
      <c r="J925" s="48"/>
      <c r="K925" s="48"/>
      <c r="L925" s="48"/>
      <c r="M925" s="48"/>
      <c r="N925" s="48"/>
      <c r="O925" s="48"/>
      <c r="P925" s="48"/>
      <c r="Q925" s="48"/>
      <c r="R925" s="48"/>
      <c r="S925" s="48"/>
      <c r="T925" s="48"/>
      <c r="U925" s="48"/>
      <c r="V925" s="48"/>
      <c r="W925" s="48"/>
      <c r="X925" s="48"/>
      <c r="Y925" s="48"/>
      <c r="Z925" s="48"/>
      <c r="AA925" s="48"/>
    </row>
    <row r="926" spans="2:27" ht="12.75" customHeight="1" x14ac:dyDescent="0.25">
      <c r="B926" s="48"/>
      <c r="C926" s="48"/>
      <c r="D926" s="48"/>
      <c r="E926" s="48"/>
      <c r="F926" s="48"/>
      <c r="G926" s="48"/>
      <c r="H926" s="48"/>
      <c r="I926" s="48"/>
      <c r="J926" s="48"/>
      <c r="K926" s="48"/>
      <c r="L926" s="48"/>
      <c r="M926" s="48"/>
      <c r="N926" s="48"/>
      <c r="O926" s="48"/>
      <c r="P926" s="48"/>
      <c r="Q926" s="48"/>
      <c r="R926" s="48"/>
      <c r="S926" s="48"/>
      <c r="T926" s="48"/>
      <c r="U926" s="48"/>
      <c r="V926" s="48"/>
      <c r="W926" s="48"/>
      <c r="X926" s="48"/>
      <c r="Y926" s="48"/>
      <c r="Z926" s="48"/>
      <c r="AA926" s="48"/>
    </row>
    <row r="927" spans="2:27" ht="12.75" customHeight="1" x14ac:dyDescent="0.25">
      <c r="B927" s="48"/>
      <c r="C927" s="48"/>
      <c r="D927" s="48"/>
      <c r="E927" s="48"/>
      <c r="F927" s="48"/>
      <c r="G927" s="48"/>
      <c r="H927" s="48"/>
      <c r="I927" s="48"/>
      <c r="J927" s="48"/>
      <c r="K927" s="48"/>
      <c r="L927" s="48"/>
      <c r="M927" s="48"/>
      <c r="N927" s="48"/>
      <c r="O927" s="48"/>
      <c r="P927" s="48"/>
      <c r="Q927" s="48"/>
      <c r="R927" s="48"/>
      <c r="S927" s="48"/>
      <c r="T927" s="48"/>
      <c r="U927" s="48"/>
      <c r="V927" s="48"/>
      <c r="W927" s="48"/>
      <c r="X927" s="48"/>
      <c r="Y927" s="48"/>
      <c r="Z927" s="48"/>
      <c r="AA927" s="48"/>
    </row>
    <row r="928" spans="2:27" ht="12.75" customHeight="1" x14ac:dyDescent="0.25">
      <c r="B928" s="48"/>
      <c r="C928" s="48"/>
      <c r="D928" s="48"/>
      <c r="E928" s="48"/>
      <c r="F928" s="48"/>
      <c r="G928" s="48"/>
      <c r="H928" s="48"/>
      <c r="I928" s="48"/>
      <c r="J928" s="48"/>
      <c r="K928" s="48"/>
      <c r="L928" s="48"/>
      <c r="M928" s="48"/>
      <c r="N928" s="48"/>
      <c r="O928" s="48"/>
      <c r="P928" s="48"/>
      <c r="Q928" s="48"/>
      <c r="R928" s="48"/>
      <c r="S928" s="48"/>
      <c r="T928" s="48"/>
      <c r="U928" s="48"/>
      <c r="V928" s="48"/>
      <c r="W928" s="48"/>
      <c r="X928" s="48"/>
      <c r="Y928" s="48"/>
      <c r="Z928" s="48"/>
      <c r="AA928" s="48"/>
    </row>
    <row r="929" spans="2:27" ht="12.75" customHeight="1" x14ac:dyDescent="0.25">
      <c r="B929" s="48"/>
      <c r="C929" s="48"/>
      <c r="D929" s="48"/>
      <c r="E929" s="48"/>
      <c r="F929" s="48"/>
      <c r="G929" s="48"/>
      <c r="H929" s="48"/>
      <c r="I929" s="48"/>
      <c r="J929" s="48"/>
      <c r="K929" s="48"/>
      <c r="L929" s="48"/>
      <c r="M929" s="48"/>
      <c r="N929" s="48"/>
      <c r="O929" s="48"/>
      <c r="P929" s="48"/>
      <c r="Q929" s="48"/>
      <c r="R929" s="48"/>
      <c r="S929" s="48"/>
      <c r="T929" s="48"/>
      <c r="U929" s="48"/>
      <c r="V929" s="48"/>
      <c r="W929" s="48"/>
      <c r="X929" s="48"/>
      <c r="Y929" s="48"/>
      <c r="Z929" s="48"/>
      <c r="AA929" s="48"/>
    </row>
    <row r="930" spans="2:27" ht="12.75" customHeight="1" x14ac:dyDescent="0.25">
      <c r="B930" s="48"/>
      <c r="C930" s="48"/>
      <c r="D930" s="48"/>
      <c r="E930" s="48"/>
      <c r="F930" s="48"/>
      <c r="G930" s="48"/>
      <c r="H930" s="48"/>
      <c r="I930" s="48"/>
      <c r="J930" s="48"/>
      <c r="K930" s="48"/>
      <c r="L930" s="48"/>
      <c r="M930" s="48"/>
      <c r="N930" s="48"/>
      <c r="O930" s="48"/>
      <c r="P930" s="48"/>
      <c r="Q930" s="48"/>
      <c r="R930" s="48"/>
      <c r="S930" s="48"/>
      <c r="T930" s="48"/>
      <c r="U930" s="48"/>
      <c r="V930" s="48"/>
      <c r="W930" s="48"/>
      <c r="X930" s="48"/>
      <c r="Y930" s="48"/>
      <c r="Z930" s="48"/>
      <c r="AA930" s="48"/>
    </row>
    <row r="931" spans="2:27" ht="12.75" customHeight="1" x14ac:dyDescent="0.25">
      <c r="B931" s="48"/>
      <c r="C931" s="48"/>
      <c r="D931" s="48"/>
      <c r="E931" s="48"/>
      <c r="F931" s="48"/>
      <c r="G931" s="48"/>
      <c r="H931" s="48"/>
      <c r="I931" s="48"/>
      <c r="J931" s="48"/>
      <c r="K931" s="48"/>
      <c r="L931" s="48"/>
      <c r="M931" s="48"/>
      <c r="N931" s="48"/>
      <c r="O931" s="48"/>
      <c r="P931" s="48"/>
      <c r="Q931" s="48"/>
      <c r="R931" s="48"/>
      <c r="S931" s="48"/>
      <c r="T931" s="48"/>
      <c r="U931" s="48"/>
      <c r="V931" s="48"/>
      <c r="W931" s="48"/>
      <c r="X931" s="48"/>
      <c r="Y931" s="48"/>
      <c r="Z931" s="48"/>
      <c r="AA931" s="48"/>
    </row>
    <row r="932" spans="2:27" ht="12.75" customHeight="1" x14ac:dyDescent="0.25">
      <c r="B932" s="48"/>
      <c r="C932" s="48"/>
      <c r="D932" s="48"/>
      <c r="E932" s="48"/>
      <c r="F932" s="48"/>
      <c r="G932" s="48"/>
      <c r="H932" s="48"/>
      <c r="I932" s="48"/>
      <c r="J932" s="48"/>
      <c r="K932" s="48"/>
      <c r="L932" s="48"/>
      <c r="M932" s="48"/>
      <c r="N932" s="48"/>
      <c r="O932" s="48"/>
      <c r="P932" s="48"/>
      <c r="Q932" s="48"/>
      <c r="R932" s="48"/>
      <c r="S932" s="48"/>
      <c r="T932" s="48"/>
      <c r="U932" s="48"/>
      <c r="V932" s="48"/>
      <c r="W932" s="48"/>
      <c r="X932" s="48"/>
      <c r="Y932" s="48"/>
      <c r="Z932" s="48"/>
      <c r="AA932" s="48"/>
    </row>
    <row r="933" spans="2:27" ht="12.75" customHeight="1" x14ac:dyDescent="0.25">
      <c r="B933" s="48"/>
      <c r="C933" s="48"/>
      <c r="D933" s="48"/>
      <c r="E933" s="48"/>
      <c r="F933" s="48"/>
      <c r="G933" s="48"/>
      <c r="H933" s="48"/>
      <c r="I933" s="48"/>
      <c r="J933" s="48"/>
      <c r="K933" s="48"/>
      <c r="L933" s="48"/>
      <c r="M933" s="48"/>
      <c r="N933" s="48"/>
      <c r="O933" s="48"/>
      <c r="P933" s="48"/>
      <c r="Q933" s="48"/>
      <c r="R933" s="48"/>
      <c r="S933" s="48"/>
      <c r="T933" s="48"/>
      <c r="U933" s="48"/>
      <c r="V933" s="48"/>
      <c r="W933" s="48"/>
      <c r="X933" s="48"/>
      <c r="Y933" s="48"/>
      <c r="Z933" s="48"/>
      <c r="AA933" s="48"/>
    </row>
    <row r="934" spans="2:27" ht="12.75" customHeight="1" x14ac:dyDescent="0.25">
      <c r="B934" s="48"/>
      <c r="C934" s="48"/>
      <c r="D934" s="48"/>
      <c r="E934" s="48"/>
      <c r="F934" s="48"/>
      <c r="G934" s="48"/>
      <c r="H934" s="48"/>
      <c r="I934" s="48"/>
      <c r="J934" s="48"/>
      <c r="K934" s="48"/>
      <c r="L934" s="48"/>
      <c r="M934" s="48"/>
      <c r="N934" s="48"/>
      <c r="O934" s="48"/>
      <c r="P934" s="48"/>
      <c r="Q934" s="48"/>
      <c r="R934" s="48"/>
      <c r="S934" s="48"/>
      <c r="T934" s="48"/>
      <c r="U934" s="48"/>
      <c r="V934" s="48"/>
      <c r="W934" s="48"/>
      <c r="X934" s="48"/>
      <c r="Y934" s="48"/>
      <c r="Z934" s="48"/>
      <c r="AA934" s="48"/>
    </row>
    <row r="935" spans="2:27" ht="12.75" customHeight="1" x14ac:dyDescent="0.25">
      <c r="B935" s="48"/>
      <c r="C935" s="48"/>
      <c r="D935" s="48"/>
      <c r="E935" s="48"/>
      <c r="F935" s="48"/>
      <c r="G935" s="48"/>
      <c r="H935" s="48"/>
      <c r="I935" s="48"/>
      <c r="J935" s="48"/>
      <c r="K935" s="48"/>
      <c r="L935" s="48"/>
      <c r="M935" s="48"/>
      <c r="N935" s="48"/>
      <c r="O935" s="48"/>
      <c r="P935" s="48"/>
      <c r="Q935" s="48"/>
      <c r="R935" s="48"/>
      <c r="S935" s="48"/>
      <c r="T935" s="48"/>
      <c r="U935" s="48"/>
      <c r="V935" s="48"/>
      <c r="W935" s="48"/>
      <c r="X935" s="48"/>
      <c r="Y935" s="48"/>
      <c r="Z935" s="48"/>
      <c r="AA935" s="48"/>
    </row>
    <row r="936" spans="2:27" ht="12.75" customHeight="1" x14ac:dyDescent="0.25">
      <c r="B936" s="48"/>
      <c r="C936" s="48"/>
      <c r="D936" s="48"/>
      <c r="E936" s="48"/>
      <c r="F936" s="48"/>
      <c r="G936" s="48"/>
      <c r="H936" s="48"/>
      <c r="I936" s="48"/>
      <c r="J936" s="48"/>
      <c r="K936" s="48"/>
      <c r="L936" s="48"/>
      <c r="M936" s="48"/>
      <c r="N936" s="48"/>
      <c r="O936" s="48"/>
      <c r="P936" s="48"/>
      <c r="Q936" s="48"/>
      <c r="R936" s="48"/>
      <c r="S936" s="48"/>
      <c r="T936" s="48"/>
      <c r="U936" s="48"/>
      <c r="V936" s="48"/>
      <c r="W936" s="48"/>
      <c r="X936" s="48"/>
      <c r="Y936" s="48"/>
      <c r="Z936" s="48"/>
      <c r="AA936" s="48"/>
    </row>
    <row r="937" spans="2:27" ht="12.75" customHeight="1" x14ac:dyDescent="0.25">
      <c r="B937" s="48"/>
      <c r="C937" s="48"/>
      <c r="D937" s="48"/>
      <c r="E937" s="48"/>
      <c r="F937" s="48"/>
      <c r="G937" s="48"/>
      <c r="H937" s="48"/>
      <c r="I937" s="48"/>
      <c r="J937" s="48"/>
      <c r="K937" s="48"/>
      <c r="L937" s="48"/>
      <c r="M937" s="48"/>
      <c r="N937" s="48"/>
      <c r="O937" s="48"/>
      <c r="P937" s="48"/>
      <c r="Q937" s="48"/>
      <c r="R937" s="48"/>
      <c r="S937" s="48"/>
      <c r="T937" s="48"/>
      <c r="U937" s="48"/>
      <c r="V937" s="48"/>
      <c r="W937" s="48"/>
      <c r="X937" s="48"/>
      <c r="Y937" s="48"/>
      <c r="Z937" s="48"/>
      <c r="AA937" s="48"/>
    </row>
    <row r="938" spans="2:27" ht="12.75" customHeight="1" x14ac:dyDescent="0.25">
      <c r="B938" s="48"/>
      <c r="C938" s="48"/>
      <c r="D938" s="48"/>
      <c r="E938" s="48"/>
      <c r="F938" s="48"/>
      <c r="G938" s="48"/>
      <c r="H938" s="48"/>
      <c r="I938" s="48"/>
      <c r="J938" s="48"/>
      <c r="K938" s="48"/>
      <c r="L938" s="48"/>
      <c r="M938" s="48"/>
      <c r="N938" s="48"/>
      <c r="O938" s="48"/>
      <c r="P938" s="48"/>
      <c r="Q938" s="48"/>
      <c r="R938" s="48"/>
      <c r="S938" s="48"/>
      <c r="T938" s="48"/>
      <c r="U938" s="48"/>
      <c r="V938" s="48"/>
      <c r="W938" s="48"/>
      <c r="X938" s="48"/>
      <c r="Y938" s="48"/>
      <c r="Z938" s="48"/>
      <c r="AA938" s="48"/>
    </row>
    <row r="939" spans="2:27" ht="12.75" customHeight="1" x14ac:dyDescent="0.25">
      <c r="B939" s="48"/>
      <c r="C939" s="48"/>
      <c r="D939" s="48"/>
      <c r="E939" s="48"/>
      <c r="F939" s="48"/>
      <c r="G939" s="48"/>
      <c r="H939" s="48"/>
      <c r="I939" s="48"/>
      <c r="J939" s="48"/>
      <c r="K939" s="48"/>
      <c r="L939" s="48"/>
      <c r="M939" s="48"/>
      <c r="N939" s="48"/>
      <c r="O939" s="48"/>
      <c r="P939" s="48"/>
      <c r="Q939" s="48"/>
      <c r="R939" s="48"/>
      <c r="S939" s="48"/>
      <c r="T939" s="48"/>
      <c r="U939" s="48"/>
      <c r="V939" s="48"/>
      <c r="W939" s="48"/>
      <c r="X939" s="48"/>
      <c r="Y939" s="48"/>
      <c r="Z939" s="48"/>
      <c r="AA939" s="48"/>
    </row>
    <row r="940" spans="2:27" ht="12.75" customHeight="1" x14ac:dyDescent="0.25">
      <c r="B940" s="48"/>
      <c r="C940" s="48"/>
      <c r="D940" s="48"/>
      <c r="E940" s="48"/>
      <c r="F940" s="48"/>
      <c r="G940" s="48"/>
      <c r="H940" s="48"/>
      <c r="I940" s="48"/>
      <c r="J940" s="48"/>
      <c r="K940" s="48"/>
      <c r="L940" s="48"/>
      <c r="M940" s="48"/>
      <c r="N940" s="48"/>
      <c r="O940" s="48"/>
      <c r="P940" s="48"/>
      <c r="Q940" s="48"/>
      <c r="R940" s="48"/>
      <c r="S940" s="48"/>
      <c r="T940" s="48"/>
      <c r="U940" s="48"/>
      <c r="V940" s="48"/>
      <c r="W940" s="48"/>
      <c r="X940" s="48"/>
      <c r="Y940" s="48"/>
      <c r="Z940" s="48"/>
      <c r="AA940" s="48"/>
    </row>
    <row r="941" spans="2:27" ht="12.75" customHeight="1" x14ac:dyDescent="0.25">
      <c r="B941" s="48"/>
      <c r="C941" s="48"/>
      <c r="D941" s="48"/>
      <c r="E941" s="48"/>
      <c r="F941" s="48"/>
      <c r="G941" s="48"/>
      <c r="H941" s="48"/>
      <c r="I941" s="48"/>
      <c r="J941" s="48"/>
      <c r="K941" s="48"/>
      <c r="L941" s="48"/>
      <c r="M941" s="48"/>
      <c r="N941" s="48"/>
      <c r="O941" s="48"/>
      <c r="P941" s="48"/>
      <c r="Q941" s="48"/>
      <c r="R941" s="48"/>
      <c r="S941" s="48"/>
      <c r="T941" s="48"/>
      <c r="U941" s="48"/>
      <c r="V941" s="48"/>
      <c r="W941" s="48"/>
      <c r="X941" s="48"/>
      <c r="Y941" s="48"/>
      <c r="Z941" s="48"/>
      <c r="AA941" s="48"/>
    </row>
    <row r="942" spans="2:27" ht="12.75" customHeight="1" x14ac:dyDescent="0.25">
      <c r="B942" s="48"/>
      <c r="C942" s="48"/>
      <c r="D942" s="48"/>
      <c r="E942" s="48"/>
      <c r="F942" s="48"/>
      <c r="G942" s="48"/>
      <c r="H942" s="48"/>
      <c r="I942" s="48"/>
      <c r="J942" s="48"/>
      <c r="K942" s="48"/>
      <c r="L942" s="48"/>
      <c r="M942" s="48"/>
      <c r="N942" s="48"/>
      <c r="O942" s="48"/>
      <c r="P942" s="48"/>
      <c r="Q942" s="48"/>
      <c r="R942" s="48"/>
      <c r="S942" s="48"/>
      <c r="T942" s="48"/>
      <c r="U942" s="48"/>
      <c r="V942" s="48"/>
      <c r="W942" s="48"/>
      <c r="X942" s="48"/>
      <c r="Y942" s="48"/>
      <c r="Z942" s="48"/>
      <c r="AA942" s="48"/>
    </row>
    <row r="943" spans="2:27" ht="12.75" customHeight="1" x14ac:dyDescent="0.25">
      <c r="B943" s="48"/>
      <c r="C943" s="48"/>
      <c r="D943" s="48"/>
      <c r="E943" s="48"/>
      <c r="F943" s="48"/>
      <c r="G943" s="48"/>
      <c r="H943" s="48"/>
      <c r="I943" s="48"/>
      <c r="J943" s="48"/>
      <c r="K943" s="48"/>
      <c r="L943" s="48"/>
      <c r="M943" s="48"/>
      <c r="N943" s="48"/>
      <c r="O943" s="48"/>
      <c r="P943" s="48"/>
      <c r="Q943" s="48"/>
      <c r="R943" s="48"/>
      <c r="S943" s="48"/>
      <c r="T943" s="48"/>
      <c r="U943" s="48"/>
      <c r="V943" s="48"/>
      <c r="W943" s="48"/>
      <c r="X943" s="48"/>
      <c r="Y943" s="48"/>
      <c r="Z943" s="48"/>
      <c r="AA943" s="48"/>
    </row>
    <row r="944" spans="2:27" ht="12.75" customHeight="1" x14ac:dyDescent="0.25">
      <c r="B944" s="48"/>
      <c r="C944" s="48"/>
      <c r="D944" s="48"/>
      <c r="E944" s="48"/>
      <c r="F944" s="48"/>
      <c r="G944" s="48"/>
      <c r="H944" s="48"/>
      <c r="I944" s="48"/>
      <c r="J944" s="48"/>
      <c r="K944" s="48"/>
      <c r="L944" s="48"/>
      <c r="M944" s="48"/>
      <c r="N944" s="48"/>
      <c r="O944" s="48"/>
      <c r="P944" s="48"/>
      <c r="Q944" s="48"/>
      <c r="R944" s="48"/>
      <c r="S944" s="48"/>
      <c r="T944" s="48"/>
      <c r="U944" s="48"/>
      <c r="V944" s="48"/>
      <c r="W944" s="48"/>
      <c r="X944" s="48"/>
      <c r="Y944" s="48"/>
      <c r="Z944" s="48"/>
      <c r="AA944" s="48"/>
    </row>
    <row r="945" spans="2:27" ht="12.75" customHeight="1" x14ac:dyDescent="0.25">
      <c r="B945" s="48"/>
      <c r="C945" s="48"/>
      <c r="D945" s="48"/>
      <c r="E945" s="48"/>
      <c r="F945" s="48"/>
      <c r="G945" s="48"/>
      <c r="H945" s="48"/>
      <c r="I945" s="48"/>
      <c r="J945" s="48"/>
      <c r="K945" s="48"/>
      <c r="L945" s="48"/>
      <c r="M945" s="48"/>
      <c r="N945" s="48"/>
      <c r="O945" s="48"/>
      <c r="P945" s="48"/>
      <c r="Q945" s="48"/>
      <c r="R945" s="48"/>
      <c r="S945" s="48"/>
      <c r="T945" s="48"/>
      <c r="U945" s="48"/>
      <c r="V945" s="48"/>
      <c r="W945" s="48"/>
      <c r="X945" s="48"/>
      <c r="Y945" s="48"/>
      <c r="Z945" s="48"/>
      <c r="AA945" s="48"/>
    </row>
    <row r="946" spans="2:27" ht="12.75" customHeight="1" x14ac:dyDescent="0.25">
      <c r="B946" s="48"/>
      <c r="C946" s="48"/>
      <c r="D946" s="48"/>
      <c r="E946" s="48"/>
      <c r="F946" s="48"/>
      <c r="G946" s="48"/>
      <c r="H946" s="48"/>
      <c r="I946" s="48"/>
      <c r="J946" s="48"/>
      <c r="K946" s="48"/>
      <c r="L946" s="48"/>
      <c r="M946" s="48"/>
      <c r="N946" s="48"/>
      <c r="O946" s="48"/>
      <c r="P946" s="48"/>
      <c r="Q946" s="48"/>
      <c r="R946" s="48"/>
      <c r="S946" s="48"/>
      <c r="T946" s="48"/>
      <c r="U946" s="48"/>
      <c r="V946" s="48"/>
      <c r="W946" s="48"/>
      <c r="X946" s="48"/>
      <c r="Y946" s="48"/>
      <c r="Z946" s="48"/>
      <c r="AA946" s="48"/>
    </row>
    <row r="947" spans="2:27" ht="12.75" customHeight="1" x14ac:dyDescent="0.25">
      <c r="B947" s="48"/>
      <c r="C947" s="48"/>
      <c r="D947" s="48"/>
      <c r="E947" s="48"/>
      <c r="F947" s="48"/>
      <c r="G947" s="48"/>
      <c r="H947" s="48"/>
      <c r="I947" s="48"/>
      <c r="J947" s="48"/>
      <c r="K947" s="48"/>
      <c r="L947" s="48"/>
      <c r="M947" s="48"/>
      <c r="N947" s="48"/>
      <c r="O947" s="48"/>
      <c r="P947" s="48"/>
      <c r="Q947" s="48"/>
      <c r="R947" s="48"/>
      <c r="S947" s="48"/>
      <c r="T947" s="48"/>
      <c r="U947" s="48"/>
      <c r="V947" s="48"/>
      <c r="W947" s="48"/>
      <c r="X947" s="48"/>
      <c r="Y947" s="48"/>
      <c r="Z947" s="48"/>
      <c r="AA947" s="48"/>
    </row>
    <row r="948" spans="2:27" ht="12.75" customHeight="1" x14ac:dyDescent="0.25">
      <c r="B948" s="48"/>
      <c r="C948" s="48"/>
      <c r="D948" s="48"/>
      <c r="E948" s="48"/>
      <c r="F948" s="48"/>
      <c r="G948" s="48"/>
      <c r="H948" s="48"/>
      <c r="I948" s="48"/>
      <c r="J948" s="48"/>
      <c r="K948" s="48"/>
      <c r="L948" s="48"/>
      <c r="M948" s="48"/>
      <c r="N948" s="48"/>
      <c r="O948" s="48"/>
      <c r="P948" s="48"/>
      <c r="Q948" s="48"/>
      <c r="R948" s="48"/>
      <c r="S948" s="48"/>
      <c r="T948" s="48"/>
      <c r="U948" s="48"/>
      <c r="V948" s="48"/>
      <c r="W948" s="48"/>
      <c r="X948" s="48"/>
      <c r="Y948" s="48"/>
      <c r="Z948" s="48"/>
      <c r="AA948" s="48"/>
    </row>
    <row r="949" spans="2:27" ht="12.75" customHeight="1" x14ac:dyDescent="0.25">
      <c r="B949" s="48"/>
      <c r="C949" s="48"/>
      <c r="D949" s="48"/>
      <c r="E949" s="48"/>
      <c r="F949" s="48"/>
      <c r="G949" s="48"/>
      <c r="H949" s="48"/>
      <c r="I949" s="48"/>
      <c r="J949" s="48"/>
      <c r="K949" s="48"/>
      <c r="L949" s="48"/>
      <c r="M949" s="48"/>
      <c r="N949" s="48"/>
      <c r="O949" s="48"/>
      <c r="P949" s="48"/>
      <c r="Q949" s="48"/>
      <c r="R949" s="48"/>
      <c r="S949" s="48"/>
      <c r="T949" s="48"/>
      <c r="U949" s="48"/>
      <c r="V949" s="48"/>
      <c r="W949" s="48"/>
      <c r="X949" s="48"/>
      <c r="Y949" s="48"/>
      <c r="Z949" s="48"/>
      <c r="AA949" s="48"/>
    </row>
    <row r="950" spans="2:27" ht="12.75" customHeight="1" x14ac:dyDescent="0.25">
      <c r="B950" s="48"/>
      <c r="C950" s="48"/>
      <c r="D950" s="48"/>
      <c r="E950" s="48"/>
      <c r="F950" s="48"/>
      <c r="G950" s="48"/>
      <c r="H950" s="48"/>
      <c r="I950" s="48"/>
      <c r="J950" s="48"/>
      <c r="K950" s="48"/>
      <c r="L950" s="48"/>
      <c r="M950" s="48"/>
      <c r="N950" s="48"/>
      <c r="O950" s="48"/>
      <c r="P950" s="48"/>
      <c r="Q950" s="48"/>
      <c r="R950" s="48"/>
      <c r="S950" s="48"/>
      <c r="T950" s="48"/>
      <c r="U950" s="48"/>
      <c r="V950" s="48"/>
      <c r="W950" s="48"/>
      <c r="X950" s="48"/>
      <c r="Y950" s="48"/>
      <c r="Z950" s="48"/>
      <c r="AA950" s="48"/>
    </row>
    <row r="951" spans="2:27" ht="12.75" customHeight="1" x14ac:dyDescent="0.25">
      <c r="B951" s="48"/>
      <c r="C951" s="48"/>
      <c r="D951" s="48"/>
      <c r="E951" s="48"/>
      <c r="F951" s="48"/>
      <c r="G951" s="48"/>
      <c r="H951" s="48"/>
      <c r="I951" s="48"/>
      <c r="J951" s="48"/>
      <c r="K951" s="48"/>
      <c r="L951" s="48"/>
      <c r="M951" s="48"/>
      <c r="N951" s="48"/>
      <c r="O951" s="48"/>
      <c r="P951" s="48"/>
      <c r="Q951" s="48"/>
      <c r="R951" s="48"/>
      <c r="S951" s="48"/>
      <c r="T951" s="48"/>
      <c r="U951" s="48"/>
      <c r="V951" s="48"/>
      <c r="W951" s="48"/>
      <c r="X951" s="48"/>
      <c r="Y951" s="48"/>
      <c r="Z951" s="48"/>
      <c r="AA951" s="48"/>
    </row>
    <row r="952" spans="2:27" ht="12.75" customHeight="1" x14ac:dyDescent="0.25">
      <c r="B952" s="48"/>
      <c r="C952" s="48"/>
      <c r="D952" s="48"/>
      <c r="E952" s="48"/>
      <c r="F952" s="48"/>
      <c r="G952" s="48"/>
      <c r="H952" s="48"/>
      <c r="I952" s="48"/>
      <c r="J952" s="48"/>
      <c r="K952" s="48"/>
      <c r="L952" s="48"/>
      <c r="M952" s="48"/>
      <c r="N952" s="48"/>
      <c r="O952" s="48"/>
      <c r="P952" s="48"/>
      <c r="Q952" s="48"/>
      <c r="R952" s="48"/>
      <c r="S952" s="48"/>
      <c r="T952" s="48"/>
      <c r="U952" s="48"/>
      <c r="V952" s="48"/>
      <c r="W952" s="48"/>
      <c r="X952" s="48"/>
      <c r="Y952" s="48"/>
      <c r="Z952" s="48"/>
      <c r="AA952" s="48"/>
    </row>
    <row r="953" spans="2:27" ht="12.75" customHeight="1" x14ac:dyDescent="0.25">
      <c r="B953" s="48"/>
      <c r="C953" s="48"/>
      <c r="D953" s="48"/>
      <c r="E953" s="48"/>
      <c r="F953" s="48"/>
      <c r="G953" s="48"/>
      <c r="H953" s="48"/>
      <c r="I953" s="48"/>
      <c r="J953" s="48"/>
      <c r="K953" s="48"/>
      <c r="L953" s="48"/>
      <c r="M953" s="48"/>
      <c r="N953" s="48"/>
      <c r="O953" s="48"/>
      <c r="P953" s="48"/>
      <c r="Q953" s="48"/>
      <c r="R953" s="48"/>
      <c r="S953" s="48"/>
      <c r="T953" s="48"/>
      <c r="U953" s="48"/>
      <c r="V953" s="48"/>
      <c r="W953" s="48"/>
      <c r="X953" s="48"/>
      <c r="Y953" s="48"/>
      <c r="Z953" s="48"/>
      <c r="AA953" s="48"/>
    </row>
    <row r="954" spans="2:27" ht="12.75" customHeight="1" x14ac:dyDescent="0.25">
      <c r="B954" s="48"/>
      <c r="C954" s="48"/>
      <c r="D954" s="48"/>
      <c r="E954" s="48"/>
      <c r="F954" s="48"/>
      <c r="G954" s="48"/>
      <c r="H954" s="48"/>
      <c r="I954" s="48"/>
      <c r="J954" s="48"/>
      <c r="K954" s="48"/>
      <c r="L954" s="48"/>
      <c r="M954" s="48"/>
      <c r="N954" s="48"/>
      <c r="O954" s="48"/>
      <c r="P954" s="48"/>
      <c r="Q954" s="48"/>
      <c r="R954" s="48"/>
      <c r="S954" s="48"/>
      <c r="T954" s="48"/>
      <c r="U954" s="48"/>
      <c r="V954" s="48"/>
      <c r="W954" s="48"/>
      <c r="X954" s="48"/>
      <c r="Y954" s="48"/>
      <c r="Z954" s="48"/>
      <c r="AA954" s="48"/>
    </row>
    <row r="955" spans="2:27" ht="12.75" customHeight="1" x14ac:dyDescent="0.25">
      <c r="B955" s="48"/>
      <c r="C955" s="48"/>
      <c r="D955" s="48"/>
      <c r="E955" s="48"/>
      <c r="F955" s="48"/>
      <c r="G955" s="48"/>
      <c r="H955" s="48"/>
      <c r="I955" s="48"/>
      <c r="J955" s="48"/>
      <c r="K955" s="48"/>
      <c r="L955" s="48"/>
      <c r="M955" s="48"/>
      <c r="N955" s="48"/>
      <c r="O955" s="48"/>
      <c r="P955" s="48"/>
      <c r="Q955" s="48"/>
      <c r="R955" s="48"/>
      <c r="S955" s="48"/>
      <c r="T955" s="48"/>
      <c r="U955" s="48"/>
      <c r="V955" s="48"/>
      <c r="W955" s="48"/>
      <c r="X955" s="48"/>
      <c r="Y955" s="48"/>
      <c r="Z955" s="48"/>
      <c r="AA955" s="48"/>
    </row>
    <row r="956" spans="2:27" ht="12.75" customHeight="1" x14ac:dyDescent="0.25">
      <c r="B956" s="48"/>
      <c r="C956" s="48"/>
      <c r="D956" s="48"/>
      <c r="E956" s="48"/>
      <c r="F956" s="48"/>
      <c r="G956" s="48"/>
      <c r="H956" s="48"/>
      <c r="I956" s="48"/>
      <c r="J956" s="48"/>
      <c r="K956" s="48"/>
      <c r="L956" s="48"/>
      <c r="M956" s="48"/>
      <c r="N956" s="48"/>
      <c r="O956" s="48"/>
      <c r="P956" s="48"/>
      <c r="Q956" s="48"/>
      <c r="R956" s="48"/>
      <c r="S956" s="48"/>
      <c r="T956" s="48"/>
      <c r="U956" s="48"/>
      <c r="V956" s="48"/>
      <c r="W956" s="48"/>
      <c r="X956" s="48"/>
      <c r="Y956" s="48"/>
      <c r="Z956" s="48"/>
      <c r="AA956" s="48"/>
    </row>
    <row r="957" spans="2:27" ht="12.75" customHeight="1" x14ac:dyDescent="0.25">
      <c r="B957" s="48"/>
      <c r="C957" s="48"/>
      <c r="D957" s="48"/>
      <c r="E957" s="48"/>
      <c r="F957" s="48"/>
      <c r="G957" s="48"/>
      <c r="H957" s="48"/>
      <c r="I957" s="48"/>
      <c r="J957" s="48"/>
      <c r="K957" s="48"/>
      <c r="L957" s="48"/>
      <c r="M957" s="48"/>
      <c r="N957" s="48"/>
      <c r="O957" s="48"/>
      <c r="P957" s="48"/>
      <c r="Q957" s="48"/>
      <c r="R957" s="48"/>
      <c r="S957" s="48"/>
      <c r="T957" s="48"/>
      <c r="U957" s="48"/>
      <c r="V957" s="48"/>
      <c r="W957" s="48"/>
      <c r="X957" s="48"/>
      <c r="Y957" s="48"/>
      <c r="Z957" s="48"/>
      <c r="AA957" s="48"/>
    </row>
    <row r="958" spans="2:27" ht="12.75" customHeight="1" x14ac:dyDescent="0.25">
      <c r="B958" s="48"/>
      <c r="C958" s="48"/>
      <c r="D958" s="48"/>
      <c r="E958" s="48"/>
      <c r="F958" s="48"/>
      <c r="G958" s="48"/>
      <c r="H958" s="48"/>
      <c r="I958" s="48"/>
      <c r="J958" s="48"/>
      <c r="K958" s="48"/>
      <c r="L958" s="48"/>
      <c r="M958" s="48"/>
      <c r="N958" s="48"/>
      <c r="O958" s="48"/>
      <c r="P958" s="48"/>
      <c r="Q958" s="48"/>
      <c r="R958" s="48"/>
      <c r="S958" s="48"/>
      <c r="T958" s="48"/>
      <c r="U958" s="48"/>
      <c r="V958" s="48"/>
      <c r="W958" s="48"/>
      <c r="X958" s="48"/>
      <c r="Y958" s="48"/>
      <c r="Z958" s="48"/>
      <c r="AA958" s="48"/>
    </row>
    <row r="959" spans="2:27" ht="12.75" customHeight="1" x14ac:dyDescent="0.25">
      <c r="B959" s="48"/>
      <c r="C959" s="48"/>
      <c r="D959" s="48"/>
      <c r="E959" s="48"/>
      <c r="F959" s="48"/>
      <c r="G959" s="48"/>
      <c r="H959" s="48"/>
      <c r="I959" s="48"/>
      <c r="J959" s="48"/>
      <c r="K959" s="48"/>
      <c r="L959" s="48"/>
      <c r="M959" s="48"/>
      <c r="N959" s="48"/>
      <c r="O959" s="48"/>
      <c r="P959" s="48"/>
      <c r="Q959" s="48"/>
      <c r="R959" s="48"/>
      <c r="S959" s="48"/>
      <c r="T959" s="48"/>
      <c r="U959" s="48"/>
      <c r="V959" s="48"/>
      <c r="W959" s="48"/>
      <c r="X959" s="48"/>
      <c r="Y959" s="48"/>
      <c r="Z959" s="48"/>
      <c r="AA959" s="48"/>
    </row>
    <row r="960" spans="2:27" ht="12.75" customHeight="1" x14ac:dyDescent="0.25">
      <c r="B960" s="48"/>
      <c r="C960" s="48"/>
      <c r="D960" s="48"/>
      <c r="E960" s="48"/>
      <c r="F960" s="48"/>
      <c r="G960" s="48"/>
      <c r="H960" s="48"/>
      <c r="I960" s="48"/>
      <c r="J960" s="48"/>
      <c r="K960" s="48"/>
      <c r="L960" s="48"/>
      <c r="M960" s="48"/>
      <c r="N960" s="48"/>
      <c r="O960" s="48"/>
      <c r="P960" s="48"/>
      <c r="Q960" s="48"/>
      <c r="R960" s="48"/>
      <c r="S960" s="48"/>
      <c r="T960" s="48"/>
      <c r="U960" s="48"/>
      <c r="V960" s="48"/>
      <c r="W960" s="48"/>
      <c r="X960" s="48"/>
      <c r="Y960" s="48"/>
      <c r="Z960" s="48"/>
      <c r="AA960" s="48"/>
    </row>
    <row r="961" spans="2:27" ht="12.75" customHeight="1" x14ac:dyDescent="0.25">
      <c r="B961" s="48"/>
      <c r="C961" s="48"/>
      <c r="D961" s="48"/>
      <c r="E961" s="48"/>
      <c r="F961" s="48"/>
      <c r="G961" s="48"/>
      <c r="H961" s="48"/>
      <c r="I961" s="48"/>
      <c r="J961" s="48"/>
      <c r="K961" s="48"/>
      <c r="L961" s="48"/>
      <c r="M961" s="48"/>
      <c r="N961" s="48"/>
      <c r="O961" s="48"/>
      <c r="P961" s="48"/>
      <c r="Q961" s="48"/>
      <c r="R961" s="48"/>
      <c r="S961" s="48"/>
      <c r="T961" s="48"/>
      <c r="U961" s="48"/>
      <c r="V961" s="48"/>
      <c r="W961" s="48"/>
      <c r="X961" s="48"/>
      <c r="Y961" s="48"/>
      <c r="Z961" s="48"/>
      <c r="AA961" s="48"/>
    </row>
    <row r="962" spans="2:27" ht="12.75" customHeight="1" x14ac:dyDescent="0.25">
      <c r="B962" s="48"/>
      <c r="C962" s="48"/>
      <c r="D962" s="48"/>
      <c r="E962" s="48"/>
      <c r="F962" s="48"/>
      <c r="G962" s="48"/>
      <c r="H962" s="48"/>
      <c r="I962" s="48"/>
      <c r="J962" s="48"/>
      <c r="K962" s="48"/>
      <c r="L962" s="48"/>
      <c r="M962" s="48"/>
      <c r="N962" s="48"/>
      <c r="O962" s="48"/>
      <c r="P962" s="48"/>
      <c r="Q962" s="48"/>
      <c r="R962" s="48"/>
      <c r="S962" s="48"/>
      <c r="T962" s="48"/>
      <c r="U962" s="48"/>
      <c r="V962" s="48"/>
      <c r="W962" s="48"/>
      <c r="X962" s="48"/>
      <c r="Y962" s="48"/>
      <c r="Z962" s="48"/>
      <c r="AA962" s="48"/>
    </row>
    <row r="963" spans="2:27" ht="12.75" customHeight="1" x14ac:dyDescent="0.25">
      <c r="B963" s="48"/>
      <c r="C963" s="48"/>
      <c r="D963" s="48"/>
      <c r="E963" s="48"/>
      <c r="F963" s="48"/>
      <c r="G963" s="48"/>
      <c r="H963" s="48"/>
      <c r="I963" s="48"/>
      <c r="J963" s="48"/>
      <c r="K963" s="48"/>
      <c r="L963" s="48"/>
      <c r="M963" s="48"/>
      <c r="N963" s="48"/>
      <c r="O963" s="48"/>
      <c r="P963" s="48"/>
      <c r="Q963" s="48"/>
      <c r="R963" s="48"/>
      <c r="S963" s="48"/>
      <c r="T963" s="48"/>
      <c r="U963" s="48"/>
      <c r="V963" s="48"/>
      <c r="W963" s="48"/>
      <c r="X963" s="48"/>
      <c r="Y963" s="48"/>
      <c r="Z963" s="48"/>
      <c r="AA963" s="48"/>
    </row>
    <row r="964" spans="2:27" ht="12.75" customHeight="1" x14ac:dyDescent="0.25">
      <c r="B964" s="48"/>
      <c r="C964" s="48"/>
      <c r="D964" s="48"/>
      <c r="E964" s="48"/>
      <c r="F964" s="48"/>
      <c r="G964" s="48"/>
      <c r="H964" s="48"/>
      <c r="I964" s="48"/>
      <c r="J964" s="48"/>
      <c r="K964" s="48"/>
      <c r="L964" s="48"/>
      <c r="M964" s="48"/>
      <c r="N964" s="48"/>
      <c r="O964" s="48"/>
      <c r="P964" s="48"/>
      <c r="Q964" s="48"/>
      <c r="R964" s="48"/>
      <c r="S964" s="48"/>
      <c r="T964" s="48"/>
      <c r="U964" s="48"/>
      <c r="V964" s="48"/>
      <c r="W964" s="48"/>
      <c r="X964" s="48"/>
      <c r="Y964" s="48"/>
      <c r="Z964" s="48"/>
      <c r="AA964" s="48"/>
    </row>
    <row r="965" spans="2:27" ht="12.75" customHeight="1" x14ac:dyDescent="0.25">
      <c r="B965" s="48"/>
      <c r="C965" s="48"/>
      <c r="D965" s="48"/>
      <c r="E965" s="48"/>
      <c r="F965" s="48"/>
      <c r="G965" s="48"/>
      <c r="H965" s="48"/>
      <c r="I965" s="48"/>
      <c r="J965" s="48"/>
      <c r="K965" s="48"/>
      <c r="L965" s="48"/>
      <c r="M965" s="48"/>
      <c r="N965" s="48"/>
      <c r="O965" s="48"/>
      <c r="P965" s="48"/>
      <c r="Q965" s="48"/>
      <c r="R965" s="48"/>
      <c r="S965" s="48"/>
      <c r="T965" s="48"/>
      <c r="U965" s="48"/>
      <c r="V965" s="48"/>
      <c r="W965" s="48"/>
      <c r="X965" s="48"/>
      <c r="Y965" s="48"/>
      <c r="Z965" s="48"/>
      <c r="AA965" s="48"/>
    </row>
    <row r="966" spans="2:27" ht="12.75" customHeight="1" x14ac:dyDescent="0.25">
      <c r="B966" s="48"/>
      <c r="C966" s="48"/>
      <c r="D966" s="48"/>
      <c r="E966" s="48"/>
      <c r="F966" s="48"/>
      <c r="G966" s="48"/>
      <c r="H966" s="48"/>
      <c r="I966" s="48"/>
      <c r="J966" s="48"/>
      <c r="K966" s="48"/>
      <c r="L966" s="48"/>
      <c r="M966" s="48"/>
      <c r="N966" s="48"/>
      <c r="O966" s="48"/>
      <c r="P966" s="48"/>
      <c r="Q966" s="48"/>
      <c r="R966" s="48"/>
      <c r="S966" s="48"/>
      <c r="T966" s="48"/>
      <c r="U966" s="48"/>
      <c r="V966" s="48"/>
      <c r="W966" s="48"/>
      <c r="X966" s="48"/>
      <c r="Y966" s="48"/>
      <c r="Z966" s="48"/>
      <c r="AA966" s="48"/>
    </row>
    <row r="967" spans="2:27" ht="12.75" customHeight="1" x14ac:dyDescent="0.25">
      <c r="B967" s="48"/>
      <c r="C967" s="48"/>
      <c r="D967" s="48"/>
      <c r="E967" s="48"/>
      <c r="F967" s="48"/>
      <c r="G967" s="48"/>
      <c r="H967" s="48"/>
      <c r="I967" s="48"/>
      <c r="J967" s="48"/>
      <c r="K967" s="48"/>
      <c r="L967" s="48"/>
      <c r="M967" s="48"/>
      <c r="N967" s="48"/>
      <c r="O967" s="48"/>
      <c r="P967" s="48"/>
      <c r="Q967" s="48"/>
      <c r="R967" s="48"/>
      <c r="S967" s="48"/>
      <c r="T967" s="48"/>
      <c r="U967" s="48"/>
      <c r="V967" s="48"/>
      <c r="W967" s="48"/>
      <c r="X967" s="48"/>
      <c r="Y967" s="48"/>
      <c r="Z967" s="48"/>
      <c r="AA967" s="48"/>
    </row>
    <row r="968" spans="2:27" ht="12.75" customHeight="1" x14ac:dyDescent="0.25">
      <c r="B968" s="48"/>
      <c r="C968" s="48"/>
      <c r="D968" s="48"/>
      <c r="E968" s="48"/>
      <c r="F968" s="48"/>
      <c r="G968" s="48"/>
      <c r="H968" s="48"/>
      <c r="I968" s="48"/>
      <c r="J968" s="48"/>
      <c r="K968" s="48"/>
      <c r="L968" s="48"/>
      <c r="M968" s="48"/>
      <c r="N968" s="48"/>
      <c r="O968" s="48"/>
      <c r="P968" s="48"/>
      <c r="Q968" s="48"/>
      <c r="R968" s="48"/>
      <c r="S968" s="48"/>
      <c r="T968" s="48"/>
      <c r="U968" s="48"/>
      <c r="V968" s="48"/>
      <c r="W968" s="48"/>
      <c r="X968" s="48"/>
      <c r="Y968" s="48"/>
      <c r="Z968" s="48"/>
      <c r="AA968" s="48"/>
    </row>
    <row r="969" spans="2:27" ht="12.75" customHeight="1" x14ac:dyDescent="0.25">
      <c r="B969" s="48"/>
      <c r="C969" s="48"/>
      <c r="D969" s="48"/>
      <c r="E969" s="48"/>
      <c r="F969" s="48"/>
      <c r="G969" s="48"/>
      <c r="H969" s="48"/>
      <c r="I969" s="48"/>
      <c r="J969" s="48"/>
      <c r="K969" s="48"/>
      <c r="L969" s="48"/>
      <c r="M969" s="48"/>
      <c r="N969" s="48"/>
      <c r="O969" s="48"/>
      <c r="P969" s="48"/>
      <c r="Q969" s="48"/>
      <c r="R969" s="48"/>
      <c r="S969" s="48"/>
      <c r="T969" s="48"/>
      <c r="U969" s="48"/>
      <c r="V969" s="48"/>
      <c r="W969" s="48"/>
      <c r="X969" s="48"/>
      <c r="Y969" s="48"/>
      <c r="Z969" s="48"/>
      <c r="AA969" s="48"/>
    </row>
    <row r="970" spans="2:27" ht="12.75" customHeight="1" x14ac:dyDescent="0.25">
      <c r="B970" s="48"/>
      <c r="C970" s="48"/>
      <c r="D970" s="48"/>
      <c r="E970" s="48"/>
      <c r="F970" s="48"/>
      <c r="G970" s="48"/>
      <c r="H970" s="48"/>
      <c r="I970" s="48"/>
      <c r="J970" s="48"/>
      <c r="K970" s="48"/>
      <c r="L970" s="48"/>
      <c r="M970" s="48"/>
      <c r="N970" s="48"/>
      <c r="O970" s="48"/>
      <c r="P970" s="48"/>
      <c r="Q970" s="48"/>
      <c r="R970" s="48"/>
      <c r="S970" s="48"/>
      <c r="T970" s="48"/>
      <c r="U970" s="48"/>
      <c r="V970" s="48"/>
      <c r="W970" s="48"/>
      <c r="X970" s="48"/>
      <c r="Y970" s="48"/>
      <c r="Z970" s="48"/>
      <c r="AA970" s="48"/>
    </row>
    <row r="971" spans="2:27" ht="12.75" customHeight="1" x14ac:dyDescent="0.25">
      <c r="B971" s="48"/>
      <c r="C971" s="48"/>
      <c r="D971" s="48"/>
      <c r="E971" s="48"/>
      <c r="F971" s="48"/>
      <c r="G971" s="48"/>
      <c r="H971" s="48"/>
      <c r="I971" s="48"/>
      <c r="J971" s="48"/>
      <c r="K971" s="48"/>
      <c r="L971" s="48"/>
      <c r="M971" s="48"/>
      <c r="N971" s="48"/>
      <c r="O971" s="48"/>
      <c r="P971" s="48"/>
      <c r="Q971" s="48"/>
      <c r="R971" s="48"/>
      <c r="S971" s="48"/>
      <c r="T971" s="48"/>
      <c r="U971" s="48"/>
      <c r="V971" s="48"/>
      <c r="W971" s="48"/>
      <c r="X971" s="48"/>
      <c r="Y971" s="48"/>
      <c r="Z971" s="48"/>
      <c r="AA971" s="48"/>
    </row>
    <row r="972" spans="2:27" ht="12.75" customHeight="1" x14ac:dyDescent="0.25">
      <c r="B972" s="48"/>
      <c r="C972" s="48"/>
      <c r="D972" s="48"/>
      <c r="E972" s="48"/>
      <c r="F972" s="48"/>
      <c r="G972" s="48"/>
      <c r="H972" s="48"/>
      <c r="I972" s="48"/>
      <c r="J972" s="48"/>
      <c r="K972" s="48"/>
      <c r="L972" s="48"/>
      <c r="M972" s="48"/>
      <c r="N972" s="48"/>
      <c r="O972" s="48"/>
      <c r="P972" s="48"/>
      <c r="Q972" s="48"/>
      <c r="R972" s="48"/>
      <c r="S972" s="48"/>
      <c r="T972" s="48"/>
      <c r="U972" s="48"/>
      <c r="V972" s="48"/>
      <c r="W972" s="48"/>
      <c r="X972" s="48"/>
      <c r="Y972" s="48"/>
      <c r="Z972" s="48"/>
      <c r="AA972" s="48"/>
    </row>
    <row r="973" spans="2:27" ht="12.75" customHeight="1" x14ac:dyDescent="0.25">
      <c r="B973" s="48"/>
      <c r="C973" s="48"/>
      <c r="D973" s="48"/>
      <c r="E973" s="48"/>
      <c r="F973" s="48"/>
      <c r="G973" s="48"/>
      <c r="H973" s="48"/>
      <c r="I973" s="48"/>
      <c r="J973" s="48"/>
      <c r="K973" s="48"/>
      <c r="L973" s="48"/>
      <c r="M973" s="48"/>
      <c r="N973" s="48"/>
      <c r="O973" s="48"/>
      <c r="P973" s="48"/>
      <c r="Q973" s="48"/>
      <c r="R973" s="48"/>
      <c r="S973" s="48"/>
      <c r="T973" s="48"/>
      <c r="U973" s="48"/>
      <c r="V973" s="48"/>
      <c r="W973" s="48"/>
      <c r="X973" s="48"/>
      <c r="Y973" s="48"/>
      <c r="Z973" s="48"/>
      <c r="AA973" s="48"/>
    </row>
    <row r="974" spans="2:27" ht="12.75" customHeight="1" x14ac:dyDescent="0.25">
      <c r="B974" s="48"/>
      <c r="C974" s="48"/>
      <c r="D974" s="48"/>
      <c r="E974" s="48"/>
      <c r="F974" s="48"/>
      <c r="G974" s="48"/>
      <c r="H974" s="48"/>
      <c r="I974" s="48"/>
      <c r="J974" s="48"/>
      <c r="K974" s="48"/>
      <c r="L974" s="48"/>
      <c r="M974" s="48"/>
      <c r="N974" s="48"/>
      <c r="O974" s="48"/>
      <c r="P974" s="48"/>
      <c r="Q974" s="48"/>
      <c r="R974" s="48"/>
      <c r="S974" s="48"/>
      <c r="T974" s="48"/>
      <c r="U974" s="48"/>
      <c r="V974" s="48"/>
      <c r="W974" s="48"/>
      <c r="X974" s="48"/>
      <c r="Y974" s="48"/>
      <c r="Z974" s="48"/>
      <c r="AA974" s="48"/>
    </row>
    <row r="975" spans="2:27" ht="12.75" customHeight="1" x14ac:dyDescent="0.25">
      <c r="B975" s="48"/>
      <c r="C975" s="48"/>
      <c r="D975" s="48"/>
      <c r="E975" s="48"/>
      <c r="F975" s="48"/>
      <c r="G975" s="48"/>
      <c r="H975" s="48"/>
      <c r="I975" s="48"/>
      <c r="J975" s="48"/>
      <c r="K975" s="48"/>
      <c r="L975" s="48"/>
      <c r="M975" s="48"/>
      <c r="N975" s="48"/>
      <c r="O975" s="48"/>
      <c r="P975" s="48"/>
      <c r="Q975" s="48"/>
      <c r="R975" s="48"/>
      <c r="S975" s="48"/>
      <c r="T975" s="48"/>
      <c r="U975" s="48"/>
      <c r="V975" s="48"/>
      <c r="W975" s="48"/>
      <c r="X975" s="48"/>
      <c r="Y975" s="48"/>
      <c r="Z975" s="48"/>
      <c r="AA975" s="48"/>
    </row>
    <row r="976" spans="2:27" ht="12.75" customHeight="1" x14ac:dyDescent="0.25">
      <c r="B976" s="48"/>
      <c r="C976" s="48"/>
      <c r="D976" s="48"/>
      <c r="E976" s="48"/>
      <c r="F976" s="48"/>
      <c r="G976" s="48"/>
      <c r="H976" s="48"/>
      <c r="I976" s="48"/>
      <c r="J976" s="48"/>
      <c r="K976" s="48"/>
      <c r="L976" s="48"/>
      <c r="M976" s="48"/>
      <c r="N976" s="48"/>
      <c r="O976" s="48"/>
      <c r="P976" s="48"/>
      <c r="Q976" s="48"/>
      <c r="R976" s="48"/>
      <c r="S976" s="48"/>
      <c r="T976" s="48"/>
      <c r="U976" s="48"/>
      <c r="V976" s="48"/>
      <c r="W976" s="48"/>
      <c r="X976" s="48"/>
      <c r="Y976" s="48"/>
      <c r="Z976" s="48"/>
      <c r="AA976" s="48"/>
    </row>
    <row r="977" spans="2:27" ht="12.75" customHeight="1" x14ac:dyDescent="0.25">
      <c r="B977" s="48"/>
      <c r="C977" s="48"/>
      <c r="D977" s="48"/>
      <c r="E977" s="48"/>
      <c r="F977" s="48"/>
      <c r="G977" s="48"/>
      <c r="H977" s="48"/>
      <c r="I977" s="48"/>
      <c r="J977" s="48"/>
      <c r="K977" s="48"/>
      <c r="L977" s="48"/>
      <c r="M977" s="48"/>
      <c r="N977" s="48"/>
      <c r="O977" s="48"/>
      <c r="P977" s="48"/>
      <c r="Q977" s="48"/>
      <c r="R977" s="48"/>
      <c r="S977" s="48"/>
      <c r="T977" s="48"/>
      <c r="U977" s="48"/>
      <c r="V977" s="48"/>
      <c r="W977" s="48"/>
      <c r="X977" s="48"/>
      <c r="Y977" s="48"/>
      <c r="Z977" s="48"/>
      <c r="AA977" s="48"/>
    </row>
    <row r="978" spans="2:27" ht="12.75" customHeight="1" x14ac:dyDescent="0.25">
      <c r="B978" s="48"/>
      <c r="C978" s="48"/>
      <c r="D978" s="48"/>
      <c r="E978" s="48"/>
      <c r="F978" s="48"/>
      <c r="G978" s="48"/>
      <c r="H978" s="48"/>
      <c r="I978" s="48"/>
      <c r="J978" s="48"/>
      <c r="K978" s="48"/>
      <c r="L978" s="48"/>
      <c r="M978" s="48"/>
      <c r="N978" s="48"/>
      <c r="O978" s="48"/>
      <c r="P978" s="48"/>
      <c r="Q978" s="48"/>
      <c r="R978" s="48"/>
      <c r="S978" s="48"/>
      <c r="T978" s="48"/>
      <c r="U978" s="48"/>
      <c r="V978" s="48"/>
      <c r="W978" s="48"/>
      <c r="X978" s="48"/>
      <c r="Y978" s="48"/>
      <c r="Z978" s="48"/>
      <c r="AA978" s="48"/>
    </row>
    <row r="979" spans="2:27" ht="12.75" customHeight="1" x14ac:dyDescent="0.25">
      <c r="B979" s="48"/>
      <c r="C979" s="48"/>
      <c r="D979" s="48"/>
      <c r="E979" s="48"/>
      <c r="F979" s="48"/>
      <c r="G979" s="48"/>
      <c r="H979" s="48"/>
      <c r="I979" s="48"/>
      <c r="J979" s="48"/>
      <c r="K979" s="48"/>
      <c r="L979" s="48"/>
      <c r="M979" s="48"/>
      <c r="N979" s="48"/>
      <c r="O979" s="48"/>
      <c r="P979" s="48"/>
      <c r="Q979" s="48"/>
      <c r="R979" s="48"/>
      <c r="S979" s="48"/>
      <c r="T979" s="48"/>
      <c r="U979" s="48"/>
      <c r="V979" s="48"/>
      <c r="W979" s="48"/>
      <c r="X979" s="48"/>
      <c r="Y979" s="48"/>
      <c r="Z979" s="48"/>
      <c r="AA979" s="48"/>
    </row>
    <row r="980" spans="2:27" ht="12.75" customHeight="1" x14ac:dyDescent="0.25">
      <c r="B980" s="48"/>
      <c r="C980" s="48"/>
      <c r="D980" s="48"/>
      <c r="E980" s="48"/>
      <c r="F980" s="48"/>
      <c r="G980" s="48"/>
      <c r="H980" s="48"/>
      <c r="I980" s="48"/>
      <c r="J980" s="48"/>
      <c r="K980" s="48"/>
      <c r="L980" s="48"/>
      <c r="M980" s="48"/>
      <c r="N980" s="48"/>
      <c r="O980" s="48"/>
      <c r="P980" s="48"/>
      <c r="Q980" s="48"/>
      <c r="R980" s="48"/>
      <c r="S980" s="48"/>
      <c r="T980" s="48"/>
      <c r="U980" s="48"/>
      <c r="V980" s="48"/>
      <c r="W980" s="48"/>
      <c r="X980" s="48"/>
      <c r="Y980" s="48"/>
      <c r="Z980" s="48"/>
      <c r="AA980" s="48"/>
    </row>
    <row r="981" spans="2:27" ht="12.75" customHeight="1" x14ac:dyDescent="0.25">
      <c r="B981" s="48"/>
      <c r="C981" s="48"/>
      <c r="D981" s="48"/>
      <c r="E981" s="48"/>
      <c r="F981" s="48"/>
      <c r="G981" s="48"/>
      <c r="H981" s="48"/>
      <c r="I981" s="48"/>
      <c r="J981" s="48"/>
      <c r="K981" s="48"/>
      <c r="L981" s="48"/>
      <c r="M981" s="48"/>
      <c r="N981" s="48"/>
      <c r="O981" s="48"/>
      <c r="P981" s="48"/>
      <c r="Q981" s="48"/>
      <c r="R981" s="48"/>
      <c r="S981" s="48"/>
      <c r="T981" s="48"/>
      <c r="U981" s="48"/>
      <c r="V981" s="48"/>
      <c r="W981" s="48"/>
      <c r="X981" s="48"/>
      <c r="Y981" s="48"/>
      <c r="Z981" s="48"/>
      <c r="AA981" s="48"/>
    </row>
    <row r="982" spans="2:27" ht="12.75" customHeight="1" x14ac:dyDescent="0.25">
      <c r="B982" s="48"/>
      <c r="C982" s="48"/>
      <c r="D982" s="48"/>
      <c r="E982" s="48"/>
      <c r="F982" s="48"/>
      <c r="G982" s="48"/>
      <c r="H982" s="48"/>
      <c r="I982" s="48"/>
      <c r="J982" s="48"/>
      <c r="K982" s="48"/>
      <c r="L982" s="48"/>
      <c r="M982" s="48"/>
      <c r="N982" s="48"/>
      <c r="O982" s="48"/>
      <c r="P982" s="48"/>
      <c r="Q982" s="48"/>
      <c r="R982" s="48"/>
      <c r="S982" s="48"/>
      <c r="T982" s="48"/>
      <c r="U982" s="48"/>
      <c r="V982" s="48"/>
      <c r="W982" s="48"/>
      <c r="X982" s="48"/>
      <c r="Y982" s="48"/>
      <c r="Z982" s="48"/>
      <c r="AA982" s="48"/>
    </row>
    <row r="983" spans="2:27" ht="12.75" customHeight="1" x14ac:dyDescent="0.25">
      <c r="B983" s="48"/>
      <c r="C983" s="48"/>
      <c r="D983" s="48"/>
      <c r="E983" s="48"/>
      <c r="F983" s="48"/>
      <c r="G983" s="48"/>
      <c r="H983" s="48"/>
      <c r="I983" s="48"/>
      <c r="J983" s="48"/>
      <c r="K983" s="48"/>
      <c r="L983" s="48"/>
      <c r="M983" s="48"/>
      <c r="N983" s="48"/>
      <c r="O983" s="48"/>
      <c r="P983" s="48"/>
      <c r="Q983" s="48"/>
      <c r="R983" s="48"/>
      <c r="S983" s="48"/>
      <c r="T983" s="48"/>
      <c r="U983" s="48"/>
      <c r="V983" s="48"/>
      <c r="W983" s="48"/>
      <c r="X983" s="48"/>
      <c r="Y983" s="48"/>
      <c r="Z983" s="48"/>
      <c r="AA983" s="48"/>
    </row>
    <row r="984" spans="2:27" ht="12.75" customHeight="1" x14ac:dyDescent="0.25">
      <c r="B984" s="48"/>
      <c r="C984" s="48"/>
      <c r="D984" s="48"/>
      <c r="E984" s="48"/>
      <c r="F984" s="48"/>
      <c r="G984" s="48"/>
      <c r="H984" s="48"/>
      <c r="I984" s="48"/>
      <c r="J984" s="48"/>
      <c r="K984" s="48"/>
      <c r="L984" s="48"/>
      <c r="M984" s="48"/>
      <c r="N984" s="48"/>
      <c r="O984" s="48"/>
      <c r="P984" s="48"/>
      <c r="Q984" s="48"/>
      <c r="R984" s="48"/>
      <c r="S984" s="48"/>
      <c r="T984" s="48"/>
      <c r="U984" s="48"/>
      <c r="V984" s="48"/>
      <c r="W984" s="48"/>
      <c r="X984" s="48"/>
      <c r="Y984" s="48"/>
      <c r="Z984" s="48"/>
      <c r="AA984" s="48"/>
    </row>
    <row r="985" spans="2:27" ht="12.75" customHeight="1" x14ac:dyDescent="0.25">
      <c r="B985" s="48"/>
      <c r="C985" s="48"/>
      <c r="D985" s="48"/>
      <c r="E985" s="48"/>
      <c r="F985" s="48"/>
      <c r="G985" s="48"/>
      <c r="H985" s="48"/>
      <c r="I985" s="48"/>
      <c r="J985" s="48"/>
      <c r="K985" s="48"/>
      <c r="L985" s="48"/>
      <c r="M985" s="48"/>
      <c r="N985" s="48"/>
      <c r="O985" s="48"/>
      <c r="P985" s="48"/>
      <c r="Q985" s="48"/>
      <c r="R985" s="48"/>
      <c r="S985" s="48"/>
      <c r="T985" s="48"/>
      <c r="U985" s="48"/>
      <c r="V985" s="48"/>
      <c r="W985" s="48"/>
      <c r="X985" s="48"/>
      <c r="Y985" s="48"/>
      <c r="Z985" s="48"/>
      <c r="AA985" s="48"/>
    </row>
    <row r="986" spans="2:27" ht="12.75" customHeight="1" x14ac:dyDescent="0.25">
      <c r="B986" s="48"/>
      <c r="C986" s="48"/>
      <c r="D986" s="48"/>
      <c r="E986" s="48"/>
      <c r="F986" s="48"/>
      <c r="G986" s="48"/>
      <c r="H986" s="48"/>
      <c r="I986" s="48"/>
      <c r="J986" s="48"/>
      <c r="K986" s="48"/>
      <c r="L986" s="48"/>
      <c r="M986" s="48"/>
      <c r="N986" s="48"/>
      <c r="O986" s="48"/>
      <c r="P986" s="48"/>
      <c r="Q986" s="48"/>
      <c r="R986" s="48"/>
      <c r="S986" s="48"/>
      <c r="T986" s="48"/>
      <c r="U986" s="48"/>
      <c r="V986" s="48"/>
      <c r="W986" s="48"/>
      <c r="X986" s="48"/>
      <c r="Y986" s="48"/>
      <c r="Z986" s="48"/>
      <c r="AA986" s="48"/>
    </row>
    <row r="987" spans="2:27" ht="12.75" customHeight="1" x14ac:dyDescent="0.25">
      <c r="B987" s="48"/>
      <c r="C987" s="48"/>
      <c r="D987" s="48"/>
      <c r="E987" s="48"/>
      <c r="F987" s="48"/>
      <c r="G987" s="48"/>
      <c r="H987" s="48"/>
      <c r="I987" s="48"/>
      <c r="J987" s="48"/>
      <c r="K987" s="48"/>
      <c r="L987" s="48"/>
      <c r="M987" s="48"/>
      <c r="N987" s="48"/>
      <c r="O987" s="48"/>
      <c r="P987" s="48"/>
      <c r="Q987" s="48"/>
      <c r="R987" s="48"/>
      <c r="S987" s="48"/>
      <c r="T987" s="48"/>
      <c r="U987" s="48"/>
      <c r="V987" s="48"/>
      <c r="W987" s="48"/>
      <c r="X987" s="48"/>
      <c r="Y987" s="48"/>
      <c r="Z987" s="48"/>
      <c r="AA987" s="48"/>
    </row>
    <row r="988" spans="2:27" ht="12.75" customHeight="1" x14ac:dyDescent="0.25">
      <c r="B988" s="48"/>
      <c r="C988" s="48"/>
      <c r="D988" s="48"/>
      <c r="E988" s="48"/>
      <c r="F988" s="48"/>
      <c r="G988" s="48"/>
      <c r="H988" s="48"/>
      <c r="I988" s="48"/>
      <c r="J988" s="48"/>
      <c r="K988" s="48"/>
      <c r="L988" s="48"/>
      <c r="M988" s="48"/>
      <c r="N988" s="48"/>
      <c r="O988" s="48"/>
      <c r="P988" s="48"/>
      <c r="Q988" s="48"/>
      <c r="R988" s="48"/>
      <c r="S988" s="48"/>
      <c r="T988" s="48"/>
      <c r="U988" s="48"/>
      <c r="V988" s="48"/>
      <c r="W988" s="48"/>
      <c r="X988" s="48"/>
      <c r="Y988" s="48"/>
      <c r="Z988" s="48"/>
      <c r="AA988" s="48"/>
    </row>
    <row r="989" spans="2:27" ht="12.75" customHeight="1" x14ac:dyDescent="0.25">
      <c r="B989" s="48"/>
      <c r="C989" s="48"/>
      <c r="D989" s="48"/>
      <c r="E989" s="48"/>
      <c r="F989" s="48"/>
      <c r="G989" s="48"/>
      <c r="H989" s="48"/>
      <c r="I989" s="48"/>
      <c r="J989" s="48"/>
      <c r="K989" s="48"/>
      <c r="L989" s="48"/>
      <c r="M989" s="48"/>
      <c r="N989" s="48"/>
      <c r="O989" s="48"/>
      <c r="P989" s="48"/>
      <c r="Q989" s="48"/>
      <c r="R989" s="48"/>
      <c r="S989" s="48"/>
      <c r="T989" s="48"/>
      <c r="U989" s="48"/>
      <c r="V989" s="48"/>
      <c r="W989" s="48"/>
      <c r="X989" s="48"/>
      <c r="Y989" s="48"/>
      <c r="Z989" s="48"/>
      <c r="AA989" s="48"/>
    </row>
    <row r="990" spans="2:27" ht="12.75" customHeight="1" x14ac:dyDescent="0.25">
      <c r="B990" s="48"/>
      <c r="C990" s="48"/>
      <c r="D990" s="48"/>
      <c r="E990" s="48"/>
      <c r="F990" s="48"/>
      <c r="G990" s="48"/>
      <c r="H990" s="48"/>
      <c r="I990" s="48"/>
      <c r="J990" s="48"/>
      <c r="K990" s="48"/>
      <c r="L990" s="48"/>
      <c r="M990" s="48"/>
      <c r="N990" s="48"/>
      <c r="O990" s="48"/>
      <c r="P990" s="48"/>
      <c r="Q990" s="48"/>
      <c r="R990" s="48"/>
      <c r="S990" s="48"/>
      <c r="T990" s="48"/>
      <c r="U990" s="48"/>
      <c r="V990" s="48"/>
      <c r="W990" s="48"/>
      <c r="X990" s="48"/>
      <c r="Y990" s="48"/>
      <c r="Z990" s="48"/>
      <c r="AA990" s="48"/>
    </row>
    <row r="991" spans="2:27" ht="12.75" customHeight="1" x14ac:dyDescent="0.25">
      <c r="B991" s="48"/>
      <c r="C991" s="48"/>
      <c r="D991" s="48"/>
      <c r="E991" s="48"/>
      <c r="F991" s="48"/>
      <c r="G991" s="48"/>
      <c r="H991" s="48"/>
      <c r="I991" s="48"/>
      <c r="J991" s="48"/>
      <c r="K991" s="48"/>
      <c r="L991" s="48"/>
      <c r="M991" s="48"/>
      <c r="N991" s="48"/>
      <c r="O991" s="48"/>
      <c r="P991" s="48"/>
      <c r="Q991" s="48"/>
      <c r="R991" s="48"/>
      <c r="S991" s="48"/>
      <c r="T991" s="48"/>
      <c r="U991" s="48"/>
      <c r="V991" s="48"/>
      <c r="W991" s="48"/>
      <c r="X991" s="48"/>
      <c r="Y991" s="48"/>
      <c r="Z991" s="48"/>
      <c r="AA991" s="48"/>
    </row>
    <row r="992" spans="2:27" ht="12.75" customHeight="1" x14ac:dyDescent="0.25">
      <c r="B992" s="48"/>
      <c r="C992" s="48"/>
      <c r="D992" s="48"/>
      <c r="E992" s="48"/>
      <c r="F992" s="48"/>
      <c r="G992" s="48"/>
      <c r="H992" s="48"/>
      <c r="I992" s="48"/>
      <c r="J992" s="48"/>
      <c r="K992" s="48"/>
      <c r="L992" s="48"/>
      <c r="M992" s="48"/>
      <c r="N992" s="48"/>
      <c r="O992" s="48"/>
      <c r="P992" s="48"/>
      <c r="Q992" s="48"/>
      <c r="R992" s="48"/>
      <c r="S992" s="48"/>
      <c r="T992" s="48"/>
      <c r="U992" s="48"/>
      <c r="V992" s="48"/>
      <c r="W992" s="48"/>
      <c r="X992" s="48"/>
      <c r="Y992" s="48"/>
      <c r="Z992" s="48"/>
      <c r="AA992" s="48"/>
    </row>
    <row r="993" spans="2:27" ht="12.75" customHeight="1" x14ac:dyDescent="0.25">
      <c r="B993" s="48"/>
      <c r="C993" s="48"/>
      <c r="D993" s="48"/>
      <c r="E993" s="48"/>
      <c r="F993" s="48"/>
      <c r="G993" s="48"/>
      <c r="H993" s="48"/>
      <c r="I993" s="48"/>
      <c r="J993" s="48"/>
      <c r="K993" s="48"/>
      <c r="L993" s="48"/>
      <c r="M993" s="48"/>
      <c r="N993" s="48"/>
      <c r="O993" s="48"/>
      <c r="P993" s="48"/>
      <c r="Q993" s="48"/>
      <c r="R993" s="48"/>
      <c r="S993" s="48"/>
      <c r="T993" s="48"/>
      <c r="U993" s="48"/>
      <c r="V993" s="48"/>
      <c r="W993" s="48"/>
      <c r="X993" s="48"/>
      <c r="Y993" s="48"/>
      <c r="Z993" s="48"/>
      <c r="AA993" s="48"/>
    </row>
    <row r="994" spans="2:27" ht="12.75" customHeight="1" x14ac:dyDescent="0.25">
      <c r="B994" s="48"/>
      <c r="C994" s="48"/>
      <c r="D994" s="48"/>
      <c r="E994" s="48"/>
      <c r="F994" s="48"/>
      <c r="G994" s="48"/>
      <c r="H994" s="48"/>
      <c r="I994" s="48"/>
      <c r="J994" s="48"/>
      <c r="K994" s="48"/>
      <c r="L994" s="48"/>
      <c r="M994" s="48"/>
      <c r="N994" s="48"/>
      <c r="O994" s="48"/>
      <c r="P994" s="48"/>
      <c r="Q994" s="48"/>
      <c r="R994" s="48"/>
      <c r="S994" s="48"/>
      <c r="T994" s="48"/>
      <c r="U994" s="48"/>
      <c r="V994" s="48"/>
      <c r="W994" s="48"/>
      <c r="X994" s="48"/>
      <c r="Y994" s="48"/>
      <c r="Z994" s="48"/>
      <c r="AA994" s="48"/>
    </row>
    <row r="995" spans="2:27" ht="12.75" customHeight="1" x14ac:dyDescent="0.25">
      <c r="B995" s="48"/>
      <c r="C995" s="48"/>
      <c r="D995" s="48"/>
      <c r="E995" s="48"/>
      <c r="F995" s="48"/>
      <c r="G995" s="48"/>
      <c r="H995" s="48"/>
      <c r="I995" s="48"/>
      <c r="J995" s="48"/>
      <c r="K995" s="48"/>
      <c r="L995" s="48"/>
      <c r="M995" s="48"/>
      <c r="N995" s="48"/>
      <c r="O995" s="48"/>
      <c r="P995" s="48"/>
      <c r="Q995" s="48"/>
      <c r="R995" s="48"/>
      <c r="S995" s="48"/>
      <c r="T995" s="48"/>
      <c r="U995" s="48"/>
      <c r="V995" s="48"/>
      <c r="W995" s="48"/>
      <c r="X995" s="48"/>
      <c r="Y995" s="48"/>
      <c r="Z995" s="48"/>
      <c r="AA995" s="48"/>
    </row>
    <row r="996" spans="2:27" ht="12.75" customHeight="1" x14ac:dyDescent="0.25">
      <c r="B996" s="48"/>
      <c r="C996" s="48"/>
      <c r="D996" s="48"/>
      <c r="E996" s="48"/>
      <c r="F996" s="48"/>
      <c r="G996" s="48"/>
      <c r="H996" s="48"/>
      <c r="I996" s="48"/>
      <c r="J996" s="48"/>
      <c r="K996" s="48"/>
      <c r="L996" s="48"/>
      <c r="M996" s="48"/>
      <c r="N996" s="48"/>
      <c r="O996" s="48"/>
      <c r="P996" s="48"/>
      <c r="Q996" s="48"/>
      <c r="R996" s="48"/>
      <c r="S996" s="48"/>
      <c r="T996" s="48"/>
      <c r="U996" s="48"/>
      <c r="V996" s="48"/>
      <c r="W996" s="48"/>
      <c r="X996" s="48"/>
      <c r="Y996" s="48"/>
      <c r="Z996" s="48"/>
      <c r="AA996" s="48"/>
    </row>
    <row r="997" spans="2:27" ht="12.75" customHeight="1" x14ac:dyDescent="0.25">
      <c r="B997" s="48"/>
      <c r="C997" s="48"/>
      <c r="D997" s="48"/>
      <c r="E997" s="48"/>
      <c r="F997" s="48"/>
      <c r="G997" s="48"/>
      <c r="H997" s="48"/>
      <c r="I997" s="48"/>
      <c r="J997" s="48"/>
      <c r="K997" s="48"/>
      <c r="L997" s="48"/>
      <c r="M997" s="48"/>
      <c r="N997" s="48"/>
      <c r="O997" s="48"/>
      <c r="P997" s="48"/>
      <c r="Q997" s="48"/>
      <c r="R997" s="48"/>
      <c r="S997" s="48"/>
      <c r="T997" s="48"/>
      <c r="U997" s="48"/>
      <c r="V997" s="48"/>
      <c r="W997" s="48"/>
      <c r="X997" s="48"/>
      <c r="Y997" s="48"/>
      <c r="Z997" s="48"/>
      <c r="AA997" s="48"/>
    </row>
    <row r="998" spans="2:27" ht="12.75" customHeight="1" x14ac:dyDescent="0.25">
      <c r="B998" s="48"/>
      <c r="C998" s="48"/>
      <c r="D998" s="48"/>
      <c r="E998" s="48"/>
      <c r="F998" s="48"/>
      <c r="G998" s="48"/>
      <c r="H998" s="48"/>
      <c r="I998" s="48"/>
      <c r="J998" s="48"/>
      <c r="K998" s="48"/>
      <c r="L998" s="48"/>
      <c r="M998" s="48"/>
      <c r="N998" s="48"/>
      <c r="O998" s="48"/>
      <c r="P998" s="48"/>
      <c r="Q998" s="48"/>
      <c r="R998" s="48"/>
      <c r="S998" s="48"/>
      <c r="T998" s="48"/>
      <c r="U998" s="48"/>
      <c r="V998" s="48"/>
      <c r="W998" s="48"/>
      <c r="X998" s="48"/>
      <c r="Y998" s="48"/>
      <c r="Z998" s="48"/>
      <c r="AA998" s="48"/>
    </row>
    <row r="999" spans="2:27" ht="12.75" customHeight="1" x14ac:dyDescent="0.25">
      <c r="B999" s="48"/>
      <c r="C999" s="48"/>
      <c r="D999" s="48"/>
      <c r="E999" s="48"/>
      <c r="F999" s="48"/>
      <c r="G999" s="48"/>
      <c r="H999" s="48"/>
      <c r="I999" s="48"/>
      <c r="J999" s="48"/>
      <c r="K999" s="48"/>
      <c r="L999" s="48"/>
      <c r="M999" s="48"/>
      <c r="N999" s="48"/>
      <c r="O999" s="48"/>
      <c r="P999" s="48"/>
      <c r="Q999" s="48"/>
      <c r="R999" s="48"/>
      <c r="S999" s="48"/>
      <c r="T999" s="48"/>
      <c r="U999" s="48"/>
      <c r="V999" s="48"/>
      <c r="W999" s="48"/>
      <c r="X999" s="48"/>
      <c r="Y999" s="48"/>
      <c r="Z999" s="48"/>
      <c r="AA999" s="48"/>
    </row>
    <row r="1000" spans="2:27" ht="12.75" customHeight="1" x14ac:dyDescent="0.25">
      <c r="B1000" s="48"/>
      <c r="C1000" s="48"/>
      <c r="D1000" s="48"/>
      <c r="E1000" s="48"/>
      <c r="F1000" s="48"/>
      <c r="G1000" s="48"/>
      <c r="H1000" s="48"/>
      <c r="I1000" s="48"/>
      <c r="J1000" s="48"/>
      <c r="K1000" s="48"/>
      <c r="L1000" s="48"/>
      <c r="M1000" s="48"/>
      <c r="N1000" s="48"/>
      <c r="O1000" s="48"/>
      <c r="P1000" s="48"/>
      <c r="Q1000" s="48"/>
      <c r="R1000" s="48"/>
      <c r="S1000" s="48"/>
      <c r="T1000" s="48"/>
      <c r="U1000" s="48"/>
      <c r="V1000" s="48"/>
      <c r="W1000" s="48"/>
      <c r="X1000" s="48"/>
      <c r="Y1000" s="48"/>
      <c r="Z1000" s="48"/>
      <c r="AA1000" s="48"/>
    </row>
    <row r="1001" spans="2:27" ht="12.75" customHeight="1" x14ac:dyDescent="0.25">
      <c r="B1001" s="48"/>
      <c r="C1001" s="48"/>
      <c r="D1001" s="48"/>
      <c r="E1001" s="48"/>
      <c r="F1001" s="48"/>
      <c r="G1001" s="48"/>
      <c r="H1001" s="48"/>
      <c r="I1001" s="48"/>
      <c r="J1001" s="48"/>
      <c r="K1001" s="48"/>
      <c r="L1001" s="48"/>
      <c r="M1001" s="48"/>
      <c r="N1001" s="48"/>
      <c r="O1001" s="48"/>
      <c r="P1001" s="48"/>
      <c r="Q1001" s="48"/>
      <c r="R1001" s="48"/>
      <c r="S1001" s="48"/>
      <c r="T1001" s="48"/>
      <c r="U1001" s="48"/>
      <c r="V1001" s="48"/>
      <c r="W1001" s="48"/>
      <c r="X1001" s="48"/>
      <c r="Y1001" s="48"/>
      <c r="Z1001" s="48"/>
      <c r="AA1001" s="48"/>
    </row>
    <row r="1002" spans="2:27" ht="12.75" customHeight="1" x14ac:dyDescent="0.25">
      <c r="B1002" s="48"/>
      <c r="C1002" s="48"/>
      <c r="D1002" s="48"/>
      <c r="E1002" s="48"/>
      <c r="F1002" s="48"/>
      <c r="G1002" s="48"/>
      <c r="H1002" s="48"/>
      <c r="I1002" s="48"/>
      <c r="J1002" s="48"/>
      <c r="K1002" s="48"/>
      <c r="L1002" s="48"/>
      <c r="M1002" s="48"/>
      <c r="N1002" s="48"/>
      <c r="O1002" s="48"/>
      <c r="P1002" s="48"/>
      <c r="Q1002" s="48"/>
      <c r="R1002" s="48"/>
      <c r="S1002" s="48"/>
      <c r="T1002" s="48"/>
      <c r="U1002" s="48"/>
      <c r="V1002" s="48"/>
      <c r="W1002" s="48"/>
      <c r="X1002" s="48"/>
      <c r="Y1002" s="48"/>
      <c r="Z1002" s="48"/>
      <c r="AA1002" s="48"/>
    </row>
    <row r="1003" spans="2:27" ht="12.75" customHeight="1" x14ac:dyDescent="0.25">
      <c r="B1003" s="48"/>
      <c r="C1003" s="48"/>
      <c r="D1003" s="48"/>
      <c r="E1003" s="48"/>
      <c r="F1003" s="48"/>
      <c r="G1003" s="48"/>
      <c r="H1003" s="48"/>
      <c r="I1003" s="48"/>
      <c r="J1003" s="48"/>
      <c r="K1003" s="48"/>
      <c r="L1003" s="48"/>
      <c r="M1003" s="48"/>
      <c r="N1003" s="48"/>
      <c r="O1003" s="48"/>
      <c r="P1003" s="48"/>
      <c r="Q1003" s="48"/>
      <c r="R1003" s="48"/>
      <c r="S1003" s="48"/>
      <c r="T1003" s="48"/>
      <c r="U1003" s="48"/>
      <c r="V1003" s="48"/>
      <c r="W1003" s="48"/>
      <c r="X1003" s="48"/>
      <c r="Y1003" s="48"/>
      <c r="Z1003" s="48"/>
      <c r="AA1003" s="48"/>
    </row>
    <row r="1004" spans="2:27" ht="12.75" customHeight="1" x14ac:dyDescent="0.25">
      <c r="B1004" s="48"/>
      <c r="C1004" s="48"/>
      <c r="D1004" s="48"/>
      <c r="E1004" s="48"/>
      <c r="F1004" s="48"/>
      <c r="G1004" s="48"/>
      <c r="H1004" s="48"/>
      <c r="I1004" s="48"/>
      <c r="J1004" s="48"/>
      <c r="K1004" s="48"/>
      <c r="L1004" s="48"/>
      <c r="M1004" s="48"/>
      <c r="N1004" s="48"/>
      <c r="O1004" s="48"/>
      <c r="P1004" s="48"/>
      <c r="Q1004" s="48"/>
      <c r="R1004" s="48"/>
      <c r="S1004" s="48"/>
      <c r="T1004" s="48"/>
      <c r="U1004" s="48"/>
      <c r="V1004" s="48"/>
      <c r="W1004" s="48"/>
      <c r="X1004" s="48"/>
      <c r="Y1004" s="48"/>
      <c r="Z1004" s="48"/>
      <c r="AA1004" s="48"/>
    </row>
    <row r="1005" spans="2:27" ht="12.75" customHeight="1" x14ac:dyDescent="0.25">
      <c r="B1005" s="48"/>
      <c r="C1005" s="48"/>
      <c r="D1005" s="48"/>
      <c r="E1005" s="48"/>
      <c r="F1005" s="48"/>
      <c r="G1005" s="48"/>
      <c r="H1005" s="48"/>
      <c r="I1005" s="48"/>
      <c r="J1005" s="48"/>
      <c r="K1005" s="48"/>
      <c r="L1005" s="48"/>
      <c r="M1005" s="48"/>
      <c r="N1005" s="48"/>
      <c r="O1005" s="48"/>
      <c r="P1005" s="48"/>
      <c r="Q1005" s="48"/>
      <c r="R1005" s="48"/>
      <c r="S1005" s="48"/>
      <c r="T1005" s="48"/>
      <c r="U1005" s="48"/>
      <c r="V1005" s="48"/>
      <c r="W1005" s="48"/>
      <c r="X1005" s="48"/>
      <c r="Y1005" s="48"/>
      <c r="Z1005" s="48"/>
      <c r="AA1005" s="48"/>
    </row>
    <row r="1006" spans="2:27" ht="12.75" customHeight="1" x14ac:dyDescent="0.25">
      <c r="B1006" s="48"/>
      <c r="C1006" s="48"/>
      <c r="D1006" s="48"/>
      <c r="E1006" s="48"/>
      <c r="F1006" s="48"/>
      <c r="G1006" s="48"/>
      <c r="H1006" s="48"/>
      <c r="I1006" s="48"/>
      <c r="J1006" s="48"/>
      <c r="K1006" s="48"/>
      <c r="L1006" s="48"/>
      <c r="M1006" s="48"/>
      <c r="N1006" s="48"/>
      <c r="O1006" s="48"/>
      <c r="P1006" s="48"/>
      <c r="Q1006" s="48"/>
      <c r="R1006" s="48"/>
      <c r="S1006" s="48"/>
      <c r="T1006" s="48"/>
      <c r="U1006" s="48"/>
      <c r="V1006" s="48"/>
      <c r="W1006" s="48"/>
      <c r="X1006" s="48"/>
      <c r="Y1006" s="48"/>
      <c r="Z1006" s="48"/>
      <c r="AA1006" s="48"/>
    </row>
    <row r="1007" spans="2:27" ht="12.75" customHeight="1" x14ac:dyDescent="0.25">
      <c r="B1007" s="48"/>
      <c r="C1007" s="48"/>
      <c r="D1007" s="48"/>
      <c r="E1007" s="48"/>
      <c r="F1007" s="48"/>
      <c r="G1007" s="48"/>
      <c r="H1007" s="48"/>
      <c r="I1007" s="48"/>
      <c r="J1007" s="48"/>
      <c r="K1007" s="48"/>
      <c r="L1007" s="48"/>
      <c r="M1007" s="48"/>
      <c r="N1007" s="48"/>
      <c r="O1007" s="48"/>
      <c r="P1007" s="48"/>
      <c r="Q1007" s="48"/>
      <c r="R1007" s="48"/>
      <c r="S1007" s="48"/>
      <c r="T1007" s="48"/>
      <c r="U1007" s="48"/>
      <c r="V1007" s="48"/>
      <c r="W1007" s="48"/>
      <c r="X1007" s="48"/>
      <c r="Y1007" s="48"/>
      <c r="Z1007" s="48"/>
      <c r="AA1007" s="48"/>
    </row>
    <row r="1008" spans="2:27" ht="12.75" customHeight="1" x14ac:dyDescent="0.25">
      <c r="B1008" s="48"/>
      <c r="C1008" s="48"/>
      <c r="D1008" s="48"/>
      <c r="E1008" s="48"/>
      <c r="F1008" s="48"/>
      <c r="G1008" s="48"/>
      <c r="H1008" s="48"/>
      <c r="I1008" s="48"/>
      <c r="J1008" s="48"/>
      <c r="K1008" s="48"/>
      <c r="L1008" s="48"/>
      <c r="M1008" s="48"/>
      <c r="N1008" s="48"/>
      <c r="O1008" s="48"/>
      <c r="P1008" s="48"/>
      <c r="Q1008" s="48"/>
      <c r="R1008" s="48"/>
      <c r="S1008" s="48"/>
      <c r="T1008" s="48"/>
      <c r="U1008" s="48"/>
      <c r="V1008" s="48"/>
      <c r="W1008" s="48"/>
      <c r="X1008" s="48"/>
      <c r="Y1008" s="48"/>
      <c r="Z1008" s="48"/>
      <c r="AA1008" s="48"/>
    </row>
    <row r="1009" spans="2:27" ht="12.75" customHeight="1" x14ac:dyDescent="0.25">
      <c r="B1009" s="48"/>
      <c r="C1009" s="48"/>
      <c r="D1009" s="48"/>
      <c r="E1009" s="48"/>
      <c r="F1009" s="48"/>
      <c r="G1009" s="48"/>
      <c r="H1009" s="48"/>
      <c r="I1009" s="48"/>
      <c r="J1009" s="48"/>
      <c r="K1009" s="48"/>
      <c r="L1009" s="48"/>
      <c r="M1009" s="48"/>
      <c r="N1009" s="48"/>
      <c r="O1009" s="48"/>
      <c r="P1009" s="48"/>
      <c r="Q1009" s="48"/>
      <c r="R1009" s="48"/>
      <c r="S1009" s="48"/>
      <c r="T1009" s="48"/>
      <c r="U1009" s="48"/>
      <c r="V1009" s="48"/>
      <c r="W1009" s="48"/>
      <c r="X1009" s="48"/>
      <c r="Y1009" s="48"/>
      <c r="Z1009" s="48"/>
      <c r="AA1009" s="48"/>
    </row>
    <row r="1010" spans="2:27" ht="12.75" customHeight="1" x14ac:dyDescent="0.25">
      <c r="B1010" s="48"/>
      <c r="C1010" s="48"/>
      <c r="D1010" s="48"/>
      <c r="E1010" s="48"/>
      <c r="F1010" s="48"/>
      <c r="G1010" s="48"/>
      <c r="H1010" s="48"/>
      <c r="I1010" s="48"/>
      <c r="J1010" s="48"/>
      <c r="K1010" s="48"/>
      <c r="L1010" s="48"/>
      <c r="M1010" s="48"/>
      <c r="N1010" s="48"/>
      <c r="O1010" s="48"/>
      <c r="P1010" s="48"/>
      <c r="Q1010" s="48"/>
      <c r="R1010" s="48"/>
      <c r="S1010" s="48"/>
      <c r="T1010" s="48"/>
      <c r="U1010" s="48"/>
      <c r="V1010" s="48"/>
      <c r="W1010" s="48"/>
      <c r="X1010" s="48"/>
      <c r="Y1010" s="48"/>
      <c r="Z1010" s="48"/>
      <c r="AA1010" s="48"/>
    </row>
    <row r="1011" spans="2:27" ht="12.75" customHeight="1" x14ac:dyDescent="0.25">
      <c r="B1011" s="48"/>
      <c r="C1011" s="48"/>
      <c r="D1011" s="48"/>
      <c r="E1011" s="48"/>
      <c r="F1011" s="48"/>
      <c r="G1011" s="48"/>
      <c r="H1011" s="48"/>
      <c r="I1011" s="48"/>
      <c r="J1011" s="48"/>
      <c r="K1011" s="48"/>
      <c r="L1011" s="48"/>
      <c r="M1011" s="48"/>
      <c r="N1011" s="48"/>
      <c r="O1011" s="48"/>
      <c r="P1011" s="48"/>
      <c r="Q1011" s="48"/>
      <c r="R1011" s="48"/>
      <c r="S1011" s="48"/>
      <c r="T1011" s="48"/>
      <c r="U1011" s="48"/>
      <c r="V1011" s="48"/>
      <c r="W1011" s="48"/>
      <c r="X1011" s="48"/>
      <c r="Y1011" s="48"/>
      <c r="Z1011" s="48"/>
      <c r="AA1011" s="48"/>
    </row>
    <row r="1012" spans="2:27" ht="12.75" customHeight="1" x14ac:dyDescent="0.25">
      <c r="B1012" s="48"/>
      <c r="C1012" s="48"/>
      <c r="D1012" s="48"/>
      <c r="E1012" s="48"/>
      <c r="F1012" s="48"/>
      <c r="G1012" s="48"/>
      <c r="H1012" s="48"/>
      <c r="I1012" s="48"/>
      <c r="J1012" s="48"/>
      <c r="K1012" s="48"/>
      <c r="L1012" s="48"/>
      <c r="M1012" s="48"/>
      <c r="N1012" s="48"/>
      <c r="O1012" s="48"/>
      <c r="P1012" s="48"/>
      <c r="Q1012" s="48"/>
      <c r="R1012" s="48"/>
      <c r="S1012" s="48"/>
      <c r="T1012" s="48"/>
      <c r="U1012" s="48"/>
      <c r="V1012" s="48"/>
      <c r="W1012" s="48"/>
      <c r="X1012" s="48"/>
      <c r="Y1012" s="48"/>
      <c r="Z1012" s="48"/>
      <c r="AA1012" s="48"/>
    </row>
    <row r="1013" spans="2:27" ht="12.75" customHeight="1" x14ac:dyDescent="0.25">
      <c r="B1013" s="48"/>
      <c r="C1013" s="48"/>
      <c r="D1013" s="48"/>
      <c r="E1013" s="48"/>
      <c r="F1013" s="48"/>
      <c r="G1013" s="48"/>
      <c r="H1013" s="48"/>
      <c r="I1013" s="48"/>
      <c r="J1013" s="48"/>
      <c r="K1013" s="48"/>
      <c r="L1013" s="48"/>
      <c r="M1013" s="48"/>
      <c r="N1013" s="48"/>
      <c r="O1013" s="48"/>
      <c r="P1013" s="48"/>
      <c r="Q1013" s="48"/>
      <c r="R1013" s="48"/>
      <c r="S1013" s="48"/>
      <c r="T1013" s="48"/>
      <c r="U1013" s="48"/>
      <c r="V1013" s="48"/>
      <c r="W1013" s="48"/>
      <c r="X1013" s="48"/>
      <c r="Y1013" s="48"/>
      <c r="Z1013" s="48"/>
      <c r="AA1013" s="48"/>
    </row>
    <row r="1014" spans="2:27" ht="12.75" customHeight="1" x14ac:dyDescent="0.25">
      <c r="B1014" s="48"/>
      <c r="C1014" s="48"/>
      <c r="D1014" s="48"/>
      <c r="E1014" s="48"/>
      <c r="F1014" s="48"/>
      <c r="G1014" s="48"/>
      <c r="H1014" s="48"/>
      <c r="I1014" s="48"/>
      <c r="J1014" s="48"/>
      <c r="K1014" s="48"/>
      <c r="L1014" s="48"/>
      <c r="M1014" s="48"/>
      <c r="N1014" s="48"/>
      <c r="O1014" s="48"/>
      <c r="P1014" s="48"/>
      <c r="Q1014" s="48"/>
      <c r="R1014" s="48"/>
      <c r="S1014" s="48"/>
      <c r="T1014" s="48"/>
      <c r="U1014" s="48"/>
      <c r="V1014" s="48"/>
      <c r="W1014" s="48"/>
      <c r="X1014" s="48"/>
      <c r="Y1014" s="48"/>
      <c r="Z1014" s="48"/>
      <c r="AA1014" s="48"/>
    </row>
    <row r="1015" spans="2:27" ht="12.75" customHeight="1" x14ac:dyDescent="0.25">
      <c r="B1015" s="48"/>
      <c r="C1015" s="48"/>
      <c r="D1015" s="48"/>
      <c r="E1015" s="48"/>
      <c r="F1015" s="48"/>
      <c r="G1015" s="48"/>
      <c r="H1015" s="48"/>
      <c r="I1015" s="48"/>
      <c r="J1015" s="48"/>
      <c r="K1015" s="48"/>
      <c r="L1015" s="48"/>
      <c r="M1015" s="48"/>
      <c r="N1015" s="48"/>
      <c r="O1015" s="48"/>
      <c r="P1015" s="48"/>
      <c r="Q1015" s="48"/>
      <c r="R1015" s="48"/>
      <c r="S1015" s="48"/>
      <c r="T1015" s="48"/>
      <c r="U1015" s="48"/>
      <c r="V1015" s="48"/>
      <c r="W1015" s="48"/>
      <c r="X1015" s="48"/>
      <c r="Y1015" s="48"/>
      <c r="Z1015" s="48"/>
      <c r="AA1015" s="48"/>
    </row>
    <row r="1016" spans="2:27" ht="12.75" customHeight="1" x14ac:dyDescent="0.25">
      <c r="B1016" s="48"/>
      <c r="C1016" s="48"/>
      <c r="D1016" s="48"/>
      <c r="E1016" s="48"/>
      <c r="F1016" s="48"/>
      <c r="G1016" s="48"/>
      <c r="H1016" s="48"/>
      <c r="I1016" s="48"/>
      <c r="J1016" s="48"/>
      <c r="K1016" s="48"/>
      <c r="L1016" s="48"/>
      <c r="M1016" s="48"/>
      <c r="N1016" s="48"/>
      <c r="O1016" s="48"/>
      <c r="P1016" s="48"/>
      <c r="Q1016" s="48"/>
      <c r="R1016" s="48"/>
      <c r="S1016" s="48"/>
      <c r="T1016" s="48"/>
      <c r="U1016" s="48"/>
      <c r="V1016" s="48"/>
      <c r="W1016" s="48"/>
      <c r="X1016" s="48"/>
      <c r="Y1016" s="48"/>
      <c r="Z1016" s="48"/>
      <c r="AA1016" s="48"/>
    </row>
    <row r="1017" spans="2:27" ht="12.75" customHeight="1" x14ac:dyDescent="0.25">
      <c r="B1017" s="48"/>
      <c r="C1017" s="48"/>
      <c r="D1017" s="48"/>
      <c r="E1017" s="48"/>
      <c r="F1017" s="48"/>
      <c r="G1017" s="48"/>
      <c r="H1017" s="48"/>
      <c r="I1017" s="48"/>
      <c r="J1017" s="48"/>
      <c r="K1017" s="48"/>
      <c r="L1017" s="48"/>
      <c r="M1017" s="48"/>
      <c r="N1017" s="48"/>
      <c r="O1017" s="48"/>
      <c r="P1017" s="48"/>
      <c r="Q1017" s="48"/>
      <c r="R1017" s="48"/>
      <c r="S1017" s="48"/>
      <c r="T1017" s="48"/>
      <c r="U1017" s="48"/>
      <c r="V1017" s="48"/>
      <c r="W1017" s="48"/>
      <c r="X1017" s="48"/>
      <c r="Y1017" s="48"/>
      <c r="Z1017" s="48"/>
      <c r="AA1017" s="48"/>
    </row>
    <row r="1018" spans="2:27" ht="12.75" customHeight="1" x14ac:dyDescent="0.25">
      <c r="B1018" s="48"/>
      <c r="C1018" s="48"/>
      <c r="D1018" s="48"/>
      <c r="E1018" s="48"/>
      <c r="F1018" s="48"/>
      <c r="G1018" s="48"/>
      <c r="H1018" s="48"/>
      <c r="I1018" s="48"/>
      <c r="J1018" s="48"/>
      <c r="K1018" s="48"/>
      <c r="L1018" s="48"/>
      <c r="M1018" s="48"/>
      <c r="N1018" s="48"/>
      <c r="O1018" s="48"/>
      <c r="P1018" s="48"/>
      <c r="Q1018" s="48"/>
      <c r="R1018" s="48"/>
      <c r="S1018" s="48"/>
      <c r="T1018" s="48"/>
      <c r="U1018" s="48"/>
      <c r="V1018" s="48"/>
      <c r="W1018" s="48"/>
      <c r="X1018" s="48"/>
      <c r="Y1018" s="48"/>
      <c r="Z1018" s="48"/>
      <c r="AA1018" s="48"/>
    </row>
    <row r="1019" spans="2:27" ht="12.75" customHeight="1" x14ac:dyDescent="0.25">
      <c r="B1019" s="48"/>
      <c r="C1019" s="48"/>
      <c r="D1019" s="48"/>
      <c r="E1019" s="48"/>
      <c r="F1019" s="48"/>
      <c r="G1019" s="48"/>
      <c r="H1019" s="48"/>
      <c r="I1019" s="48"/>
      <c r="J1019" s="48"/>
      <c r="K1019" s="48"/>
      <c r="L1019" s="48"/>
      <c r="M1019" s="48"/>
      <c r="N1019" s="48"/>
      <c r="O1019" s="48"/>
      <c r="P1019" s="48"/>
      <c r="Q1019" s="48"/>
      <c r="R1019" s="48"/>
      <c r="S1019" s="48"/>
      <c r="T1019" s="48"/>
      <c r="U1019" s="48"/>
      <c r="V1019" s="48"/>
      <c r="W1019" s="48"/>
      <c r="X1019" s="48"/>
      <c r="Y1019" s="48"/>
      <c r="Z1019" s="48"/>
      <c r="AA1019" s="48"/>
    </row>
    <row r="1020" spans="2:27" ht="12.75" customHeight="1" x14ac:dyDescent="0.25">
      <c r="B1020" s="48"/>
      <c r="C1020" s="48"/>
      <c r="D1020" s="48"/>
      <c r="E1020" s="48"/>
      <c r="F1020" s="48"/>
      <c r="G1020" s="48"/>
      <c r="H1020" s="48"/>
      <c r="I1020" s="48"/>
      <c r="J1020" s="48"/>
      <c r="K1020" s="48"/>
      <c r="L1020" s="48"/>
      <c r="M1020" s="48"/>
      <c r="N1020" s="48"/>
      <c r="O1020" s="48"/>
      <c r="P1020" s="48"/>
      <c r="Q1020" s="48"/>
      <c r="R1020" s="48"/>
      <c r="S1020" s="48"/>
      <c r="T1020" s="48"/>
      <c r="U1020" s="48"/>
      <c r="V1020" s="48"/>
      <c r="W1020" s="48"/>
      <c r="X1020" s="48"/>
      <c r="Y1020" s="48"/>
      <c r="Z1020" s="48"/>
      <c r="AA1020" s="48"/>
    </row>
    <row r="1021" spans="2:27" ht="12.75" customHeight="1" x14ac:dyDescent="0.25">
      <c r="B1021" s="48"/>
      <c r="C1021" s="48"/>
      <c r="D1021" s="48"/>
      <c r="E1021" s="48"/>
      <c r="F1021" s="48"/>
      <c r="G1021" s="48"/>
      <c r="H1021" s="48"/>
      <c r="I1021" s="48"/>
      <c r="J1021" s="48"/>
      <c r="K1021" s="48"/>
      <c r="L1021" s="48"/>
      <c r="M1021" s="48"/>
      <c r="N1021" s="48"/>
      <c r="O1021" s="48"/>
      <c r="P1021" s="48"/>
      <c r="Q1021" s="48"/>
      <c r="R1021" s="48"/>
      <c r="S1021" s="48"/>
      <c r="T1021" s="48"/>
      <c r="U1021" s="48"/>
      <c r="V1021" s="48"/>
      <c r="W1021" s="48"/>
      <c r="X1021" s="48"/>
      <c r="Y1021" s="48"/>
      <c r="Z1021" s="48"/>
      <c r="AA1021" s="48"/>
    </row>
    <row r="1022" spans="2:27" ht="12.75" customHeight="1" x14ac:dyDescent="0.25">
      <c r="B1022" s="48"/>
      <c r="C1022" s="48"/>
      <c r="D1022" s="48"/>
      <c r="E1022" s="48"/>
      <c r="F1022" s="48"/>
      <c r="G1022" s="48"/>
      <c r="H1022" s="48"/>
      <c r="I1022" s="48"/>
      <c r="J1022" s="48"/>
      <c r="K1022" s="48"/>
      <c r="L1022" s="48"/>
      <c r="M1022" s="48"/>
      <c r="N1022" s="48"/>
      <c r="O1022" s="48"/>
      <c r="P1022" s="48"/>
      <c r="Q1022" s="48"/>
      <c r="R1022" s="48"/>
      <c r="S1022" s="48"/>
      <c r="T1022" s="48"/>
      <c r="U1022" s="48"/>
      <c r="V1022" s="48"/>
      <c r="W1022" s="48"/>
      <c r="X1022" s="48"/>
      <c r="Y1022" s="48"/>
      <c r="Z1022" s="48"/>
      <c r="AA1022" s="48"/>
    </row>
    <row r="1023" spans="2:27" ht="12.75" customHeight="1" x14ac:dyDescent="0.25">
      <c r="B1023" s="48"/>
      <c r="C1023" s="48"/>
      <c r="D1023" s="48"/>
      <c r="E1023" s="48"/>
      <c r="F1023" s="48"/>
      <c r="G1023" s="48"/>
      <c r="H1023" s="48"/>
      <c r="I1023" s="48"/>
      <c r="J1023" s="48"/>
      <c r="K1023" s="48"/>
      <c r="L1023" s="48"/>
      <c r="M1023" s="48"/>
      <c r="N1023" s="48"/>
      <c r="O1023" s="48"/>
      <c r="P1023" s="48"/>
      <c r="Q1023" s="48"/>
      <c r="R1023" s="48"/>
      <c r="S1023" s="48"/>
      <c r="T1023" s="48"/>
      <c r="U1023" s="48"/>
      <c r="V1023" s="48"/>
      <c r="W1023" s="48"/>
      <c r="X1023" s="48"/>
      <c r="Y1023" s="48"/>
      <c r="Z1023" s="48"/>
      <c r="AA1023" s="48"/>
    </row>
    <row r="1024" spans="2:27" ht="12.75" customHeight="1" x14ac:dyDescent="0.25">
      <c r="B1024" s="48"/>
      <c r="C1024" s="48"/>
      <c r="D1024" s="48"/>
      <c r="E1024" s="48"/>
      <c r="F1024" s="48"/>
      <c r="G1024" s="48"/>
      <c r="H1024" s="48"/>
      <c r="I1024" s="48"/>
      <c r="J1024" s="48"/>
      <c r="K1024" s="48"/>
      <c r="L1024" s="48"/>
      <c r="M1024" s="48"/>
      <c r="N1024" s="48"/>
      <c r="O1024" s="48"/>
      <c r="P1024" s="48"/>
      <c r="Q1024" s="48"/>
      <c r="R1024" s="48"/>
      <c r="S1024" s="48"/>
      <c r="T1024" s="48"/>
      <c r="U1024" s="48"/>
      <c r="V1024" s="48"/>
      <c r="W1024" s="48"/>
      <c r="X1024" s="48"/>
      <c r="Y1024" s="48"/>
      <c r="Z1024" s="48"/>
      <c r="AA1024" s="48"/>
    </row>
    <row r="1025" spans="2:27" ht="12.75" customHeight="1" x14ac:dyDescent="0.25">
      <c r="B1025" s="48"/>
      <c r="C1025" s="48"/>
      <c r="D1025" s="48"/>
      <c r="E1025" s="48"/>
      <c r="F1025" s="48"/>
      <c r="G1025" s="48"/>
      <c r="H1025" s="48"/>
      <c r="I1025" s="48"/>
      <c r="J1025" s="48"/>
      <c r="K1025" s="48"/>
      <c r="L1025" s="48"/>
      <c r="M1025" s="48"/>
      <c r="N1025" s="48"/>
      <c r="O1025" s="48"/>
      <c r="P1025" s="48"/>
      <c r="Q1025" s="48"/>
      <c r="R1025" s="48"/>
      <c r="S1025" s="48"/>
      <c r="T1025" s="48"/>
      <c r="U1025" s="48"/>
      <c r="V1025" s="48"/>
      <c r="W1025" s="48"/>
      <c r="X1025" s="48"/>
      <c r="Y1025" s="48"/>
      <c r="Z1025" s="48"/>
      <c r="AA1025" s="48"/>
    </row>
    <row r="1026" spans="2:27" ht="12.75" customHeight="1" x14ac:dyDescent="0.25">
      <c r="B1026" s="48"/>
      <c r="C1026" s="48"/>
      <c r="D1026" s="48"/>
      <c r="E1026" s="48"/>
      <c r="F1026" s="48"/>
      <c r="G1026" s="48"/>
      <c r="H1026" s="48"/>
      <c r="I1026" s="48"/>
      <c r="J1026" s="48"/>
      <c r="K1026" s="48"/>
      <c r="L1026" s="48"/>
      <c r="M1026" s="48"/>
      <c r="N1026" s="48"/>
      <c r="O1026" s="48"/>
      <c r="P1026" s="48"/>
      <c r="Q1026" s="48"/>
      <c r="R1026" s="48"/>
      <c r="S1026" s="48"/>
      <c r="T1026" s="48"/>
      <c r="U1026" s="48"/>
      <c r="V1026" s="48"/>
      <c r="W1026" s="48"/>
      <c r="X1026" s="48"/>
      <c r="Y1026" s="48"/>
      <c r="Z1026" s="48"/>
      <c r="AA1026" s="48"/>
    </row>
    <row r="1027" spans="2:27" ht="12.75" customHeight="1" x14ac:dyDescent="0.25">
      <c r="B1027" s="48"/>
      <c r="C1027" s="48"/>
      <c r="D1027" s="48"/>
      <c r="E1027" s="48"/>
      <c r="F1027" s="48"/>
      <c r="G1027" s="48"/>
      <c r="H1027" s="48"/>
      <c r="I1027" s="48"/>
      <c r="J1027" s="48"/>
      <c r="K1027" s="48"/>
      <c r="L1027" s="48"/>
      <c r="M1027" s="48"/>
      <c r="N1027" s="48"/>
      <c r="O1027" s="48"/>
      <c r="P1027" s="48"/>
      <c r="Q1027" s="48"/>
      <c r="R1027" s="48"/>
      <c r="S1027" s="48"/>
      <c r="T1027" s="48"/>
      <c r="U1027" s="48"/>
      <c r="V1027" s="48"/>
      <c r="W1027" s="48"/>
      <c r="X1027" s="48"/>
      <c r="Y1027" s="48"/>
      <c r="Z1027" s="48"/>
      <c r="AA1027" s="48"/>
    </row>
    <row r="1028" spans="2:27" ht="12.75" customHeight="1" x14ac:dyDescent="0.25">
      <c r="B1028" s="48"/>
      <c r="C1028" s="48"/>
      <c r="D1028" s="48"/>
      <c r="E1028" s="48"/>
      <c r="F1028" s="48"/>
      <c r="G1028" s="48"/>
      <c r="H1028" s="48"/>
      <c r="I1028" s="48"/>
      <c r="J1028" s="48"/>
      <c r="K1028" s="48"/>
      <c r="L1028" s="48"/>
      <c r="M1028" s="48"/>
      <c r="N1028" s="48"/>
      <c r="O1028" s="48"/>
      <c r="P1028" s="48"/>
      <c r="Q1028" s="48"/>
      <c r="R1028" s="48"/>
      <c r="S1028" s="48"/>
      <c r="T1028" s="48"/>
      <c r="U1028" s="48"/>
      <c r="V1028" s="48"/>
      <c r="W1028" s="48"/>
      <c r="X1028" s="48"/>
      <c r="Y1028" s="48"/>
      <c r="Z1028" s="48"/>
      <c r="AA1028" s="48"/>
    </row>
    <row r="1029" spans="2:27" ht="12.75" customHeight="1" x14ac:dyDescent="0.25">
      <c r="B1029" s="48"/>
      <c r="C1029" s="48"/>
      <c r="D1029" s="48"/>
      <c r="E1029" s="48"/>
      <c r="F1029" s="48"/>
      <c r="G1029" s="48"/>
      <c r="H1029" s="48"/>
      <c r="I1029" s="48"/>
      <c r="J1029" s="48"/>
      <c r="K1029" s="48"/>
      <c r="L1029" s="48"/>
      <c r="M1029" s="48"/>
      <c r="N1029" s="48"/>
      <c r="O1029" s="48"/>
      <c r="P1029" s="48"/>
      <c r="Q1029" s="48"/>
      <c r="R1029" s="48"/>
      <c r="S1029" s="48"/>
      <c r="T1029" s="48"/>
      <c r="U1029" s="48"/>
      <c r="V1029" s="48"/>
      <c r="W1029" s="48"/>
      <c r="X1029" s="48"/>
      <c r="Y1029" s="48"/>
      <c r="Z1029" s="48"/>
      <c r="AA1029" s="48"/>
    </row>
    <row r="1030" spans="2:27" ht="12.75" customHeight="1" x14ac:dyDescent="0.25">
      <c r="B1030" s="48"/>
      <c r="C1030" s="48"/>
      <c r="D1030" s="48"/>
      <c r="E1030" s="48"/>
      <c r="F1030" s="48"/>
      <c r="G1030" s="48"/>
      <c r="H1030" s="48"/>
      <c r="I1030" s="48"/>
      <c r="J1030" s="48"/>
      <c r="K1030" s="48"/>
      <c r="L1030" s="48"/>
      <c r="M1030" s="48"/>
      <c r="N1030" s="48"/>
      <c r="O1030" s="48"/>
      <c r="P1030" s="48"/>
      <c r="Q1030" s="48"/>
      <c r="R1030" s="48"/>
      <c r="S1030" s="48"/>
      <c r="T1030" s="48"/>
      <c r="U1030" s="48"/>
      <c r="V1030" s="48"/>
      <c r="W1030" s="48"/>
      <c r="X1030" s="48"/>
      <c r="Y1030" s="48"/>
      <c r="Z1030" s="48"/>
      <c r="AA1030" s="48"/>
    </row>
    <row r="1031" spans="2:27" ht="12.75" customHeight="1" x14ac:dyDescent="0.25">
      <c r="B1031" s="48"/>
      <c r="C1031" s="48"/>
      <c r="D1031" s="48"/>
      <c r="E1031" s="48"/>
      <c r="F1031" s="48"/>
      <c r="G1031" s="48"/>
      <c r="H1031" s="48"/>
      <c r="I1031" s="48"/>
      <c r="J1031" s="48"/>
      <c r="K1031" s="48"/>
      <c r="L1031" s="48"/>
      <c r="M1031" s="48"/>
      <c r="N1031" s="48"/>
      <c r="O1031" s="48"/>
      <c r="P1031" s="48"/>
      <c r="Q1031" s="48"/>
      <c r="R1031" s="48"/>
      <c r="S1031" s="48"/>
      <c r="T1031" s="48"/>
      <c r="U1031" s="48"/>
      <c r="V1031" s="48"/>
      <c r="W1031" s="48"/>
      <c r="X1031" s="48"/>
      <c r="Y1031" s="48"/>
      <c r="Z1031" s="48"/>
      <c r="AA1031" s="48"/>
    </row>
    <row r="1032" spans="2:27" ht="12.75" customHeight="1" x14ac:dyDescent="0.25">
      <c r="B1032" s="48"/>
      <c r="C1032" s="48"/>
      <c r="D1032" s="48"/>
      <c r="E1032" s="48"/>
      <c r="F1032" s="48"/>
      <c r="G1032" s="48"/>
      <c r="H1032" s="48"/>
      <c r="I1032" s="48"/>
      <c r="J1032" s="48"/>
      <c r="K1032" s="48"/>
      <c r="L1032" s="48"/>
      <c r="M1032" s="48"/>
      <c r="N1032" s="48"/>
      <c r="O1032" s="48"/>
      <c r="P1032" s="48"/>
      <c r="Q1032" s="48"/>
      <c r="R1032" s="48"/>
      <c r="S1032" s="48"/>
      <c r="T1032" s="48"/>
      <c r="U1032" s="48"/>
      <c r="V1032" s="48"/>
      <c r="W1032" s="48"/>
      <c r="X1032" s="48"/>
      <c r="Y1032" s="48"/>
      <c r="Z1032" s="48"/>
      <c r="AA1032" s="48"/>
    </row>
    <row r="1033" spans="2:27" ht="12.75" customHeight="1" x14ac:dyDescent="0.25">
      <c r="B1033" s="48"/>
      <c r="C1033" s="48"/>
      <c r="D1033" s="48"/>
      <c r="E1033" s="48"/>
      <c r="F1033" s="48"/>
      <c r="G1033" s="48"/>
      <c r="H1033" s="48"/>
      <c r="I1033" s="48"/>
      <c r="J1033" s="48"/>
      <c r="K1033" s="48"/>
      <c r="L1033" s="48"/>
      <c r="M1033" s="48"/>
      <c r="N1033" s="48"/>
      <c r="O1033" s="48"/>
      <c r="P1033" s="48"/>
      <c r="Q1033" s="48"/>
      <c r="R1033" s="48"/>
      <c r="S1033" s="48"/>
      <c r="T1033" s="48"/>
      <c r="U1033" s="48"/>
      <c r="V1033" s="48"/>
      <c r="W1033" s="48"/>
      <c r="X1033" s="48"/>
      <c r="Y1033" s="48"/>
      <c r="Z1033" s="48"/>
      <c r="AA1033" s="48"/>
    </row>
    <row r="1034" spans="2:27" ht="12.75" customHeight="1" x14ac:dyDescent="0.25">
      <c r="B1034" s="48"/>
      <c r="C1034" s="48"/>
      <c r="D1034" s="48"/>
      <c r="E1034" s="48"/>
      <c r="F1034" s="48"/>
      <c r="G1034" s="48"/>
      <c r="H1034" s="48"/>
      <c r="I1034" s="48"/>
      <c r="J1034" s="48"/>
      <c r="K1034" s="48"/>
      <c r="L1034" s="48"/>
      <c r="M1034" s="48"/>
      <c r="N1034" s="48"/>
      <c r="O1034" s="48"/>
      <c r="P1034" s="48"/>
      <c r="Q1034" s="48"/>
      <c r="R1034" s="48"/>
      <c r="S1034" s="48"/>
      <c r="T1034" s="48"/>
      <c r="U1034" s="48"/>
      <c r="V1034" s="48"/>
      <c r="W1034" s="48"/>
      <c r="X1034" s="48"/>
      <c r="Y1034" s="48"/>
      <c r="Z1034" s="48"/>
      <c r="AA1034" s="48"/>
    </row>
  </sheetData>
  <sortState ref="AL35:AM57">
    <sortCondition descending="1" ref="AM35:AM57"/>
  </sortState>
  <mergeCells count="74">
    <mergeCell ref="I59:L59"/>
    <mergeCell ref="I60:L60"/>
    <mergeCell ref="I61:L61"/>
    <mergeCell ref="I62:L62"/>
    <mergeCell ref="I63:L63"/>
    <mergeCell ref="H67:H68"/>
    <mergeCell ref="J67:J68"/>
    <mergeCell ref="K67:K68"/>
    <mergeCell ref="G67:G68"/>
    <mergeCell ref="B67:B68"/>
    <mergeCell ref="C67:C68"/>
    <mergeCell ref="D67:D68"/>
    <mergeCell ref="E67:E68"/>
    <mergeCell ref="F67:F68"/>
    <mergeCell ref="DS32:DS33"/>
    <mergeCell ref="DT32:DT33"/>
    <mergeCell ref="DU32:DU33"/>
    <mergeCell ref="DV32:DV33"/>
    <mergeCell ref="DQ32:DQ33"/>
    <mergeCell ref="DR32:DR33"/>
    <mergeCell ref="I58:L58"/>
    <mergeCell ref="Z32:Z33"/>
    <mergeCell ref="AE32:AE33"/>
    <mergeCell ref="DO32:DO33"/>
    <mergeCell ref="O32:O33"/>
    <mergeCell ref="P32:P33"/>
    <mergeCell ref="Q32:Q33"/>
    <mergeCell ref="R32:R33"/>
    <mergeCell ref="S32:S33"/>
    <mergeCell ref="T32:T33"/>
    <mergeCell ref="I32:I33"/>
    <mergeCell ref="J32:J33"/>
    <mergeCell ref="K32:K33"/>
    <mergeCell ref="L32:L33"/>
    <mergeCell ref="M32:M33"/>
    <mergeCell ref="N32:N33"/>
    <mergeCell ref="DP32:DP33"/>
    <mergeCell ref="U32:U33"/>
    <mergeCell ref="V32:V33"/>
    <mergeCell ref="W32:W33"/>
    <mergeCell ref="X32:X33"/>
    <mergeCell ref="Y32:Y33"/>
    <mergeCell ref="AF32:AF33"/>
    <mergeCell ref="C32:C33"/>
    <mergeCell ref="D32:D33"/>
    <mergeCell ref="E32:E33"/>
    <mergeCell ref="F32:F33"/>
    <mergeCell ref="G32:G33"/>
    <mergeCell ref="AB19:AD19"/>
    <mergeCell ref="AB20:AD20"/>
    <mergeCell ref="AB21:AD21"/>
    <mergeCell ref="H32:H33"/>
    <mergeCell ref="AB23:AD23"/>
    <mergeCell ref="AB24:AD24"/>
    <mergeCell ref="AB25:AD25"/>
    <mergeCell ref="AB26:AD26"/>
    <mergeCell ref="AB27:AD27"/>
    <mergeCell ref="AB28:AD28"/>
    <mergeCell ref="D78:G78"/>
    <mergeCell ref="AB10:AD10"/>
    <mergeCell ref="B1:AF4"/>
    <mergeCell ref="AB6:AD6"/>
    <mergeCell ref="AB7:AD7"/>
    <mergeCell ref="AB8:AD8"/>
    <mergeCell ref="AB9:AD9"/>
    <mergeCell ref="AB22:AD22"/>
    <mergeCell ref="AB11:AD11"/>
    <mergeCell ref="AB12:AD12"/>
    <mergeCell ref="AB13:AD13"/>
    <mergeCell ref="AB14:AD14"/>
    <mergeCell ref="AB15:AD15"/>
    <mergeCell ref="AB16:AD16"/>
    <mergeCell ref="AB17:AD17"/>
    <mergeCell ref="AB18:AD18"/>
  </mergeCells>
  <conditionalFormatting sqref="D7:I7">
    <cfRule type="expression" dxfId="161" priority="93">
      <formula>"&lt;0"</formula>
    </cfRule>
  </conditionalFormatting>
  <conditionalFormatting sqref="E7:H7">
    <cfRule type="expression" dxfId="160" priority="92">
      <formula>"&lt;0"</formula>
    </cfRule>
  </conditionalFormatting>
  <conditionalFormatting sqref="L7:L14">
    <cfRule type="cellIs" dxfId="159" priority="18" operator="equal">
      <formula>0</formula>
    </cfRule>
    <cfRule type="cellIs" dxfId="158" priority="39" operator="lessThan">
      <formula>1</formula>
    </cfRule>
    <cfRule type="cellIs" dxfId="157" priority="90" operator="lessThan">
      <formula>0</formula>
    </cfRule>
    <cfRule type="expression" dxfId="156" priority="91">
      <formula>"&lt;0"</formula>
    </cfRule>
  </conditionalFormatting>
  <conditionalFormatting sqref="I7:I11">
    <cfRule type="cellIs" dxfId="155" priority="15" operator="equal">
      <formula>0</formula>
    </cfRule>
    <cfRule type="cellIs" dxfId="154" priority="36" operator="lessThan">
      <formula>1</formula>
    </cfRule>
    <cfRule type="cellIs" dxfId="153" priority="89" operator="lessThan">
      <formula>0</formula>
    </cfRule>
  </conditionalFormatting>
  <conditionalFormatting sqref="X7:X26">
    <cfRule type="cellIs" dxfId="152" priority="30" operator="equal">
      <formula>0</formula>
    </cfRule>
    <cfRule type="cellIs" dxfId="151" priority="54" operator="lessThan">
      <formula>1</formula>
    </cfRule>
    <cfRule type="cellIs" dxfId="150" priority="86" operator="lessThan">
      <formula>0</formula>
    </cfRule>
  </conditionalFormatting>
  <conditionalFormatting sqref="W7:W25">
    <cfRule type="cellIs" dxfId="149" priority="29" operator="equal">
      <formula>0</formula>
    </cfRule>
    <cfRule type="cellIs" dxfId="148" priority="85" operator="lessThan">
      <formula>0</formula>
    </cfRule>
  </conditionalFormatting>
  <conditionalFormatting sqref="V7:V24">
    <cfRule type="cellIs" dxfId="147" priority="28" operator="equal">
      <formula>0</formula>
    </cfRule>
    <cfRule type="cellIs" dxfId="146" priority="52" operator="lessThan">
      <formula>1</formula>
    </cfRule>
    <cfRule type="cellIs" dxfId="145" priority="84" operator="lessThan">
      <formula>0</formula>
    </cfRule>
  </conditionalFormatting>
  <conditionalFormatting sqref="E7">
    <cfRule type="cellIs" dxfId="144" priority="11" operator="equal">
      <formula>0</formula>
    </cfRule>
    <cfRule type="cellIs" dxfId="143" priority="32" operator="lessThan">
      <formula>1</formula>
    </cfRule>
    <cfRule type="cellIs" dxfId="142" priority="82" operator="lessThan">
      <formula>0</formula>
    </cfRule>
  </conditionalFormatting>
  <conditionalFormatting sqref="F7:F8">
    <cfRule type="cellIs" dxfId="141" priority="12" operator="equal">
      <formula>0</formula>
    </cfRule>
    <cfRule type="cellIs" dxfId="140" priority="33" operator="lessThan">
      <formula>1</formula>
    </cfRule>
    <cfRule type="cellIs" dxfId="139" priority="81" operator="lessThan">
      <formula>0</formula>
    </cfRule>
  </conditionalFormatting>
  <conditionalFormatting sqref="G7:G9">
    <cfRule type="cellIs" dxfId="138" priority="13" operator="equal">
      <formula>0</formula>
    </cfRule>
    <cfRule type="cellIs" dxfId="137" priority="34" operator="lessThan">
      <formula>1</formula>
    </cfRule>
    <cfRule type="cellIs" dxfId="136" priority="80" operator="lessThan">
      <formula>0</formula>
    </cfRule>
  </conditionalFormatting>
  <conditionalFormatting sqref="H7:H10">
    <cfRule type="cellIs" dxfId="135" priority="14" operator="equal">
      <formula>0</formula>
    </cfRule>
    <cfRule type="cellIs" dxfId="134" priority="35" operator="lessThan">
      <formula>1</formula>
    </cfRule>
    <cfRule type="cellIs" dxfId="133" priority="79" operator="lessThan">
      <formula>0</formula>
    </cfRule>
  </conditionalFormatting>
  <conditionalFormatting sqref="J7:J12">
    <cfRule type="cellIs" dxfId="132" priority="16" operator="equal">
      <formula>0</formula>
    </cfRule>
    <cfRule type="cellIs" dxfId="131" priority="37" operator="lessThan">
      <formula>1</formula>
    </cfRule>
    <cfRule type="cellIs" dxfId="130" priority="78" operator="lessThan">
      <formula>0</formula>
    </cfRule>
  </conditionalFormatting>
  <conditionalFormatting sqref="K7:K13">
    <cfRule type="cellIs" dxfId="129" priority="17" operator="equal">
      <formula>0</formula>
    </cfRule>
    <cfRule type="cellIs" dxfId="128" priority="38" operator="lessThan">
      <formula>1</formula>
    </cfRule>
    <cfRule type="cellIs" dxfId="127" priority="77" operator="lessThan">
      <formula>0</formula>
    </cfRule>
  </conditionalFormatting>
  <conditionalFormatting sqref="M7:M15">
    <cfRule type="cellIs" dxfId="126" priority="19" operator="equal">
      <formula>0</formula>
    </cfRule>
    <cfRule type="cellIs" dxfId="125" priority="41" operator="lessThan">
      <formula>1</formula>
    </cfRule>
    <cfRule type="cellIs" dxfId="124" priority="76" operator="lessThan">
      <formula>0</formula>
    </cfRule>
  </conditionalFormatting>
  <conditionalFormatting sqref="N7:N16">
    <cfRule type="cellIs" dxfId="123" priority="20" operator="equal">
      <formula>0</formula>
    </cfRule>
    <cfRule type="cellIs" dxfId="122" priority="42" operator="lessThan">
      <formula>1</formula>
    </cfRule>
    <cfRule type="cellIs" dxfId="121" priority="75" operator="lessThan">
      <formula>0</formula>
    </cfRule>
  </conditionalFormatting>
  <conditionalFormatting sqref="O7:O17">
    <cfRule type="cellIs" dxfId="120" priority="21" operator="equal">
      <formula>0</formula>
    </cfRule>
    <cfRule type="cellIs" dxfId="119" priority="40" operator="lessThan">
      <formula>1</formula>
    </cfRule>
    <cfRule type="cellIs" dxfId="118" priority="74" operator="lessThan">
      <formula>0</formula>
    </cfRule>
  </conditionalFormatting>
  <conditionalFormatting sqref="P7:P18">
    <cfRule type="cellIs" dxfId="117" priority="22" operator="equal">
      <formula>0</formula>
    </cfRule>
    <cfRule type="cellIs" dxfId="116" priority="43" operator="lessThan">
      <formula>1</formula>
    </cfRule>
    <cfRule type="cellIs" dxfId="115" priority="73" operator="lessThan">
      <formula>0</formula>
    </cfRule>
  </conditionalFormatting>
  <conditionalFormatting sqref="Q7:Q19">
    <cfRule type="cellIs" dxfId="114" priority="23" operator="equal">
      <formula>0</formula>
    </cfRule>
    <cfRule type="cellIs" dxfId="113" priority="44" operator="lessThan">
      <formula>1</formula>
    </cfRule>
    <cfRule type="cellIs" dxfId="112" priority="72" operator="lessThan">
      <formula>0</formula>
    </cfRule>
  </conditionalFormatting>
  <conditionalFormatting sqref="R7:R20">
    <cfRule type="cellIs" dxfId="111" priority="24" operator="equal">
      <formula>0</formula>
    </cfRule>
    <cfRule type="cellIs" dxfId="110" priority="45" operator="lessThan">
      <formula>1</formula>
    </cfRule>
    <cfRule type="cellIs" dxfId="109" priority="47" operator="lessThan">
      <formula>0</formula>
    </cfRule>
    <cfRule type="cellIs" dxfId="108" priority="48" operator="lessThan">
      <formula>0</formula>
    </cfRule>
    <cfRule type="cellIs" dxfId="107" priority="71" operator="lessThan">
      <formula>0</formula>
    </cfRule>
  </conditionalFormatting>
  <conditionalFormatting sqref="S7:S21">
    <cfRule type="cellIs" dxfId="106" priority="25" operator="equal">
      <formula>0</formula>
    </cfRule>
    <cfRule type="cellIs" dxfId="105" priority="49" operator="lessThan">
      <formula>1</formula>
    </cfRule>
    <cfRule type="cellIs" dxfId="104" priority="70" operator="lessThan">
      <formula>0</formula>
    </cfRule>
  </conditionalFormatting>
  <conditionalFormatting sqref="T7:T22">
    <cfRule type="cellIs" dxfId="103" priority="26" operator="equal">
      <formula>0</formula>
    </cfRule>
    <cfRule type="cellIs" dxfId="102" priority="50" operator="lessThan">
      <formula>1</formula>
    </cfRule>
    <cfRule type="cellIs" dxfId="101" priority="69" operator="lessThan">
      <formula>0</formula>
    </cfRule>
  </conditionalFormatting>
  <conditionalFormatting sqref="D59:G59">
    <cfRule type="cellIs" dxfId="100" priority="67" operator="lessThan">
      <formula>0</formula>
    </cfRule>
  </conditionalFormatting>
  <conditionalFormatting sqref="E60:G60">
    <cfRule type="cellIs" dxfId="99" priority="66" operator="lessThan">
      <formula>0</formula>
    </cfRule>
  </conditionalFormatting>
  <conditionalFormatting sqref="F61:G61">
    <cfRule type="cellIs" dxfId="98" priority="65" operator="lessThan">
      <formula>0</formula>
    </cfRule>
  </conditionalFormatting>
  <conditionalFormatting sqref="G62">
    <cfRule type="cellIs" dxfId="97" priority="64" operator="lessThan">
      <formula>0</formula>
    </cfRule>
  </conditionalFormatting>
  <conditionalFormatting sqref="Y7:Y27">
    <cfRule type="cellIs" dxfId="96" priority="31" operator="equal">
      <formula>0</formula>
    </cfRule>
    <cfRule type="cellIs" dxfId="95" priority="56" operator="lessThan">
      <formula>1</formula>
    </cfRule>
  </conditionalFormatting>
  <conditionalFormatting sqref="W7:W24">
    <cfRule type="cellIs" dxfId="94" priority="53" operator="lessThan">
      <formula>1</formula>
    </cfRule>
  </conditionalFormatting>
  <conditionalFormatting sqref="U7:U23">
    <cfRule type="cellIs" dxfId="93" priority="27" operator="equal">
      <formula>0</formula>
    </cfRule>
    <cfRule type="cellIs" dxfId="92" priority="51" operator="lessThan">
      <formula>1</formula>
    </cfRule>
  </conditionalFormatting>
  <conditionalFormatting sqref="S21">
    <cfRule type="cellIs" dxfId="91" priority="46" operator="lessThan">
      <formula>1</formula>
    </cfRule>
  </conditionalFormatting>
  <conditionalFormatting sqref="D59">
    <cfRule type="cellIs" dxfId="90" priority="3" operator="equal">
      <formula>0</formula>
    </cfRule>
    <cfRule type="cellIs" dxfId="89" priority="10" operator="lessThan">
      <formula>1</formula>
    </cfRule>
  </conditionalFormatting>
  <conditionalFormatting sqref="E59:E60">
    <cfRule type="cellIs" dxfId="88" priority="4" operator="equal">
      <formula>0</formula>
    </cfRule>
    <cfRule type="cellIs" dxfId="87" priority="9" operator="lessThan">
      <formula>1</formula>
    </cfRule>
  </conditionalFormatting>
  <conditionalFormatting sqref="F59:F61">
    <cfRule type="cellIs" dxfId="86" priority="5" operator="equal">
      <formula>0</formula>
    </cfRule>
    <cfRule type="cellIs" dxfId="85" priority="8" operator="lessThan">
      <formula>1</formula>
    </cfRule>
  </conditionalFormatting>
  <conditionalFormatting sqref="G59:G62">
    <cfRule type="cellIs" dxfId="84" priority="6" operator="equal">
      <formula>0</formula>
    </cfRule>
    <cfRule type="cellIs" dxfId="83" priority="7" operator="lessThan">
      <formula>1</formula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" operator="greaterThan" id="{79BF2F08-7DB0-473C-BD13-1F017C5A269B}">
            <xm:f>Threats!$K$2</xm:f>
            <x14:dxf>
              <font>
                <color rgb="FFFF0000"/>
              </font>
            </x14:dxf>
          </x14:cfRule>
          <xm:sqref>AJ58</xm:sqref>
        </x14:conditionalFormatting>
        <x14:conditionalFormatting xmlns:xm="http://schemas.microsoft.com/office/excel/2006/main">
          <x14:cfRule type="cellIs" priority="1" operator="greaterThan" id="{610E59AD-0B16-4B72-A7FF-198B3F803CAC}">
            <xm:f>Threats!$K$2</xm:f>
            <x14:dxf>
              <font>
                <color rgb="FFFF0000"/>
              </font>
            </x14:dxf>
          </x14:cfRule>
          <xm:sqref>AJ59:AJ62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W1034"/>
  <sheetViews>
    <sheetView topLeftCell="O13" zoomScale="55" zoomScaleNormal="55" workbookViewId="0">
      <selection activeCell="C34" sqref="C34"/>
    </sheetView>
  </sheetViews>
  <sheetFormatPr defaultColWidth="17.33203125" defaultRowHeight="13.2" x14ac:dyDescent="0.25"/>
  <cols>
    <col min="1" max="1" width="8.6640625" style="44" customWidth="1"/>
    <col min="2" max="2" width="16.6640625" style="44" customWidth="1"/>
    <col min="3" max="3" width="52.5546875" style="44" customWidth="1"/>
    <col min="4" max="4" width="14.88671875" style="44" customWidth="1"/>
    <col min="5" max="6" width="14.6640625" style="44" customWidth="1"/>
    <col min="7" max="7" width="17.33203125" style="44" customWidth="1"/>
    <col min="8" max="8" width="20.5546875" style="44" customWidth="1"/>
    <col min="9" max="9" width="15.33203125" style="44" customWidth="1"/>
    <col min="10" max="10" width="16" style="44" customWidth="1"/>
    <col min="11" max="11" width="14.88671875" style="44" customWidth="1"/>
    <col min="12" max="12" width="18.88671875" style="44" customWidth="1"/>
    <col min="13" max="13" width="15.33203125" style="44" customWidth="1"/>
    <col min="14" max="14" width="13" style="44" customWidth="1"/>
    <col min="15" max="15" width="13.6640625" style="44" customWidth="1"/>
    <col min="16" max="16" width="13" style="44" customWidth="1"/>
    <col min="17" max="17" width="13.88671875" style="44" customWidth="1"/>
    <col min="18" max="18" width="13.44140625" style="44" customWidth="1"/>
    <col min="19" max="19" width="12.33203125" style="44" customWidth="1"/>
    <col min="20" max="20" width="11.109375" style="44" customWidth="1"/>
    <col min="21" max="21" width="12.33203125" style="44" customWidth="1"/>
    <col min="22" max="22" width="10.5546875" style="44" customWidth="1"/>
    <col min="23" max="25" width="10.33203125" style="44" customWidth="1"/>
    <col min="26" max="27" width="19.5546875" style="44" customWidth="1"/>
    <col min="28" max="28" width="33.6640625" style="49" customWidth="1"/>
    <col min="29" max="29" width="35" style="44" customWidth="1"/>
    <col min="30" max="30" width="20.33203125" style="44" customWidth="1"/>
    <col min="31" max="31" width="24.109375" style="44" customWidth="1"/>
    <col min="32" max="32" width="46.109375" style="49" customWidth="1"/>
    <col min="33" max="33" width="25.33203125" style="44" customWidth="1"/>
    <col min="34" max="34" width="15.44140625" style="44" customWidth="1"/>
    <col min="35" max="35" width="22.44140625" style="44" customWidth="1"/>
    <col min="36" max="36" width="15.33203125" style="44" customWidth="1"/>
    <col min="37" max="37" width="8.6640625" style="44" customWidth="1"/>
    <col min="38" max="38" width="27.109375" style="44" customWidth="1"/>
    <col min="39" max="39" width="20" style="44" customWidth="1"/>
    <col min="40" max="44" width="8.6640625" style="44" customWidth="1"/>
    <col min="45" max="16384" width="17.33203125" style="44"/>
  </cols>
  <sheetData>
    <row r="1" spans="1:127" ht="12.75" customHeight="1" x14ac:dyDescent="0.25">
      <c r="B1" s="348" t="s">
        <v>322</v>
      </c>
      <c r="C1" s="349"/>
      <c r="D1" s="349"/>
      <c r="E1" s="349"/>
      <c r="F1" s="349"/>
      <c r="G1" s="349"/>
      <c r="H1" s="349"/>
      <c r="I1" s="349"/>
      <c r="J1" s="349"/>
      <c r="K1" s="349"/>
      <c r="L1" s="349"/>
      <c r="M1" s="349"/>
      <c r="N1" s="349"/>
      <c r="O1" s="349"/>
      <c r="P1" s="349"/>
      <c r="Q1" s="349"/>
      <c r="R1" s="349"/>
      <c r="S1" s="349"/>
      <c r="T1" s="349"/>
      <c r="U1" s="349"/>
      <c r="V1" s="349"/>
      <c r="W1" s="349"/>
      <c r="X1" s="349"/>
      <c r="Y1" s="349"/>
      <c r="Z1" s="349"/>
      <c r="AA1" s="349"/>
      <c r="AB1" s="349"/>
      <c r="AC1" s="349"/>
      <c r="AD1" s="349"/>
      <c r="AE1" s="349"/>
      <c r="AF1" s="350"/>
      <c r="AG1" s="47"/>
      <c r="AH1" s="47"/>
      <c r="AI1" s="47"/>
      <c r="AJ1" s="47"/>
      <c r="AK1" s="47"/>
      <c r="AL1" s="47"/>
      <c r="AM1" s="47"/>
      <c r="AN1" s="47"/>
      <c r="AO1" s="47"/>
      <c r="AP1" s="47"/>
      <c r="AQ1" s="47"/>
      <c r="AR1" s="47"/>
      <c r="AS1" s="47"/>
      <c r="AT1" s="47"/>
      <c r="AU1" s="47"/>
      <c r="AV1" s="47"/>
      <c r="AW1" s="47"/>
      <c r="AX1" s="47"/>
      <c r="AY1" s="47"/>
      <c r="AZ1" s="47"/>
      <c r="BA1" s="47"/>
      <c r="BB1" s="47"/>
      <c r="BC1" s="47"/>
      <c r="BD1" s="47"/>
      <c r="BE1" s="47"/>
      <c r="BF1" s="47"/>
      <c r="BG1" s="47"/>
      <c r="BH1" s="47"/>
      <c r="BI1" s="47"/>
      <c r="BJ1" s="47"/>
      <c r="BK1" s="47"/>
      <c r="BL1" s="47"/>
      <c r="BM1" s="47"/>
      <c r="BN1" s="47"/>
      <c r="BO1" s="47"/>
      <c r="BP1" s="47"/>
      <c r="BQ1" s="47"/>
      <c r="BR1" s="47"/>
      <c r="BS1" s="47"/>
      <c r="BT1" s="47"/>
      <c r="BU1" s="47"/>
      <c r="BV1" s="47"/>
      <c r="BW1" s="47"/>
      <c r="BX1" s="47"/>
      <c r="BY1" s="47"/>
      <c r="BZ1" s="47"/>
      <c r="CA1" s="47"/>
      <c r="CB1" s="47"/>
      <c r="CC1" s="47"/>
      <c r="CD1" s="47"/>
      <c r="CE1" s="47"/>
      <c r="CF1" s="47"/>
      <c r="CG1" s="47"/>
      <c r="CH1" s="47"/>
      <c r="CI1" s="47"/>
      <c r="CJ1" s="47"/>
      <c r="CK1" s="47"/>
      <c r="CL1" s="47"/>
      <c r="CM1" s="47"/>
      <c r="CN1" s="47"/>
      <c r="CO1" s="47"/>
      <c r="CP1" s="47"/>
      <c r="CQ1" s="47"/>
      <c r="CR1" s="47"/>
      <c r="CS1" s="47"/>
      <c r="CT1" s="47"/>
      <c r="CU1" s="47"/>
      <c r="CV1" s="47"/>
      <c r="CW1" s="47"/>
      <c r="CX1" s="47"/>
      <c r="CY1" s="47"/>
      <c r="CZ1" s="47"/>
      <c r="DA1" s="47"/>
      <c r="DB1" s="47"/>
      <c r="DC1" s="47"/>
      <c r="DD1" s="47"/>
      <c r="DE1" s="47"/>
      <c r="DF1" s="47"/>
      <c r="DG1" s="47"/>
      <c r="DH1" s="47"/>
      <c r="DI1" s="47"/>
      <c r="DJ1" s="47"/>
      <c r="DK1" s="47"/>
      <c r="DL1" s="47"/>
      <c r="DM1" s="47"/>
      <c r="DN1" s="47"/>
      <c r="DO1" s="47"/>
      <c r="DP1" s="47"/>
      <c r="DQ1" s="47"/>
      <c r="DR1" s="47"/>
      <c r="DS1" s="47"/>
      <c r="DT1" s="47"/>
      <c r="DU1" s="47"/>
      <c r="DV1" s="47"/>
      <c r="DW1" s="47"/>
    </row>
    <row r="2" spans="1:127" ht="12.75" customHeight="1" x14ac:dyDescent="0.25">
      <c r="A2" s="48"/>
      <c r="B2" s="351"/>
      <c r="C2" s="352"/>
      <c r="D2" s="352"/>
      <c r="E2" s="352"/>
      <c r="F2" s="352"/>
      <c r="G2" s="352"/>
      <c r="H2" s="352"/>
      <c r="I2" s="352"/>
      <c r="J2" s="352"/>
      <c r="K2" s="352"/>
      <c r="L2" s="352"/>
      <c r="M2" s="352"/>
      <c r="N2" s="352"/>
      <c r="O2" s="352"/>
      <c r="P2" s="352"/>
      <c r="Q2" s="352"/>
      <c r="R2" s="352"/>
      <c r="S2" s="352"/>
      <c r="T2" s="352"/>
      <c r="U2" s="352"/>
      <c r="V2" s="352"/>
      <c r="W2" s="352"/>
      <c r="X2" s="352"/>
      <c r="Y2" s="352"/>
      <c r="Z2" s="352"/>
      <c r="AA2" s="352"/>
      <c r="AB2" s="352"/>
      <c r="AC2" s="352"/>
      <c r="AD2" s="352"/>
      <c r="AE2" s="352"/>
      <c r="AF2" s="353"/>
      <c r="AG2" s="47"/>
      <c r="AH2" s="47"/>
      <c r="AI2" s="47"/>
      <c r="AJ2" s="47"/>
      <c r="AK2" s="47"/>
      <c r="AL2" s="47"/>
      <c r="AM2" s="47"/>
      <c r="AN2" s="47"/>
      <c r="AO2" s="47"/>
      <c r="AP2" s="47"/>
      <c r="AQ2" s="47"/>
      <c r="AR2" s="47"/>
      <c r="AS2" s="47"/>
      <c r="AT2" s="47"/>
      <c r="AU2" s="47"/>
      <c r="AV2" s="47"/>
      <c r="AW2" s="47"/>
      <c r="AX2" s="47"/>
      <c r="AY2" s="47"/>
      <c r="AZ2" s="47"/>
      <c r="BA2" s="47"/>
      <c r="BB2" s="47"/>
      <c r="BC2" s="47"/>
      <c r="BD2" s="47"/>
      <c r="BE2" s="47"/>
      <c r="BF2" s="47"/>
      <c r="BG2" s="47"/>
      <c r="BH2" s="47"/>
      <c r="BI2" s="47"/>
      <c r="BJ2" s="47"/>
      <c r="BK2" s="47"/>
      <c r="BL2" s="47"/>
      <c r="BM2" s="47"/>
      <c r="BN2" s="47"/>
      <c r="BO2" s="47"/>
      <c r="BP2" s="47"/>
      <c r="BQ2" s="47"/>
      <c r="BR2" s="47"/>
      <c r="BS2" s="47"/>
      <c r="BT2" s="47"/>
      <c r="BU2" s="47"/>
      <c r="BV2" s="47"/>
      <c r="BW2" s="47"/>
      <c r="BX2" s="47"/>
      <c r="BY2" s="47"/>
      <c r="BZ2" s="47"/>
      <c r="CA2" s="47"/>
      <c r="CB2" s="47"/>
      <c r="CC2" s="47"/>
      <c r="CD2" s="47"/>
      <c r="CE2" s="47"/>
      <c r="CF2" s="47"/>
      <c r="CG2" s="47"/>
      <c r="CH2" s="47"/>
      <c r="CI2" s="47"/>
      <c r="CJ2" s="47"/>
      <c r="CK2" s="47"/>
      <c r="CL2" s="47"/>
      <c r="CM2" s="47"/>
      <c r="CN2" s="47"/>
      <c r="CO2" s="47"/>
      <c r="CP2" s="47"/>
      <c r="CQ2" s="47"/>
      <c r="CR2" s="47"/>
      <c r="CS2" s="47"/>
      <c r="CT2" s="47"/>
      <c r="CU2" s="47"/>
      <c r="CV2" s="47"/>
      <c r="CW2" s="47"/>
      <c r="CX2" s="47"/>
      <c r="CY2" s="47"/>
      <c r="CZ2" s="47"/>
      <c r="DA2" s="47"/>
      <c r="DB2" s="47"/>
      <c r="DC2" s="47"/>
      <c r="DD2" s="47"/>
      <c r="DE2" s="47"/>
      <c r="DF2" s="47"/>
      <c r="DG2" s="47"/>
      <c r="DH2" s="47"/>
      <c r="DI2" s="47"/>
      <c r="DJ2" s="47"/>
      <c r="DK2" s="47"/>
      <c r="DL2" s="47"/>
      <c r="DM2" s="47"/>
      <c r="DN2" s="47"/>
      <c r="DO2" s="47"/>
      <c r="DP2" s="47"/>
      <c r="DQ2" s="47"/>
      <c r="DR2" s="47"/>
      <c r="DS2" s="47"/>
      <c r="DT2" s="47"/>
      <c r="DU2" s="47"/>
      <c r="DV2" s="47"/>
      <c r="DW2" s="47"/>
    </row>
    <row r="3" spans="1:127" ht="12.75" customHeight="1" x14ac:dyDescent="0.25">
      <c r="A3" s="48"/>
      <c r="B3" s="351"/>
      <c r="C3" s="352"/>
      <c r="D3" s="352"/>
      <c r="E3" s="352"/>
      <c r="F3" s="352"/>
      <c r="G3" s="352"/>
      <c r="H3" s="352"/>
      <c r="I3" s="352"/>
      <c r="J3" s="352"/>
      <c r="K3" s="352"/>
      <c r="L3" s="352"/>
      <c r="M3" s="352"/>
      <c r="N3" s="352"/>
      <c r="O3" s="352"/>
      <c r="P3" s="352"/>
      <c r="Q3" s="352"/>
      <c r="R3" s="352"/>
      <c r="S3" s="352"/>
      <c r="T3" s="352"/>
      <c r="U3" s="352"/>
      <c r="V3" s="352"/>
      <c r="W3" s="352"/>
      <c r="X3" s="352"/>
      <c r="Y3" s="352"/>
      <c r="Z3" s="352"/>
      <c r="AA3" s="352"/>
      <c r="AB3" s="352"/>
      <c r="AC3" s="352"/>
      <c r="AD3" s="352"/>
      <c r="AE3" s="352"/>
      <c r="AF3" s="353"/>
      <c r="AG3" s="47"/>
      <c r="AH3" s="47"/>
      <c r="AI3" s="47"/>
      <c r="AJ3" s="47"/>
      <c r="AK3" s="47"/>
      <c r="AL3" s="47"/>
      <c r="AM3" s="47"/>
      <c r="AN3" s="47"/>
      <c r="AO3" s="47"/>
      <c r="AP3" s="47"/>
      <c r="AQ3" s="47"/>
      <c r="AR3" s="47"/>
      <c r="AS3" s="47"/>
      <c r="AT3" s="47"/>
      <c r="AU3" s="47"/>
      <c r="AV3" s="47"/>
      <c r="AW3" s="47"/>
      <c r="AX3" s="47"/>
      <c r="AY3" s="47"/>
      <c r="AZ3" s="47"/>
      <c r="BA3" s="47"/>
      <c r="BB3" s="47"/>
      <c r="BC3" s="47"/>
      <c r="BD3" s="47"/>
      <c r="BE3" s="47"/>
      <c r="BF3" s="47"/>
      <c r="BG3" s="47"/>
      <c r="BH3" s="47"/>
      <c r="BI3" s="47"/>
      <c r="BJ3" s="47"/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</row>
    <row r="4" spans="1:127" ht="12.75" customHeight="1" thickBot="1" x14ac:dyDescent="0.3">
      <c r="A4" s="48"/>
      <c r="B4" s="354"/>
      <c r="C4" s="355"/>
      <c r="D4" s="355"/>
      <c r="E4" s="355"/>
      <c r="F4" s="355"/>
      <c r="G4" s="355"/>
      <c r="H4" s="355"/>
      <c r="I4" s="355"/>
      <c r="J4" s="355"/>
      <c r="K4" s="355"/>
      <c r="L4" s="355"/>
      <c r="M4" s="355"/>
      <c r="N4" s="355"/>
      <c r="O4" s="355"/>
      <c r="P4" s="355"/>
      <c r="Q4" s="355"/>
      <c r="R4" s="355"/>
      <c r="S4" s="355"/>
      <c r="T4" s="355"/>
      <c r="U4" s="355"/>
      <c r="V4" s="355"/>
      <c r="W4" s="355"/>
      <c r="X4" s="355"/>
      <c r="Y4" s="355"/>
      <c r="Z4" s="355"/>
      <c r="AA4" s="355"/>
      <c r="AB4" s="355"/>
      <c r="AC4" s="355"/>
      <c r="AD4" s="355"/>
      <c r="AE4" s="355"/>
      <c r="AF4" s="356"/>
      <c r="AG4" s="47"/>
      <c r="AH4" s="47"/>
      <c r="AI4" s="47"/>
      <c r="AJ4" s="47"/>
      <c r="AK4" s="47"/>
      <c r="AL4" s="47"/>
      <c r="AM4" s="47"/>
      <c r="AN4" s="47"/>
      <c r="AO4" s="47"/>
      <c r="AP4" s="47"/>
      <c r="AQ4" s="47"/>
      <c r="AR4" s="47"/>
      <c r="AS4" s="47"/>
      <c r="AT4" s="47"/>
      <c r="AU4" s="47"/>
      <c r="AV4" s="47"/>
      <c r="AW4" s="47"/>
      <c r="AX4" s="47"/>
      <c r="AY4" s="47"/>
      <c r="AZ4" s="47"/>
      <c r="BA4" s="47"/>
      <c r="BB4" s="47"/>
      <c r="BC4" s="47"/>
      <c r="BD4" s="47"/>
      <c r="BE4" s="47"/>
      <c r="BF4" s="47"/>
      <c r="BG4" s="47"/>
      <c r="BH4" s="47"/>
      <c r="BI4" s="47"/>
      <c r="BJ4" s="47"/>
      <c r="BK4" s="47"/>
      <c r="BL4" s="47"/>
      <c r="BM4" s="47"/>
      <c r="BN4" s="47"/>
      <c r="BO4" s="47"/>
      <c r="BP4" s="47"/>
      <c r="BQ4" s="47"/>
      <c r="BR4" s="47"/>
      <c r="BS4" s="47"/>
      <c r="BT4" s="47"/>
      <c r="BU4" s="47"/>
      <c r="BV4" s="47"/>
      <c r="BW4" s="47"/>
      <c r="BX4" s="47"/>
      <c r="BY4" s="47"/>
      <c r="BZ4" s="47"/>
      <c r="CA4" s="47"/>
      <c r="CB4" s="47"/>
      <c r="CC4" s="47"/>
      <c r="CD4" s="47"/>
      <c r="CE4" s="47"/>
      <c r="CF4" s="47"/>
      <c r="CG4" s="47"/>
      <c r="CH4" s="47"/>
      <c r="CI4" s="47"/>
      <c r="CJ4" s="47"/>
      <c r="CK4" s="47"/>
      <c r="CL4" s="47"/>
      <c r="CM4" s="47"/>
      <c r="CN4" s="47"/>
      <c r="CO4" s="47"/>
      <c r="CP4" s="47"/>
      <c r="CQ4" s="47"/>
      <c r="CR4" s="47"/>
      <c r="CS4" s="47"/>
      <c r="CT4" s="47"/>
      <c r="CU4" s="47"/>
      <c r="CV4" s="47"/>
      <c r="CW4" s="47"/>
      <c r="CX4" s="47"/>
      <c r="CY4" s="47"/>
      <c r="CZ4" s="47"/>
      <c r="DA4" s="47"/>
      <c r="DB4" s="47"/>
      <c r="DC4" s="47"/>
      <c r="DD4" s="47"/>
      <c r="DE4" s="47"/>
      <c r="DF4" s="47"/>
      <c r="DG4" s="47"/>
      <c r="DH4" s="47"/>
      <c r="DI4" s="47"/>
      <c r="DJ4" s="47"/>
      <c r="DK4" s="47"/>
      <c r="DL4" s="47"/>
      <c r="DM4" s="47"/>
      <c r="DN4" s="47"/>
      <c r="DO4" s="47"/>
      <c r="DP4" s="47"/>
      <c r="DQ4" s="47"/>
      <c r="DR4" s="47"/>
      <c r="DS4" s="47"/>
      <c r="DT4" s="47"/>
      <c r="DU4" s="47"/>
      <c r="DV4" s="47"/>
      <c r="DW4" s="47"/>
    </row>
    <row r="5" spans="1:127" ht="24.75" customHeight="1" x14ac:dyDescent="0.25">
      <c r="A5" s="48"/>
      <c r="B5" s="48"/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  <c r="AA5" s="48"/>
      <c r="AC5" s="50"/>
      <c r="AD5" s="50"/>
      <c r="AE5" s="50"/>
      <c r="AG5" s="50"/>
      <c r="AH5" s="50"/>
    </row>
    <row r="6" spans="1:127" ht="107.25" customHeight="1" x14ac:dyDescent="0.3">
      <c r="A6" s="48"/>
      <c r="B6" s="47"/>
      <c r="C6" s="51" t="s">
        <v>277</v>
      </c>
      <c r="D6" s="52" t="str">
        <f>Threats!A1</f>
        <v>T1-Power Loss</v>
      </c>
      <c r="E6" s="52" t="str">
        <f>Threats!A2</f>
        <v>T2-Hardware Failure</v>
      </c>
      <c r="F6" s="52" t="str">
        <f>Threats!A3</f>
        <v>T3-Software Crash</v>
      </c>
      <c r="G6" s="52" t="str">
        <f>Threats!A4</f>
        <v>T4-Operator Errors</v>
      </c>
      <c r="H6" s="52" t="str">
        <f>Threats!A5</f>
        <v>T5-Malicious Inside Action</v>
      </c>
      <c r="I6" s="52" t="str">
        <f>Threats!A6</f>
        <v>T6-Trojan and Worms</v>
      </c>
      <c r="J6" s="52" t="str">
        <f>Threats!A7</f>
        <v>T7-Fire</v>
      </c>
      <c r="K6" s="52" t="str">
        <f>Threats!A8</f>
        <v>T8-Other Enviromental Disasters</v>
      </c>
      <c r="L6" s="52" t="str">
        <f>Threats!A9</f>
        <v>T9-Availability Threats(DDOS)</v>
      </c>
      <c r="M6" s="52" t="str">
        <f>Threats!A10</f>
        <v>T10-Disk Failure</v>
      </c>
      <c r="N6" s="52" t="str">
        <f>Threats!A11</f>
        <v>T11-Data Corruption</v>
      </c>
      <c r="O6" s="52" t="str">
        <f>Threats!A12</f>
        <v>T12-Inaccurrate Data</v>
      </c>
      <c r="P6" s="52" t="str">
        <f>Threats!A13</f>
        <v>T13-Un-authorized Access</v>
      </c>
      <c r="Q6" s="52" t="str">
        <f>Threats!A14</f>
        <v>T14-Virus and Spyware</v>
      </c>
      <c r="R6" s="52" t="str">
        <f>Threats!A15</f>
        <v>T15-Hacking</v>
      </c>
      <c r="S6" s="52" t="str">
        <f>Threats!A16</f>
        <v>T16-Media Leakage</v>
      </c>
      <c r="T6" s="52" t="str">
        <f>Threats!A17</f>
        <v>T17-Communication Preventers(Botnet, Dialer)</v>
      </c>
      <c r="U6" s="52" t="str">
        <f>Threats!A18</f>
        <v>T18-Authentication Threats</v>
      </c>
      <c r="V6" s="52" t="str">
        <f>Threats!A19</f>
        <v>T19-Non Repudiation Threats</v>
      </c>
      <c r="W6" s="52" t="str">
        <f>Threats!A20</f>
        <v>T20-Separation of Duties</v>
      </c>
      <c r="X6" s="52" t="str">
        <f>Threats!A21</f>
        <v>T21-Configuration Threats</v>
      </c>
      <c r="Y6" s="52" t="str">
        <f>Threats!A22</f>
        <v>T22- Communications Threats</v>
      </c>
      <c r="Z6" s="52" t="s">
        <v>256</v>
      </c>
      <c r="AA6" s="53"/>
      <c r="AB6" s="357" t="s">
        <v>266</v>
      </c>
      <c r="AC6" s="357"/>
      <c r="AD6" s="357"/>
      <c r="AE6" s="54"/>
      <c r="AF6" s="54"/>
      <c r="AG6" s="54"/>
      <c r="AH6" s="47"/>
      <c r="AI6" s="47"/>
      <c r="AJ6" s="47"/>
      <c r="AK6" s="47"/>
      <c r="AL6" s="47"/>
      <c r="AM6" s="47"/>
      <c r="AN6" s="47"/>
      <c r="AO6" s="47"/>
      <c r="AP6" s="47"/>
      <c r="AQ6" s="47"/>
      <c r="AR6" s="47"/>
      <c r="AS6" s="47"/>
      <c r="AT6" s="47"/>
      <c r="AU6" s="47"/>
      <c r="AV6" s="47"/>
      <c r="AW6" s="47"/>
      <c r="AX6" s="47"/>
      <c r="AY6" s="47"/>
      <c r="AZ6" s="47"/>
      <c r="BA6" s="47"/>
      <c r="BB6" s="47"/>
      <c r="BC6" s="47"/>
      <c r="BD6" s="47"/>
      <c r="BE6" s="47"/>
      <c r="BF6" s="47"/>
      <c r="BG6" s="47"/>
      <c r="BH6" s="47"/>
      <c r="BI6" s="47"/>
      <c r="BJ6" s="47"/>
      <c r="BK6" s="47"/>
      <c r="BL6" s="47"/>
      <c r="BM6" s="47"/>
      <c r="BN6" s="47"/>
      <c r="BO6" s="47"/>
      <c r="BP6" s="47"/>
      <c r="BQ6" s="47"/>
      <c r="BR6" s="47"/>
      <c r="BS6" s="47"/>
      <c r="BT6" s="47"/>
      <c r="BU6" s="47"/>
      <c r="BV6" s="47"/>
      <c r="BW6" s="47"/>
      <c r="BX6" s="47"/>
      <c r="BY6" s="47"/>
      <c r="BZ6" s="47"/>
      <c r="CA6" s="47"/>
      <c r="CB6" s="47"/>
      <c r="CC6" s="47"/>
      <c r="CD6" s="47"/>
      <c r="CE6" s="47"/>
      <c r="CF6" s="47"/>
      <c r="CG6" s="47"/>
      <c r="CH6" s="47"/>
      <c r="CI6" s="47"/>
      <c r="CJ6" s="47"/>
      <c r="CK6" s="47"/>
      <c r="CL6" s="47"/>
      <c r="CM6" s="47"/>
      <c r="CN6" s="47"/>
      <c r="CO6" s="47"/>
      <c r="CP6" s="47"/>
      <c r="CQ6" s="47"/>
      <c r="CR6" s="47"/>
      <c r="CS6" s="47"/>
      <c r="CT6" s="47"/>
      <c r="CU6" s="47"/>
      <c r="CV6" s="47"/>
      <c r="CW6" s="47"/>
      <c r="CX6" s="47"/>
      <c r="CY6" s="47"/>
      <c r="CZ6" s="47"/>
      <c r="DA6" s="47"/>
      <c r="DB6" s="47"/>
      <c r="DC6" s="47"/>
      <c r="DD6" s="47"/>
      <c r="DE6" s="47"/>
      <c r="DF6" s="47"/>
      <c r="DG6" s="47"/>
      <c r="DH6" s="47"/>
      <c r="DI6" s="47"/>
      <c r="DJ6" s="47"/>
      <c r="DK6" s="47"/>
      <c r="DL6" s="47"/>
      <c r="DM6" s="47"/>
      <c r="DN6" s="47"/>
      <c r="DO6" s="47"/>
      <c r="DP6" s="47"/>
      <c r="DQ6" s="47"/>
      <c r="DR6" s="47"/>
      <c r="DS6" s="47"/>
      <c r="DT6" s="47"/>
      <c r="DU6" s="47"/>
      <c r="DV6" s="47"/>
    </row>
    <row r="7" spans="1:127" ht="12.75" customHeight="1" thickBot="1" x14ac:dyDescent="0.3">
      <c r="A7" s="48"/>
      <c r="B7" s="47"/>
      <c r="C7" s="55" t="str">
        <f>Threats!A1</f>
        <v>T1-Power Loss</v>
      </c>
      <c r="D7" s="56">
        <v>1</v>
      </c>
      <c r="E7" s="37">
        <v>0.1111111111111111</v>
      </c>
      <c r="F7" s="37">
        <v>0.1111111111111111</v>
      </c>
      <c r="G7" s="37">
        <v>0.1111111111111111</v>
      </c>
      <c r="H7" s="37">
        <v>0.1111111111111111</v>
      </c>
      <c r="I7" s="37">
        <v>0.1111111111111111</v>
      </c>
      <c r="J7" s="37">
        <v>0.1111111111111111</v>
      </c>
      <c r="K7" s="37">
        <v>0.1111111111111111</v>
      </c>
      <c r="L7" s="37">
        <v>0.1111111111111111</v>
      </c>
      <c r="M7" s="37">
        <v>0</v>
      </c>
      <c r="N7" s="37">
        <v>0</v>
      </c>
      <c r="O7" s="37">
        <v>0</v>
      </c>
      <c r="P7" s="37">
        <v>0</v>
      </c>
      <c r="Q7" s="37">
        <v>0</v>
      </c>
      <c r="R7" s="37">
        <v>0</v>
      </c>
      <c r="S7" s="37">
        <v>0</v>
      </c>
      <c r="T7" s="37">
        <v>0</v>
      </c>
      <c r="U7" s="37">
        <v>0</v>
      </c>
      <c r="V7" s="37">
        <v>0</v>
      </c>
      <c r="W7" s="37">
        <v>0</v>
      </c>
      <c r="X7" s="37">
        <v>0</v>
      </c>
      <c r="Y7" s="37">
        <v>0</v>
      </c>
      <c r="Z7" s="57" t="str">
        <f>Threats!B1</f>
        <v>Threats to The Level of Service</v>
      </c>
      <c r="AA7" s="47"/>
      <c r="AB7" s="358" t="s">
        <v>255</v>
      </c>
      <c r="AC7" s="359"/>
      <c r="AD7" s="359"/>
      <c r="AE7" s="47"/>
      <c r="AF7" s="47"/>
      <c r="AG7" s="47"/>
      <c r="AH7" s="47"/>
      <c r="AI7" s="47"/>
      <c r="AJ7" s="47"/>
      <c r="AK7" s="47"/>
      <c r="AL7" s="47"/>
      <c r="AM7" s="47"/>
      <c r="AN7" s="47"/>
      <c r="AO7" s="47"/>
      <c r="AP7" s="47"/>
      <c r="AQ7" s="47"/>
      <c r="AR7" s="47"/>
      <c r="AS7" s="47"/>
      <c r="AT7" s="47"/>
      <c r="AU7" s="47"/>
      <c r="AV7" s="47"/>
      <c r="AW7" s="47"/>
      <c r="AX7" s="47"/>
      <c r="AY7" s="47"/>
      <c r="AZ7" s="47"/>
      <c r="BA7" s="47"/>
      <c r="BB7" s="47"/>
      <c r="BC7" s="47"/>
      <c r="BD7" s="47"/>
      <c r="BE7" s="47"/>
      <c r="BF7" s="47"/>
      <c r="BG7" s="47"/>
      <c r="BH7" s="47"/>
      <c r="BI7" s="47"/>
      <c r="BJ7" s="47"/>
      <c r="BK7" s="47"/>
      <c r="BL7" s="47"/>
      <c r="BM7" s="47"/>
      <c r="BN7" s="47"/>
      <c r="BO7" s="47"/>
      <c r="BP7" s="47"/>
      <c r="BQ7" s="47"/>
      <c r="BR7" s="47"/>
      <c r="BS7" s="47"/>
      <c r="BT7" s="47"/>
      <c r="BU7" s="47"/>
      <c r="BV7" s="47"/>
      <c r="BW7" s="47"/>
      <c r="BX7" s="47"/>
      <c r="BY7" s="47"/>
      <c r="BZ7" s="47"/>
      <c r="CA7" s="47"/>
      <c r="CB7" s="47"/>
      <c r="CC7" s="47"/>
      <c r="CD7" s="47"/>
      <c r="CE7" s="47"/>
      <c r="CF7" s="47"/>
      <c r="CG7" s="47"/>
      <c r="CH7" s="47"/>
      <c r="CI7" s="47"/>
      <c r="CJ7" s="47"/>
      <c r="CK7" s="47"/>
      <c r="CL7" s="47"/>
      <c r="CM7" s="47"/>
      <c r="CN7" s="47"/>
      <c r="CO7" s="47"/>
      <c r="CP7" s="47"/>
      <c r="CQ7" s="47"/>
      <c r="CR7" s="47"/>
      <c r="CS7" s="47"/>
      <c r="CT7" s="47"/>
      <c r="CU7" s="47"/>
      <c r="CV7" s="47"/>
      <c r="CW7" s="47"/>
      <c r="CX7" s="47"/>
      <c r="CY7" s="47"/>
      <c r="CZ7" s="47"/>
      <c r="DA7" s="47"/>
      <c r="DB7" s="47"/>
      <c r="DC7" s="47"/>
      <c r="DD7" s="47"/>
      <c r="DE7" s="47"/>
      <c r="DF7" s="47"/>
      <c r="DG7" s="47"/>
      <c r="DH7" s="47"/>
      <c r="DI7" s="47"/>
      <c r="DJ7" s="47"/>
      <c r="DK7" s="47"/>
      <c r="DL7" s="47"/>
      <c r="DM7" s="47"/>
      <c r="DN7" s="47"/>
      <c r="DO7" s="58"/>
      <c r="DP7" s="58"/>
      <c r="DQ7" s="58"/>
      <c r="DR7" s="58"/>
      <c r="DS7" s="58"/>
      <c r="DT7" s="58"/>
      <c r="DU7" s="59"/>
      <c r="DV7" s="59"/>
    </row>
    <row r="8" spans="1:127" ht="12.75" customHeight="1" thickBot="1" x14ac:dyDescent="0.3">
      <c r="A8" s="48"/>
      <c r="B8" s="47"/>
      <c r="C8" s="60" t="str">
        <f>Threats!A2</f>
        <v>T2-Hardware Failure</v>
      </c>
      <c r="D8" s="61">
        <f>IF(E$7 &lt;&gt;0, ($D$7/E$7), 0)</f>
        <v>9</v>
      </c>
      <c r="E8" s="62">
        <v>1</v>
      </c>
      <c r="F8" s="38">
        <v>4</v>
      </c>
      <c r="G8" s="38">
        <v>3</v>
      </c>
      <c r="H8" s="38">
        <v>1</v>
      </c>
      <c r="I8" s="38">
        <v>3</v>
      </c>
      <c r="J8" s="38">
        <v>0.14285714285714285</v>
      </c>
      <c r="K8" s="38">
        <v>0.14285714285714285</v>
      </c>
      <c r="L8" s="38">
        <v>0.33333333333333331</v>
      </c>
      <c r="M8" s="38">
        <v>0</v>
      </c>
      <c r="N8" s="38">
        <v>0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63" t="str">
        <f>Threats!B2</f>
        <v>Threats to The Level of Service</v>
      </c>
      <c r="AA8" s="47"/>
      <c r="AB8" s="360" t="s">
        <v>255</v>
      </c>
      <c r="AC8" s="361"/>
      <c r="AD8" s="361"/>
      <c r="AE8" s="47"/>
      <c r="AF8" s="47"/>
      <c r="AG8" s="47"/>
      <c r="AH8" s="47"/>
      <c r="AI8" s="47"/>
      <c r="AJ8" s="47"/>
      <c r="AK8" s="47"/>
      <c r="AL8" s="47"/>
      <c r="AM8" s="47"/>
      <c r="AN8" s="47"/>
      <c r="AO8" s="47"/>
      <c r="AP8" s="47"/>
      <c r="AQ8" s="47"/>
      <c r="AR8" s="47"/>
      <c r="AS8" s="47"/>
      <c r="AT8" s="47"/>
      <c r="AU8" s="47"/>
      <c r="AV8" s="47"/>
      <c r="AW8" s="47"/>
      <c r="AX8" s="47"/>
      <c r="AY8" s="47"/>
      <c r="AZ8" s="47"/>
      <c r="BA8" s="47"/>
      <c r="BB8" s="47"/>
      <c r="BC8" s="47"/>
      <c r="BD8" s="47"/>
      <c r="BE8" s="47"/>
      <c r="BF8" s="47"/>
      <c r="BG8" s="47"/>
      <c r="BH8" s="47"/>
      <c r="BI8" s="47"/>
      <c r="BJ8" s="47"/>
      <c r="BK8" s="47"/>
      <c r="BL8" s="47"/>
      <c r="BM8" s="47"/>
      <c r="BN8" s="47"/>
      <c r="BO8" s="47"/>
      <c r="BP8" s="47"/>
      <c r="BQ8" s="47"/>
      <c r="BR8" s="47"/>
      <c r="BS8" s="47"/>
      <c r="BT8" s="47"/>
      <c r="BU8" s="47"/>
      <c r="BV8" s="47"/>
      <c r="BW8" s="47"/>
      <c r="BX8" s="47"/>
      <c r="BY8" s="47"/>
      <c r="BZ8" s="47"/>
      <c r="CA8" s="47"/>
      <c r="CB8" s="47"/>
      <c r="CC8" s="47"/>
      <c r="CD8" s="47"/>
      <c r="CE8" s="47"/>
      <c r="CF8" s="47"/>
      <c r="CG8" s="47"/>
      <c r="CH8" s="47"/>
      <c r="CI8" s="47"/>
      <c r="CJ8" s="47"/>
      <c r="CK8" s="47"/>
      <c r="CL8" s="47"/>
      <c r="CM8" s="47"/>
      <c r="CN8" s="47"/>
      <c r="CO8" s="47"/>
      <c r="CP8" s="47"/>
      <c r="CQ8" s="47"/>
      <c r="CR8" s="47"/>
      <c r="CS8" s="47"/>
      <c r="CT8" s="47"/>
      <c r="CU8" s="47"/>
      <c r="CV8" s="47"/>
      <c r="CW8" s="47"/>
      <c r="CX8" s="47"/>
      <c r="CY8" s="47"/>
      <c r="CZ8" s="47"/>
      <c r="DA8" s="47"/>
      <c r="DB8" s="47"/>
      <c r="DC8" s="47"/>
      <c r="DD8" s="47"/>
      <c r="DE8" s="47"/>
      <c r="DF8" s="47"/>
      <c r="DG8" s="47"/>
      <c r="DH8" s="47"/>
      <c r="DI8" s="47"/>
      <c r="DJ8" s="47"/>
      <c r="DK8" s="47"/>
      <c r="DL8" s="47"/>
      <c r="DM8" s="47"/>
      <c r="DN8" s="47"/>
      <c r="DO8" s="58"/>
      <c r="DP8" s="58"/>
      <c r="DQ8" s="58"/>
      <c r="DR8" s="58"/>
      <c r="DS8" s="58"/>
      <c r="DT8" s="58"/>
      <c r="DU8" s="59"/>
      <c r="DV8" s="59"/>
    </row>
    <row r="9" spans="1:127" ht="12.75" customHeight="1" thickBot="1" x14ac:dyDescent="0.3">
      <c r="A9" s="48"/>
      <c r="B9" s="47"/>
      <c r="C9" s="60" t="str">
        <f>Threats!A3</f>
        <v>T3-Software Crash</v>
      </c>
      <c r="D9" s="64">
        <f>IF($F7&lt;&gt;0, $D$7/F$7, 0)</f>
        <v>9</v>
      </c>
      <c r="E9" s="65">
        <f>IF(F$8 &lt;&gt;0,$E$8/F$8,0)</f>
        <v>0.25</v>
      </c>
      <c r="F9" s="62">
        <v>1</v>
      </c>
      <c r="G9" s="190">
        <v>0.33333333333333331</v>
      </c>
      <c r="H9" s="190">
        <v>0.25</v>
      </c>
      <c r="I9" s="190">
        <v>0.16666666666666666</v>
      </c>
      <c r="J9" s="190">
        <v>0.1111111111111111</v>
      </c>
      <c r="K9" s="190">
        <v>0.1111111111111111</v>
      </c>
      <c r="L9" s="190">
        <v>0.2</v>
      </c>
      <c r="M9" s="190">
        <v>0</v>
      </c>
      <c r="N9" s="190">
        <v>0</v>
      </c>
      <c r="O9" s="190">
        <v>0</v>
      </c>
      <c r="P9" s="190">
        <v>0</v>
      </c>
      <c r="Q9" s="190">
        <v>0</v>
      </c>
      <c r="R9" s="190">
        <v>0</v>
      </c>
      <c r="S9" s="190">
        <v>0</v>
      </c>
      <c r="T9" s="190">
        <v>0</v>
      </c>
      <c r="U9" s="190">
        <v>0</v>
      </c>
      <c r="V9" s="190">
        <v>0</v>
      </c>
      <c r="W9" s="190">
        <v>0</v>
      </c>
      <c r="X9" s="190">
        <v>0</v>
      </c>
      <c r="Y9" s="190">
        <v>0</v>
      </c>
      <c r="Z9" s="66" t="str">
        <f>Threats!B3</f>
        <v>Threats to The Level of Service</v>
      </c>
      <c r="AA9" s="47"/>
      <c r="AB9" s="362" t="s">
        <v>255</v>
      </c>
      <c r="AC9" s="363"/>
      <c r="AD9" s="363"/>
      <c r="AE9" s="47"/>
      <c r="AF9" s="47"/>
      <c r="AG9" s="47"/>
      <c r="AH9" s="47"/>
      <c r="AI9" s="47"/>
      <c r="AJ9" s="47"/>
      <c r="AK9" s="47"/>
      <c r="AL9" s="47"/>
      <c r="AM9" s="47"/>
      <c r="AN9" s="47"/>
      <c r="AO9" s="47"/>
      <c r="AP9" s="47"/>
      <c r="AQ9" s="47"/>
      <c r="AR9" s="47"/>
      <c r="AS9" s="47"/>
      <c r="AT9" s="47"/>
      <c r="AU9" s="47"/>
      <c r="AV9" s="47"/>
      <c r="AW9" s="47"/>
      <c r="AX9" s="47"/>
      <c r="AY9" s="47"/>
      <c r="AZ9" s="47"/>
      <c r="BA9" s="47"/>
      <c r="BB9" s="47"/>
      <c r="BC9" s="47"/>
      <c r="BD9" s="47"/>
      <c r="BE9" s="47"/>
      <c r="BF9" s="47"/>
      <c r="BG9" s="47"/>
      <c r="BH9" s="47"/>
      <c r="BI9" s="47"/>
      <c r="BJ9" s="47"/>
      <c r="BK9" s="47"/>
      <c r="BL9" s="47"/>
      <c r="BM9" s="47"/>
      <c r="BN9" s="47"/>
      <c r="BO9" s="47"/>
      <c r="BP9" s="47"/>
      <c r="BQ9" s="47"/>
      <c r="BR9" s="47"/>
      <c r="BS9" s="47"/>
      <c r="BT9" s="47"/>
      <c r="BU9" s="47"/>
      <c r="BV9" s="47"/>
      <c r="BW9" s="47"/>
      <c r="BX9" s="47"/>
      <c r="BY9" s="47"/>
      <c r="BZ9" s="47"/>
      <c r="CA9" s="47"/>
      <c r="CB9" s="47"/>
      <c r="CC9" s="47"/>
      <c r="CD9" s="47"/>
      <c r="CE9" s="47"/>
      <c r="CF9" s="47"/>
      <c r="CG9" s="47"/>
      <c r="CH9" s="47"/>
      <c r="CI9" s="47"/>
      <c r="CJ9" s="47"/>
      <c r="CK9" s="47"/>
      <c r="CL9" s="47"/>
      <c r="CM9" s="47"/>
      <c r="CN9" s="47"/>
      <c r="CO9" s="47"/>
      <c r="CP9" s="47"/>
      <c r="CQ9" s="47"/>
      <c r="CR9" s="47"/>
      <c r="CS9" s="47"/>
      <c r="CT9" s="47"/>
      <c r="CU9" s="47"/>
      <c r="CV9" s="47"/>
      <c r="CW9" s="47"/>
      <c r="CX9" s="47"/>
      <c r="CY9" s="47"/>
      <c r="CZ9" s="47"/>
      <c r="DA9" s="47"/>
      <c r="DB9" s="47"/>
      <c r="DC9" s="47"/>
      <c r="DD9" s="47"/>
      <c r="DE9" s="47"/>
      <c r="DF9" s="47"/>
      <c r="DG9" s="47"/>
      <c r="DH9" s="47"/>
      <c r="DI9" s="47"/>
      <c r="DJ9" s="47"/>
      <c r="DK9" s="47"/>
      <c r="DL9" s="47"/>
      <c r="DM9" s="47"/>
      <c r="DN9" s="47"/>
      <c r="DO9" s="58"/>
      <c r="DP9" s="58"/>
      <c r="DQ9" s="58"/>
      <c r="DR9" s="58"/>
      <c r="DS9" s="58"/>
      <c r="DT9" s="58"/>
      <c r="DU9" s="59"/>
      <c r="DV9" s="59"/>
    </row>
    <row r="10" spans="1:127" ht="12.75" customHeight="1" thickBot="1" x14ac:dyDescent="0.3">
      <c r="A10" s="48"/>
      <c r="B10" s="47"/>
      <c r="C10" s="60" t="str">
        <f>Threats!A4</f>
        <v>T4-Operator Errors</v>
      </c>
      <c r="D10" s="64">
        <f>IF(G$7&lt;&gt;0, $D$7/G$7, 0)</f>
        <v>9</v>
      </c>
      <c r="E10" s="67">
        <f>IF(G$8 &lt;&gt; 0, $E$8/G$8, 0)</f>
        <v>0.33333333333333331</v>
      </c>
      <c r="F10" s="65">
        <f>IF(G$9 &lt;&gt; 0, ($F$9/G$9), 0)</f>
        <v>3</v>
      </c>
      <c r="G10" s="62">
        <v>1</v>
      </c>
      <c r="H10" s="191">
        <v>0.33333333333333331</v>
      </c>
      <c r="I10" s="191">
        <v>0.5</v>
      </c>
      <c r="J10" s="191">
        <v>0.125</v>
      </c>
      <c r="K10" s="191">
        <v>0.125</v>
      </c>
      <c r="L10" s="191">
        <v>0.25</v>
      </c>
      <c r="M10" s="191">
        <v>0</v>
      </c>
      <c r="N10" s="191">
        <v>0</v>
      </c>
      <c r="O10" s="191">
        <v>0</v>
      </c>
      <c r="P10" s="191">
        <v>0</v>
      </c>
      <c r="Q10" s="191">
        <v>0</v>
      </c>
      <c r="R10" s="191">
        <v>0</v>
      </c>
      <c r="S10" s="191">
        <v>0</v>
      </c>
      <c r="T10" s="191">
        <v>0</v>
      </c>
      <c r="U10" s="191">
        <v>0</v>
      </c>
      <c r="V10" s="191">
        <v>0</v>
      </c>
      <c r="W10" s="191">
        <v>0</v>
      </c>
      <c r="X10" s="191">
        <v>0</v>
      </c>
      <c r="Y10" s="191">
        <v>0</v>
      </c>
      <c r="Z10" s="68" t="str">
        <f>Threats!B4</f>
        <v>Threats to The Level of Service</v>
      </c>
      <c r="AA10" s="47"/>
      <c r="AB10" s="346" t="s">
        <v>255</v>
      </c>
      <c r="AC10" s="347"/>
      <c r="AD10" s="347"/>
      <c r="AE10" s="47"/>
      <c r="AF10" s="47"/>
      <c r="AG10" s="47"/>
      <c r="AH10" s="47"/>
      <c r="AI10" s="47"/>
      <c r="AJ10" s="47"/>
      <c r="AK10" s="47"/>
      <c r="AL10" s="47"/>
      <c r="AM10" s="47"/>
      <c r="AN10" s="47"/>
      <c r="AO10" s="47"/>
      <c r="AP10" s="47"/>
      <c r="AQ10" s="47"/>
      <c r="AR10" s="47"/>
      <c r="AS10" s="47"/>
      <c r="AT10" s="47"/>
      <c r="AU10" s="47"/>
      <c r="AV10" s="47"/>
      <c r="AW10" s="47"/>
      <c r="AX10" s="47"/>
      <c r="AY10" s="47"/>
      <c r="AZ10" s="47"/>
      <c r="BA10" s="47"/>
      <c r="BB10" s="47"/>
      <c r="BC10" s="47"/>
      <c r="BD10" s="47"/>
      <c r="BE10" s="47"/>
      <c r="BF10" s="47"/>
      <c r="BG10" s="47"/>
      <c r="BH10" s="47"/>
      <c r="BI10" s="47"/>
      <c r="BJ10" s="47"/>
      <c r="BK10" s="47"/>
      <c r="BL10" s="47"/>
      <c r="BM10" s="47"/>
      <c r="BN10" s="47"/>
      <c r="BO10" s="47"/>
      <c r="BP10" s="47"/>
      <c r="BQ10" s="47"/>
      <c r="BR10" s="47"/>
      <c r="BS10" s="47"/>
      <c r="BT10" s="47"/>
      <c r="BU10" s="47"/>
      <c r="BV10" s="47"/>
      <c r="BW10" s="47"/>
      <c r="BX10" s="47"/>
      <c r="BY10" s="47"/>
      <c r="BZ10" s="47"/>
      <c r="CA10" s="47"/>
      <c r="CB10" s="47"/>
      <c r="CC10" s="47"/>
      <c r="CD10" s="47"/>
      <c r="CE10" s="47"/>
      <c r="CF10" s="47"/>
      <c r="CG10" s="47"/>
      <c r="CH10" s="47"/>
      <c r="CI10" s="47"/>
      <c r="CJ10" s="47"/>
      <c r="CK10" s="47"/>
      <c r="CL10" s="47"/>
      <c r="CM10" s="47"/>
      <c r="CN10" s="47"/>
      <c r="CO10" s="47"/>
      <c r="CP10" s="47"/>
      <c r="CQ10" s="47"/>
      <c r="CR10" s="47"/>
      <c r="CS10" s="47"/>
      <c r="CT10" s="47"/>
      <c r="CU10" s="47"/>
      <c r="CV10" s="47"/>
      <c r="CW10" s="47"/>
      <c r="CX10" s="47"/>
      <c r="CY10" s="47"/>
      <c r="CZ10" s="47"/>
      <c r="DA10" s="47"/>
      <c r="DB10" s="47"/>
      <c r="DC10" s="47"/>
      <c r="DD10" s="47"/>
      <c r="DE10" s="47"/>
      <c r="DF10" s="47"/>
      <c r="DG10" s="47"/>
      <c r="DH10" s="47"/>
      <c r="DI10" s="47"/>
      <c r="DJ10" s="47"/>
      <c r="DK10" s="47"/>
      <c r="DL10" s="47"/>
      <c r="DM10" s="47"/>
      <c r="DN10" s="47"/>
      <c r="DO10" s="58"/>
      <c r="DP10" s="58"/>
      <c r="DQ10" s="58"/>
      <c r="DR10" s="58"/>
      <c r="DS10" s="58"/>
      <c r="DT10" s="58"/>
      <c r="DU10" s="59"/>
      <c r="DV10" s="59"/>
    </row>
    <row r="11" spans="1:127" ht="12.75" customHeight="1" thickBot="1" x14ac:dyDescent="0.3">
      <c r="A11" s="48"/>
      <c r="B11" s="47"/>
      <c r="C11" s="60" t="str">
        <f>Threats!A5</f>
        <v>T5-Malicious Inside Action</v>
      </c>
      <c r="D11" s="64">
        <f>IF(H$7&lt;&gt;0, ($D$7/H$7), 0)</f>
        <v>9</v>
      </c>
      <c r="E11" s="67">
        <f>IF(H$8 &lt;&gt; 0, $E$8/H$8, 0)</f>
        <v>1</v>
      </c>
      <c r="F11" s="67">
        <f>IF(H9&lt;&gt;0, (F9/H9),0)</f>
        <v>4</v>
      </c>
      <c r="G11" s="65">
        <f>IF(H$10&lt;&gt;0, ($G$10/H$10),0)</f>
        <v>3</v>
      </c>
      <c r="H11" s="62">
        <v>1</v>
      </c>
      <c r="I11" s="192">
        <v>6</v>
      </c>
      <c r="J11" s="192">
        <v>1</v>
      </c>
      <c r="K11" s="192">
        <v>1</v>
      </c>
      <c r="L11" s="192">
        <v>4</v>
      </c>
      <c r="M11" s="192">
        <v>0</v>
      </c>
      <c r="N11" s="192">
        <v>0</v>
      </c>
      <c r="O11" s="192">
        <v>0</v>
      </c>
      <c r="P11" s="192">
        <v>0</v>
      </c>
      <c r="Q11" s="192">
        <v>0</v>
      </c>
      <c r="R11" s="192">
        <v>0</v>
      </c>
      <c r="S11" s="192">
        <v>0</v>
      </c>
      <c r="T11" s="192">
        <v>0</v>
      </c>
      <c r="U11" s="192">
        <v>0</v>
      </c>
      <c r="V11" s="192">
        <v>0</v>
      </c>
      <c r="W11" s="192">
        <v>0</v>
      </c>
      <c r="X11" s="192">
        <v>0</v>
      </c>
      <c r="Y11" s="192">
        <v>0</v>
      </c>
      <c r="Z11" s="69" t="str">
        <f>Threats!B5</f>
        <v>Threats to The Level of Service</v>
      </c>
      <c r="AA11" s="47"/>
      <c r="AB11" s="366" t="s">
        <v>255</v>
      </c>
      <c r="AC11" s="367"/>
      <c r="AD11" s="367"/>
      <c r="AE11" s="47"/>
      <c r="AF11" s="47"/>
      <c r="AG11" s="47"/>
      <c r="AH11" s="47"/>
      <c r="AI11" s="47"/>
      <c r="AJ11" s="47"/>
      <c r="AK11" s="47"/>
      <c r="AL11" s="47"/>
      <c r="AM11" s="47"/>
      <c r="AN11" s="47"/>
      <c r="AO11" s="47"/>
      <c r="AP11" s="47"/>
      <c r="AQ11" s="47"/>
      <c r="AR11" s="47"/>
      <c r="AS11" s="47"/>
      <c r="AT11" s="47"/>
      <c r="AU11" s="47"/>
      <c r="AV11" s="47"/>
      <c r="AW11" s="47"/>
      <c r="AX11" s="47"/>
      <c r="AY11" s="47"/>
      <c r="AZ11" s="47"/>
      <c r="BA11" s="47"/>
      <c r="BB11" s="47"/>
      <c r="BC11" s="47"/>
      <c r="BD11" s="47"/>
      <c r="BE11" s="47"/>
      <c r="BF11" s="47"/>
      <c r="BG11" s="47"/>
      <c r="BH11" s="47"/>
      <c r="BI11" s="47"/>
      <c r="BJ11" s="47"/>
      <c r="BK11" s="47"/>
      <c r="BL11" s="47"/>
      <c r="BM11" s="47"/>
      <c r="BN11" s="47"/>
      <c r="BO11" s="47"/>
      <c r="BP11" s="47"/>
      <c r="BQ11" s="47"/>
      <c r="BR11" s="47"/>
      <c r="BS11" s="47"/>
      <c r="BT11" s="47"/>
      <c r="BU11" s="47"/>
      <c r="BV11" s="47"/>
      <c r="BW11" s="47"/>
      <c r="BX11" s="47"/>
      <c r="BY11" s="47"/>
      <c r="BZ11" s="47"/>
      <c r="CA11" s="47"/>
      <c r="CB11" s="47"/>
      <c r="CC11" s="47"/>
      <c r="CD11" s="47"/>
      <c r="CE11" s="47"/>
      <c r="CF11" s="47"/>
      <c r="CG11" s="47"/>
      <c r="CH11" s="47"/>
      <c r="CI11" s="47"/>
      <c r="CJ11" s="47"/>
      <c r="CK11" s="47"/>
      <c r="CL11" s="47"/>
      <c r="CM11" s="47"/>
      <c r="CN11" s="47"/>
      <c r="CO11" s="47"/>
      <c r="CP11" s="47"/>
      <c r="CQ11" s="47"/>
      <c r="CR11" s="47"/>
      <c r="CS11" s="47"/>
      <c r="CT11" s="47"/>
      <c r="CU11" s="47"/>
      <c r="CV11" s="47"/>
      <c r="CW11" s="47"/>
      <c r="CX11" s="47"/>
      <c r="CY11" s="47"/>
      <c r="CZ11" s="47"/>
      <c r="DA11" s="47"/>
      <c r="DB11" s="47"/>
      <c r="DC11" s="47"/>
      <c r="DD11" s="47"/>
      <c r="DE11" s="47"/>
      <c r="DF11" s="47"/>
      <c r="DG11" s="47"/>
      <c r="DH11" s="47"/>
      <c r="DI11" s="47"/>
      <c r="DJ11" s="47"/>
      <c r="DK11" s="47"/>
      <c r="DL11" s="47"/>
      <c r="DM11" s="47"/>
      <c r="DN11" s="47"/>
      <c r="DO11" s="58"/>
      <c r="DP11" s="58"/>
      <c r="DQ11" s="58"/>
      <c r="DR11" s="58"/>
      <c r="DS11" s="58"/>
      <c r="DT11" s="58"/>
      <c r="DU11" s="59"/>
      <c r="DV11" s="59"/>
    </row>
    <row r="12" spans="1:127" ht="12.75" customHeight="1" thickBot="1" x14ac:dyDescent="0.3">
      <c r="A12" s="48"/>
      <c r="B12" s="47"/>
      <c r="C12" s="60" t="str">
        <f>Threats!A6</f>
        <v>T6-Trojan and Worms</v>
      </c>
      <c r="D12" s="64">
        <f>IF(I$7 &lt;&gt; 0, $D$7/I$7, 0)</f>
        <v>9</v>
      </c>
      <c r="E12" s="67">
        <f>IF(I$8 &lt;&gt;0, $E$8/I$8, 0)</f>
        <v>0.33333333333333331</v>
      </c>
      <c r="F12" s="67">
        <f>IF(I9&lt;&gt;0, (F9/I9),0)</f>
        <v>6</v>
      </c>
      <c r="G12" s="67">
        <f>IF(I$10&lt;&gt;0, ($G$10/I$10),0)</f>
        <v>2</v>
      </c>
      <c r="H12" s="65">
        <f>IF($I$11&lt;&gt;0, $H$11/$I$11,0)</f>
        <v>0.16666666666666666</v>
      </c>
      <c r="I12" s="62">
        <v>1</v>
      </c>
      <c r="J12" s="193">
        <v>0.125</v>
      </c>
      <c r="K12" s="193">
        <v>0.1111111111111111</v>
      </c>
      <c r="L12" s="193">
        <v>0.33333333333333331</v>
      </c>
      <c r="M12" s="193">
        <v>0</v>
      </c>
      <c r="N12" s="193">
        <v>0</v>
      </c>
      <c r="O12" s="193">
        <v>0</v>
      </c>
      <c r="P12" s="193">
        <v>0</v>
      </c>
      <c r="Q12" s="193">
        <v>0</v>
      </c>
      <c r="R12" s="193">
        <v>0</v>
      </c>
      <c r="S12" s="193">
        <v>0</v>
      </c>
      <c r="T12" s="193">
        <v>0</v>
      </c>
      <c r="U12" s="193">
        <v>0</v>
      </c>
      <c r="V12" s="193">
        <v>0</v>
      </c>
      <c r="W12" s="193">
        <v>0</v>
      </c>
      <c r="X12" s="193">
        <v>0</v>
      </c>
      <c r="Y12" s="193">
        <v>0</v>
      </c>
      <c r="Z12" s="70" t="str">
        <f>Threats!B6</f>
        <v>Threats to The Level of Service</v>
      </c>
      <c r="AA12" s="47"/>
      <c r="AB12" s="368" t="s">
        <v>255</v>
      </c>
      <c r="AC12" s="369"/>
      <c r="AD12" s="369"/>
      <c r="AE12" s="47"/>
      <c r="AF12" s="47"/>
      <c r="AG12" s="47"/>
      <c r="AH12" s="47"/>
      <c r="AI12" s="47"/>
      <c r="AJ12" s="47"/>
      <c r="AK12" s="47"/>
      <c r="AL12" s="47"/>
      <c r="AM12" s="47"/>
      <c r="AN12" s="47"/>
      <c r="AO12" s="47"/>
      <c r="AP12" s="47"/>
      <c r="AQ12" s="47"/>
      <c r="AR12" s="47"/>
      <c r="AS12" s="47"/>
      <c r="AT12" s="47"/>
      <c r="AU12" s="47"/>
      <c r="AV12" s="47"/>
      <c r="AW12" s="47"/>
      <c r="AX12" s="47"/>
      <c r="AY12" s="47"/>
      <c r="AZ12" s="47"/>
      <c r="BA12" s="47"/>
      <c r="BB12" s="47"/>
      <c r="BC12" s="47"/>
      <c r="BD12" s="47"/>
      <c r="BE12" s="47"/>
      <c r="BF12" s="47"/>
      <c r="BG12" s="47"/>
      <c r="BH12" s="47"/>
      <c r="BI12" s="47"/>
      <c r="BJ12" s="47"/>
      <c r="BK12" s="47"/>
      <c r="BL12" s="47"/>
      <c r="BM12" s="47"/>
      <c r="BN12" s="47"/>
      <c r="BO12" s="47"/>
      <c r="BP12" s="47"/>
      <c r="BQ12" s="47"/>
      <c r="BR12" s="47"/>
      <c r="BS12" s="47"/>
      <c r="BT12" s="47"/>
      <c r="BU12" s="47"/>
      <c r="BV12" s="47"/>
      <c r="BW12" s="47"/>
      <c r="BX12" s="47"/>
      <c r="BY12" s="47"/>
      <c r="BZ12" s="47"/>
      <c r="CA12" s="47"/>
      <c r="CB12" s="47"/>
      <c r="CC12" s="47"/>
      <c r="CD12" s="47"/>
      <c r="CE12" s="47"/>
      <c r="CF12" s="47"/>
      <c r="CG12" s="47"/>
      <c r="CH12" s="47"/>
      <c r="CI12" s="47"/>
      <c r="CJ12" s="47"/>
      <c r="CK12" s="47"/>
      <c r="CL12" s="47"/>
      <c r="CM12" s="47"/>
      <c r="CN12" s="47"/>
      <c r="CO12" s="47"/>
      <c r="CP12" s="47"/>
      <c r="CQ12" s="47"/>
      <c r="CR12" s="47"/>
      <c r="CS12" s="47"/>
      <c r="CT12" s="47"/>
      <c r="CU12" s="47"/>
      <c r="CV12" s="47"/>
      <c r="CW12" s="47"/>
      <c r="CX12" s="47"/>
      <c r="CY12" s="47"/>
      <c r="CZ12" s="47"/>
      <c r="DA12" s="47"/>
      <c r="DB12" s="47"/>
      <c r="DC12" s="47"/>
      <c r="DD12" s="47"/>
      <c r="DE12" s="47"/>
      <c r="DF12" s="47"/>
      <c r="DG12" s="47"/>
      <c r="DH12" s="47"/>
      <c r="DI12" s="47"/>
      <c r="DJ12" s="47"/>
      <c r="DK12" s="47"/>
      <c r="DL12" s="47"/>
      <c r="DM12" s="47"/>
      <c r="DN12" s="47"/>
      <c r="DO12" s="58"/>
      <c r="DP12" s="58"/>
      <c r="DQ12" s="58"/>
      <c r="DR12" s="58"/>
      <c r="DS12" s="58"/>
      <c r="DT12" s="58"/>
      <c r="DU12" s="59"/>
      <c r="DV12" s="59"/>
    </row>
    <row r="13" spans="1:127" ht="12.75" customHeight="1" thickBot="1" x14ac:dyDescent="0.3">
      <c r="A13" s="48"/>
      <c r="B13" s="47"/>
      <c r="C13" s="60" t="str">
        <f>Threats!A7</f>
        <v>T7-Fire</v>
      </c>
      <c r="D13" s="64">
        <f>IF(J$7 &lt;&gt; 0, $D$7/J$7,0)</f>
        <v>9</v>
      </c>
      <c r="E13" s="67">
        <f>IF(J$8 &lt;&gt;0, $E$8/J$8, 0)</f>
        <v>7</v>
      </c>
      <c r="F13" s="67">
        <f>($F$9/J$9)</f>
        <v>9</v>
      </c>
      <c r="G13" s="67">
        <f>IF(J$10&lt;&gt;0, ($G$10/J$10),0)</f>
        <v>8</v>
      </c>
      <c r="H13" s="67">
        <f>IF($J$11&lt;&gt;0,$H$11/$J$11,0)</f>
        <v>1</v>
      </c>
      <c r="I13" s="65">
        <f>IF($J$12&lt;&gt;0,$I$12/$J$12,0)</f>
        <v>8</v>
      </c>
      <c r="J13" s="62">
        <v>1</v>
      </c>
      <c r="K13" s="194">
        <v>1</v>
      </c>
      <c r="L13" s="194">
        <v>7</v>
      </c>
      <c r="M13" s="194">
        <v>0</v>
      </c>
      <c r="N13" s="194">
        <v>0</v>
      </c>
      <c r="O13" s="194">
        <v>0</v>
      </c>
      <c r="P13" s="194">
        <v>0</v>
      </c>
      <c r="Q13" s="194">
        <v>0</v>
      </c>
      <c r="R13" s="194">
        <v>0</v>
      </c>
      <c r="S13" s="194">
        <v>0</v>
      </c>
      <c r="T13" s="194">
        <v>0</v>
      </c>
      <c r="U13" s="194">
        <v>0</v>
      </c>
      <c r="V13" s="194">
        <v>0</v>
      </c>
      <c r="W13" s="194">
        <v>0</v>
      </c>
      <c r="X13" s="194">
        <v>0</v>
      </c>
      <c r="Y13" s="194">
        <v>0</v>
      </c>
      <c r="Z13" s="71" t="str">
        <f>Threats!B7</f>
        <v>Threats to The Level of Service</v>
      </c>
      <c r="AA13" s="47"/>
      <c r="AB13" s="370" t="s">
        <v>255</v>
      </c>
      <c r="AC13" s="371"/>
      <c r="AD13" s="371"/>
      <c r="AE13" s="47"/>
      <c r="AF13" s="47"/>
      <c r="AG13" s="47"/>
      <c r="AH13" s="47"/>
      <c r="AI13" s="47"/>
      <c r="AJ13" s="47"/>
      <c r="AK13" s="47"/>
      <c r="AL13" s="47"/>
      <c r="AM13" s="47"/>
      <c r="AN13" s="47"/>
      <c r="AO13" s="47"/>
      <c r="AP13" s="47"/>
      <c r="AQ13" s="47"/>
      <c r="AR13" s="47"/>
      <c r="AS13" s="47"/>
      <c r="AT13" s="47"/>
      <c r="AU13" s="47"/>
      <c r="AV13" s="47"/>
      <c r="AW13" s="47"/>
      <c r="AX13" s="47"/>
      <c r="AY13" s="47"/>
      <c r="AZ13" s="47"/>
      <c r="BA13" s="47"/>
      <c r="BB13" s="47"/>
      <c r="BC13" s="47"/>
      <c r="BD13" s="47"/>
      <c r="BE13" s="47"/>
      <c r="BF13" s="47"/>
      <c r="BG13" s="47"/>
      <c r="BH13" s="47"/>
      <c r="BI13" s="47"/>
      <c r="BJ13" s="47"/>
      <c r="BK13" s="47"/>
      <c r="BL13" s="47"/>
      <c r="BM13" s="47"/>
      <c r="BN13" s="47"/>
      <c r="BO13" s="47"/>
      <c r="BP13" s="47"/>
      <c r="BQ13" s="47"/>
      <c r="BR13" s="47"/>
      <c r="BS13" s="47"/>
      <c r="BT13" s="47"/>
      <c r="BU13" s="47"/>
      <c r="BV13" s="47"/>
      <c r="BW13" s="47"/>
      <c r="BX13" s="47"/>
      <c r="BY13" s="47"/>
      <c r="BZ13" s="47"/>
      <c r="CA13" s="47"/>
      <c r="CB13" s="47"/>
      <c r="CC13" s="47"/>
      <c r="CD13" s="47"/>
      <c r="CE13" s="47"/>
      <c r="CF13" s="47"/>
      <c r="CG13" s="47"/>
      <c r="CH13" s="47"/>
      <c r="CI13" s="47"/>
      <c r="CJ13" s="47"/>
      <c r="CK13" s="47"/>
      <c r="CL13" s="47"/>
      <c r="CM13" s="47"/>
      <c r="CN13" s="47"/>
      <c r="CO13" s="47"/>
      <c r="CP13" s="47"/>
      <c r="CQ13" s="47"/>
      <c r="CR13" s="47"/>
      <c r="CS13" s="47"/>
      <c r="CT13" s="47"/>
      <c r="CU13" s="47"/>
      <c r="CV13" s="47"/>
      <c r="CW13" s="47"/>
      <c r="CX13" s="47"/>
      <c r="CY13" s="47"/>
      <c r="CZ13" s="47"/>
      <c r="DA13" s="47"/>
      <c r="DB13" s="47"/>
      <c r="DC13" s="47"/>
      <c r="DD13" s="47"/>
      <c r="DE13" s="47"/>
      <c r="DF13" s="47"/>
      <c r="DG13" s="47"/>
      <c r="DH13" s="47"/>
      <c r="DI13" s="47"/>
      <c r="DJ13" s="47"/>
      <c r="DK13" s="47"/>
      <c r="DL13" s="47"/>
      <c r="DM13" s="47"/>
      <c r="DN13" s="47"/>
      <c r="DO13" s="58"/>
      <c r="DP13" s="58"/>
      <c r="DQ13" s="58"/>
      <c r="DR13" s="58"/>
      <c r="DS13" s="58"/>
      <c r="DT13" s="58"/>
      <c r="DU13" s="59"/>
      <c r="DV13" s="59"/>
    </row>
    <row r="14" spans="1:127" ht="12.75" customHeight="1" thickBot="1" x14ac:dyDescent="0.3">
      <c r="A14" s="48"/>
      <c r="B14" s="47"/>
      <c r="C14" s="60" t="str">
        <f>Threats!A8</f>
        <v>T8-Other Enviromental Disasters</v>
      </c>
      <c r="D14" s="64">
        <f>IF(K$7 &lt;&gt;0,$D$7/K$7,0)</f>
        <v>9</v>
      </c>
      <c r="E14" s="67">
        <f>IF(K$8 &lt;&gt;0, $E$8/K$8, 0)</f>
        <v>7</v>
      </c>
      <c r="F14" s="67">
        <f>($F$9/K$9)</f>
        <v>9</v>
      </c>
      <c r="G14" s="67">
        <f>IF(K$10&lt;&gt;0, ($G$10/K$10),0)</f>
        <v>8</v>
      </c>
      <c r="H14" s="67">
        <f>IF($K$11&lt;&gt;0,$H$11/$K$11,0)</f>
        <v>1</v>
      </c>
      <c r="I14" s="67">
        <f>IF($K$12&lt;&gt;0,$I$12/$K$12,0)</f>
        <v>9</v>
      </c>
      <c r="J14" s="65">
        <f>IF($K$13&lt;&gt;0,$J$13/$K$13,0)</f>
        <v>1</v>
      </c>
      <c r="K14" s="62">
        <v>1</v>
      </c>
      <c r="L14" s="195">
        <v>7</v>
      </c>
      <c r="M14" s="195">
        <v>0</v>
      </c>
      <c r="N14" s="195">
        <v>0</v>
      </c>
      <c r="O14" s="195">
        <v>0</v>
      </c>
      <c r="P14" s="195">
        <v>0</v>
      </c>
      <c r="Q14" s="195">
        <v>0</v>
      </c>
      <c r="R14" s="195">
        <v>0</v>
      </c>
      <c r="S14" s="195">
        <v>0</v>
      </c>
      <c r="T14" s="195">
        <v>0</v>
      </c>
      <c r="U14" s="195">
        <v>0</v>
      </c>
      <c r="V14" s="195">
        <v>0</v>
      </c>
      <c r="W14" s="195">
        <v>0</v>
      </c>
      <c r="X14" s="195">
        <v>0</v>
      </c>
      <c r="Y14" s="195">
        <v>0</v>
      </c>
      <c r="Z14" s="72" t="str">
        <f>Threats!B8</f>
        <v>Threats to The Level of Service</v>
      </c>
      <c r="AA14" s="47"/>
      <c r="AB14" s="372" t="s">
        <v>255</v>
      </c>
      <c r="AC14" s="373"/>
      <c r="AD14" s="373"/>
      <c r="AE14" s="47"/>
      <c r="AF14" s="47"/>
      <c r="AG14" s="47"/>
      <c r="AH14" s="47"/>
      <c r="AI14" s="47"/>
      <c r="AJ14" s="47"/>
      <c r="AK14" s="47"/>
      <c r="AL14" s="47"/>
      <c r="AM14" s="47"/>
      <c r="AN14" s="47"/>
      <c r="AO14" s="47"/>
      <c r="AP14" s="47"/>
      <c r="AQ14" s="47"/>
      <c r="AR14" s="47"/>
      <c r="AS14" s="47"/>
      <c r="AT14" s="47"/>
      <c r="AU14" s="47"/>
      <c r="AV14" s="47"/>
      <c r="AW14" s="47"/>
      <c r="AX14" s="47"/>
      <c r="AY14" s="47"/>
      <c r="AZ14" s="47"/>
      <c r="BA14" s="47"/>
      <c r="BB14" s="47"/>
      <c r="BC14" s="47"/>
      <c r="BD14" s="47"/>
      <c r="BE14" s="47"/>
      <c r="BF14" s="47"/>
      <c r="BG14" s="47"/>
      <c r="BH14" s="47"/>
      <c r="BI14" s="47"/>
      <c r="BJ14" s="47"/>
      <c r="BK14" s="47"/>
      <c r="BL14" s="47"/>
      <c r="BM14" s="47"/>
      <c r="BN14" s="47"/>
      <c r="BO14" s="47"/>
      <c r="BP14" s="47"/>
      <c r="BQ14" s="47"/>
      <c r="BR14" s="47"/>
      <c r="BS14" s="47"/>
      <c r="BT14" s="47"/>
      <c r="BU14" s="47"/>
      <c r="BV14" s="47"/>
      <c r="BW14" s="47"/>
      <c r="BX14" s="47"/>
      <c r="BY14" s="47"/>
      <c r="BZ14" s="47"/>
      <c r="CA14" s="47"/>
      <c r="CB14" s="47"/>
      <c r="CC14" s="47"/>
      <c r="CD14" s="47"/>
      <c r="CE14" s="47"/>
      <c r="CF14" s="47"/>
      <c r="CG14" s="47"/>
      <c r="CH14" s="47"/>
      <c r="CI14" s="47"/>
      <c r="CJ14" s="47"/>
      <c r="CK14" s="47"/>
      <c r="CL14" s="47"/>
      <c r="CM14" s="47"/>
      <c r="CN14" s="47"/>
      <c r="CO14" s="47"/>
      <c r="CP14" s="47"/>
      <c r="CQ14" s="47"/>
      <c r="CR14" s="47"/>
      <c r="CS14" s="47"/>
      <c r="CT14" s="47"/>
      <c r="CU14" s="47"/>
      <c r="CV14" s="47"/>
      <c r="CW14" s="47"/>
      <c r="CX14" s="47"/>
      <c r="CY14" s="47"/>
      <c r="CZ14" s="47"/>
      <c r="DA14" s="47"/>
      <c r="DB14" s="47"/>
      <c r="DC14" s="47"/>
      <c r="DD14" s="47"/>
      <c r="DE14" s="47"/>
      <c r="DF14" s="47"/>
      <c r="DG14" s="47"/>
      <c r="DH14" s="47"/>
      <c r="DI14" s="47"/>
      <c r="DJ14" s="47"/>
      <c r="DK14" s="47"/>
      <c r="DL14" s="47"/>
      <c r="DM14" s="47"/>
      <c r="DN14" s="47"/>
      <c r="DO14" s="58"/>
      <c r="DP14" s="58"/>
      <c r="DQ14" s="58"/>
      <c r="DR14" s="58"/>
      <c r="DS14" s="58"/>
      <c r="DT14" s="58"/>
      <c r="DU14" s="59"/>
      <c r="DV14" s="59"/>
    </row>
    <row r="15" spans="1:127" ht="12.75" customHeight="1" thickBot="1" x14ac:dyDescent="0.3">
      <c r="A15" s="48"/>
      <c r="B15" s="47"/>
      <c r="C15" s="60" t="str">
        <f>Threats!A9</f>
        <v>T9-Availability Threats(DDOS)</v>
      </c>
      <c r="D15" s="64">
        <f>IF(L$7 &lt;&gt; 0, $D$7/L$7, 0)</f>
        <v>9</v>
      </c>
      <c r="E15" s="67">
        <f>IF(L$8 &lt;&gt;0, $E$8/L$8,0)</f>
        <v>3</v>
      </c>
      <c r="F15" s="67">
        <f>($F$9/L$9)</f>
        <v>5</v>
      </c>
      <c r="G15" s="67">
        <f>IF(L$10&lt;&gt;0,($G$10/L$10),0)</f>
        <v>4</v>
      </c>
      <c r="H15" s="67">
        <f>IF($L$11&lt;&gt;0, $H$11/$L$11,0)</f>
        <v>0.25</v>
      </c>
      <c r="I15" s="67">
        <f>IF($L$12&lt;&gt;0, $I$12/$L$12,0)</f>
        <v>3</v>
      </c>
      <c r="J15" s="67">
        <f>IF($L$13&lt;&gt;0,$J$13/$L$13,0)</f>
        <v>0.14285714285714285</v>
      </c>
      <c r="K15" s="65">
        <f>IF($L$14&lt;&gt;0,$K$14/$L$14,0)</f>
        <v>0.14285714285714285</v>
      </c>
      <c r="L15" s="62">
        <v>1</v>
      </c>
      <c r="M15" s="196">
        <v>0</v>
      </c>
      <c r="N15" s="196">
        <v>0</v>
      </c>
      <c r="O15" s="196">
        <v>0</v>
      </c>
      <c r="P15" s="196">
        <v>0</v>
      </c>
      <c r="Q15" s="196">
        <v>0</v>
      </c>
      <c r="R15" s="196">
        <v>0</v>
      </c>
      <c r="S15" s="196">
        <v>0</v>
      </c>
      <c r="T15" s="196">
        <v>0</v>
      </c>
      <c r="U15" s="196">
        <v>0</v>
      </c>
      <c r="V15" s="196">
        <v>0</v>
      </c>
      <c r="W15" s="196">
        <v>0</v>
      </c>
      <c r="X15" s="196">
        <v>0</v>
      </c>
      <c r="Y15" s="196">
        <v>0</v>
      </c>
      <c r="Z15" s="73" t="str">
        <f>Threats!B9</f>
        <v>Threats to The Level of Service</v>
      </c>
      <c r="AA15" s="47"/>
      <c r="AB15" s="374" t="s">
        <v>255</v>
      </c>
      <c r="AC15" s="375"/>
      <c r="AD15" s="375"/>
      <c r="AE15" s="47"/>
      <c r="AF15" s="47"/>
      <c r="AG15" s="47"/>
      <c r="AH15" s="47"/>
      <c r="AI15" s="47"/>
      <c r="AJ15" s="47"/>
      <c r="AK15" s="47"/>
      <c r="AL15" s="47"/>
      <c r="AM15" s="47"/>
      <c r="AN15" s="47"/>
      <c r="AO15" s="47"/>
      <c r="AP15" s="47"/>
      <c r="AQ15" s="47"/>
      <c r="AR15" s="47"/>
      <c r="AS15" s="47"/>
      <c r="AT15" s="47"/>
      <c r="AU15" s="47"/>
      <c r="AV15" s="47"/>
      <c r="AW15" s="47"/>
      <c r="AX15" s="47"/>
      <c r="AY15" s="47"/>
      <c r="AZ15" s="47"/>
      <c r="BA15" s="47"/>
      <c r="BB15" s="47"/>
      <c r="BC15" s="47"/>
      <c r="BD15" s="47"/>
      <c r="BE15" s="47"/>
      <c r="BF15" s="47"/>
      <c r="BG15" s="47"/>
      <c r="BH15" s="47"/>
      <c r="BI15" s="47"/>
      <c r="BJ15" s="47"/>
      <c r="BK15" s="47"/>
      <c r="BL15" s="47"/>
      <c r="BM15" s="47"/>
      <c r="BN15" s="47"/>
      <c r="BO15" s="47"/>
      <c r="BP15" s="47"/>
      <c r="BQ15" s="47"/>
      <c r="BR15" s="47"/>
      <c r="BS15" s="47"/>
      <c r="BT15" s="47"/>
      <c r="BU15" s="47"/>
      <c r="BV15" s="47"/>
      <c r="BW15" s="47"/>
      <c r="BX15" s="47"/>
      <c r="BY15" s="47"/>
      <c r="BZ15" s="47"/>
      <c r="CA15" s="47"/>
      <c r="CB15" s="47"/>
      <c r="CC15" s="47"/>
      <c r="CD15" s="47"/>
      <c r="CE15" s="47"/>
      <c r="CF15" s="47"/>
      <c r="CG15" s="47"/>
      <c r="CH15" s="47"/>
      <c r="CI15" s="47"/>
      <c r="CJ15" s="47"/>
      <c r="CK15" s="47"/>
      <c r="CL15" s="47"/>
      <c r="CM15" s="47"/>
      <c r="CN15" s="47"/>
      <c r="CO15" s="47"/>
      <c r="CP15" s="47"/>
      <c r="CQ15" s="47"/>
      <c r="CR15" s="47"/>
      <c r="CS15" s="47"/>
      <c r="CT15" s="47"/>
      <c r="CU15" s="47"/>
      <c r="CV15" s="47"/>
      <c r="CW15" s="47"/>
      <c r="CX15" s="47"/>
      <c r="CY15" s="47"/>
      <c r="CZ15" s="47"/>
      <c r="DA15" s="47"/>
      <c r="DB15" s="47"/>
      <c r="DC15" s="47"/>
      <c r="DD15" s="47"/>
      <c r="DE15" s="47"/>
      <c r="DF15" s="47"/>
      <c r="DG15" s="47"/>
      <c r="DH15" s="47"/>
      <c r="DI15" s="47"/>
      <c r="DJ15" s="47"/>
      <c r="DK15" s="47"/>
      <c r="DL15" s="47"/>
      <c r="DM15" s="47"/>
      <c r="DN15" s="47"/>
      <c r="DO15" s="58"/>
      <c r="DP15" s="58"/>
      <c r="DQ15" s="58"/>
      <c r="DR15" s="58"/>
      <c r="DS15" s="58"/>
      <c r="DT15" s="58"/>
      <c r="DU15" s="59"/>
      <c r="DV15" s="59"/>
    </row>
    <row r="16" spans="1:127" ht="12.75" customHeight="1" thickBot="1" x14ac:dyDescent="0.3">
      <c r="A16" s="48"/>
      <c r="B16" s="47"/>
      <c r="C16" s="60" t="str">
        <f>Threats!A10</f>
        <v>T10-Disk Failure</v>
      </c>
      <c r="D16" s="64">
        <f>IF(M$7 &lt;&gt;0, $D$7/M$7,0)</f>
        <v>0</v>
      </c>
      <c r="E16" s="67">
        <f>IF(M$8 &lt;&gt; 0, $E$8/M$8, 0)</f>
        <v>0</v>
      </c>
      <c r="F16" s="67">
        <f>IF(M$9&lt;&gt;0, ($F$9/M$9),0)</f>
        <v>0</v>
      </c>
      <c r="G16" s="67">
        <f>IF(M$10&lt;&gt;0, ($G$10/M$10),0)</f>
        <v>0</v>
      </c>
      <c r="H16" s="67">
        <f>IF($M$11&lt;&gt;0,$H$11/$M$11,0)</f>
        <v>0</v>
      </c>
      <c r="I16" s="67">
        <f>IF($M$12&lt;&gt;0,$I$12/$M$12,0)</f>
        <v>0</v>
      </c>
      <c r="J16" s="67">
        <f>IF(M$13&lt;&gt;0, $J$13/M$13,0)</f>
        <v>0</v>
      </c>
      <c r="K16" s="67">
        <f>IF($M$14&lt;&gt;0,$K$14/$M$14,0)</f>
        <v>0</v>
      </c>
      <c r="L16" s="65">
        <f>IF($M$15&lt;&gt;0,$L$15/$M$15,0)</f>
        <v>0</v>
      </c>
      <c r="M16" s="62">
        <v>1</v>
      </c>
      <c r="N16" s="197">
        <v>0.33333333333333331</v>
      </c>
      <c r="O16" s="197">
        <v>5</v>
      </c>
      <c r="P16" s="197">
        <v>0.25</v>
      </c>
      <c r="Q16" s="197">
        <v>3</v>
      </c>
      <c r="R16" s="197">
        <v>0</v>
      </c>
      <c r="S16" s="197">
        <v>0</v>
      </c>
      <c r="T16" s="197">
        <v>0</v>
      </c>
      <c r="U16" s="197">
        <v>0</v>
      </c>
      <c r="V16" s="197">
        <v>0</v>
      </c>
      <c r="W16" s="197">
        <v>0</v>
      </c>
      <c r="X16" s="197">
        <v>0</v>
      </c>
      <c r="Y16" s="197">
        <v>0</v>
      </c>
      <c r="Z16" s="74" t="str">
        <f>Threats!B10</f>
        <v>Threats to the Information Base</v>
      </c>
      <c r="AA16" s="47"/>
      <c r="AB16" s="376" t="s">
        <v>255</v>
      </c>
      <c r="AC16" s="377"/>
      <c r="AD16" s="377"/>
      <c r="AE16" s="47"/>
      <c r="AF16" s="47"/>
      <c r="AG16" s="47"/>
      <c r="AH16" s="47"/>
      <c r="AI16" s="47"/>
      <c r="AJ16" s="47"/>
      <c r="AK16" s="47"/>
      <c r="AL16" s="47"/>
      <c r="AM16" s="47"/>
      <c r="AN16" s="47"/>
      <c r="AO16" s="47"/>
      <c r="AP16" s="47"/>
      <c r="AQ16" s="47"/>
      <c r="AR16" s="47"/>
      <c r="AS16" s="47"/>
      <c r="AT16" s="47"/>
      <c r="AU16" s="47"/>
      <c r="AV16" s="47"/>
      <c r="AW16" s="47"/>
      <c r="AX16" s="47"/>
      <c r="AY16" s="47"/>
      <c r="AZ16" s="47"/>
      <c r="BA16" s="47"/>
      <c r="BB16" s="47"/>
      <c r="BC16" s="47"/>
      <c r="BD16" s="47"/>
      <c r="BE16" s="47"/>
      <c r="BF16" s="47"/>
      <c r="BG16" s="47"/>
      <c r="BH16" s="47"/>
      <c r="BI16" s="47"/>
      <c r="BJ16" s="47"/>
      <c r="BK16" s="47"/>
      <c r="BL16" s="47"/>
      <c r="BM16" s="47"/>
      <c r="BN16" s="47"/>
      <c r="BO16" s="47"/>
      <c r="BP16" s="47"/>
      <c r="BQ16" s="47"/>
      <c r="BR16" s="47"/>
      <c r="BS16" s="47"/>
      <c r="BT16" s="47"/>
      <c r="BU16" s="47"/>
      <c r="BV16" s="47"/>
      <c r="BW16" s="47"/>
      <c r="BX16" s="47"/>
      <c r="BY16" s="47"/>
      <c r="BZ16" s="47"/>
      <c r="CA16" s="47"/>
      <c r="CB16" s="47"/>
      <c r="CC16" s="47"/>
      <c r="CD16" s="47"/>
      <c r="CE16" s="47"/>
      <c r="CF16" s="47"/>
      <c r="CG16" s="47"/>
      <c r="CH16" s="47"/>
      <c r="CI16" s="47"/>
      <c r="CJ16" s="47"/>
      <c r="CK16" s="47"/>
      <c r="CL16" s="47"/>
      <c r="CM16" s="47"/>
      <c r="CN16" s="47"/>
      <c r="CO16" s="47"/>
      <c r="CP16" s="47"/>
      <c r="CQ16" s="47"/>
      <c r="CR16" s="47"/>
      <c r="CS16" s="47"/>
      <c r="CT16" s="47"/>
      <c r="CU16" s="47"/>
      <c r="CV16" s="47"/>
      <c r="CW16" s="47"/>
      <c r="CX16" s="47"/>
      <c r="CY16" s="47"/>
      <c r="CZ16" s="47"/>
      <c r="DA16" s="47"/>
      <c r="DB16" s="47"/>
      <c r="DC16" s="47"/>
      <c r="DD16" s="47"/>
      <c r="DE16" s="47"/>
      <c r="DF16" s="47"/>
      <c r="DG16" s="47"/>
      <c r="DH16" s="47"/>
      <c r="DI16" s="47"/>
      <c r="DJ16" s="47"/>
      <c r="DK16" s="47"/>
      <c r="DL16" s="47"/>
      <c r="DM16" s="47"/>
      <c r="DN16" s="47"/>
      <c r="DO16" s="58"/>
      <c r="DP16" s="58"/>
      <c r="DQ16" s="58"/>
      <c r="DR16" s="58"/>
      <c r="DS16" s="58"/>
      <c r="DT16" s="58"/>
      <c r="DU16" s="59"/>
      <c r="DV16" s="59"/>
    </row>
    <row r="17" spans="1:126" ht="12.75" customHeight="1" thickBot="1" x14ac:dyDescent="0.3">
      <c r="A17" s="48"/>
      <c r="B17" s="47"/>
      <c r="C17" s="60" t="str">
        <f>Threats!A11</f>
        <v>T11-Data Corruption</v>
      </c>
      <c r="D17" s="64">
        <f>IF(N$7 &lt;&gt;0, $D$7/N$7, 0)</f>
        <v>0</v>
      </c>
      <c r="E17" s="67">
        <f>IF(N$8&lt;&gt;0, E$8/N$8,0)</f>
        <v>0</v>
      </c>
      <c r="F17" s="67">
        <f>IF(N$9&lt;&gt;0,($F$9/N$9),0)</f>
        <v>0</v>
      </c>
      <c r="G17" s="67">
        <f>IF(N$10&lt;&gt;0, ($G$10/N$10),0)</f>
        <v>0</v>
      </c>
      <c r="H17" s="67">
        <f>IF($N$11&lt;&gt;0,$H$11/$N$11,0)</f>
        <v>0</v>
      </c>
      <c r="I17" s="67">
        <f>IF($N$12&lt;&gt;0,$I$12/$N$12,0)</f>
        <v>0</v>
      </c>
      <c r="J17" s="67">
        <f>IF($N$13&lt;&gt;0,$J$13/$N$13,0)</f>
        <v>0</v>
      </c>
      <c r="K17" s="67">
        <f>IF($N$14&lt;&gt;0,$K$14/$N$14,0)</f>
        <v>0</v>
      </c>
      <c r="L17" s="67">
        <f>IF($N$15&lt;&gt;0,$L$15/$N$15,0)</f>
        <v>0</v>
      </c>
      <c r="M17" s="65">
        <f>IF($N$16&lt;&gt;0,$M$16/$N$16,0)</f>
        <v>3</v>
      </c>
      <c r="N17" s="62">
        <v>1</v>
      </c>
      <c r="O17" s="198">
        <v>1</v>
      </c>
      <c r="P17" s="198">
        <v>0.33333333333333331</v>
      </c>
      <c r="Q17" s="198">
        <v>1</v>
      </c>
      <c r="R17" s="198">
        <v>0</v>
      </c>
      <c r="S17" s="198">
        <v>0</v>
      </c>
      <c r="T17" s="198">
        <v>0</v>
      </c>
      <c r="U17" s="198">
        <v>0</v>
      </c>
      <c r="V17" s="198">
        <v>0</v>
      </c>
      <c r="W17" s="198">
        <v>0</v>
      </c>
      <c r="X17" s="198">
        <v>0</v>
      </c>
      <c r="Y17" s="198">
        <v>0</v>
      </c>
      <c r="Z17" s="75" t="str">
        <f>Threats!B11</f>
        <v>Threats to the Information Base</v>
      </c>
      <c r="AA17" s="47"/>
      <c r="AB17" s="378" t="s">
        <v>255</v>
      </c>
      <c r="AC17" s="379"/>
      <c r="AD17" s="379"/>
      <c r="AE17" s="47"/>
      <c r="AF17" s="47"/>
      <c r="AG17" s="47"/>
      <c r="AH17" s="47"/>
      <c r="AI17" s="47"/>
      <c r="AJ17" s="47"/>
      <c r="AK17" s="47"/>
      <c r="AL17" s="47"/>
      <c r="AM17" s="47"/>
      <c r="AN17" s="47"/>
      <c r="AO17" s="47"/>
      <c r="AP17" s="47"/>
      <c r="AQ17" s="47"/>
      <c r="AR17" s="47"/>
      <c r="AS17" s="47"/>
      <c r="AT17" s="47"/>
      <c r="AU17" s="47"/>
      <c r="AV17" s="47"/>
      <c r="AW17" s="47"/>
      <c r="AX17" s="47"/>
      <c r="AY17" s="47"/>
      <c r="AZ17" s="47"/>
      <c r="BA17" s="47"/>
      <c r="BB17" s="47"/>
      <c r="BC17" s="47"/>
      <c r="BD17" s="47"/>
      <c r="BE17" s="47"/>
      <c r="BF17" s="47"/>
      <c r="BG17" s="47"/>
      <c r="BH17" s="47"/>
      <c r="BI17" s="47"/>
      <c r="BJ17" s="47"/>
      <c r="BK17" s="47"/>
      <c r="BL17" s="47"/>
      <c r="BM17" s="47"/>
      <c r="BN17" s="47"/>
      <c r="BO17" s="47"/>
      <c r="BP17" s="47"/>
      <c r="BQ17" s="47"/>
      <c r="BR17" s="47"/>
      <c r="BS17" s="47"/>
      <c r="BT17" s="47"/>
      <c r="BU17" s="47"/>
      <c r="BV17" s="47"/>
      <c r="BW17" s="47"/>
      <c r="BX17" s="47"/>
      <c r="BY17" s="47"/>
      <c r="BZ17" s="47"/>
      <c r="CA17" s="47"/>
      <c r="CB17" s="47"/>
      <c r="CC17" s="47"/>
      <c r="CD17" s="47"/>
      <c r="CE17" s="47"/>
      <c r="CF17" s="47"/>
      <c r="CG17" s="47"/>
      <c r="CH17" s="47"/>
      <c r="CI17" s="47"/>
      <c r="CJ17" s="47"/>
      <c r="CK17" s="47"/>
      <c r="CL17" s="47"/>
      <c r="CM17" s="47"/>
      <c r="CN17" s="47"/>
      <c r="CO17" s="47"/>
      <c r="CP17" s="47"/>
      <c r="CQ17" s="47"/>
      <c r="CR17" s="47"/>
      <c r="CS17" s="47"/>
      <c r="CT17" s="47"/>
      <c r="CU17" s="47"/>
      <c r="CV17" s="47"/>
      <c r="CW17" s="47"/>
      <c r="CX17" s="47"/>
      <c r="CY17" s="47"/>
      <c r="CZ17" s="47"/>
      <c r="DA17" s="47"/>
      <c r="DB17" s="47"/>
      <c r="DC17" s="47"/>
      <c r="DD17" s="47"/>
      <c r="DE17" s="47"/>
      <c r="DF17" s="47"/>
      <c r="DG17" s="47"/>
      <c r="DH17" s="47"/>
      <c r="DI17" s="47"/>
      <c r="DJ17" s="47"/>
      <c r="DK17" s="47"/>
      <c r="DL17" s="47"/>
      <c r="DM17" s="47"/>
      <c r="DN17" s="47"/>
      <c r="DO17" s="58"/>
      <c r="DP17" s="58"/>
      <c r="DQ17" s="58"/>
      <c r="DR17" s="58"/>
      <c r="DS17" s="58"/>
      <c r="DT17" s="58"/>
      <c r="DU17" s="59"/>
      <c r="DV17" s="59"/>
    </row>
    <row r="18" spans="1:126" ht="12.75" customHeight="1" thickBot="1" x14ac:dyDescent="0.3">
      <c r="A18" s="48"/>
      <c r="B18" s="47"/>
      <c r="C18" s="60" t="str">
        <f>Threats!A12</f>
        <v>T12-Inaccurrate Data</v>
      </c>
      <c r="D18" s="64">
        <f>IF(O$7 &lt;&gt; 0, $D$7/O$7, 0)</f>
        <v>0</v>
      </c>
      <c r="E18" s="67">
        <f>IF(O$8&lt;&gt;0, $E$8/O$8,0)</f>
        <v>0</v>
      </c>
      <c r="F18" s="67">
        <f>IF(O$9&lt;&gt;0, ($F$9/O$9),0)</f>
        <v>0</v>
      </c>
      <c r="G18" s="67">
        <f>IF(O$10&lt;&gt;0,($G$10/O$10),0)</f>
        <v>0</v>
      </c>
      <c r="H18" s="67">
        <f>IF($O$11&lt;&gt;0,$H$11/$O$11,0)</f>
        <v>0</v>
      </c>
      <c r="I18" s="67">
        <f>IF($O$12&lt;&gt;0,$I$12/$O$12,0)</f>
        <v>0</v>
      </c>
      <c r="J18" s="67">
        <f>IF($O$13&lt;&gt;0,$J$13/$O$13,0)</f>
        <v>0</v>
      </c>
      <c r="K18" s="67">
        <f>IF($O$14&lt;&gt;0,$K$14/$O$14,0)</f>
        <v>0</v>
      </c>
      <c r="L18" s="67">
        <f>IF($O$15&lt;&gt;0,$L$15/$O$15,0)</f>
        <v>0</v>
      </c>
      <c r="M18" s="67">
        <f>IF($O$16&lt;&gt;0,$M$16/$O$16,0)</f>
        <v>0.2</v>
      </c>
      <c r="N18" s="65">
        <f>IF($O$17&lt;&gt;0,$N$17/$O$17,0)</f>
        <v>1</v>
      </c>
      <c r="O18" s="62">
        <v>1</v>
      </c>
      <c r="P18" s="199">
        <v>0.25</v>
      </c>
      <c r="Q18" s="199">
        <v>0.33333333333333331</v>
      </c>
      <c r="R18" s="199">
        <v>0</v>
      </c>
      <c r="S18" s="199">
        <v>0</v>
      </c>
      <c r="T18" s="199">
        <v>0</v>
      </c>
      <c r="U18" s="199">
        <v>0</v>
      </c>
      <c r="V18" s="199">
        <v>0</v>
      </c>
      <c r="W18" s="199">
        <v>0</v>
      </c>
      <c r="X18" s="199">
        <v>0</v>
      </c>
      <c r="Y18" s="199">
        <v>0</v>
      </c>
      <c r="Z18" s="76" t="str">
        <f>Threats!B12</f>
        <v>Threats to the Information Base</v>
      </c>
      <c r="AA18" s="47"/>
      <c r="AB18" s="380" t="s">
        <v>255</v>
      </c>
      <c r="AC18" s="381"/>
      <c r="AD18" s="381"/>
      <c r="AE18" s="47"/>
      <c r="AF18" s="47"/>
      <c r="AG18" s="47"/>
      <c r="AH18" s="47"/>
      <c r="AI18" s="47"/>
      <c r="AJ18" s="47"/>
      <c r="AK18" s="47"/>
      <c r="AL18" s="47"/>
      <c r="AM18" s="47"/>
      <c r="AN18" s="47"/>
      <c r="AO18" s="47"/>
      <c r="AP18" s="47"/>
      <c r="AQ18" s="47"/>
      <c r="AR18" s="47"/>
      <c r="AS18" s="47"/>
      <c r="AT18" s="47"/>
      <c r="AU18" s="47"/>
      <c r="AV18" s="47"/>
      <c r="AW18" s="47"/>
      <c r="AX18" s="47"/>
      <c r="AY18" s="47"/>
      <c r="AZ18" s="47"/>
      <c r="BA18" s="47"/>
      <c r="BB18" s="47"/>
      <c r="BC18" s="47"/>
      <c r="BD18" s="47"/>
      <c r="BE18" s="47"/>
      <c r="BF18" s="47"/>
      <c r="BG18" s="47"/>
      <c r="BH18" s="47"/>
      <c r="BI18" s="47"/>
      <c r="BJ18" s="47"/>
      <c r="BK18" s="47"/>
      <c r="BL18" s="47"/>
      <c r="BM18" s="47"/>
      <c r="BN18" s="47"/>
      <c r="BO18" s="47"/>
      <c r="BP18" s="47"/>
      <c r="BQ18" s="47"/>
      <c r="BR18" s="47"/>
      <c r="BS18" s="47"/>
      <c r="BT18" s="47"/>
      <c r="BU18" s="47"/>
      <c r="BV18" s="47"/>
      <c r="BW18" s="47"/>
      <c r="BX18" s="47"/>
      <c r="BY18" s="47"/>
      <c r="BZ18" s="47"/>
      <c r="CA18" s="47"/>
      <c r="CB18" s="47"/>
      <c r="CC18" s="47"/>
      <c r="CD18" s="47"/>
      <c r="CE18" s="47"/>
      <c r="CF18" s="47"/>
      <c r="CG18" s="47"/>
      <c r="CH18" s="47"/>
      <c r="CI18" s="47"/>
      <c r="CJ18" s="47"/>
      <c r="CK18" s="47"/>
      <c r="CL18" s="47"/>
      <c r="CM18" s="47"/>
      <c r="CN18" s="47"/>
      <c r="CO18" s="47"/>
      <c r="CP18" s="47"/>
      <c r="CQ18" s="47"/>
      <c r="CR18" s="47"/>
      <c r="CS18" s="47"/>
      <c r="CT18" s="47"/>
      <c r="CU18" s="47"/>
      <c r="CV18" s="47"/>
      <c r="CW18" s="47"/>
      <c r="CX18" s="47"/>
      <c r="CY18" s="47"/>
      <c r="CZ18" s="47"/>
      <c r="DA18" s="47"/>
      <c r="DB18" s="47"/>
      <c r="DC18" s="47"/>
      <c r="DD18" s="47"/>
      <c r="DE18" s="47"/>
      <c r="DF18" s="47"/>
      <c r="DG18" s="47"/>
      <c r="DH18" s="47"/>
      <c r="DI18" s="47"/>
      <c r="DJ18" s="47"/>
      <c r="DK18" s="47"/>
      <c r="DL18" s="47"/>
      <c r="DM18" s="47"/>
      <c r="DN18" s="47"/>
      <c r="DO18" s="58"/>
      <c r="DP18" s="58"/>
      <c r="DQ18" s="58"/>
      <c r="DR18" s="58"/>
      <c r="DS18" s="58"/>
      <c r="DT18" s="58"/>
      <c r="DU18" s="59"/>
      <c r="DV18" s="59"/>
    </row>
    <row r="19" spans="1:126" ht="12.75" customHeight="1" thickBot="1" x14ac:dyDescent="0.3">
      <c r="A19" s="48"/>
      <c r="B19" s="47"/>
      <c r="C19" s="60" t="str">
        <f>Threats!A13</f>
        <v>T13-Un-authorized Access</v>
      </c>
      <c r="D19" s="64">
        <f>IF(P$7 &lt;&gt;0, $D$7/P$7, 0)</f>
        <v>0</v>
      </c>
      <c r="E19" s="67">
        <f>IF(P$8&lt;&gt;0, $E$8/P$8,0)</f>
        <v>0</v>
      </c>
      <c r="F19" s="67">
        <f>IF(P$9&lt;&gt;0, ($F$9/P$9),0)</f>
        <v>0</v>
      </c>
      <c r="G19" s="67">
        <f>IF(P$10&lt;&gt;0, ($G$10/P$10),0)</f>
        <v>0</v>
      </c>
      <c r="H19" s="67">
        <f>IF($P$11&lt;&gt;0, $H$11/$P$11,0)</f>
        <v>0</v>
      </c>
      <c r="I19" s="67">
        <f>IF($P$12&lt;&gt;0,$I$12/$P$12,0)</f>
        <v>0</v>
      </c>
      <c r="J19" s="67">
        <f>IF($P$13&lt;&gt;0,$J$13/$P$13,0)</f>
        <v>0</v>
      </c>
      <c r="K19" s="67">
        <f>IF($P$14&lt;&gt;0,$K$14/$P$14,0)</f>
        <v>0</v>
      </c>
      <c r="L19" s="67">
        <f>IF($P$15&lt;&gt;0,$L$15/$P$15,0)</f>
        <v>0</v>
      </c>
      <c r="M19" s="67">
        <f>IF($P$16&lt;&gt;0,$M$16/$P$16,0)</f>
        <v>4</v>
      </c>
      <c r="N19" s="67">
        <f>IF($P$17&lt;&gt;0,$N$17/$P$17,0)</f>
        <v>3</v>
      </c>
      <c r="O19" s="65">
        <f>IF($P$18&lt;&gt;0,$O$18/$P$18,0)</f>
        <v>4</v>
      </c>
      <c r="P19" s="62">
        <v>1</v>
      </c>
      <c r="Q19" s="200">
        <v>0.33333333333333331</v>
      </c>
      <c r="R19" s="200">
        <v>0</v>
      </c>
      <c r="S19" s="200">
        <v>0</v>
      </c>
      <c r="T19" s="200">
        <v>0</v>
      </c>
      <c r="U19" s="200">
        <v>0</v>
      </c>
      <c r="V19" s="200">
        <v>0</v>
      </c>
      <c r="W19" s="200">
        <v>0</v>
      </c>
      <c r="X19" s="200">
        <v>0</v>
      </c>
      <c r="Y19" s="200">
        <v>0</v>
      </c>
      <c r="Z19" s="77" t="str">
        <f>Threats!B13</f>
        <v>Threats to the Information Base</v>
      </c>
      <c r="AA19" s="47"/>
      <c r="AB19" s="382" t="s">
        <v>255</v>
      </c>
      <c r="AC19" s="383"/>
      <c r="AD19" s="383"/>
      <c r="AE19" s="47"/>
      <c r="AF19" s="47"/>
      <c r="AG19" s="47"/>
      <c r="AH19" s="47"/>
      <c r="AI19" s="47"/>
      <c r="AJ19" s="47"/>
      <c r="AK19" s="47"/>
      <c r="AL19" s="47"/>
      <c r="AM19" s="47"/>
      <c r="AN19" s="47"/>
      <c r="AO19" s="47"/>
      <c r="AP19" s="47"/>
      <c r="AQ19" s="47"/>
      <c r="AR19" s="47"/>
      <c r="AS19" s="47"/>
      <c r="AT19" s="47"/>
      <c r="AU19" s="47"/>
      <c r="AV19" s="47"/>
      <c r="AW19" s="47"/>
      <c r="AX19" s="47"/>
      <c r="AY19" s="47"/>
      <c r="AZ19" s="47"/>
      <c r="BA19" s="47"/>
      <c r="BB19" s="47"/>
      <c r="BC19" s="47"/>
      <c r="BD19" s="47"/>
      <c r="BE19" s="47"/>
      <c r="BF19" s="47"/>
      <c r="BG19" s="47"/>
      <c r="BH19" s="47"/>
      <c r="BI19" s="47"/>
      <c r="BJ19" s="47"/>
      <c r="BK19" s="47"/>
      <c r="BL19" s="47"/>
      <c r="BM19" s="47"/>
      <c r="BN19" s="47"/>
      <c r="BO19" s="47"/>
      <c r="BP19" s="47"/>
      <c r="BQ19" s="47"/>
      <c r="BR19" s="47"/>
      <c r="BS19" s="47"/>
      <c r="BT19" s="47"/>
      <c r="BU19" s="47"/>
      <c r="BV19" s="47"/>
      <c r="BW19" s="47"/>
      <c r="BX19" s="47"/>
      <c r="BY19" s="47"/>
      <c r="BZ19" s="47"/>
      <c r="CA19" s="47"/>
      <c r="CB19" s="47"/>
      <c r="CC19" s="47"/>
      <c r="CD19" s="47"/>
      <c r="CE19" s="47"/>
      <c r="CF19" s="47"/>
      <c r="CG19" s="47"/>
      <c r="CH19" s="47"/>
      <c r="CI19" s="47"/>
      <c r="CJ19" s="47"/>
      <c r="CK19" s="47"/>
      <c r="CL19" s="47"/>
      <c r="CM19" s="47"/>
      <c r="CN19" s="47"/>
      <c r="CO19" s="47"/>
      <c r="CP19" s="47"/>
      <c r="CQ19" s="47"/>
      <c r="CR19" s="47"/>
      <c r="CS19" s="47"/>
      <c r="CT19" s="47"/>
      <c r="CU19" s="47"/>
      <c r="CV19" s="47"/>
      <c r="CW19" s="47"/>
      <c r="CX19" s="47"/>
      <c r="CY19" s="47"/>
      <c r="CZ19" s="47"/>
      <c r="DA19" s="47"/>
      <c r="DB19" s="47"/>
      <c r="DC19" s="47"/>
      <c r="DD19" s="47"/>
      <c r="DE19" s="47"/>
      <c r="DF19" s="47"/>
      <c r="DG19" s="47"/>
      <c r="DH19" s="47"/>
      <c r="DI19" s="47"/>
      <c r="DJ19" s="47"/>
      <c r="DK19" s="47"/>
      <c r="DL19" s="47"/>
      <c r="DM19" s="47"/>
      <c r="DN19" s="47"/>
      <c r="DO19" s="58"/>
      <c r="DP19" s="58"/>
      <c r="DQ19" s="58"/>
      <c r="DR19" s="58"/>
      <c r="DS19" s="58"/>
      <c r="DT19" s="58"/>
      <c r="DU19" s="59"/>
      <c r="DV19" s="59"/>
    </row>
    <row r="20" spans="1:126" ht="12.75" customHeight="1" thickBot="1" x14ac:dyDescent="0.3">
      <c r="A20" s="48"/>
      <c r="B20" s="47"/>
      <c r="C20" s="60" t="str">
        <f>Threats!A14</f>
        <v>T14-Virus and Spyware</v>
      </c>
      <c r="D20" s="64">
        <f>IF(O$7 &lt;&gt; 0, $D$7/Q$7, 0)</f>
        <v>0</v>
      </c>
      <c r="E20" s="67">
        <f>IF(Q$8&lt;&gt;0, $E$8/Q$8, 0)</f>
        <v>0</v>
      </c>
      <c r="F20" s="67">
        <f>IF(Q$9&lt;&gt;0,($F$9/Q$9),0)</f>
        <v>0</v>
      </c>
      <c r="G20" s="67">
        <f>IF(Q$10&lt;&gt;0, ($G$10/Q$10),0)</f>
        <v>0</v>
      </c>
      <c r="H20" s="67">
        <f>IF($Q$11&lt;&gt;0,$H$11/$Q$11,0)</f>
        <v>0</v>
      </c>
      <c r="I20" s="67">
        <f>IF($Q$12&lt;&gt;0,$I$12/$Q$12,0)</f>
        <v>0</v>
      </c>
      <c r="J20" s="67">
        <f>IF($Q$13&lt;&gt;0,$J$13/$Q$13,0)</f>
        <v>0</v>
      </c>
      <c r="K20" s="67">
        <f>IF($Q$14&lt;&gt;0,$K$14/$Q$14,0)</f>
        <v>0</v>
      </c>
      <c r="L20" s="67">
        <f>IF($Q$15&lt;&gt;0,$L$15/$Q$15,0)</f>
        <v>0</v>
      </c>
      <c r="M20" s="67">
        <f>IF($Q$16&lt;&gt;0,$M$16/$Q$16,0)</f>
        <v>0.33333333333333331</v>
      </c>
      <c r="N20" s="67">
        <f>IF($Q$17&lt;&gt;0,$N$17/$Q$17,0)</f>
        <v>1</v>
      </c>
      <c r="O20" s="67">
        <f>IF($Q$18&lt;&gt;0,$O$18/$Q$18,0)</f>
        <v>3</v>
      </c>
      <c r="P20" s="65">
        <f>IF($Q$19&lt;&gt;0,$P$19/$Q$19,0)</f>
        <v>3</v>
      </c>
      <c r="Q20" s="62">
        <v>1</v>
      </c>
      <c r="R20" s="201">
        <v>0</v>
      </c>
      <c r="S20" s="201">
        <v>0</v>
      </c>
      <c r="T20" s="201">
        <v>0</v>
      </c>
      <c r="U20" s="201">
        <v>0</v>
      </c>
      <c r="V20" s="201">
        <v>0</v>
      </c>
      <c r="W20" s="201">
        <v>0</v>
      </c>
      <c r="X20" s="201">
        <v>0</v>
      </c>
      <c r="Y20" s="201">
        <v>0</v>
      </c>
      <c r="Z20" s="78" t="str">
        <f>Threats!B14</f>
        <v>Threats to the Information Base</v>
      </c>
      <c r="AA20" s="47"/>
      <c r="AB20" s="384" t="s">
        <v>255</v>
      </c>
      <c r="AC20" s="385"/>
      <c r="AD20" s="385"/>
      <c r="AE20" s="47"/>
      <c r="AF20" s="47"/>
      <c r="AG20" s="47"/>
      <c r="AH20" s="47"/>
      <c r="AI20" s="47"/>
      <c r="AJ20" s="47"/>
      <c r="AK20" s="47"/>
      <c r="AL20" s="47"/>
      <c r="AM20" s="47"/>
      <c r="AN20" s="47"/>
      <c r="AO20" s="47"/>
      <c r="AP20" s="47"/>
      <c r="AQ20" s="47"/>
      <c r="AR20" s="47"/>
      <c r="AS20" s="47"/>
      <c r="AT20" s="47"/>
      <c r="AU20" s="47"/>
      <c r="AV20" s="47"/>
      <c r="AW20" s="47"/>
      <c r="AX20" s="47"/>
      <c r="AY20" s="47"/>
      <c r="AZ20" s="47"/>
      <c r="BA20" s="47"/>
      <c r="BB20" s="47"/>
      <c r="BC20" s="47"/>
      <c r="BD20" s="47"/>
      <c r="BE20" s="47"/>
      <c r="BF20" s="47"/>
      <c r="BG20" s="47"/>
      <c r="BH20" s="47"/>
      <c r="BI20" s="47"/>
      <c r="BJ20" s="47"/>
      <c r="BK20" s="47"/>
      <c r="BL20" s="47"/>
      <c r="BM20" s="47"/>
      <c r="BN20" s="47"/>
      <c r="BO20" s="47"/>
      <c r="BP20" s="47"/>
      <c r="BQ20" s="47"/>
      <c r="BR20" s="47"/>
      <c r="BS20" s="47"/>
      <c r="BT20" s="47"/>
      <c r="BU20" s="47"/>
      <c r="BV20" s="47"/>
      <c r="BW20" s="47"/>
      <c r="BX20" s="47"/>
      <c r="BY20" s="47"/>
      <c r="BZ20" s="47"/>
      <c r="CA20" s="47"/>
      <c r="CB20" s="47"/>
      <c r="CC20" s="47"/>
      <c r="CD20" s="47"/>
      <c r="CE20" s="47"/>
      <c r="CF20" s="47"/>
      <c r="CG20" s="47"/>
      <c r="CH20" s="47"/>
      <c r="CI20" s="47"/>
      <c r="CJ20" s="47"/>
      <c r="CK20" s="47"/>
      <c r="CL20" s="47"/>
      <c r="CM20" s="47"/>
      <c r="CN20" s="47"/>
      <c r="CO20" s="47"/>
      <c r="CP20" s="47"/>
      <c r="CQ20" s="47"/>
      <c r="CR20" s="47"/>
      <c r="CS20" s="47"/>
      <c r="CT20" s="47"/>
      <c r="CU20" s="47"/>
      <c r="CV20" s="47"/>
      <c r="CW20" s="47"/>
      <c r="CX20" s="47"/>
      <c r="CY20" s="47"/>
      <c r="CZ20" s="47"/>
      <c r="DA20" s="47"/>
      <c r="DB20" s="47"/>
      <c r="DC20" s="47"/>
      <c r="DD20" s="47"/>
      <c r="DE20" s="47"/>
      <c r="DF20" s="47"/>
      <c r="DG20" s="47"/>
      <c r="DH20" s="47"/>
      <c r="DI20" s="47"/>
      <c r="DJ20" s="47"/>
      <c r="DK20" s="47"/>
      <c r="DL20" s="47"/>
      <c r="DM20" s="47"/>
      <c r="DN20" s="47"/>
      <c r="DO20" s="58"/>
      <c r="DP20" s="58"/>
      <c r="DQ20" s="58"/>
      <c r="DR20" s="58"/>
      <c r="DS20" s="58"/>
      <c r="DT20" s="58"/>
      <c r="DU20" s="59"/>
      <c r="DV20" s="59"/>
    </row>
    <row r="21" spans="1:126" ht="12.75" customHeight="1" thickBot="1" x14ac:dyDescent="0.3">
      <c r="A21" s="48"/>
      <c r="B21" s="47"/>
      <c r="C21" s="60" t="str">
        <f>Threats!A15</f>
        <v>T15-Hacking</v>
      </c>
      <c r="D21" s="64">
        <f>IF(R$7 &lt;&gt; 0, $D$7/R$7, 0)</f>
        <v>0</v>
      </c>
      <c r="E21" s="67">
        <f>IF(R$8&lt;&gt;0, $E$8/R$8, 0)</f>
        <v>0</v>
      </c>
      <c r="F21" s="67">
        <f>IF(R$9 &lt;&gt;0, ($F$9/R$9),0)</f>
        <v>0</v>
      </c>
      <c r="G21" s="67">
        <f>IF(R$10&lt;&gt;0, ($G$10/R$10),0)</f>
        <v>0</v>
      </c>
      <c r="H21" s="67">
        <f>IF($R$11&lt;&gt;0,$H$11/$R$11,0)</f>
        <v>0</v>
      </c>
      <c r="I21" s="67">
        <f>IF($R$12&lt;&gt;0, $I$12/$R$12,0)</f>
        <v>0</v>
      </c>
      <c r="J21" s="67">
        <f>IF($R$13&lt;&gt;0,$J$13/$R$13,0)</f>
        <v>0</v>
      </c>
      <c r="K21" s="67">
        <f>IF($R$14&lt;&gt;0,$K$14/$R$14,0)</f>
        <v>0</v>
      </c>
      <c r="L21" s="67">
        <f>IF($R$15&lt;&gt;0,$L$15/$R$15,0)</f>
        <v>0</v>
      </c>
      <c r="M21" s="67">
        <f>IF($R$16&lt;&gt;0,$M$16/$R$16,0)</f>
        <v>0</v>
      </c>
      <c r="N21" s="67">
        <f>IF($R$17&lt;&gt;0,$N$17/$R$17,0)</f>
        <v>0</v>
      </c>
      <c r="O21" s="67">
        <f>IF($R$18&lt;&gt;0,$O$18/$R$18,0)</f>
        <v>0</v>
      </c>
      <c r="P21" s="67">
        <f>IF($R$19&lt;&gt;0,$P$19/$R$19,0)</f>
        <v>0</v>
      </c>
      <c r="Q21" s="65">
        <f>IF($R$20&lt;&gt;0,$Q$20/$R$20,0)</f>
        <v>0</v>
      </c>
      <c r="R21" s="62">
        <v>1</v>
      </c>
      <c r="S21" s="202">
        <v>8</v>
      </c>
      <c r="T21" s="202">
        <v>4</v>
      </c>
      <c r="U21" s="202">
        <v>4</v>
      </c>
      <c r="V21" s="202">
        <v>4</v>
      </c>
      <c r="W21" s="202">
        <v>6</v>
      </c>
      <c r="X21" s="202">
        <v>6</v>
      </c>
      <c r="Y21" s="202">
        <v>3</v>
      </c>
      <c r="Z21" s="79" t="str">
        <f>Threats!B15</f>
        <v>Threats to Information Leakage</v>
      </c>
      <c r="AA21" s="47"/>
      <c r="AB21" s="386" t="s">
        <v>255</v>
      </c>
      <c r="AC21" s="387"/>
      <c r="AD21" s="387"/>
      <c r="AE21" s="47"/>
      <c r="AF21" s="47"/>
      <c r="AG21" s="47"/>
      <c r="AH21" s="47"/>
      <c r="AI21" s="47"/>
      <c r="AJ21" s="47"/>
      <c r="AK21" s="47"/>
      <c r="AL21" s="47"/>
      <c r="AM21" s="47"/>
      <c r="AN21" s="47"/>
      <c r="AO21" s="47"/>
      <c r="AP21" s="47"/>
      <c r="AQ21" s="47"/>
      <c r="AR21" s="47"/>
      <c r="AS21" s="47"/>
      <c r="AT21" s="47"/>
      <c r="AU21" s="47"/>
      <c r="AV21" s="47"/>
      <c r="AW21" s="47"/>
      <c r="AX21" s="47"/>
      <c r="AY21" s="47"/>
      <c r="AZ21" s="47"/>
      <c r="BA21" s="47"/>
      <c r="BB21" s="47"/>
      <c r="BC21" s="47"/>
      <c r="BD21" s="47"/>
      <c r="BE21" s="47"/>
      <c r="BF21" s="47"/>
      <c r="BG21" s="47"/>
      <c r="BH21" s="47"/>
      <c r="BI21" s="47"/>
      <c r="BJ21" s="47"/>
      <c r="BK21" s="47"/>
      <c r="BL21" s="47"/>
      <c r="BM21" s="47"/>
      <c r="BN21" s="47"/>
      <c r="BO21" s="47"/>
      <c r="BP21" s="47"/>
      <c r="BQ21" s="47"/>
      <c r="BR21" s="47"/>
      <c r="BS21" s="47"/>
      <c r="BT21" s="47"/>
      <c r="BU21" s="47"/>
      <c r="BV21" s="47"/>
      <c r="BW21" s="47"/>
      <c r="BX21" s="47"/>
      <c r="BY21" s="47"/>
      <c r="BZ21" s="47"/>
      <c r="CA21" s="47"/>
      <c r="CB21" s="47"/>
      <c r="CC21" s="47"/>
      <c r="CD21" s="47"/>
      <c r="CE21" s="47"/>
      <c r="CF21" s="47"/>
      <c r="CG21" s="47"/>
      <c r="CH21" s="47"/>
      <c r="CI21" s="47"/>
      <c r="CJ21" s="47"/>
      <c r="CK21" s="47"/>
      <c r="CL21" s="47"/>
      <c r="CM21" s="47"/>
      <c r="CN21" s="47"/>
      <c r="CO21" s="47"/>
      <c r="CP21" s="47"/>
      <c r="CQ21" s="47"/>
      <c r="CR21" s="47"/>
      <c r="CS21" s="47"/>
      <c r="CT21" s="47"/>
      <c r="CU21" s="47"/>
      <c r="CV21" s="47"/>
      <c r="CW21" s="47"/>
      <c r="CX21" s="47"/>
      <c r="CY21" s="47"/>
      <c r="CZ21" s="47"/>
      <c r="DA21" s="47"/>
      <c r="DB21" s="47"/>
      <c r="DC21" s="47"/>
      <c r="DD21" s="47"/>
      <c r="DE21" s="47"/>
      <c r="DF21" s="47"/>
      <c r="DG21" s="47"/>
      <c r="DH21" s="47"/>
      <c r="DI21" s="47"/>
      <c r="DJ21" s="47"/>
      <c r="DK21" s="47"/>
      <c r="DL21" s="47"/>
      <c r="DM21" s="47"/>
      <c r="DN21" s="47"/>
      <c r="DO21" s="58"/>
      <c r="DP21" s="58"/>
      <c r="DQ21" s="58"/>
      <c r="DR21" s="58"/>
      <c r="DS21" s="58"/>
      <c r="DT21" s="58"/>
      <c r="DU21" s="59"/>
      <c r="DV21" s="59"/>
    </row>
    <row r="22" spans="1:126" ht="12.75" customHeight="1" thickBot="1" x14ac:dyDescent="0.3">
      <c r="A22" s="48"/>
      <c r="B22" s="47"/>
      <c r="C22" s="60" t="str">
        <f>Threats!A16</f>
        <v>T16-Media Leakage</v>
      </c>
      <c r="D22" s="64">
        <f>IF(S$7 &lt;&gt; 0, $D$7/S$7, 0)</f>
        <v>0</v>
      </c>
      <c r="E22" s="67">
        <f>IF(S$8&lt;&gt;0, ($E$8/S$8), 0)</f>
        <v>0</v>
      </c>
      <c r="F22" s="67">
        <f>IF(S$9&lt;&gt;0, ($F$9/S$9),0)</f>
        <v>0</v>
      </c>
      <c r="G22" s="67">
        <f>IF(S$10&lt;&gt;0,($G$10/S$10),0)</f>
        <v>0</v>
      </c>
      <c r="H22" s="67">
        <f>IF($S$11&lt;&gt;0,$H$11/$S$11,0)</f>
        <v>0</v>
      </c>
      <c r="I22" s="67">
        <f>IF($S$12&lt;&gt;0,$I$12/$S$12,0)</f>
        <v>0</v>
      </c>
      <c r="J22" s="67">
        <f>IF($S$13&lt;&gt;0,$J$13/$S$13,0)</f>
        <v>0</v>
      </c>
      <c r="K22" s="67">
        <f>IF($S$14&lt;&gt;0,$K$14/$S$14,0)</f>
        <v>0</v>
      </c>
      <c r="L22" s="67">
        <f>IF($S$15&lt;&gt;0,$L$15/$S$15,0)</f>
        <v>0</v>
      </c>
      <c r="M22" s="67">
        <f>IF($S$16&lt;&gt;0,$M$16/$S$16,0)</f>
        <v>0</v>
      </c>
      <c r="N22" s="67">
        <f>IF($S$17&lt;&gt;0,$N$17/$S$17,0)</f>
        <v>0</v>
      </c>
      <c r="O22" s="67">
        <f>IF($S$18&lt;&gt;0,$O$18/$S$18,0)</f>
        <v>0</v>
      </c>
      <c r="P22" s="67">
        <f>IF($S$19&lt;&gt;0,$P$19/$S$19,0)</f>
        <v>0</v>
      </c>
      <c r="Q22" s="67">
        <f>IF($S$20&lt;&gt;0,$Q$20/$S$20,0)</f>
        <v>0</v>
      </c>
      <c r="R22" s="65">
        <f>IF($S$21&lt;&gt;0,$R$21/$S$21,0)</f>
        <v>0.125</v>
      </c>
      <c r="S22" s="62">
        <v>1</v>
      </c>
      <c r="T22" s="203">
        <v>0.33333333333333331</v>
      </c>
      <c r="U22" s="203">
        <v>0.25</v>
      </c>
      <c r="V22" s="203">
        <v>0.25</v>
      </c>
      <c r="W22" s="203">
        <v>0.33333333333333331</v>
      </c>
      <c r="X22" s="203">
        <v>0.33333333333333331</v>
      </c>
      <c r="Y22" s="203">
        <v>0.25</v>
      </c>
      <c r="Z22" s="80" t="str">
        <f>Threats!B16</f>
        <v>Threats to Information Leakage</v>
      </c>
      <c r="AA22" s="47"/>
      <c r="AB22" s="364" t="s">
        <v>255</v>
      </c>
      <c r="AC22" s="365"/>
      <c r="AD22" s="365"/>
      <c r="AE22" s="47"/>
      <c r="AF22" s="47"/>
      <c r="AG22" s="47"/>
      <c r="AH22" s="47"/>
      <c r="AI22" s="47"/>
      <c r="AJ22" s="47"/>
      <c r="AK22" s="47"/>
      <c r="AL22" s="47"/>
      <c r="AM22" s="47"/>
      <c r="AN22" s="47"/>
      <c r="AO22" s="47"/>
      <c r="AP22" s="47"/>
      <c r="AQ22" s="47"/>
      <c r="AR22" s="47"/>
      <c r="AS22" s="47"/>
      <c r="AT22" s="47"/>
      <c r="AU22" s="47"/>
      <c r="AV22" s="47"/>
      <c r="AW22" s="47"/>
      <c r="AX22" s="47"/>
      <c r="AY22" s="47"/>
      <c r="AZ22" s="47"/>
      <c r="BA22" s="47"/>
      <c r="BB22" s="47"/>
      <c r="BC22" s="47"/>
      <c r="BD22" s="47"/>
      <c r="BE22" s="47"/>
      <c r="BF22" s="47"/>
      <c r="BG22" s="47"/>
      <c r="BH22" s="47"/>
      <c r="BI22" s="47"/>
      <c r="BJ22" s="47"/>
      <c r="BK22" s="47"/>
      <c r="BL22" s="47"/>
      <c r="BM22" s="47"/>
      <c r="BN22" s="47"/>
      <c r="BO22" s="47"/>
      <c r="BP22" s="47"/>
      <c r="BQ22" s="47"/>
      <c r="BR22" s="47"/>
      <c r="BS22" s="47"/>
      <c r="BT22" s="47"/>
      <c r="BU22" s="47"/>
      <c r="BV22" s="47"/>
      <c r="BW22" s="47"/>
      <c r="BX22" s="47"/>
      <c r="BY22" s="47"/>
      <c r="BZ22" s="47"/>
      <c r="CA22" s="47"/>
      <c r="CB22" s="47"/>
      <c r="CC22" s="47"/>
      <c r="CD22" s="47"/>
      <c r="CE22" s="47"/>
      <c r="CF22" s="47"/>
      <c r="CG22" s="47"/>
      <c r="CH22" s="47"/>
      <c r="CI22" s="47"/>
      <c r="CJ22" s="47"/>
      <c r="CK22" s="47"/>
      <c r="CL22" s="47"/>
      <c r="CM22" s="47"/>
      <c r="CN22" s="47"/>
      <c r="CO22" s="47"/>
      <c r="CP22" s="47"/>
      <c r="CQ22" s="47"/>
      <c r="CR22" s="47"/>
      <c r="CS22" s="47"/>
      <c r="CT22" s="47"/>
      <c r="CU22" s="47"/>
      <c r="CV22" s="47"/>
      <c r="CW22" s="47"/>
      <c r="CX22" s="47"/>
      <c r="CY22" s="47"/>
      <c r="CZ22" s="47"/>
      <c r="DA22" s="47"/>
      <c r="DB22" s="47"/>
      <c r="DC22" s="47"/>
      <c r="DD22" s="47"/>
      <c r="DE22" s="47"/>
      <c r="DF22" s="47"/>
      <c r="DG22" s="47"/>
      <c r="DH22" s="47"/>
      <c r="DI22" s="47"/>
      <c r="DJ22" s="47"/>
      <c r="DK22" s="47"/>
      <c r="DL22" s="47"/>
      <c r="DM22" s="47"/>
      <c r="DN22" s="47"/>
      <c r="DO22" s="58"/>
      <c r="DP22" s="58"/>
      <c r="DQ22" s="58"/>
      <c r="DR22" s="58"/>
      <c r="DS22" s="58"/>
      <c r="DT22" s="58"/>
      <c r="DU22" s="59"/>
      <c r="DV22" s="59"/>
    </row>
    <row r="23" spans="1:126" ht="12.75" customHeight="1" thickBot="1" x14ac:dyDescent="0.3">
      <c r="A23" s="48"/>
      <c r="B23" s="47"/>
      <c r="C23" s="60" t="str">
        <f>Threats!A17</f>
        <v>T17-Communication Preventers(Botnet, Dialer)</v>
      </c>
      <c r="D23" s="64">
        <f>IF(T$7 &lt;&gt;0, $D$7/T$7, 0)</f>
        <v>0</v>
      </c>
      <c r="E23" s="67">
        <f>IF(T$8&lt;&gt;0, ($E$8/T$8), 0)</f>
        <v>0</v>
      </c>
      <c r="F23" s="67">
        <f>IF(T$9, ($F$9/T$9),0)</f>
        <v>0</v>
      </c>
      <c r="G23" s="67">
        <f>IF(T$10&lt;&gt;0, ($G$10/T$10),0)</f>
        <v>0</v>
      </c>
      <c r="H23" s="67">
        <f>IF($T$11&lt;&gt;0,$H$11/$T$11,0)</f>
        <v>0</v>
      </c>
      <c r="I23" s="67">
        <f>IF($T$12&lt;&gt;0,$I$12/$T$12,0)</f>
        <v>0</v>
      </c>
      <c r="J23" s="67">
        <f>IF($T$13&lt;&gt;0, $J$13/$T$13,0)</f>
        <v>0</v>
      </c>
      <c r="K23" s="67">
        <f>IF($T$14&lt;&gt;0,$K$14/$T$14,0)</f>
        <v>0</v>
      </c>
      <c r="L23" s="67">
        <f>IF($T$15&lt;&gt;0,$L$15/$T$15,0)</f>
        <v>0</v>
      </c>
      <c r="M23" s="67">
        <f>IF($T$16&lt;&gt;0,$M$16/$T$16,0)</f>
        <v>0</v>
      </c>
      <c r="N23" s="67">
        <f>IF($T$17&lt;&gt;0,$N$17/$T$17,0)</f>
        <v>0</v>
      </c>
      <c r="O23" s="67">
        <f>IF($T$18&lt;&gt;0,$O$18/$T$18,0)</f>
        <v>0</v>
      </c>
      <c r="P23" s="67">
        <f>IF($T$19&lt;&gt;0,$P$19/$T$19,0)</f>
        <v>0</v>
      </c>
      <c r="Q23" s="67">
        <f>IF($T$20&lt;&gt;0,$Q$20/$T$20,0)</f>
        <v>0</v>
      </c>
      <c r="R23" s="67">
        <f>IF($T$21&lt;&gt;0,$R$21/$T$21,0)</f>
        <v>0.25</v>
      </c>
      <c r="S23" s="65">
        <f>IF($T$22&lt;&gt;0,$S$22/$T$22,0)</f>
        <v>3</v>
      </c>
      <c r="T23" s="62">
        <v>1</v>
      </c>
      <c r="U23" s="204">
        <v>1</v>
      </c>
      <c r="V23" s="204">
        <v>1</v>
      </c>
      <c r="W23" s="204">
        <v>3</v>
      </c>
      <c r="X23" s="204">
        <v>1</v>
      </c>
      <c r="Y23" s="204">
        <v>1</v>
      </c>
      <c r="Z23" s="81" t="str">
        <f>Threats!B17</f>
        <v>Threats to Information Leakage</v>
      </c>
      <c r="AA23" s="47"/>
      <c r="AB23" s="390" t="s">
        <v>255</v>
      </c>
      <c r="AC23" s="391"/>
      <c r="AD23" s="391"/>
      <c r="AE23" s="47"/>
      <c r="AF23" s="47"/>
      <c r="AG23" s="47"/>
      <c r="AH23" s="47"/>
      <c r="AI23" s="47"/>
      <c r="AJ23" s="47"/>
      <c r="AK23" s="47"/>
      <c r="AL23" s="47"/>
      <c r="AM23" s="47"/>
      <c r="AN23" s="47"/>
      <c r="AO23" s="47"/>
      <c r="AP23" s="47"/>
      <c r="AQ23" s="47"/>
      <c r="AR23" s="47"/>
      <c r="AS23" s="47"/>
      <c r="AT23" s="47"/>
      <c r="AU23" s="47"/>
      <c r="AV23" s="47"/>
      <c r="AW23" s="47"/>
      <c r="AX23" s="47"/>
      <c r="AY23" s="47"/>
      <c r="AZ23" s="47"/>
      <c r="BA23" s="47"/>
      <c r="BB23" s="47"/>
      <c r="BC23" s="47"/>
      <c r="BD23" s="47"/>
      <c r="BE23" s="47"/>
      <c r="BF23" s="47"/>
      <c r="BG23" s="47"/>
      <c r="BH23" s="47"/>
      <c r="BI23" s="47"/>
      <c r="BJ23" s="47"/>
      <c r="BK23" s="47"/>
      <c r="BL23" s="47"/>
      <c r="BM23" s="47"/>
      <c r="BN23" s="47"/>
      <c r="BO23" s="47"/>
      <c r="BP23" s="47"/>
      <c r="BQ23" s="47"/>
      <c r="BR23" s="47"/>
      <c r="BS23" s="47"/>
      <c r="BT23" s="47"/>
      <c r="BU23" s="47"/>
      <c r="BV23" s="47"/>
      <c r="BW23" s="47"/>
      <c r="BX23" s="47"/>
      <c r="BY23" s="47"/>
      <c r="BZ23" s="47"/>
      <c r="CA23" s="47"/>
      <c r="CB23" s="47"/>
      <c r="CC23" s="47"/>
      <c r="CD23" s="47"/>
      <c r="CE23" s="47"/>
      <c r="CF23" s="47"/>
      <c r="CG23" s="47"/>
      <c r="CH23" s="47"/>
      <c r="CI23" s="47"/>
      <c r="CJ23" s="47"/>
      <c r="CK23" s="47"/>
      <c r="CL23" s="47"/>
      <c r="CM23" s="47"/>
      <c r="CN23" s="47"/>
      <c r="CO23" s="47"/>
      <c r="CP23" s="47"/>
      <c r="CQ23" s="47"/>
      <c r="CR23" s="47"/>
      <c r="CS23" s="47"/>
      <c r="CT23" s="47"/>
      <c r="CU23" s="47"/>
      <c r="CV23" s="47"/>
      <c r="CW23" s="47"/>
      <c r="CX23" s="47"/>
      <c r="CY23" s="47"/>
      <c r="CZ23" s="47"/>
      <c r="DA23" s="47"/>
      <c r="DB23" s="47"/>
      <c r="DC23" s="47"/>
      <c r="DD23" s="47"/>
      <c r="DE23" s="47"/>
      <c r="DF23" s="47"/>
      <c r="DG23" s="47"/>
      <c r="DH23" s="47"/>
      <c r="DI23" s="47"/>
      <c r="DJ23" s="47"/>
      <c r="DK23" s="47"/>
      <c r="DL23" s="47"/>
      <c r="DM23" s="47"/>
      <c r="DN23" s="47"/>
      <c r="DO23" s="58"/>
      <c r="DP23" s="58"/>
      <c r="DQ23" s="58"/>
      <c r="DR23" s="58"/>
      <c r="DS23" s="58"/>
      <c r="DT23" s="58"/>
      <c r="DU23" s="59"/>
      <c r="DV23" s="59"/>
    </row>
    <row r="24" spans="1:126" ht="12.75" customHeight="1" thickBot="1" x14ac:dyDescent="0.3">
      <c r="A24" s="48"/>
      <c r="B24" s="47"/>
      <c r="C24" s="60" t="str">
        <f>Threats!A18</f>
        <v>T18-Authentication Threats</v>
      </c>
      <c r="D24" s="64">
        <f>IF(U$7 &lt;&gt; 0, $D$7/U$7, 0)</f>
        <v>0</v>
      </c>
      <c r="E24" s="67">
        <f>IF(U$8 &lt;&gt;0, ($E$8/U$8), 0)</f>
        <v>0</v>
      </c>
      <c r="F24" s="67">
        <f>IF(U$9 &lt;&gt;0, ($F$9/U$9),0)</f>
        <v>0</v>
      </c>
      <c r="G24" s="67">
        <f>IF(U$10&lt;&gt;0,($G$10/U$10),0)</f>
        <v>0</v>
      </c>
      <c r="H24" s="67">
        <f>IF($U$11&lt;&gt;0,$H$11/$U$11,0)</f>
        <v>0</v>
      </c>
      <c r="I24" s="67">
        <f>IF($U$12&lt;&gt;0,$I$12/$U$12,0)</f>
        <v>0</v>
      </c>
      <c r="J24" s="67">
        <f>IF($U$13&lt;&gt;0,$J$13/$U$13,0)</f>
        <v>0</v>
      </c>
      <c r="K24" s="67">
        <f>IF($U$14&lt;&gt;0,$K$14/$U$14,0)</f>
        <v>0</v>
      </c>
      <c r="L24" s="67">
        <f>IF($U$15&lt;&gt;0,$L$15/$U$15,0)</f>
        <v>0</v>
      </c>
      <c r="M24" s="67">
        <f>IF($U$16&lt;&gt;0,$M$16/$U$16,0)</f>
        <v>0</v>
      </c>
      <c r="N24" s="67">
        <f>IF($U$17&lt;&gt;0,$N$17/$U$17,0)</f>
        <v>0</v>
      </c>
      <c r="O24" s="67">
        <f>IF($U$18&lt;&gt;0,$O$18/$U$18,0)</f>
        <v>0</v>
      </c>
      <c r="P24" s="67">
        <f>IF($U$19&lt;&gt;0,$P$19/$U$19,0)</f>
        <v>0</v>
      </c>
      <c r="Q24" s="67">
        <f>IF($U$20&lt;&gt;0,$Q$20/$U$20,0)</f>
        <v>0</v>
      </c>
      <c r="R24" s="67">
        <f>IF($U$21&lt;&gt;0,$R$21/$U$21,0)</f>
        <v>0.25</v>
      </c>
      <c r="S24" s="67">
        <f>IF($U$22&lt;&gt;0,$S$22/$U$22,0)</f>
        <v>4</v>
      </c>
      <c r="T24" s="65">
        <f>IF($U$23&lt;&gt;0,$T$23/$U$23,0)</f>
        <v>1</v>
      </c>
      <c r="U24" s="62">
        <v>1</v>
      </c>
      <c r="V24" s="205">
        <v>1</v>
      </c>
      <c r="W24" s="205">
        <v>2</v>
      </c>
      <c r="X24" s="205">
        <v>2</v>
      </c>
      <c r="Y24" s="205">
        <v>1</v>
      </c>
      <c r="Z24" s="82" t="str">
        <f>Threats!B18</f>
        <v>Threats to Information Leakage</v>
      </c>
      <c r="AA24" s="47"/>
      <c r="AB24" s="392" t="s">
        <v>255</v>
      </c>
      <c r="AC24" s="393"/>
      <c r="AD24" s="393"/>
      <c r="AE24" s="47"/>
      <c r="AF24" s="47"/>
      <c r="AG24" s="47"/>
      <c r="AH24" s="47"/>
      <c r="AI24" s="47"/>
      <c r="AJ24" s="47"/>
      <c r="AK24" s="47"/>
      <c r="AL24" s="47"/>
      <c r="AM24" s="47"/>
      <c r="AN24" s="47"/>
      <c r="AO24" s="47"/>
      <c r="AP24" s="47"/>
      <c r="AQ24" s="47"/>
      <c r="AR24" s="47"/>
      <c r="AS24" s="47"/>
      <c r="AT24" s="47"/>
      <c r="AU24" s="47"/>
      <c r="AV24" s="47"/>
      <c r="AW24" s="47"/>
      <c r="AX24" s="47"/>
      <c r="AY24" s="47"/>
      <c r="AZ24" s="47"/>
      <c r="BA24" s="47"/>
      <c r="BB24" s="47"/>
      <c r="BC24" s="47"/>
      <c r="BD24" s="47"/>
      <c r="BE24" s="47"/>
      <c r="BF24" s="47"/>
      <c r="BG24" s="47"/>
      <c r="BH24" s="47"/>
      <c r="BI24" s="47"/>
      <c r="BJ24" s="47"/>
      <c r="BK24" s="47"/>
      <c r="BL24" s="47"/>
      <c r="BM24" s="47"/>
      <c r="BN24" s="47"/>
      <c r="BO24" s="47"/>
      <c r="BP24" s="47"/>
      <c r="BQ24" s="47"/>
      <c r="BR24" s="47"/>
      <c r="BS24" s="47"/>
      <c r="BT24" s="47"/>
      <c r="BU24" s="47"/>
      <c r="BV24" s="47"/>
      <c r="BW24" s="47"/>
      <c r="BX24" s="47"/>
      <c r="BY24" s="47"/>
      <c r="BZ24" s="47"/>
      <c r="CA24" s="47"/>
      <c r="CB24" s="47"/>
      <c r="CC24" s="47"/>
      <c r="CD24" s="47"/>
      <c r="CE24" s="47"/>
      <c r="CF24" s="47"/>
      <c r="CG24" s="47"/>
      <c r="CH24" s="47"/>
      <c r="CI24" s="47"/>
      <c r="CJ24" s="47"/>
      <c r="CK24" s="47"/>
      <c r="CL24" s="47"/>
      <c r="CM24" s="47"/>
      <c r="CN24" s="47"/>
      <c r="CO24" s="47"/>
      <c r="CP24" s="47"/>
      <c r="CQ24" s="47"/>
      <c r="CR24" s="47"/>
      <c r="CS24" s="47"/>
      <c r="CT24" s="47"/>
      <c r="CU24" s="47"/>
      <c r="CV24" s="47"/>
      <c r="CW24" s="47"/>
      <c r="CX24" s="47"/>
      <c r="CY24" s="47"/>
      <c r="CZ24" s="47"/>
      <c r="DA24" s="47"/>
      <c r="DB24" s="47"/>
      <c r="DC24" s="47"/>
      <c r="DD24" s="47"/>
      <c r="DE24" s="47"/>
      <c r="DF24" s="47"/>
      <c r="DG24" s="47"/>
      <c r="DH24" s="47"/>
      <c r="DI24" s="47"/>
      <c r="DJ24" s="47"/>
      <c r="DK24" s="47"/>
      <c r="DL24" s="47"/>
      <c r="DM24" s="47"/>
      <c r="DN24" s="47"/>
      <c r="DO24" s="58"/>
      <c r="DP24" s="58"/>
      <c r="DQ24" s="58"/>
      <c r="DR24" s="58"/>
      <c r="DS24" s="58"/>
      <c r="DT24" s="58"/>
      <c r="DU24" s="59"/>
      <c r="DV24" s="59"/>
    </row>
    <row r="25" spans="1:126" ht="12.75" customHeight="1" thickBot="1" x14ac:dyDescent="0.3">
      <c r="A25" s="48"/>
      <c r="B25" s="47"/>
      <c r="C25" s="60" t="str">
        <f>Threats!A19</f>
        <v>T19-Non Repudiation Threats</v>
      </c>
      <c r="D25" s="64">
        <f>IF(V$7 &lt;&gt; 0, $D$7/V$7, 0)</f>
        <v>0</v>
      </c>
      <c r="E25" s="67">
        <f>IF(V$8 &lt;&gt; 0, ($E$8/V$8), 0)</f>
        <v>0</v>
      </c>
      <c r="F25" s="67">
        <f>IF(V$9&lt;&gt;0,($F$9/V$9),0)</f>
        <v>0</v>
      </c>
      <c r="G25" s="67">
        <f>IF(V$10&lt;&gt;0,($G$10/V$10),0)</f>
        <v>0</v>
      </c>
      <c r="H25" s="67">
        <f>IF($V$11&lt;&gt;0,$H$11/$V$11,0)</f>
        <v>0</v>
      </c>
      <c r="I25" s="67">
        <f>IF($V$12&lt;&gt;0,$I$12/$V$12,0)</f>
        <v>0</v>
      </c>
      <c r="J25" s="67">
        <f>IF($V$13&lt;&gt;0,$J$13/$V$13,0)</f>
        <v>0</v>
      </c>
      <c r="K25" s="67">
        <f>IF($V$14&lt;&gt;0,$K$14/$V$14,0)</f>
        <v>0</v>
      </c>
      <c r="L25" s="67">
        <f>IF($V$15&lt;&gt;0,$L$15/$V$15,0)</f>
        <v>0</v>
      </c>
      <c r="M25" s="67">
        <f>IF($V$16&lt;&gt;0,$M$16/$V$16,0)</f>
        <v>0</v>
      </c>
      <c r="N25" s="67">
        <f>IF($V$17&lt;&gt;0,$N$17/$V$17,0)</f>
        <v>0</v>
      </c>
      <c r="O25" s="67">
        <f>IF($V$18&lt;&gt;0,$O$18/$V$18,0)</f>
        <v>0</v>
      </c>
      <c r="P25" s="67">
        <f>IF($V$19&lt;&gt;0,$P$19/$V$19,0)</f>
        <v>0</v>
      </c>
      <c r="Q25" s="67">
        <f>IF($V$20&lt;&gt;0,$Q$20/$V$20,0)</f>
        <v>0</v>
      </c>
      <c r="R25" s="67">
        <f>IF($V$21&lt;&gt;0,$R$21/$V$21)</f>
        <v>0.25</v>
      </c>
      <c r="S25" s="67">
        <f>IF($V$22&lt;&gt;0,$S$22/$V$22,0)</f>
        <v>4</v>
      </c>
      <c r="T25" s="67">
        <f>IF($V$23&lt;&gt;0,$T$23/$V$23,0)</f>
        <v>1</v>
      </c>
      <c r="U25" s="65">
        <f>IF($V$24&lt;&gt;0,$U$24/$V$24,0)</f>
        <v>1</v>
      </c>
      <c r="V25" s="62">
        <v>1</v>
      </c>
      <c r="W25" s="206">
        <v>2</v>
      </c>
      <c r="X25" s="206">
        <v>1</v>
      </c>
      <c r="Y25" s="206">
        <v>1</v>
      </c>
      <c r="Z25" s="83" t="str">
        <f>Threats!B19</f>
        <v>Threats to Information Leakage</v>
      </c>
      <c r="AA25" s="47"/>
      <c r="AB25" s="394" t="s">
        <v>255</v>
      </c>
      <c r="AC25" s="395"/>
      <c r="AD25" s="395"/>
      <c r="AE25" s="47"/>
      <c r="AF25" s="47"/>
      <c r="AG25" s="47"/>
      <c r="AH25" s="47"/>
      <c r="AI25" s="47"/>
      <c r="AJ25" s="47"/>
      <c r="AK25" s="47"/>
      <c r="AL25" s="47"/>
      <c r="AM25" s="47"/>
      <c r="AN25" s="47"/>
      <c r="AO25" s="47"/>
      <c r="AP25" s="47"/>
      <c r="AQ25" s="47"/>
      <c r="AR25" s="47"/>
      <c r="AS25" s="47"/>
      <c r="AT25" s="47"/>
      <c r="AU25" s="47"/>
      <c r="AV25" s="47"/>
      <c r="AW25" s="47"/>
      <c r="AX25" s="47"/>
      <c r="AY25" s="47"/>
      <c r="AZ25" s="47"/>
      <c r="BA25" s="47"/>
      <c r="BB25" s="47"/>
      <c r="BC25" s="47"/>
      <c r="BD25" s="47"/>
      <c r="BE25" s="47"/>
      <c r="BF25" s="47"/>
      <c r="BG25" s="47"/>
      <c r="BH25" s="47"/>
      <c r="BI25" s="47"/>
      <c r="BJ25" s="47"/>
      <c r="BK25" s="47"/>
      <c r="BL25" s="47"/>
      <c r="BM25" s="47"/>
      <c r="BN25" s="47"/>
      <c r="BO25" s="47"/>
      <c r="BP25" s="47"/>
      <c r="BQ25" s="47"/>
      <c r="BR25" s="47"/>
      <c r="BS25" s="47"/>
      <c r="BT25" s="47"/>
      <c r="BU25" s="47"/>
      <c r="BV25" s="47"/>
      <c r="BW25" s="47"/>
      <c r="BX25" s="47"/>
      <c r="BY25" s="47"/>
      <c r="BZ25" s="47"/>
      <c r="CA25" s="47"/>
      <c r="CB25" s="47"/>
      <c r="CC25" s="47"/>
      <c r="CD25" s="47"/>
      <c r="CE25" s="47"/>
      <c r="CF25" s="47"/>
      <c r="CG25" s="47"/>
      <c r="CH25" s="47"/>
      <c r="CI25" s="47"/>
      <c r="CJ25" s="47"/>
      <c r="CK25" s="47"/>
      <c r="CL25" s="47"/>
      <c r="CM25" s="47"/>
      <c r="CN25" s="47"/>
      <c r="CO25" s="47"/>
      <c r="CP25" s="47"/>
      <c r="CQ25" s="47"/>
      <c r="CR25" s="47"/>
      <c r="CS25" s="47"/>
      <c r="CT25" s="47"/>
      <c r="CU25" s="47"/>
      <c r="CV25" s="47"/>
      <c r="CW25" s="47"/>
      <c r="CX25" s="47"/>
      <c r="CY25" s="47"/>
      <c r="CZ25" s="47"/>
      <c r="DA25" s="47"/>
      <c r="DB25" s="47"/>
      <c r="DC25" s="47"/>
      <c r="DD25" s="47"/>
      <c r="DE25" s="47"/>
      <c r="DF25" s="47"/>
      <c r="DG25" s="47"/>
      <c r="DH25" s="47"/>
      <c r="DI25" s="47"/>
      <c r="DJ25" s="47"/>
      <c r="DK25" s="47"/>
      <c r="DL25" s="47"/>
      <c r="DM25" s="47"/>
      <c r="DN25" s="47"/>
      <c r="DO25" s="58"/>
      <c r="DP25" s="58"/>
      <c r="DQ25" s="58"/>
      <c r="DR25" s="58"/>
      <c r="DS25" s="58"/>
      <c r="DT25" s="58"/>
      <c r="DU25" s="59"/>
      <c r="DV25" s="59"/>
    </row>
    <row r="26" spans="1:126" ht="12.75" customHeight="1" thickBot="1" x14ac:dyDescent="0.3">
      <c r="A26" s="48"/>
      <c r="B26" s="47"/>
      <c r="C26" s="60" t="str">
        <f>Threats!A20</f>
        <v>T20-Separation of Duties</v>
      </c>
      <c r="D26" s="64">
        <f>IF(W$7 &lt;&gt; 0, $D$7/W$7, 0)</f>
        <v>0</v>
      </c>
      <c r="E26" s="67">
        <f>IF(W$8 &lt;&gt; 0, ($E$8/W$8), 0)</f>
        <v>0</v>
      </c>
      <c r="F26" s="67">
        <f>IF(W$9&lt;&gt;0, ($F$9/W$9),0)</f>
        <v>0</v>
      </c>
      <c r="G26" s="67">
        <f>IF(W$10&lt;&gt;0,($G$10/W$10),0)</f>
        <v>0</v>
      </c>
      <c r="H26" s="67">
        <f>IF($W$11&lt;&gt;0,$H$11/$W$11,0)</f>
        <v>0</v>
      </c>
      <c r="I26" s="67">
        <f>IF($W$12&lt;&gt;0,$I$12/$W$12,0)</f>
        <v>0</v>
      </c>
      <c r="J26" s="67">
        <f>IF($W$13&lt;&gt;0,$J$13/$W$13,0)</f>
        <v>0</v>
      </c>
      <c r="K26" s="67">
        <f>IF($W$14&lt;&gt;0,$K$14/$W$14,0)</f>
        <v>0</v>
      </c>
      <c r="L26" s="67">
        <f>IF(W$15&lt;&gt;0,$L$15/W$15,0)</f>
        <v>0</v>
      </c>
      <c r="M26" s="67">
        <f>IF($W$16&lt;&gt;0,$M$16/$W$16,0)</f>
        <v>0</v>
      </c>
      <c r="N26" s="67">
        <f>IF($W$17&lt;&gt;0,$N$17/$W$17,0)</f>
        <v>0</v>
      </c>
      <c r="O26" s="67">
        <f>IF($W$18&lt;&gt;0,$O$18/$W$18,0)</f>
        <v>0</v>
      </c>
      <c r="P26" s="67">
        <f>IF($W$19&lt;&gt;0,$P$19/$W$19,0)</f>
        <v>0</v>
      </c>
      <c r="Q26" s="67">
        <f>IF($W$20&lt;&gt;0,$Q$20/$W$20,0)</f>
        <v>0</v>
      </c>
      <c r="R26" s="67">
        <f>IF($W$21&lt;&gt;0,$R$21/$W$21,0)</f>
        <v>0.16666666666666666</v>
      </c>
      <c r="S26" s="67">
        <f>IF($W$22&lt;&gt;0,$S$22/$W$22)</f>
        <v>3</v>
      </c>
      <c r="T26" s="67">
        <f>IF($W$23&lt;&gt;0,$T$23/$W$23,0)</f>
        <v>0.33333333333333331</v>
      </c>
      <c r="U26" s="67">
        <f>IF($W$24&lt;&gt;0,$U$24/$W$24,0)</f>
        <v>0.5</v>
      </c>
      <c r="V26" s="65">
        <f>IF($W$25&lt;&gt;0,$V$25/$W$25,0)</f>
        <v>0.5</v>
      </c>
      <c r="W26" s="62">
        <v>1</v>
      </c>
      <c r="X26" s="207">
        <v>0.25</v>
      </c>
      <c r="Y26" s="207">
        <v>0.16666666666666666</v>
      </c>
      <c r="Z26" s="84" t="str">
        <f>Threats!B20</f>
        <v>Threats to Information Leakage</v>
      </c>
      <c r="AA26" s="47"/>
      <c r="AB26" s="396" t="s">
        <v>255</v>
      </c>
      <c r="AC26" s="397"/>
      <c r="AD26" s="397"/>
      <c r="AE26" s="47"/>
      <c r="AF26" s="47"/>
      <c r="AG26" s="47"/>
      <c r="AH26" s="47"/>
      <c r="AI26" s="47"/>
      <c r="AJ26" s="47"/>
      <c r="AK26" s="47"/>
      <c r="AL26" s="47"/>
      <c r="AM26" s="47"/>
      <c r="AN26" s="47"/>
      <c r="AO26" s="47"/>
      <c r="AP26" s="47"/>
      <c r="AQ26" s="47"/>
      <c r="AR26" s="47"/>
      <c r="AS26" s="47"/>
      <c r="AT26" s="47"/>
      <c r="AU26" s="47"/>
      <c r="AV26" s="47"/>
      <c r="AW26" s="47"/>
      <c r="AX26" s="47"/>
      <c r="AY26" s="47"/>
      <c r="AZ26" s="47"/>
      <c r="BA26" s="47"/>
      <c r="BB26" s="47"/>
      <c r="BC26" s="47"/>
      <c r="BD26" s="47"/>
      <c r="BE26" s="47"/>
      <c r="BF26" s="47"/>
      <c r="BG26" s="47"/>
      <c r="BH26" s="47"/>
      <c r="BI26" s="47"/>
      <c r="BJ26" s="47"/>
      <c r="BK26" s="47"/>
      <c r="BL26" s="47"/>
      <c r="BM26" s="47"/>
      <c r="BN26" s="47"/>
      <c r="BO26" s="47"/>
      <c r="BP26" s="47"/>
      <c r="BQ26" s="47"/>
      <c r="BR26" s="47"/>
      <c r="BS26" s="47"/>
      <c r="BT26" s="47"/>
      <c r="BU26" s="47"/>
      <c r="BV26" s="47"/>
      <c r="BW26" s="47"/>
      <c r="BX26" s="47"/>
      <c r="BY26" s="47"/>
      <c r="BZ26" s="47"/>
      <c r="CA26" s="47"/>
      <c r="CB26" s="47"/>
      <c r="CC26" s="47"/>
      <c r="CD26" s="47"/>
      <c r="CE26" s="47"/>
      <c r="CF26" s="47"/>
      <c r="CG26" s="47"/>
      <c r="CH26" s="47"/>
      <c r="CI26" s="47"/>
      <c r="CJ26" s="47"/>
      <c r="CK26" s="47"/>
      <c r="CL26" s="47"/>
      <c r="CM26" s="47"/>
      <c r="CN26" s="47"/>
      <c r="CO26" s="47"/>
      <c r="CP26" s="47"/>
      <c r="CQ26" s="47"/>
      <c r="CR26" s="47"/>
      <c r="CS26" s="47"/>
      <c r="CT26" s="47"/>
      <c r="CU26" s="47"/>
      <c r="CV26" s="47"/>
      <c r="CW26" s="47"/>
      <c r="CX26" s="47"/>
      <c r="CY26" s="47"/>
      <c r="CZ26" s="47"/>
      <c r="DA26" s="47"/>
      <c r="DB26" s="47"/>
      <c r="DC26" s="47"/>
      <c r="DD26" s="47"/>
      <c r="DE26" s="47"/>
      <c r="DF26" s="47"/>
      <c r="DG26" s="47"/>
      <c r="DH26" s="47"/>
      <c r="DI26" s="47"/>
      <c r="DJ26" s="47"/>
      <c r="DK26" s="47"/>
      <c r="DL26" s="47"/>
      <c r="DM26" s="47"/>
      <c r="DN26" s="47"/>
      <c r="DO26" s="58"/>
      <c r="DP26" s="58"/>
      <c r="DQ26" s="58"/>
      <c r="DR26" s="58"/>
      <c r="DS26" s="58"/>
      <c r="DT26" s="58"/>
      <c r="DU26" s="59"/>
      <c r="DV26" s="59"/>
    </row>
    <row r="27" spans="1:126" ht="12.75" customHeight="1" thickBot="1" x14ac:dyDescent="0.3">
      <c r="A27" s="48"/>
      <c r="B27" s="47"/>
      <c r="C27" s="60" t="str">
        <f>Threats!A21</f>
        <v>T21-Configuration Threats</v>
      </c>
      <c r="D27" s="64">
        <f>IF(X$7 &lt;&gt; 0, $D$7/X$7, 0)</f>
        <v>0</v>
      </c>
      <c r="E27" s="67">
        <f>IF(X$8 &lt;&gt;0, ($E$8/X$8), 0)</f>
        <v>0</v>
      </c>
      <c r="F27" s="67">
        <f>IF(X$9&lt;&gt;0, ($F$9/X$9),0)</f>
        <v>0</v>
      </c>
      <c r="G27" s="67">
        <f>IF(X$10&lt;&gt;0, ($G$10/X$10), 0)</f>
        <v>0</v>
      </c>
      <c r="H27" s="67">
        <f>IF($X$11&lt;&gt;0,$H$11/$X$11,0)</f>
        <v>0</v>
      </c>
      <c r="I27" s="67">
        <f>IF($X$12&lt;&gt;0,$I$12/$X$12,0)</f>
        <v>0</v>
      </c>
      <c r="J27" s="67">
        <f>IF($X$13&lt;&gt;0,$J$13/$X$13,0)</f>
        <v>0</v>
      </c>
      <c r="K27" s="67">
        <f>IF($X$14&lt;&gt;0,$K$14/$X$14,0)</f>
        <v>0</v>
      </c>
      <c r="L27" s="67">
        <f>IF($X$15&lt;&gt;0,$L$15/$X$15,0)</f>
        <v>0</v>
      </c>
      <c r="M27" s="67">
        <f>IF($X$16&lt;&gt;0,$M$16/$X$16,0)</f>
        <v>0</v>
      </c>
      <c r="N27" s="67">
        <f>IF($X$17&lt;&gt;0,$N$17/$X$17,0)</f>
        <v>0</v>
      </c>
      <c r="O27" s="67">
        <f>IF($X$18&lt;&gt;0,$O$18/$X$18,0)</f>
        <v>0</v>
      </c>
      <c r="P27" s="67">
        <f>IF($X$19&lt;&gt;0,$P$19/$X$19,0)</f>
        <v>0</v>
      </c>
      <c r="Q27" s="67">
        <f>IF($X$20&lt;&gt;0,$Q$20/$X$20,0)</f>
        <v>0</v>
      </c>
      <c r="R27" s="67">
        <f>IF($X$21&lt;&gt;0,$R$21/$X$21,0)</f>
        <v>0.16666666666666666</v>
      </c>
      <c r="S27" s="67">
        <f>IF($X$22&lt;&gt;0,$S$22/$X$22,0)</f>
        <v>3</v>
      </c>
      <c r="T27" s="67">
        <f>IF($X$23&lt;&gt;0,$T$23/$X$23,0)</f>
        <v>1</v>
      </c>
      <c r="U27" s="67">
        <f>IF($X$24&lt;&gt;0,$U$24/$X$24,0)</f>
        <v>0.5</v>
      </c>
      <c r="V27" s="67">
        <f>IF($X$25&lt;&gt;0,$V$25/$X$25,0)</f>
        <v>1</v>
      </c>
      <c r="W27" s="65">
        <f>IF($X$26&lt;&gt;0,$W$26/$X$26,0)</f>
        <v>4</v>
      </c>
      <c r="X27" s="62">
        <v>1</v>
      </c>
      <c r="Y27" s="208">
        <v>1</v>
      </c>
      <c r="Z27" s="85" t="str">
        <f>Threats!B21</f>
        <v>Threats to Information Leakage</v>
      </c>
      <c r="AA27" s="47"/>
      <c r="AB27" s="398" t="s">
        <v>255</v>
      </c>
      <c r="AC27" s="399"/>
      <c r="AD27" s="399"/>
      <c r="AE27" s="47"/>
      <c r="AF27" s="47"/>
      <c r="AG27" s="47"/>
      <c r="AH27" s="47"/>
      <c r="AI27" s="47"/>
      <c r="AJ27" s="47"/>
      <c r="AK27" s="47"/>
      <c r="AL27" s="47"/>
      <c r="AM27" s="47"/>
      <c r="AN27" s="47"/>
      <c r="AO27" s="47"/>
      <c r="AP27" s="47"/>
      <c r="AQ27" s="47"/>
      <c r="AR27" s="47"/>
      <c r="AS27" s="47"/>
      <c r="AT27" s="47"/>
      <c r="AU27" s="47"/>
      <c r="AV27" s="47"/>
      <c r="AW27" s="47"/>
      <c r="AX27" s="47"/>
      <c r="AY27" s="47"/>
      <c r="AZ27" s="47"/>
      <c r="BA27" s="47"/>
      <c r="BB27" s="47"/>
      <c r="BC27" s="47"/>
      <c r="BD27" s="47"/>
      <c r="BE27" s="47"/>
      <c r="BF27" s="47"/>
      <c r="BG27" s="47"/>
      <c r="BH27" s="47"/>
      <c r="BI27" s="47"/>
      <c r="BJ27" s="47"/>
      <c r="BK27" s="47"/>
      <c r="BL27" s="47"/>
      <c r="BM27" s="47"/>
      <c r="BN27" s="47"/>
      <c r="BO27" s="47"/>
      <c r="BP27" s="47"/>
      <c r="BQ27" s="47"/>
      <c r="BR27" s="47"/>
      <c r="BS27" s="47"/>
      <c r="BT27" s="47"/>
      <c r="BU27" s="47"/>
      <c r="BV27" s="47"/>
      <c r="BW27" s="47"/>
      <c r="BX27" s="47"/>
      <c r="BY27" s="47"/>
      <c r="BZ27" s="47"/>
      <c r="CA27" s="47"/>
      <c r="CB27" s="47"/>
      <c r="CC27" s="47"/>
      <c r="CD27" s="47"/>
      <c r="CE27" s="47"/>
      <c r="CF27" s="47"/>
      <c r="CG27" s="47"/>
      <c r="CH27" s="47"/>
      <c r="CI27" s="47"/>
      <c r="CJ27" s="47"/>
      <c r="CK27" s="47"/>
      <c r="CL27" s="47"/>
      <c r="CM27" s="47"/>
      <c r="CN27" s="47"/>
      <c r="CO27" s="47"/>
      <c r="CP27" s="47"/>
      <c r="CQ27" s="47"/>
      <c r="CR27" s="47"/>
      <c r="CS27" s="47"/>
      <c r="CT27" s="47"/>
      <c r="CU27" s="47"/>
      <c r="CV27" s="47"/>
      <c r="CW27" s="47"/>
      <c r="CX27" s="47"/>
      <c r="CY27" s="47"/>
      <c r="CZ27" s="47"/>
      <c r="DA27" s="47"/>
      <c r="DB27" s="47"/>
      <c r="DC27" s="47"/>
      <c r="DD27" s="47"/>
      <c r="DE27" s="47"/>
      <c r="DF27" s="47"/>
      <c r="DG27" s="47"/>
      <c r="DH27" s="47"/>
      <c r="DI27" s="47"/>
      <c r="DJ27" s="47"/>
      <c r="DK27" s="47"/>
      <c r="DL27" s="47"/>
      <c r="DM27" s="47"/>
      <c r="DN27" s="47"/>
      <c r="DO27" s="58"/>
      <c r="DP27" s="58"/>
      <c r="DQ27" s="58"/>
      <c r="DR27" s="58"/>
      <c r="DS27" s="58"/>
      <c r="DT27" s="58"/>
      <c r="DU27" s="59"/>
      <c r="DV27" s="59"/>
    </row>
    <row r="28" spans="1:126" ht="12.75" customHeight="1" thickBot="1" x14ac:dyDescent="0.3">
      <c r="A28" s="48"/>
      <c r="B28" s="47"/>
      <c r="C28" s="60" t="str">
        <f>Threats!A22</f>
        <v>T22- Communications Threats</v>
      </c>
      <c r="D28" s="64">
        <f>IF(Y$7 &lt;&gt; 0, $D$7/Y$7, 0)</f>
        <v>0</v>
      </c>
      <c r="E28" s="67">
        <f>IF(Y$8 &lt;&gt;0, ($E$8/Y$8),0)</f>
        <v>0</v>
      </c>
      <c r="F28" s="67">
        <f>IF(Y$9&lt;&gt;0, ($F$9/Y$9),0)</f>
        <v>0</v>
      </c>
      <c r="G28" s="67">
        <f>IF(Y$10&lt;&gt;0, ($G$10/Y$10),0)</f>
        <v>0</v>
      </c>
      <c r="H28" s="67">
        <f>IF($Y$11&lt;&gt;0,$H$11/$Y$11,0)</f>
        <v>0</v>
      </c>
      <c r="I28" s="67">
        <f>IF($Y$12&lt;&gt;0,$I$12/$Y$12,0)</f>
        <v>0</v>
      </c>
      <c r="J28" s="67">
        <f>IF($Y$13&lt;&gt;0,$J$13/$Y$13,0)</f>
        <v>0</v>
      </c>
      <c r="K28" s="67">
        <f>IF($Y$14&lt;&gt;0,$K$14/$Y$14,0)</f>
        <v>0</v>
      </c>
      <c r="L28" s="67">
        <f>IF($Y$15&lt;&gt;0,$L$15/$Y$15,0)</f>
        <v>0</v>
      </c>
      <c r="M28" s="67">
        <f>IF($Y$16&lt;&gt;0,$M$16/$Y$16,0)</f>
        <v>0</v>
      </c>
      <c r="N28" s="67">
        <f>IF($Y$17&lt;&gt;0,$N$17/$Y$17,0)</f>
        <v>0</v>
      </c>
      <c r="O28" s="67">
        <f>IF($Y$18&lt;&gt;0,$O$18/$Y$18,0)</f>
        <v>0</v>
      </c>
      <c r="P28" s="67">
        <f>IF($Y$19&lt;&gt;0,$P$19/$Y$19,0)</f>
        <v>0</v>
      </c>
      <c r="Q28" s="67">
        <f>IF($Y$20&lt;&gt;0,$Q$20/$Y$20,0)</f>
        <v>0</v>
      </c>
      <c r="R28" s="67">
        <f>IF($Y$21&lt;&gt;0,$R$21/$Y$21,0)</f>
        <v>0.33333333333333331</v>
      </c>
      <c r="S28" s="67">
        <f>IF($Y$22&lt;&gt;0,$S$22/$Y$22,0)</f>
        <v>4</v>
      </c>
      <c r="T28" s="67">
        <f>IF($Y$23&lt;&gt;0,$T$23/$Y$23,0)</f>
        <v>1</v>
      </c>
      <c r="U28" s="67">
        <f>IF($Y$24&lt;&gt;0,$U$24/$Y$24,0)</f>
        <v>1</v>
      </c>
      <c r="V28" s="67">
        <f>IF($Y$25&lt;&gt;0,$V$25/$Y$25,0)</f>
        <v>1</v>
      </c>
      <c r="W28" s="67">
        <f>IF($Y$26&lt;&gt;0,$W$26/$Y$26,0)</f>
        <v>6</v>
      </c>
      <c r="X28" s="65">
        <f>IF($Y$27&lt;&gt;0,$X$27/$Y$27,0)</f>
        <v>1</v>
      </c>
      <c r="Y28" s="62">
        <v>1</v>
      </c>
      <c r="Z28" s="86" t="str">
        <f>Threats!B22</f>
        <v>Threats to Information Leakage</v>
      </c>
      <c r="AA28" s="47"/>
      <c r="AB28" s="400" t="s">
        <v>255</v>
      </c>
      <c r="AC28" s="401"/>
      <c r="AD28" s="401"/>
      <c r="AE28" s="47"/>
      <c r="AF28" s="47"/>
      <c r="AG28" s="47"/>
      <c r="AH28" s="47"/>
      <c r="AI28" s="47"/>
      <c r="AJ28" s="47"/>
      <c r="AK28" s="47"/>
      <c r="AL28" s="47"/>
      <c r="AM28" s="47"/>
      <c r="AN28" s="47"/>
      <c r="AO28" s="47"/>
      <c r="AP28" s="47"/>
      <c r="AQ28" s="47"/>
      <c r="AR28" s="47"/>
      <c r="AS28" s="47"/>
      <c r="AT28" s="47"/>
      <c r="AU28" s="47"/>
      <c r="AV28" s="47"/>
      <c r="AW28" s="47"/>
      <c r="AX28" s="47"/>
      <c r="AY28" s="47"/>
      <c r="AZ28" s="47"/>
      <c r="BA28" s="47"/>
      <c r="BB28" s="47"/>
      <c r="BC28" s="47"/>
      <c r="BD28" s="47"/>
      <c r="BE28" s="47"/>
      <c r="BF28" s="47"/>
      <c r="BG28" s="47"/>
      <c r="BH28" s="47"/>
      <c r="BI28" s="47"/>
      <c r="BJ28" s="47"/>
      <c r="BK28" s="47"/>
      <c r="BL28" s="47"/>
      <c r="BM28" s="47"/>
      <c r="BN28" s="47"/>
      <c r="BO28" s="47"/>
      <c r="BP28" s="47"/>
      <c r="BQ28" s="47"/>
      <c r="BR28" s="47"/>
      <c r="BS28" s="47"/>
      <c r="BT28" s="47"/>
      <c r="BU28" s="47"/>
      <c r="BV28" s="47"/>
      <c r="BW28" s="47"/>
      <c r="BX28" s="47"/>
      <c r="BY28" s="47"/>
      <c r="BZ28" s="47"/>
      <c r="CA28" s="47"/>
      <c r="CB28" s="47"/>
      <c r="CC28" s="47"/>
      <c r="CD28" s="47"/>
      <c r="CE28" s="47"/>
      <c r="CF28" s="47"/>
      <c r="CG28" s="47"/>
      <c r="CH28" s="47"/>
      <c r="CI28" s="47"/>
      <c r="CJ28" s="47"/>
      <c r="CK28" s="47"/>
      <c r="CL28" s="47"/>
      <c r="CM28" s="47"/>
      <c r="CN28" s="47"/>
      <c r="CO28" s="47"/>
      <c r="CP28" s="47"/>
      <c r="CQ28" s="47"/>
      <c r="CR28" s="47"/>
      <c r="CS28" s="47"/>
      <c r="CT28" s="47"/>
      <c r="CU28" s="47"/>
      <c r="CV28" s="47"/>
      <c r="CW28" s="47"/>
      <c r="CX28" s="47"/>
      <c r="CY28" s="47"/>
      <c r="CZ28" s="47"/>
      <c r="DA28" s="47"/>
      <c r="DB28" s="47"/>
      <c r="DC28" s="47"/>
      <c r="DD28" s="47"/>
      <c r="DE28" s="47"/>
      <c r="DF28" s="47"/>
      <c r="DG28" s="47"/>
      <c r="DH28" s="47"/>
      <c r="DI28" s="47"/>
      <c r="DJ28" s="47"/>
      <c r="DK28" s="47"/>
      <c r="DL28" s="47"/>
      <c r="DM28" s="47"/>
      <c r="DN28" s="47"/>
      <c r="DO28" s="58"/>
      <c r="DP28" s="58"/>
      <c r="DQ28" s="58"/>
      <c r="DR28" s="58"/>
      <c r="DS28" s="58"/>
      <c r="DT28" s="58"/>
      <c r="DU28" s="59"/>
      <c r="DV28" s="59"/>
    </row>
    <row r="29" spans="1:126" ht="12.75" customHeight="1" x14ac:dyDescent="0.25">
      <c r="A29" s="48"/>
      <c r="B29" s="47"/>
      <c r="C29" s="87" t="s">
        <v>251</v>
      </c>
      <c r="D29" s="88">
        <f t="shared" ref="D29:Y29" si="0">SUM(D7:D28)</f>
        <v>73</v>
      </c>
      <c r="E29" s="89">
        <f t="shared" si="0"/>
        <v>20.027777777777779</v>
      </c>
      <c r="F29" s="89">
        <f t="shared" si="0"/>
        <v>41.111111111111114</v>
      </c>
      <c r="G29" s="89">
        <f t="shared" si="0"/>
        <v>29.444444444444443</v>
      </c>
      <c r="H29" s="89">
        <f t="shared" si="0"/>
        <v>5.1111111111111107</v>
      </c>
      <c r="I29" s="89">
        <f t="shared" si="0"/>
        <v>30.777777777777779</v>
      </c>
      <c r="J29" s="89">
        <f t="shared" si="0"/>
        <v>3.7579365079365079</v>
      </c>
      <c r="K29" s="89">
        <f t="shared" si="0"/>
        <v>3.7440476190476191</v>
      </c>
      <c r="L29" s="89">
        <f t="shared" si="0"/>
        <v>20.227777777777778</v>
      </c>
      <c r="M29" s="89">
        <f t="shared" si="0"/>
        <v>8.5333333333333332</v>
      </c>
      <c r="N29" s="89">
        <f t="shared" si="0"/>
        <v>6.333333333333333</v>
      </c>
      <c r="O29" s="89">
        <f t="shared" si="0"/>
        <v>14</v>
      </c>
      <c r="P29" s="89">
        <f t="shared" si="0"/>
        <v>4.833333333333333</v>
      </c>
      <c r="Q29" s="89">
        <f t="shared" si="0"/>
        <v>5.6666666666666661</v>
      </c>
      <c r="R29" s="89">
        <f t="shared" si="0"/>
        <v>2.5416666666666665</v>
      </c>
      <c r="S29" s="89">
        <f t="shared" si="0"/>
        <v>30</v>
      </c>
      <c r="T29" s="89">
        <f t="shared" si="0"/>
        <v>9.6666666666666661</v>
      </c>
      <c r="U29" s="89">
        <f t="shared" si="0"/>
        <v>9.25</v>
      </c>
      <c r="V29" s="89">
        <f t="shared" si="0"/>
        <v>9.75</v>
      </c>
      <c r="W29" s="89">
        <f t="shared" si="0"/>
        <v>24.333333333333332</v>
      </c>
      <c r="X29" s="89">
        <f t="shared" si="0"/>
        <v>12.583333333333332</v>
      </c>
      <c r="Y29" s="89">
        <f t="shared" si="0"/>
        <v>8.4166666666666679</v>
      </c>
      <c r="Z29" s="47"/>
      <c r="AA29" s="47"/>
      <c r="AC29" s="47"/>
      <c r="AD29" s="47"/>
      <c r="AE29" s="47"/>
      <c r="AF29" s="47"/>
      <c r="AG29" s="47"/>
      <c r="AH29" s="47"/>
      <c r="AI29" s="47"/>
      <c r="AJ29" s="47"/>
      <c r="AK29" s="47"/>
      <c r="AL29" s="47"/>
      <c r="AM29" s="47"/>
      <c r="AN29" s="47"/>
      <c r="AO29" s="47"/>
      <c r="AP29" s="47"/>
      <c r="AQ29" s="47"/>
      <c r="AR29" s="47"/>
      <c r="AS29" s="47"/>
      <c r="AT29" s="47"/>
      <c r="AU29" s="47"/>
      <c r="AV29" s="47"/>
      <c r="AW29" s="47"/>
      <c r="AX29" s="47"/>
      <c r="AY29" s="47"/>
      <c r="AZ29" s="47"/>
      <c r="BA29" s="47"/>
      <c r="BB29" s="47"/>
      <c r="BC29" s="47"/>
      <c r="BD29" s="47"/>
      <c r="BE29" s="47"/>
      <c r="BF29" s="47"/>
      <c r="BG29" s="47"/>
      <c r="BH29" s="47"/>
      <c r="BI29" s="47"/>
      <c r="BJ29" s="47"/>
      <c r="BK29" s="47"/>
      <c r="BL29" s="47"/>
      <c r="BM29" s="47"/>
      <c r="BN29" s="47"/>
      <c r="BO29" s="47"/>
      <c r="BP29" s="47"/>
      <c r="BQ29" s="47"/>
      <c r="BR29" s="47"/>
      <c r="BS29" s="47"/>
      <c r="BT29" s="47"/>
      <c r="BU29" s="47"/>
      <c r="BV29" s="47"/>
      <c r="BW29" s="47"/>
      <c r="BX29" s="47"/>
      <c r="BY29" s="47"/>
      <c r="BZ29" s="47"/>
      <c r="CA29" s="47"/>
      <c r="CB29" s="47"/>
      <c r="CC29" s="47"/>
      <c r="CD29" s="47"/>
      <c r="CE29" s="47"/>
      <c r="CF29" s="47"/>
      <c r="CG29" s="47"/>
      <c r="CH29" s="47"/>
      <c r="CI29" s="47"/>
      <c r="CJ29" s="47"/>
      <c r="CK29" s="47"/>
      <c r="CL29" s="47"/>
      <c r="CM29" s="47"/>
      <c r="CN29" s="47"/>
      <c r="CO29" s="47"/>
      <c r="CP29" s="47"/>
      <c r="CQ29" s="47"/>
      <c r="CR29" s="47"/>
      <c r="CS29" s="47"/>
      <c r="CT29" s="47"/>
      <c r="CU29" s="47"/>
      <c r="CV29" s="47"/>
      <c r="CW29" s="47"/>
      <c r="CX29" s="47"/>
      <c r="CY29" s="47"/>
      <c r="CZ29" s="47"/>
      <c r="DA29" s="47"/>
      <c r="DB29" s="47"/>
      <c r="DC29" s="47"/>
      <c r="DD29" s="47"/>
      <c r="DE29" s="47"/>
      <c r="DF29" s="47"/>
      <c r="DG29" s="47"/>
      <c r="DH29" s="47"/>
      <c r="DI29" s="47"/>
      <c r="DJ29" s="47"/>
      <c r="DK29" s="47"/>
      <c r="DL29" s="47"/>
      <c r="DM29" s="47"/>
      <c r="DN29" s="47"/>
      <c r="DO29" s="58"/>
      <c r="DP29" s="58"/>
      <c r="DQ29" s="58"/>
      <c r="DR29" s="58"/>
      <c r="DS29" s="58"/>
      <c r="DT29" s="58"/>
      <c r="DU29" s="59"/>
      <c r="DV29" s="59"/>
    </row>
    <row r="30" spans="1:126" s="50" customFormat="1" ht="12.75" customHeight="1" x14ac:dyDescent="0.25">
      <c r="A30" s="90"/>
      <c r="B30" s="54"/>
      <c r="C30" s="91"/>
      <c r="D30" s="92"/>
      <c r="E30" s="92"/>
      <c r="F30" s="92"/>
      <c r="G30" s="92"/>
      <c r="H30" s="92"/>
      <c r="I30" s="92"/>
      <c r="J30" s="92"/>
      <c r="K30" s="92"/>
      <c r="L30" s="92"/>
      <c r="M30" s="92"/>
      <c r="N30" s="92"/>
      <c r="O30" s="92"/>
      <c r="P30" s="92"/>
      <c r="Q30" s="92"/>
      <c r="R30" s="92"/>
      <c r="S30" s="92"/>
      <c r="T30" s="92"/>
      <c r="U30" s="92"/>
      <c r="V30" s="92"/>
      <c r="W30" s="92"/>
      <c r="X30" s="92"/>
      <c r="Y30" s="92"/>
      <c r="Z30" s="54"/>
      <c r="AA30" s="54"/>
      <c r="AB30" s="93"/>
      <c r="AC30" s="54"/>
      <c r="AD30" s="54"/>
      <c r="AE30" s="54"/>
      <c r="AF30" s="54"/>
      <c r="AG30" s="54"/>
      <c r="AH30" s="54"/>
      <c r="AI30" s="54"/>
      <c r="AJ30" s="54"/>
      <c r="AK30" s="54"/>
      <c r="AL30" s="54"/>
      <c r="AM30" s="54"/>
      <c r="AN30" s="54"/>
      <c r="AO30" s="54"/>
      <c r="AP30" s="54"/>
      <c r="AQ30" s="54"/>
      <c r="AR30" s="54"/>
      <c r="AS30" s="54"/>
      <c r="AT30" s="54"/>
      <c r="AU30" s="54"/>
      <c r="AV30" s="54"/>
      <c r="AW30" s="54"/>
      <c r="AX30" s="54"/>
      <c r="AY30" s="54"/>
      <c r="AZ30" s="54"/>
      <c r="BA30" s="54"/>
      <c r="BB30" s="54"/>
      <c r="BC30" s="54"/>
      <c r="BD30" s="54"/>
      <c r="BE30" s="54"/>
      <c r="BF30" s="54"/>
      <c r="BG30" s="54"/>
      <c r="BH30" s="54"/>
      <c r="BI30" s="54"/>
      <c r="BJ30" s="54"/>
      <c r="BK30" s="54"/>
      <c r="BL30" s="54"/>
      <c r="BM30" s="54"/>
      <c r="BN30" s="54"/>
      <c r="BO30" s="54"/>
      <c r="BP30" s="54"/>
      <c r="BQ30" s="54"/>
      <c r="BR30" s="54"/>
      <c r="BS30" s="54"/>
      <c r="BT30" s="54"/>
      <c r="BU30" s="54"/>
      <c r="BV30" s="54"/>
      <c r="BW30" s="54"/>
      <c r="BX30" s="54"/>
      <c r="BY30" s="54"/>
      <c r="BZ30" s="54"/>
      <c r="CA30" s="54"/>
      <c r="CB30" s="54"/>
      <c r="CC30" s="54"/>
      <c r="CD30" s="54"/>
      <c r="CE30" s="54"/>
      <c r="CF30" s="54"/>
      <c r="CG30" s="54"/>
      <c r="CH30" s="54"/>
      <c r="CI30" s="54"/>
      <c r="CJ30" s="54"/>
      <c r="CK30" s="54"/>
      <c r="CL30" s="54"/>
      <c r="CM30" s="54"/>
      <c r="CN30" s="54"/>
      <c r="CO30" s="54"/>
      <c r="CP30" s="54"/>
      <c r="CQ30" s="54"/>
      <c r="CR30" s="54"/>
      <c r="CS30" s="54"/>
      <c r="CT30" s="54"/>
      <c r="CU30" s="54"/>
      <c r="CV30" s="54"/>
      <c r="CW30" s="54"/>
      <c r="CX30" s="54"/>
      <c r="CY30" s="54"/>
      <c r="CZ30" s="54"/>
      <c r="DA30" s="54"/>
      <c r="DB30" s="54"/>
      <c r="DC30" s="54"/>
      <c r="DD30" s="54"/>
      <c r="DE30" s="54"/>
      <c r="DF30" s="54"/>
      <c r="DG30" s="54"/>
      <c r="DH30" s="54"/>
      <c r="DI30" s="54"/>
      <c r="DJ30" s="54"/>
      <c r="DK30" s="54"/>
      <c r="DL30" s="54"/>
      <c r="DM30" s="54"/>
      <c r="DN30" s="54"/>
      <c r="DO30" s="94"/>
      <c r="DP30" s="94"/>
      <c r="DQ30" s="94"/>
      <c r="DR30" s="94"/>
      <c r="DS30" s="94"/>
      <c r="DT30" s="94"/>
      <c r="DU30" s="95"/>
      <c r="DV30" s="95"/>
    </row>
    <row r="31" spans="1:126" s="50" customFormat="1" ht="12.75" customHeight="1" thickBot="1" x14ac:dyDescent="0.3">
      <c r="A31" s="90"/>
      <c r="B31" s="54"/>
      <c r="C31" s="91"/>
      <c r="D31" s="92"/>
      <c r="E31" s="92"/>
      <c r="F31" s="92"/>
      <c r="G31" s="92"/>
      <c r="H31" s="92"/>
      <c r="I31" s="92"/>
      <c r="J31" s="92"/>
      <c r="K31" s="92"/>
      <c r="L31" s="92"/>
      <c r="M31" s="92"/>
      <c r="N31" s="92"/>
      <c r="O31" s="92"/>
      <c r="P31" s="92"/>
      <c r="Q31" s="92"/>
      <c r="R31" s="92"/>
      <c r="S31" s="92"/>
      <c r="T31" s="92"/>
      <c r="U31" s="92"/>
      <c r="V31" s="92"/>
      <c r="W31" s="92"/>
      <c r="X31" s="92"/>
      <c r="Y31" s="92"/>
      <c r="Z31" s="54"/>
      <c r="AB31" s="93"/>
      <c r="AC31" s="54"/>
      <c r="AD31" s="54"/>
      <c r="AE31" s="54"/>
      <c r="AF31" s="54"/>
      <c r="AG31" s="54"/>
      <c r="AH31" s="54"/>
      <c r="AI31" s="54"/>
      <c r="AJ31" s="54"/>
      <c r="AK31" s="54"/>
      <c r="AL31" s="54"/>
      <c r="AM31" s="54"/>
      <c r="AN31" s="54"/>
      <c r="AO31" s="54"/>
      <c r="AP31" s="54"/>
      <c r="AQ31" s="54"/>
      <c r="AR31" s="54"/>
      <c r="AS31" s="54"/>
      <c r="AT31" s="54"/>
      <c r="AU31" s="54"/>
      <c r="AV31" s="54"/>
      <c r="AW31" s="54"/>
      <c r="AX31" s="54"/>
      <c r="AY31" s="54"/>
      <c r="AZ31" s="54"/>
      <c r="BA31" s="54"/>
      <c r="BB31" s="54"/>
      <c r="BC31" s="54"/>
      <c r="BD31" s="54"/>
      <c r="BE31" s="54"/>
      <c r="BF31" s="54"/>
      <c r="BG31" s="54"/>
      <c r="BH31" s="54"/>
      <c r="BI31" s="54"/>
      <c r="BJ31" s="54"/>
      <c r="BK31" s="54"/>
      <c r="BL31" s="54"/>
      <c r="BM31" s="54"/>
      <c r="BN31" s="54"/>
      <c r="BO31" s="54"/>
      <c r="BP31" s="54"/>
      <c r="BQ31" s="54"/>
      <c r="BR31" s="54"/>
      <c r="BS31" s="54"/>
      <c r="BT31" s="54"/>
      <c r="BU31" s="54"/>
      <c r="BV31" s="54"/>
      <c r="BW31" s="54"/>
      <c r="BX31" s="54"/>
      <c r="BY31" s="54"/>
      <c r="BZ31" s="54"/>
      <c r="CA31" s="54"/>
      <c r="CB31" s="54"/>
      <c r="CC31" s="54"/>
      <c r="CD31" s="54"/>
      <c r="CE31" s="54"/>
      <c r="CF31" s="54"/>
      <c r="CG31" s="54"/>
      <c r="CH31" s="54"/>
      <c r="CI31" s="54"/>
      <c r="CJ31" s="54"/>
      <c r="CK31" s="54"/>
      <c r="CL31" s="54"/>
      <c r="CM31" s="54"/>
      <c r="CN31" s="54"/>
      <c r="CO31" s="54"/>
      <c r="CP31" s="54"/>
      <c r="CQ31" s="54"/>
      <c r="CR31" s="54"/>
      <c r="CS31" s="54"/>
      <c r="CT31" s="54"/>
      <c r="CU31" s="54"/>
      <c r="CV31" s="54"/>
      <c r="CW31" s="54"/>
      <c r="CX31" s="54"/>
      <c r="CY31" s="54"/>
      <c r="CZ31" s="54"/>
      <c r="DA31" s="54"/>
      <c r="DB31" s="54"/>
      <c r="DC31" s="54"/>
      <c r="DD31" s="54"/>
      <c r="DE31" s="54"/>
      <c r="DF31" s="54"/>
      <c r="DG31" s="54"/>
      <c r="DH31" s="54"/>
      <c r="DI31" s="54"/>
      <c r="DJ31" s="54"/>
      <c r="DK31" s="54"/>
      <c r="DL31" s="54"/>
      <c r="DM31" s="54"/>
      <c r="DN31" s="54"/>
      <c r="DO31" s="94"/>
      <c r="DP31" s="94"/>
      <c r="DQ31" s="94"/>
      <c r="DR31" s="94"/>
      <c r="DS31" s="94"/>
      <c r="DT31" s="94"/>
      <c r="DU31" s="95"/>
      <c r="DV31" s="95"/>
    </row>
    <row r="32" spans="1:126" ht="12.75" customHeight="1" thickTop="1" x14ac:dyDescent="0.3">
      <c r="A32" s="48"/>
      <c r="B32" s="47"/>
      <c r="C32" s="402" t="s">
        <v>277</v>
      </c>
      <c r="D32" s="388" t="str">
        <f>"Normalized Score "&amp;Threats!A1</f>
        <v>Normalized Score T1-Power Loss</v>
      </c>
      <c r="E32" s="388" t="str">
        <f>"Normalized Score "&amp;Threats!A2</f>
        <v>Normalized Score T2-Hardware Failure</v>
      </c>
      <c r="F32" s="388" t="str">
        <f>"Normalized Score "&amp;Threats!A3</f>
        <v>Normalized Score T3-Software Crash</v>
      </c>
      <c r="G32" s="388" t="str">
        <f>"Normalized Score "&amp;Threats!A4</f>
        <v>Normalized Score T4-Operator Errors</v>
      </c>
      <c r="H32" s="388" t="str">
        <f>"Normalized Score "&amp;Threats!A5</f>
        <v>Normalized Score T5-Malicious Inside Action</v>
      </c>
      <c r="I32" s="388" t="str">
        <f>"Normalized Score "&amp;Threats!A6</f>
        <v>Normalized Score T6-Trojan and Worms</v>
      </c>
      <c r="J32" s="388" t="str">
        <f>"Normalized Score "&amp;Threats!A7</f>
        <v>Normalized Score T7-Fire</v>
      </c>
      <c r="K32" s="388" t="str">
        <f>"Normalized Score "&amp;Threats!A8</f>
        <v>Normalized Score T8-Other Enviromental Disasters</v>
      </c>
      <c r="L32" s="388" t="str">
        <f>"Normalized Score"&amp;Threats!A9</f>
        <v>Normalized ScoreT9-Availability Threats(DDOS)</v>
      </c>
      <c r="M32" s="388" t="str">
        <f>"Normalized Score "&amp;Threats!A10</f>
        <v>Normalized Score T10-Disk Failure</v>
      </c>
      <c r="N32" s="388" t="str">
        <f>"Normalized Score "&amp;Threats!A11</f>
        <v>Normalized Score T11-Data Corruption</v>
      </c>
      <c r="O32" s="388" t="str">
        <f>"Normalized Score "&amp;Threats!A12</f>
        <v>Normalized Score T12-Inaccurrate Data</v>
      </c>
      <c r="P32" s="388" t="str">
        <f>"Normalized Score "&amp;Threats!A13</f>
        <v>Normalized Score T13-Un-authorized Access</v>
      </c>
      <c r="Q32" s="388" t="str">
        <f>"Normalized Score "&amp;Threats!A14</f>
        <v>Normalized Score T14-Virus and Spyware</v>
      </c>
      <c r="R32" s="388" t="str">
        <f>"Normalized Score "&amp;Threats!A15</f>
        <v>Normalized Score T15-Hacking</v>
      </c>
      <c r="S32" s="388" t="str">
        <f>"Normalized Score "&amp;Threats!A16</f>
        <v>Normalized Score T16-Media Leakage</v>
      </c>
      <c r="T32" s="388" t="str">
        <f>"Normalized Score "&amp;Threats!A17</f>
        <v>Normalized Score T17-Communication Preventers(Botnet, Dialer)</v>
      </c>
      <c r="U32" s="388" t="str">
        <f>"Normalized Score "&amp;Threats!A18</f>
        <v>Normalized Score T18-Authentication Threats</v>
      </c>
      <c r="V32" s="388" t="str">
        <f>"Normalized Score "&amp;Threats!A19</f>
        <v>Normalized Score T19-Non Repudiation Threats</v>
      </c>
      <c r="W32" s="388" t="str">
        <f>"Normalized Score "&amp;Threats!A20</f>
        <v>Normalized Score T20-Separation of Duties</v>
      </c>
      <c r="X32" s="388" t="str">
        <f>"Normalized Score"&amp;Threats!A21</f>
        <v>Normalized ScoreT21-Configuration Threats</v>
      </c>
      <c r="Y32" s="388" t="str">
        <f>"Normalized Score"&amp;Threats!A22</f>
        <v>Normalized ScoreT22- Communications Threats</v>
      </c>
      <c r="Z32" s="406" t="s">
        <v>252</v>
      </c>
      <c r="AA32" s="96"/>
      <c r="AB32" s="96"/>
      <c r="AC32" s="97"/>
      <c r="AD32" s="98"/>
      <c r="AE32" s="408" t="s">
        <v>264</v>
      </c>
      <c r="AF32" s="402" t="s">
        <v>277</v>
      </c>
      <c r="AG32" s="47"/>
      <c r="AH32" s="47"/>
      <c r="AI32" s="47"/>
      <c r="AJ32" s="47"/>
      <c r="AK32" s="47"/>
      <c r="AL32" s="47"/>
      <c r="AM32" s="47"/>
      <c r="AN32" s="47"/>
      <c r="AO32" s="47"/>
      <c r="AP32" s="47"/>
      <c r="AQ32" s="47"/>
      <c r="AR32" s="47"/>
      <c r="AS32" s="47"/>
      <c r="AT32" s="47"/>
      <c r="AU32" s="47"/>
      <c r="AV32" s="47"/>
      <c r="AW32" s="47"/>
      <c r="AX32" s="47"/>
      <c r="AY32" s="47"/>
      <c r="AZ32" s="47"/>
      <c r="BA32" s="47"/>
      <c r="BB32" s="47"/>
      <c r="BC32" s="47"/>
      <c r="BD32" s="47"/>
      <c r="BE32" s="47"/>
      <c r="BF32" s="47"/>
      <c r="BG32" s="47"/>
      <c r="BH32" s="47"/>
      <c r="BI32" s="47"/>
      <c r="BJ32" s="47"/>
      <c r="BK32" s="47"/>
      <c r="BL32" s="47"/>
      <c r="BM32" s="47"/>
      <c r="BN32" s="47"/>
      <c r="BO32" s="47"/>
      <c r="BP32" s="47"/>
      <c r="BQ32" s="47"/>
      <c r="BR32" s="47"/>
      <c r="BS32" s="47"/>
      <c r="BT32" s="47"/>
      <c r="BU32" s="47"/>
      <c r="BV32" s="47"/>
      <c r="BW32" s="47"/>
      <c r="BX32" s="47"/>
      <c r="BY32" s="47"/>
      <c r="BZ32" s="47"/>
      <c r="CA32" s="47"/>
      <c r="CB32" s="47"/>
      <c r="CC32" s="47"/>
      <c r="CD32" s="47"/>
      <c r="CE32" s="47"/>
      <c r="CF32" s="47"/>
      <c r="CG32" s="47"/>
      <c r="CH32" s="47"/>
      <c r="CI32" s="47"/>
      <c r="CJ32" s="47"/>
      <c r="CK32" s="47"/>
      <c r="CL32" s="47"/>
      <c r="CM32" s="47"/>
      <c r="CN32" s="47"/>
      <c r="CO32" s="47"/>
      <c r="CP32" s="47"/>
      <c r="CQ32" s="47"/>
      <c r="CR32" s="47"/>
      <c r="CS32" s="47"/>
      <c r="CT32" s="47"/>
      <c r="CU32" s="47"/>
      <c r="CV32" s="47"/>
      <c r="CW32" s="47"/>
      <c r="CX32" s="47"/>
      <c r="CY32" s="47"/>
      <c r="CZ32" s="47"/>
      <c r="DA32" s="47"/>
      <c r="DB32" s="47"/>
      <c r="DC32" s="47"/>
      <c r="DD32" s="47"/>
      <c r="DE32" s="47"/>
      <c r="DF32" s="47"/>
      <c r="DG32" s="47"/>
      <c r="DH32" s="47"/>
      <c r="DI32" s="47"/>
      <c r="DJ32" s="47"/>
      <c r="DK32" s="47"/>
      <c r="DL32" s="47"/>
      <c r="DM32" s="47"/>
      <c r="DN32" s="47"/>
      <c r="DO32" s="410"/>
      <c r="DP32" s="404"/>
      <c r="DQ32" s="404"/>
      <c r="DR32" s="404"/>
      <c r="DS32" s="404"/>
      <c r="DT32" s="404"/>
      <c r="DU32" s="404"/>
      <c r="DV32" s="404"/>
    </row>
    <row r="33" spans="1:126" ht="115.5" customHeight="1" x14ac:dyDescent="0.25">
      <c r="A33" s="48"/>
      <c r="B33" s="47"/>
      <c r="C33" s="403"/>
      <c r="D33" s="389"/>
      <c r="E33" s="389"/>
      <c r="F33" s="389"/>
      <c r="G33" s="389"/>
      <c r="H33" s="389"/>
      <c r="I33" s="389"/>
      <c r="J33" s="389"/>
      <c r="K33" s="389"/>
      <c r="L33" s="389"/>
      <c r="M33" s="389"/>
      <c r="N33" s="389"/>
      <c r="O33" s="389"/>
      <c r="P33" s="389"/>
      <c r="Q33" s="389"/>
      <c r="R33" s="389"/>
      <c r="S33" s="389"/>
      <c r="T33" s="389"/>
      <c r="U33" s="389"/>
      <c r="V33" s="389"/>
      <c r="W33" s="389"/>
      <c r="X33" s="389"/>
      <c r="Y33" s="389"/>
      <c r="Z33" s="407"/>
      <c r="AA33" s="99" t="s">
        <v>253</v>
      </c>
      <c r="AB33" s="100" t="s">
        <v>256</v>
      </c>
      <c r="AC33" s="101" t="s">
        <v>323</v>
      </c>
      <c r="AD33" s="102" t="s">
        <v>324</v>
      </c>
      <c r="AE33" s="409"/>
      <c r="AF33" s="403"/>
      <c r="AG33" s="47"/>
      <c r="AH33" s="47"/>
      <c r="AI33" s="47"/>
      <c r="AJ33" s="47"/>
      <c r="AK33" s="47"/>
      <c r="AL33" s="103"/>
      <c r="AM33" s="103"/>
      <c r="AO33" s="47"/>
      <c r="AP33" s="47"/>
      <c r="AQ33" s="47"/>
      <c r="AR33" s="47"/>
      <c r="AS33" s="47"/>
      <c r="AT33" s="47"/>
      <c r="AU33" s="47"/>
      <c r="AV33" s="47"/>
      <c r="AW33" s="47"/>
      <c r="AX33" s="47"/>
      <c r="AY33" s="47"/>
      <c r="AZ33" s="47"/>
      <c r="BA33" s="47"/>
      <c r="BB33" s="47"/>
      <c r="BC33" s="47"/>
      <c r="BD33" s="47"/>
      <c r="BE33" s="47"/>
      <c r="BF33" s="47"/>
      <c r="BG33" s="47"/>
      <c r="BH33" s="47"/>
      <c r="BI33" s="47"/>
      <c r="BJ33" s="47"/>
      <c r="BK33" s="47"/>
      <c r="BL33" s="47"/>
      <c r="BM33" s="47"/>
      <c r="BN33" s="47"/>
      <c r="BO33" s="47"/>
      <c r="BP33" s="47"/>
      <c r="BQ33" s="47"/>
      <c r="BR33" s="47"/>
      <c r="BS33" s="47"/>
      <c r="BT33" s="47"/>
      <c r="BU33" s="47"/>
      <c r="BV33" s="47"/>
      <c r="BW33" s="47"/>
      <c r="BX33" s="47"/>
      <c r="BY33" s="47"/>
      <c r="BZ33" s="47"/>
      <c r="CA33" s="47"/>
      <c r="CB33" s="47"/>
      <c r="CC33" s="47"/>
      <c r="CD33" s="47"/>
      <c r="CE33" s="47"/>
      <c r="CF33" s="47"/>
      <c r="CG33" s="47"/>
      <c r="CH33" s="47"/>
      <c r="CI33" s="47"/>
      <c r="CJ33" s="47"/>
      <c r="CK33" s="47"/>
      <c r="CL33" s="47"/>
      <c r="CM33" s="47"/>
      <c r="CN33" s="47"/>
      <c r="CO33" s="47"/>
      <c r="CP33" s="47"/>
      <c r="CQ33" s="47"/>
      <c r="CR33" s="47"/>
      <c r="CS33" s="47"/>
      <c r="CT33" s="47"/>
      <c r="CU33" s="47"/>
      <c r="CV33" s="47"/>
      <c r="CW33" s="47"/>
      <c r="CX33" s="47"/>
      <c r="CY33" s="47"/>
      <c r="CZ33" s="47"/>
      <c r="DA33" s="47"/>
      <c r="DB33" s="47"/>
      <c r="DC33" s="47"/>
      <c r="DD33" s="47"/>
      <c r="DE33" s="47"/>
      <c r="DF33" s="47"/>
      <c r="DG33" s="47"/>
      <c r="DH33" s="47"/>
      <c r="DI33" s="47"/>
      <c r="DJ33" s="47"/>
      <c r="DK33" s="47"/>
      <c r="DL33" s="47"/>
      <c r="DM33" s="47"/>
      <c r="DN33" s="47"/>
      <c r="DO33" s="410"/>
      <c r="DP33" s="404"/>
      <c r="DQ33" s="404"/>
      <c r="DR33" s="404"/>
      <c r="DS33" s="404"/>
      <c r="DT33" s="404"/>
      <c r="DU33" s="404"/>
      <c r="DV33" s="404"/>
    </row>
    <row r="34" spans="1:126" ht="12.75" customHeight="1" x14ac:dyDescent="0.3">
      <c r="A34" s="48"/>
      <c r="B34" s="47"/>
      <c r="C34" s="104" t="str">
        <f xml:space="preserve"> Threats!A1</f>
        <v>T1-Power Loss</v>
      </c>
      <c r="D34" s="105">
        <f t="shared" ref="D34:Y34" si="1">(D$7/D$29)</f>
        <v>1.3698630136986301E-2</v>
      </c>
      <c r="E34" s="106">
        <f t="shared" si="1"/>
        <v>5.5478502080443821E-3</v>
      </c>
      <c r="F34" s="105">
        <f t="shared" si="1"/>
        <v>2.7027027027027024E-3</v>
      </c>
      <c r="G34" s="105">
        <f t="shared" si="1"/>
        <v>3.7735849056603774E-3</v>
      </c>
      <c r="H34" s="105">
        <f t="shared" si="1"/>
        <v>2.1739130434782608E-2</v>
      </c>
      <c r="I34" s="105">
        <f t="shared" si="1"/>
        <v>3.6101083032490972E-3</v>
      </c>
      <c r="J34" s="105">
        <f t="shared" si="1"/>
        <v>2.9567053854276663E-2</v>
      </c>
      <c r="K34" s="105">
        <f t="shared" si="1"/>
        <v>2.9676735559088497E-2</v>
      </c>
      <c r="L34" s="105">
        <f t="shared" si="1"/>
        <v>5.4929964295523208E-3</v>
      </c>
      <c r="M34" s="105">
        <f t="shared" si="1"/>
        <v>0</v>
      </c>
      <c r="N34" s="105">
        <f t="shared" si="1"/>
        <v>0</v>
      </c>
      <c r="O34" s="105">
        <f t="shared" si="1"/>
        <v>0</v>
      </c>
      <c r="P34" s="105">
        <f t="shared" si="1"/>
        <v>0</v>
      </c>
      <c r="Q34" s="105">
        <f t="shared" si="1"/>
        <v>0</v>
      </c>
      <c r="R34" s="105">
        <f t="shared" si="1"/>
        <v>0</v>
      </c>
      <c r="S34" s="105">
        <f t="shared" si="1"/>
        <v>0</v>
      </c>
      <c r="T34" s="105">
        <f t="shared" si="1"/>
        <v>0</v>
      </c>
      <c r="U34" s="105">
        <f t="shared" si="1"/>
        <v>0</v>
      </c>
      <c r="V34" s="105">
        <f t="shared" si="1"/>
        <v>0</v>
      </c>
      <c r="W34" s="105">
        <f t="shared" si="1"/>
        <v>0</v>
      </c>
      <c r="X34" s="105">
        <f t="shared" si="1"/>
        <v>0</v>
      </c>
      <c r="Y34" s="105">
        <f t="shared" si="1"/>
        <v>0</v>
      </c>
      <c r="Z34" s="105">
        <f t="shared" ref="Z34:Z55" si="2">SUM(D34:Y34)</f>
        <v>0.11580879253434295</v>
      </c>
      <c r="AA34" s="105">
        <f t="shared" ref="AA34:AA55" si="3">(Z34/$Z$56)</f>
        <v>5.2815546946514092E-3</v>
      </c>
      <c r="AB34" s="105" t="str">
        <f>Threats!B1</f>
        <v>Threats to The Level of Service</v>
      </c>
      <c r="AC34" s="107">
        <f>INDEX(I69:I73,MATCH(AB34,B59:B63,0))</f>
        <v>0.37964912280701757</v>
      </c>
      <c r="AD34" s="108">
        <f t="shared" ref="AD34:AD55" si="4">Z34*AC34</f>
        <v>4.3966706499003187E-2</v>
      </c>
      <c r="AE34" s="109">
        <f>MMULT(D7:Y7, AA34:AA55)/AA34</f>
        <v>9.453798946108833</v>
      </c>
      <c r="AF34" s="104" t="str">
        <f xml:space="preserve"> Threats!A1</f>
        <v>T1-Power Loss</v>
      </c>
      <c r="AG34" s="47"/>
      <c r="AH34" s="47"/>
      <c r="AI34" s="47"/>
      <c r="AK34" s="47"/>
      <c r="AL34" s="47"/>
      <c r="AM34" s="47"/>
      <c r="AO34" s="47"/>
      <c r="AP34" s="47"/>
      <c r="AQ34" s="47"/>
      <c r="AR34" s="47"/>
      <c r="AS34" s="47"/>
      <c r="AT34" s="47"/>
      <c r="AU34" s="47"/>
      <c r="AV34" s="47"/>
      <c r="AW34" s="47"/>
      <c r="AX34" s="47"/>
      <c r="AY34" s="47"/>
      <c r="AZ34" s="47"/>
      <c r="BA34" s="47"/>
      <c r="BB34" s="47"/>
      <c r="BC34" s="47"/>
      <c r="BD34" s="47"/>
      <c r="BE34" s="47"/>
      <c r="BF34" s="47"/>
      <c r="BG34" s="47"/>
      <c r="BH34" s="47"/>
      <c r="BI34" s="47"/>
      <c r="BJ34" s="47"/>
      <c r="BK34" s="47"/>
      <c r="BL34" s="47"/>
      <c r="BM34" s="47"/>
      <c r="BN34" s="47"/>
      <c r="BO34" s="47"/>
      <c r="BP34" s="47"/>
      <c r="BQ34" s="47"/>
      <c r="BR34" s="47"/>
      <c r="BS34" s="47"/>
      <c r="BT34" s="47"/>
      <c r="BU34" s="47"/>
      <c r="BV34" s="47"/>
      <c r="BW34" s="47"/>
      <c r="BX34" s="47"/>
      <c r="BY34" s="47"/>
      <c r="BZ34" s="47"/>
      <c r="CA34" s="47"/>
      <c r="CB34" s="47"/>
      <c r="CC34" s="47"/>
      <c r="CD34" s="47"/>
      <c r="CE34" s="47"/>
      <c r="CF34" s="47"/>
      <c r="CG34" s="47"/>
      <c r="CH34" s="47"/>
      <c r="CI34" s="47"/>
      <c r="CJ34" s="47"/>
      <c r="CK34" s="47"/>
      <c r="CL34" s="47"/>
      <c r="CM34" s="47"/>
      <c r="CN34" s="47"/>
      <c r="CO34" s="47"/>
      <c r="CP34" s="47"/>
      <c r="CQ34" s="47"/>
      <c r="CR34" s="47"/>
      <c r="CS34" s="47"/>
      <c r="CT34" s="47"/>
      <c r="CU34" s="47"/>
      <c r="CV34" s="47"/>
      <c r="CW34" s="47"/>
      <c r="CX34" s="47"/>
      <c r="CY34" s="47"/>
      <c r="CZ34" s="47"/>
      <c r="DA34" s="47"/>
      <c r="DB34" s="47"/>
      <c r="DC34" s="47"/>
      <c r="DD34" s="47"/>
      <c r="DE34" s="47"/>
      <c r="DF34" s="47"/>
      <c r="DG34" s="47"/>
      <c r="DH34" s="47"/>
      <c r="DI34" s="47"/>
      <c r="DJ34" s="47"/>
      <c r="DK34" s="47"/>
      <c r="DL34" s="47"/>
      <c r="DM34" s="47"/>
      <c r="DN34" s="47"/>
      <c r="DO34" s="58"/>
      <c r="DP34" s="58"/>
      <c r="DQ34" s="58"/>
      <c r="DR34" s="58"/>
      <c r="DS34" s="58"/>
      <c r="DT34" s="58"/>
      <c r="DU34" s="58"/>
      <c r="DV34" s="58"/>
    </row>
    <row r="35" spans="1:126" ht="12.75" customHeight="1" x14ac:dyDescent="0.3">
      <c r="A35" s="48"/>
      <c r="B35" s="48"/>
      <c r="C35" s="104" t="str">
        <f>Threats!A2</f>
        <v>T2-Hardware Failure</v>
      </c>
      <c r="D35" s="63">
        <f t="shared" ref="D35:Y35" si="5">(D$8/D$29)</f>
        <v>0.12328767123287671</v>
      </c>
      <c r="E35" s="110">
        <f t="shared" si="5"/>
        <v>4.9930651872399444E-2</v>
      </c>
      <c r="F35" s="63">
        <f t="shared" si="5"/>
        <v>9.7297297297297289E-2</v>
      </c>
      <c r="G35" s="63">
        <f t="shared" si="5"/>
        <v>0.10188679245283019</v>
      </c>
      <c r="H35" s="63">
        <f t="shared" si="5"/>
        <v>0.19565217391304349</v>
      </c>
      <c r="I35" s="63">
        <f t="shared" si="5"/>
        <v>9.7472924187725629E-2</v>
      </c>
      <c r="J35" s="63">
        <f t="shared" si="5"/>
        <v>3.8014783526927137E-2</v>
      </c>
      <c r="K35" s="63">
        <f t="shared" si="5"/>
        <v>3.8155802861685212E-2</v>
      </c>
      <c r="L35" s="63">
        <f t="shared" si="5"/>
        <v>1.6478989288656962E-2</v>
      </c>
      <c r="M35" s="63">
        <f t="shared" si="5"/>
        <v>0</v>
      </c>
      <c r="N35" s="63">
        <f t="shared" si="5"/>
        <v>0</v>
      </c>
      <c r="O35" s="63">
        <f t="shared" si="5"/>
        <v>0</v>
      </c>
      <c r="P35" s="63">
        <f t="shared" si="5"/>
        <v>0</v>
      </c>
      <c r="Q35" s="63">
        <f t="shared" si="5"/>
        <v>0</v>
      </c>
      <c r="R35" s="63">
        <f t="shared" si="5"/>
        <v>0</v>
      </c>
      <c r="S35" s="63">
        <f t="shared" si="5"/>
        <v>0</v>
      </c>
      <c r="T35" s="63">
        <f t="shared" si="5"/>
        <v>0</v>
      </c>
      <c r="U35" s="63">
        <f t="shared" si="5"/>
        <v>0</v>
      </c>
      <c r="V35" s="63">
        <f t="shared" si="5"/>
        <v>0</v>
      </c>
      <c r="W35" s="63">
        <f t="shared" si="5"/>
        <v>0</v>
      </c>
      <c r="X35" s="63">
        <f t="shared" si="5"/>
        <v>0</v>
      </c>
      <c r="Y35" s="63">
        <f t="shared" si="5"/>
        <v>0</v>
      </c>
      <c r="Z35" s="63">
        <f t="shared" si="2"/>
        <v>0.75817708663344197</v>
      </c>
      <c r="AA35" s="63">
        <f t="shared" si="3"/>
        <v>3.4577286090764638E-2</v>
      </c>
      <c r="AB35" s="63" t="str">
        <f>Threats!B2</f>
        <v>Threats to The Level of Service</v>
      </c>
      <c r="AC35" s="63">
        <f>INDEX(I69:I73,MATCH(AB35,B59:B63,0))</f>
        <v>0.37964912280701757</v>
      </c>
      <c r="AD35" s="111">
        <f t="shared" si="4"/>
        <v>0.28784126587276643</v>
      </c>
      <c r="AE35" s="109">
        <f>MMULT(D8:Y8, AA34:AA55)/AA35</f>
        <v>10.613217223638992</v>
      </c>
      <c r="AF35" s="104" t="str">
        <f>Threats!A2</f>
        <v>T2-Hardware Failure</v>
      </c>
      <c r="AG35" s="47"/>
      <c r="AH35" s="47"/>
      <c r="AI35" s="47"/>
      <c r="AK35" s="47"/>
      <c r="AL35" s="47"/>
      <c r="AM35" s="47"/>
      <c r="AO35" s="47"/>
      <c r="AP35" s="47"/>
      <c r="AQ35" s="47"/>
      <c r="AR35" s="47"/>
      <c r="AS35" s="47"/>
      <c r="AT35" s="47"/>
      <c r="AU35" s="47"/>
      <c r="AV35" s="47"/>
      <c r="AW35" s="47"/>
      <c r="AX35" s="47"/>
      <c r="AY35" s="47"/>
      <c r="AZ35" s="47"/>
      <c r="BA35" s="47"/>
      <c r="BB35" s="47"/>
      <c r="BC35" s="47"/>
      <c r="BD35" s="47"/>
      <c r="BE35" s="47"/>
      <c r="BF35" s="47"/>
      <c r="BG35" s="47"/>
      <c r="BH35" s="47"/>
      <c r="BI35" s="47"/>
      <c r="BJ35" s="47"/>
      <c r="BK35" s="47"/>
      <c r="BL35" s="47"/>
      <c r="BM35" s="47"/>
      <c r="BN35" s="47"/>
      <c r="BO35" s="47"/>
      <c r="BP35" s="47"/>
      <c r="BQ35" s="47"/>
      <c r="BR35" s="47"/>
      <c r="BS35" s="47"/>
      <c r="BT35" s="47"/>
      <c r="BU35" s="47"/>
      <c r="BV35" s="47"/>
      <c r="BW35" s="47"/>
      <c r="BX35" s="47"/>
      <c r="BY35" s="47"/>
      <c r="BZ35" s="47"/>
      <c r="CA35" s="47"/>
      <c r="CB35" s="47"/>
      <c r="CC35" s="47"/>
      <c r="CD35" s="47"/>
      <c r="CE35" s="47"/>
      <c r="CF35" s="47"/>
      <c r="CG35" s="47"/>
      <c r="CH35" s="47"/>
      <c r="CI35" s="47"/>
      <c r="CJ35" s="47"/>
      <c r="CK35" s="47"/>
      <c r="CL35" s="47"/>
      <c r="CM35" s="47"/>
      <c r="CN35" s="47"/>
      <c r="CO35" s="47"/>
      <c r="CP35" s="47"/>
      <c r="CQ35" s="47"/>
      <c r="CR35" s="47"/>
      <c r="CS35" s="47"/>
      <c r="CT35" s="47"/>
      <c r="CU35" s="47"/>
      <c r="CV35" s="47"/>
      <c r="CW35" s="47"/>
      <c r="CX35" s="47"/>
      <c r="CY35" s="47"/>
      <c r="CZ35" s="47"/>
      <c r="DA35" s="47"/>
      <c r="DB35" s="47"/>
      <c r="DC35" s="47"/>
      <c r="DD35" s="47"/>
      <c r="DE35" s="47"/>
      <c r="DF35" s="47"/>
      <c r="DG35" s="47"/>
      <c r="DH35" s="47"/>
      <c r="DI35" s="47"/>
      <c r="DJ35" s="47"/>
      <c r="DK35" s="47"/>
      <c r="DL35" s="47"/>
      <c r="DM35" s="47"/>
      <c r="DN35" s="47"/>
      <c r="DO35" s="58"/>
      <c r="DP35" s="58"/>
      <c r="DQ35" s="58"/>
      <c r="DR35" s="58"/>
      <c r="DS35" s="58"/>
      <c r="DT35" s="58"/>
      <c r="DU35" s="58"/>
      <c r="DV35" s="58"/>
    </row>
    <row r="36" spans="1:126" ht="12.75" customHeight="1" x14ac:dyDescent="0.3">
      <c r="A36" s="48"/>
      <c r="B36" s="48"/>
      <c r="C36" s="104" t="str">
        <f>Threats!A3</f>
        <v>T3-Software Crash</v>
      </c>
      <c r="D36" s="66">
        <f t="shared" ref="D36:Y36" si="6">(D$9/D$29)</f>
        <v>0.12328767123287671</v>
      </c>
      <c r="E36" s="112">
        <f t="shared" si="6"/>
        <v>1.2482662968099861E-2</v>
      </c>
      <c r="F36" s="66">
        <f t="shared" si="6"/>
        <v>2.4324324324324322E-2</v>
      </c>
      <c r="G36" s="66">
        <f t="shared" si="6"/>
        <v>1.1320754716981131E-2</v>
      </c>
      <c r="H36" s="66">
        <f t="shared" si="6"/>
        <v>4.8913043478260872E-2</v>
      </c>
      <c r="I36" s="66">
        <f t="shared" si="6"/>
        <v>5.415162454873646E-3</v>
      </c>
      <c r="J36" s="66">
        <f t="shared" si="6"/>
        <v>2.9567053854276663E-2</v>
      </c>
      <c r="K36" s="66">
        <f t="shared" si="6"/>
        <v>2.9676735559088497E-2</v>
      </c>
      <c r="L36" s="66">
        <f t="shared" si="6"/>
        <v>9.8873935731941774E-3</v>
      </c>
      <c r="M36" s="66">
        <f t="shared" si="6"/>
        <v>0</v>
      </c>
      <c r="N36" s="66">
        <f t="shared" si="6"/>
        <v>0</v>
      </c>
      <c r="O36" s="66">
        <f t="shared" si="6"/>
        <v>0</v>
      </c>
      <c r="P36" s="66">
        <f t="shared" si="6"/>
        <v>0</v>
      </c>
      <c r="Q36" s="66">
        <f t="shared" si="6"/>
        <v>0</v>
      </c>
      <c r="R36" s="66">
        <f t="shared" si="6"/>
        <v>0</v>
      </c>
      <c r="S36" s="66">
        <f t="shared" si="6"/>
        <v>0</v>
      </c>
      <c r="T36" s="66">
        <f t="shared" si="6"/>
        <v>0</v>
      </c>
      <c r="U36" s="66">
        <f t="shared" si="6"/>
        <v>0</v>
      </c>
      <c r="V36" s="66">
        <f t="shared" si="6"/>
        <v>0</v>
      </c>
      <c r="W36" s="66">
        <f t="shared" si="6"/>
        <v>0</v>
      </c>
      <c r="X36" s="66">
        <f t="shared" si="6"/>
        <v>0</v>
      </c>
      <c r="Y36" s="66">
        <f t="shared" si="6"/>
        <v>0</v>
      </c>
      <c r="Z36" s="66">
        <f t="shared" si="2"/>
        <v>0.29487480216197587</v>
      </c>
      <c r="AA36" s="66">
        <f t="shared" si="3"/>
        <v>1.3448006508064964E-2</v>
      </c>
      <c r="AB36" s="66" t="str">
        <f>Threats!B3</f>
        <v>Threats to The Level of Service</v>
      </c>
      <c r="AC36" s="66">
        <f>INDEX(I69:I73,MATCH(AB36,B59:B63,0))</f>
        <v>0.37964912280701757</v>
      </c>
      <c r="AD36" s="113">
        <f t="shared" si="4"/>
        <v>0.11194895997868699</v>
      </c>
      <c r="AE36" s="109">
        <f>MMULT(D9:Y9, AA34:AA55)/AA36</f>
        <v>9.4128583764372404</v>
      </c>
      <c r="AF36" s="104" t="str">
        <f xml:space="preserve"> Threats!A3</f>
        <v>T3-Software Crash</v>
      </c>
      <c r="AG36" s="47"/>
      <c r="AH36" s="47"/>
      <c r="AI36" s="47"/>
      <c r="AK36" s="47"/>
      <c r="AL36" s="47"/>
      <c r="AM36" s="47"/>
      <c r="AO36" s="47"/>
      <c r="AP36" s="47"/>
      <c r="AQ36" s="47"/>
      <c r="AR36" s="47"/>
      <c r="AS36" s="47"/>
      <c r="AT36" s="47"/>
      <c r="AU36" s="47"/>
      <c r="AV36" s="47"/>
      <c r="AW36" s="47"/>
      <c r="AX36" s="47"/>
      <c r="AY36" s="47"/>
      <c r="AZ36" s="47"/>
      <c r="BA36" s="47"/>
      <c r="BB36" s="47"/>
      <c r="BC36" s="47"/>
      <c r="BD36" s="47"/>
      <c r="BE36" s="47"/>
      <c r="BF36" s="47"/>
      <c r="BG36" s="47"/>
      <c r="BH36" s="47"/>
      <c r="BI36" s="47"/>
      <c r="BJ36" s="47"/>
      <c r="BK36" s="47"/>
      <c r="BL36" s="47"/>
      <c r="BM36" s="47"/>
      <c r="BN36" s="47"/>
      <c r="BO36" s="47"/>
      <c r="BP36" s="47"/>
      <c r="BQ36" s="47"/>
      <c r="BR36" s="47"/>
      <c r="BS36" s="47"/>
      <c r="BT36" s="47"/>
      <c r="BU36" s="47"/>
      <c r="BV36" s="47"/>
      <c r="BW36" s="47"/>
      <c r="BX36" s="47"/>
      <c r="BY36" s="47"/>
      <c r="BZ36" s="47"/>
      <c r="CA36" s="47"/>
      <c r="CB36" s="47"/>
      <c r="CC36" s="47"/>
      <c r="CD36" s="47"/>
      <c r="CE36" s="47"/>
      <c r="CF36" s="47"/>
      <c r="CG36" s="47"/>
      <c r="CH36" s="47"/>
      <c r="CI36" s="47"/>
      <c r="CJ36" s="47"/>
      <c r="CK36" s="47"/>
      <c r="CL36" s="47"/>
      <c r="CM36" s="47"/>
      <c r="CN36" s="47"/>
      <c r="CO36" s="47"/>
      <c r="CP36" s="47"/>
      <c r="CQ36" s="47"/>
      <c r="CR36" s="47"/>
      <c r="CS36" s="47"/>
      <c r="CT36" s="47"/>
      <c r="CU36" s="47"/>
      <c r="CV36" s="47"/>
      <c r="CW36" s="47"/>
      <c r="CX36" s="47"/>
      <c r="CY36" s="47"/>
      <c r="CZ36" s="47"/>
      <c r="DA36" s="47"/>
      <c r="DB36" s="47"/>
      <c r="DC36" s="47"/>
      <c r="DD36" s="47"/>
      <c r="DE36" s="47"/>
      <c r="DF36" s="47"/>
      <c r="DG36" s="47"/>
      <c r="DH36" s="47"/>
      <c r="DI36" s="47"/>
      <c r="DJ36" s="47"/>
      <c r="DK36" s="47"/>
      <c r="DL36" s="47"/>
      <c r="DM36" s="47"/>
      <c r="DN36" s="47"/>
      <c r="DO36" s="58"/>
      <c r="DP36" s="58"/>
      <c r="DQ36" s="58"/>
      <c r="DR36" s="58"/>
      <c r="DS36" s="58"/>
      <c r="DT36" s="58"/>
      <c r="DU36" s="58"/>
      <c r="DV36" s="58"/>
    </row>
    <row r="37" spans="1:126" ht="12.75" customHeight="1" x14ac:dyDescent="0.3">
      <c r="A37" s="48"/>
      <c r="B37" s="48"/>
      <c r="C37" s="104" t="str">
        <f>Threats!A4</f>
        <v>T4-Operator Errors</v>
      </c>
      <c r="D37" s="68">
        <f t="shared" ref="D37:Y37" si="7">(D$10/D$29)</f>
        <v>0.12328767123287671</v>
      </c>
      <c r="E37" s="114">
        <f t="shared" si="7"/>
        <v>1.6643550624133148E-2</v>
      </c>
      <c r="F37" s="68">
        <f t="shared" si="7"/>
        <v>7.2972972972972963E-2</v>
      </c>
      <c r="G37" s="68">
        <f t="shared" si="7"/>
        <v>3.3962264150943396E-2</v>
      </c>
      <c r="H37" s="68">
        <f t="shared" si="7"/>
        <v>6.5217391304347824E-2</v>
      </c>
      <c r="I37" s="68">
        <f t="shared" si="7"/>
        <v>1.6245487364620937E-2</v>
      </c>
      <c r="J37" s="68">
        <f t="shared" si="7"/>
        <v>3.3262935586061249E-2</v>
      </c>
      <c r="K37" s="68">
        <f t="shared" si="7"/>
        <v>3.3386327503974564E-2</v>
      </c>
      <c r="L37" s="68">
        <f t="shared" si="7"/>
        <v>1.2359241966492721E-2</v>
      </c>
      <c r="M37" s="68">
        <f t="shared" si="7"/>
        <v>0</v>
      </c>
      <c r="N37" s="68">
        <f t="shared" si="7"/>
        <v>0</v>
      </c>
      <c r="O37" s="68">
        <f t="shared" si="7"/>
        <v>0</v>
      </c>
      <c r="P37" s="68">
        <f t="shared" si="7"/>
        <v>0</v>
      </c>
      <c r="Q37" s="68">
        <f t="shared" si="7"/>
        <v>0</v>
      </c>
      <c r="R37" s="68">
        <f t="shared" si="7"/>
        <v>0</v>
      </c>
      <c r="S37" s="68">
        <f t="shared" si="7"/>
        <v>0</v>
      </c>
      <c r="T37" s="68">
        <f t="shared" si="7"/>
        <v>0</v>
      </c>
      <c r="U37" s="68">
        <f t="shared" si="7"/>
        <v>0</v>
      </c>
      <c r="V37" s="68">
        <f t="shared" si="7"/>
        <v>0</v>
      </c>
      <c r="W37" s="68">
        <f t="shared" si="7"/>
        <v>0</v>
      </c>
      <c r="X37" s="68">
        <f t="shared" si="7"/>
        <v>0</v>
      </c>
      <c r="Y37" s="68">
        <f t="shared" si="7"/>
        <v>0</v>
      </c>
      <c r="Z37" s="68">
        <f t="shared" si="2"/>
        <v>0.40733784270642354</v>
      </c>
      <c r="AA37" s="68">
        <f t="shared" si="3"/>
        <v>1.8576975446983446E-2</v>
      </c>
      <c r="AB37" s="68" t="str">
        <f>Threats!B4</f>
        <v>Threats to The Level of Service</v>
      </c>
      <c r="AC37" s="68">
        <f>INDEX(I69:I73,MATCH(AB37,B59:B63,0))</f>
        <v>0.37964912280701757</v>
      </c>
      <c r="AD37" s="115">
        <f t="shared" si="4"/>
        <v>0.15464545466959659</v>
      </c>
      <c r="AE37" s="109">
        <f>MMULT(D10:Y10, AA34:AA55)/AA37</f>
        <v>10.038458252192566</v>
      </c>
      <c r="AF37" s="104" t="str">
        <f>Threats!A4</f>
        <v>T4-Operator Errors</v>
      </c>
      <c r="AG37" s="47"/>
      <c r="AH37" s="47"/>
      <c r="AI37" s="47"/>
      <c r="AK37" s="47"/>
      <c r="AL37" s="47"/>
      <c r="AM37" s="47"/>
      <c r="AO37" s="47"/>
      <c r="AP37" s="47"/>
      <c r="AQ37" s="47"/>
      <c r="AR37" s="47"/>
      <c r="AS37" s="47"/>
      <c r="AT37" s="47"/>
      <c r="AU37" s="47"/>
      <c r="AV37" s="47"/>
      <c r="AW37" s="47"/>
      <c r="AX37" s="47"/>
      <c r="AY37" s="47"/>
      <c r="AZ37" s="47"/>
      <c r="BA37" s="47"/>
      <c r="BB37" s="47"/>
      <c r="BC37" s="47"/>
      <c r="BD37" s="47"/>
      <c r="BE37" s="47"/>
      <c r="BF37" s="47"/>
      <c r="BG37" s="47"/>
      <c r="BH37" s="47"/>
      <c r="BI37" s="47"/>
      <c r="BJ37" s="47"/>
      <c r="BK37" s="47"/>
      <c r="BL37" s="47"/>
      <c r="BM37" s="47"/>
      <c r="BN37" s="47"/>
      <c r="BO37" s="47"/>
      <c r="BP37" s="47"/>
      <c r="BQ37" s="47"/>
      <c r="BR37" s="47"/>
      <c r="BS37" s="47"/>
      <c r="BT37" s="47"/>
      <c r="BU37" s="47"/>
      <c r="BV37" s="47"/>
      <c r="BW37" s="47"/>
      <c r="BX37" s="47"/>
      <c r="BY37" s="47"/>
      <c r="BZ37" s="47"/>
      <c r="CA37" s="47"/>
      <c r="CB37" s="47"/>
      <c r="CC37" s="47"/>
      <c r="CD37" s="47"/>
      <c r="CE37" s="47"/>
      <c r="CF37" s="47"/>
      <c r="CG37" s="47"/>
      <c r="CH37" s="47"/>
      <c r="CI37" s="47"/>
      <c r="CJ37" s="47"/>
      <c r="CK37" s="47"/>
      <c r="CL37" s="47"/>
      <c r="CM37" s="47"/>
      <c r="CN37" s="47"/>
      <c r="CO37" s="47"/>
      <c r="CP37" s="47"/>
      <c r="CQ37" s="47"/>
      <c r="CR37" s="47"/>
      <c r="CS37" s="47"/>
      <c r="CT37" s="47"/>
      <c r="CU37" s="47"/>
      <c r="CV37" s="47"/>
      <c r="CW37" s="47"/>
      <c r="CX37" s="47"/>
      <c r="CY37" s="47"/>
      <c r="CZ37" s="47"/>
      <c r="DA37" s="47"/>
      <c r="DB37" s="47"/>
      <c r="DC37" s="47"/>
      <c r="DD37" s="47"/>
      <c r="DE37" s="47"/>
      <c r="DF37" s="47"/>
      <c r="DG37" s="47"/>
      <c r="DH37" s="47"/>
      <c r="DI37" s="47"/>
      <c r="DJ37" s="47"/>
      <c r="DK37" s="47"/>
      <c r="DL37" s="47"/>
      <c r="DM37" s="47"/>
      <c r="DN37" s="47"/>
      <c r="DO37" s="58"/>
      <c r="DP37" s="58"/>
      <c r="DQ37" s="58"/>
      <c r="DR37" s="58"/>
      <c r="DS37" s="58"/>
      <c r="DT37" s="58"/>
      <c r="DU37" s="58"/>
      <c r="DV37" s="58"/>
    </row>
    <row r="38" spans="1:126" ht="12.75" customHeight="1" x14ac:dyDescent="0.3">
      <c r="A38" s="48"/>
      <c r="B38" s="48"/>
      <c r="C38" s="104" t="str">
        <f>Threats!A5</f>
        <v>T5-Malicious Inside Action</v>
      </c>
      <c r="D38" s="69">
        <f>($D11/$D$29)</f>
        <v>0.12328767123287671</v>
      </c>
      <c r="E38" s="116">
        <f>($E11/$E$29)</f>
        <v>4.9930651872399444E-2</v>
      </c>
      <c r="F38" s="69">
        <f>($F9/$F$29)</f>
        <v>2.4324324324324322E-2</v>
      </c>
      <c r="G38" s="69">
        <f>($G11/$G$29)</f>
        <v>0.10188679245283019</v>
      </c>
      <c r="H38" s="69">
        <f>($H11/$H$29)</f>
        <v>0.19565217391304349</v>
      </c>
      <c r="I38" s="69">
        <f>($I11/$I$29)</f>
        <v>0.19494584837545126</v>
      </c>
      <c r="J38" s="69">
        <f>($J11/$J$29)</f>
        <v>0.26610348468848999</v>
      </c>
      <c r="K38" s="69">
        <f>($K11/$K$29)</f>
        <v>0.26709062003179651</v>
      </c>
      <c r="L38" s="69">
        <f>($L11/$L$29)</f>
        <v>0.19774787146388353</v>
      </c>
      <c r="M38" s="69">
        <f>($M11/$M$29)</f>
        <v>0</v>
      </c>
      <c r="N38" s="69">
        <f>($N11/$N$29)</f>
        <v>0</v>
      </c>
      <c r="O38" s="69">
        <f>($O11/$O$29)</f>
        <v>0</v>
      </c>
      <c r="P38" s="69">
        <f>($P11/$P$29)</f>
        <v>0</v>
      </c>
      <c r="Q38" s="69">
        <f>($Q11/$Q$29)</f>
        <v>0</v>
      </c>
      <c r="R38" s="69">
        <f>($R11/$R$29)</f>
        <v>0</v>
      </c>
      <c r="S38" s="69">
        <f>($S11/$S$29)</f>
        <v>0</v>
      </c>
      <c r="T38" s="69">
        <f>($T11/$T$29)</f>
        <v>0</v>
      </c>
      <c r="U38" s="69">
        <f>($U11/$U$29)</f>
        <v>0</v>
      </c>
      <c r="V38" s="69">
        <f>($V11/$V$29)</f>
        <v>0</v>
      </c>
      <c r="W38" s="69">
        <f>($W11/$W$29)</f>
        <v>0</v>
      </c>
      <c r="X38" s="69">
        <f>($X11/$X$29)</f>
        <v>0</v>
      </c>
      <c r="Y38" s="69">
        <f>($Y11/$Y$29)</f>
        <v>0</v>
      </c>
      <c r="Z38" s="69">
        <f t="shared" si="2"/>
        <v>1.4209694383550955</v>
      </c>
      <c r="AA38" s="69">
        <f t="shared" si="3"/>
        <v>6.4804473338023569E-2</v>
      </c>
      <c r="AB38" s="69" t="str">
        <f>Threats!B5</f>
        <v>Threats to The Level of Service</v>
      </c>
      <c r="AC38" s="69">
        <f>INDEX(I69:I73,MATCH(AB38,B59:B63,0))</f>
        <v>0.37964912280701757</v>
      </c>
      <c r="AD38" s="117">
        <f t="shared" si="4"/>
        <v>0.53946980080709239</v>
      </c>
      <c r="AE38" s="109">
        <f>MMULT(D11:Y11, AA34:AA55)/AA38</f>
        <v>11.578031610471333</v>
      </c>
      <c r="AF38" s="104" t="str">
        <f xml:space="preserve"> Threats!A5</f>
        <v>T5-Malicious Inside Action</v>
      </c>
      <c r="AG38" s="47"/>
      <c r="AH38" s="47"/>
      <c r="AI38" s="47"/>
      <c r="AK38" s="47"/>
      <c r="AL38" s="47"/>
      <c r="AM38" s="47"/>
      <c r="AO38" s="47"/>
      <c r="AP38" s="47"/>
      <c r="AQ38" s="47"/>
      <c r="AR38" s="47"/>
      <c r="AS38" s="47"/>
      <c r="AT38" s="47"/>
      <c r="AU38" s="47"/>
      <c r="AV38" s="47"/>
      <c r="AW38" s="47"/>
      <c r="AX38" s="47"/>
      <c r="AY38" s="47"/>
      <c r="AZ38" s="47"/>
      <c r="BA38" s="47"/>
      <c r="BB38" s="47"/>
      <c r="BC38" s="47"/>
      <c r="BD38" s="47"/>
      <c r="BE38" s="47"/>
      <c r="BF38" s="47"/>
      <c r="BG38" s="47"/>
      <c r="BH38" s="47"/>
      <c r="BI38" s="47"/>
      <c r="BJ38" s="47"/>
      <c r="BK38" s="47"/>
      <c r="BL38" s="47"/>
      <c r="BM38" s="47"/>
      <c r="BN38" s="47"/>
      <c r="BO38" s="47"/>
      <c r="BP38" s="47"/>
      <c r="BQ38" s="47"/>
      <c r="BR38" s="47"/>
      <c r="BS38" s="47"/>
      <c r="BT38" s="47"/>
      <c r="BU38" s="47"/>
      <c r="BV38" s="47"/>
      <c r="BW38" s="47"/>
      <c r="BX38" s="47"/>
      <c r="BY38" s="47"/>
      <c r="BZ38" s="47"/>
      <c r="CA38" s="47"/>
      <c r="CB38" s="47"/>
      <c r="CC38" s="47"/>
      <c r="CD38" s="47"/>
      <c r="CE38" s="47"/>
      <c r="CF38" s="47"/>
      <c r="CG38" s="47"/>
      <c r="CH38" s="47"/>
      <c r="CI38" s="47"/>
      <c r="CJ38" s="47"/>
      <c r="CK38" s="47"/>
      <c r="CL38" s="47"/>
      <c r="CM38" s="47"/>
      <c r="CN38" s="47"/>
      <c r="CO38" s="47"/>
      <c r="CP38" s="47"/>
      <c r="CQ38" s="47"/>
      <c r="CR38" s="47"/>
      <c r="CS38" s="47"/>
      <c r="CT38" s="47"/>
      <c r="CU38" s="47"/>
      <c r="CV38" s="47"/>
      <c r="CW38" s="47"/>
      <c r="CX38" s="47"/>
      <c r="CY38" s="47"/>
      <c r="CZ38" s="47"/>
      <c r="DA38" s="47"/>
      <c r="DB38" s="47"/>
      <c r="DC38" s="47"/>
      <c r="DD38" s="47"/>
      <c r="DE38" s="47"/>
      <c r="DF38" s="47"/>
      <c r="DG38" s="47"/>
      <c r="DH38" s="47"/>
      <c r="DI38" s="47"/>
      <c r="DJ38" s="47"/>
      <c r="DK38" s="47"/>
      <c r="DL38" s="47"/>
      <c r="DM38" s="47"/>
      <c r="DN38" s="47"/>
      <c r="DO38" s="58"/>
      <c r="DP38" s="58"/>
      <c r="DQ38" s="58"/>
      <c r="DR38" s="58"/>
      <c r="DS38" s="58"/>
      <c r="DT38" s="58"/>
      <c r="DU38" s="58"/>
      <c r="DV38" s="58"/>
    </row>
    <row r="39" spans="1:126" ht="12.75" customHeight="1" x14ac:dyDescent="0.3">
      <c r="A39" s="48"/>
      <c r="B39" s="48"/>
      <c r="C39" s="104" t="str">
        <f>Threats!A6</f>
        <v>T6-Trojan and Worms</v>
      </c>
      <c r="D39" s="70">
        <f t="shared" ref="D39:Y39" si="8">(D$12/D$29)</f>
        <v>0.12328767123287671</v>
      </c>
      <c r="E39" s="118">
        <f t="shared" si="8"/>
        <v>1.6643550624133148E-2</v>
      </c>
      <c r="F39" s="70">
        <f t="shared" si="8"/>
        <v>0.14594594594594593</v>
      </c>
      <c r="G39" s="70">
        <f t="shared" si="8"/>
        <v>6.7924528301886791E-2</v>
      </c>
      <c r="H39" s="70">
        <f t="shared" si="8"/>
        <v>3.2608695652173912E-2</v>
      </c>
      <c r="I39" s="70">
        <f t="shared" si="8"/>
        <v>3.2490974729241874E-2</v>
      </c>
      <c r="J39" s="70">
        <f t="shared" si="8"/>
        <v>3.3262935586061249E-2</v>
      </c>
      <c r="K39" s="70">
        <f t="shared" si="8"/>
        <v>2.9676735559088497E-2</v>
      </c>
      <c r="L39" s="70">
        <f t="shared" si="8"/>
        <v>1.6478989288656962E-2</v>
      </c>
      <c r="M39" s="70">
        <f t="shared" si="8"/>
        <v>0</v>
      </c>
      <c r="N39" s="70">
        <f t="shared" si="8"/>
        <v>0</v>
      </c>
      <c r="O39" s="70">
        <f t="shared" si="8"/>
        <v>0</v>
      </c>
      <c r="P39" s="70">
        <f t="shared" si="8"/>
        <v>0</v>
      </c>
      <c r="Q39" s="70">
        <f t="shared" si="8"/>
        <v>0</v>
      </c>
      <c r="R39" s="70">
        <f t="shared" si="8"/>
        <v>0</v>
      </c>
      <c r="S39" s="70">
        <f t="shared" si="8"/>
        <v>0</v>
      </c>
      <c r="T39" s="70">
        <f t="shared" si="8"/>
        <v>0</v>
      </c>
      <c r="U39" s="70">
        <f t="shared" si="8"/>
        <v>0</v>
      </c>
      <c r="V39" s="70">
        <f t="shared" si="8"/>
        <v>0</v>
      </c>
      <c r="W39" s="70">
        <f t="shared" si="8"/>
        <v>0</v>
      </c>
      <c r="X39" s="70">
        <f t="shared" si="8"/>
        <v>0</v>
      </c>
      <c r="Y39" s="70">
        <f t="shared" si="8"/>
        <v>0</v>
      </c>
      <c r="Z39" s="70">
        <f t="shared" si="2"/>
        <v>0.49832002692006511</v>
      </c>
      <c r="AA39" s="70">
        <f t="shared" si="3"/>
        <v>2.2726292365391847E-2</v>
      </c>
      <c r="AB39" s="70" t="str">
        <f>Threats!B6</f>
        <v>Threats to The Level of Service</v>
      </c>
      <c r="AC39" s="70">
        <f>INDEX(I69:I73,MATCH(AB39,B59:B63,0))</f>
        <v>0.37964912280701757</v>
      </c>
      <c r="AD39" s="119">
        <f t="shared" si="4"/>
        <v>0.18918676109737209</v>
      </c>
      <c r="AE39" s="109">
        <f>MMULT(D12:Y12, AA34:AA55)/AA39</f>
        <v>10.892287844474085</v>
      </c>
      <c r="AF39" s="104" t="str">
        <f>Threats!A6</f>
        <v>T6-Trojan and Worms</v>
      </c>
      <c r="AG39" s="47"/>
      <c r="AH39" s="47"/>
      <c r="AI39" s="47"/>
      <c r="AK39" s="47"/>
      <c r="AL39" s="47"/>
      <c r="AM39" s="47"/>
      <c r="AO39" s="47"/>
      <c r="AP39" s="47"/>
      <c r="AQ39" s="47"/>
      <c r="AR39" s="47"/>
      <c r="AS39" s="47"/>
      <c r="AT39" s="47"/>
      <c r="AU39" s="47"/>
      <c r="AV39" s="47"/>
      <c r="AW39" s="47"/>
      <c r="AX39" s="47"/>
      <c r="AY39" s="47"/>
      <c r="AZ39" s="47"/>
      <c r="BA39" s="47"/>
      <c r="BB39" s="47"/>
      <c r="BC39" s="47"/>
      <c r="BD39" s="47"/>
      <c r="BE39" s="47"/>
      <c r="BF39" s="47"/>
      <c r="BG39" s="47"/>
      <c r="BH39" s="47"/>
      <c r="BI39" s="47"/>
      <c r="BJ39" s="47"/>
      <c r="BK39" s="47"/>
      <c r="BL39" s="47"/>
      <c r="BM39" s="47"/>
      <c r="BN39" s="47"/>
      <c r="BO39" s="47"/>
      <c r="BP39" s="47"/>
      <c r="BQ39" s="47"/>
      <c r="BR39" s="47"/>
      <c r="BS39" s="47"/>
      <c r="BT39" s="47"/>
      <c r="BU39" s="47"/>
      <c r="BV39" s="47"/>
      <c r="BW39" s="47"/>
      <c r="BX39" s="47"/>
      <c r="BY39" s="47"/>
      <c r="BZ39" s="47"/>
      <c r="CA39" s="47"/>
      <c r="CB39" s="47"/>
      <c r="CC39" s="47"/>
      <c r="CD39" s="47"/>
      <c r="CE39" s="47"/>
      <c r="CF39" s="47"/>
      <c r="CG39" s="47"/>
      <c r="CH39" s="47"/>
      <c r="CI39" s="47"/>
      <c r="CJ39" s="47"/>
      <c r="CK39" s="47"/>
      <c r="CL39" s="47"/>
      <c r="CM39" s="47"/>
      <c r="CN39" s="47"/>
      <c r="CO39" s="47"/>
      <c r="CP39" s="47"/>
      <c r="CQ39" s="47"/>
      <c r="CR39" s="47"/>
      <c r="CS39" s="47"/>
      <c r="CT39" s="47"/>
      <c r="CU39" s="47"/>
      <c r="CV39" s="47"/>
      <c r="CW39" s="47"/>
      <c r="CX39" s="47"/>
      <c r="CY39" s="47"/>
      <c r="CZ39" s="47"/>
      <c r="DA39" s="47"/>
      <c r="DB39" s="47"/>
      <c r="DC39" s="47"/>
      <c r="DD39" s="47"/>
      <c r="DE39" s="47"/>
      <c r="DF39" s="47"/>
      <c r="DG39" s="47"/>
      <c r="DH39" s="47"/>
      <c r="DI39" s="47"/>
      <c r="DJ39" s="47"/>
      <c r="DK39" s="47"/>
      <c r="DL39" s="47"/>
      <c r="DM39" s="47"/>
      <c r="DN39" s="47"/>
      <c r="DO39" s="58"/>
      <c r="DP39" s="58"/>
      <c r="DQ39" s="58"/>
      <c r="DR39" s="58"/>
      <c r="DS39" s="58"/>
      <c r="DT39" s="58"/>
      <c r="DU39" s="58"/>
      <c r="DV39" s="58"/>
    </row>
    <row r="40" spans="1:126" ht="12.75" customHeight="1" x14ac:dyDescent="0.3">
      <c r="A40" s="48"/>
      <c r="B40" s="48"/>
      <c r="C40" s="104" t="str">
        <f>Threats!A7</f>
        <v>T7-Fire</v>
      </c>
      <c r="D40" s="71">
        <f t="shared" ref="D40:Y40" si="9">(D$13/D$29)</f>
        <v>0.12328767123287671</v>
      </c>
      <c r="E40" s="120">
        <f t="shared" si="9"/>
        <v>0.34951456310679613</v>
      </c>
      <c r="F40" s="71">
        <f t="shared" si="9"/>
        <v>0.2189189189189189</v>
      </c>
      <c r="G40" s="71">
        <f t="shared" si="9"/>
        <v>0.27169811320754716</v>
      </c>
      <c r="H40" s="71">
        <f t="shared" si="9"/>
        <v>0.19565217391304349</v>
      </c>
      <c r="I40" s="71">
        <f t="shared" si="9"/>
        <v>0.25992779783393499</v>
      </c>
      <c r="J40" s="71">
        <f t="shared" si="9"/>
        <v>0.26610348468848999</v>
      </c>
      <c r="K40" s="71">
        <f t="shared" si="9"/>
        <v>0.26709062003179651</v>
      </c>
      <c r="L40" s="71">
        <f t="shared" si="9"/>
        <v>0.34605877506179622</v>
      </c>
      <c r="M40" s="71">
        <f t="shared" si="9"/>
        <v>0</v>
      </c>
      <c r="N40" s="71">
        <f t="shared" si="9"/>
        <v>0</v>
      </c>
      <c r="O40" s="71">
        <f t="shared" si="9"/>
        <v>0</v>
      </c>
      <c r="P40" s="71">
        <f t="shared" si="9"/>
        <v>0</v>
      </c>
      <c r="Q40" s="71">
        <f t="shared" si="9"/>
        <v>0</v>
      </c>
      <c r="R40" s="71">
        <f t="shared" si="9"/>
        <v>0</v>
      </c>
      <c r="S40" s="71">
        <f t="shared" si="9"/>
        <v>0</v>
      </c>
      <c r="T40" s="71">
        <f t="shared" si="9"/>
        <v>0</v>
      </c>
      <c r="U40" s="71">
        <f t="shared" si="9"/>
        <v>0</v>
      </c>
      <c r="V40" s="71">
        <f t="shared" si="9"/>
        <v>0</v>
      </c>
      <c r="W40" s="71">
        <f t="shared" si="9"/>
        <v>0</v>
      </c>
      <c r="X40" s="71">
        <f t="shared" si="9"/>
        <v>0</v>
      </c>
      <c r="Y40" s="71">
        <f t="shared" si="9"/>
        <v>0</v>
      </c>
      <c r="Z40" s="71">
        <f t="shared" si="2"/>
        <v>2.2982521179952</v>
      </c>
      <c r="AA40" s="71">
        <f t="shared" si="3"/>
        <v>0.10481366740517982</v>
      </c>
      <c r="AB40" s="71" t="str">
        <f>Threats!B7</f>
        <v>Threats to The Level of Service</v>
      </c>
      <c r="AC40" s="71">
        <f>INDEX(I69:I73,MATCH(AB40,B59:B63,0))</f>
        <v>0.37964912280701757</v>
      </c>
      <c r="AD40" s="121">
        <f t="shared" si="4"/>
        <v>0.87252940058624795</v>
      </c>
      <c r="AE40" s="109">
        <f>MMULT(D13:Y13, AA34:AA55)/AA40</f>
        <v>12.146807626184986</v>
      </c>
      <c r="AF40" s="104" t="str">
        <f xml:space="preserve"> Threats!A7</f>
        <v>T7-Fire</v>
      </c>
      <c r="AG40" s="47"/>
      <c r="AH40" s="47"/>
      <c r="AI40" s="47"/>
      <c r="AK40" s="47"/>
      <c r="AL40" s="47"/>
      <c r="AM40" s="47"/>
      <c r="AO40" s="47"/>
      <c r="AP40" s="47"/>
      <c r="AQ40" s="47"/>
      <c r="AR40" s="47"/>
      <c r="AS40" s="47"/>
      <c r="AT40" s="47"/>
      <c r="AU40" s="47"/>
      <c r="AV40" s="47"/>
      <c r="AW40" s="47"/>
      <c r="AX40" s="47"/>
      <c r="AY40" s="47"/>
      <c r="AZ40" s="47"/>
      <c r="BA40" s="47"/>
      <c r="BB40" s="47"/>
      <c r="BC40" s="47"/>
      <c r="BD40" s="47"/>
      <c r="BE40" s="47"/>
      <c r="BF40" s="47"/>
      <c r="BG40" s="47"/>
      <c r="BH40" s="47"/>
      <c r="BI40" s="47"/>
      <c r="BJ40" s="47"/>
      <c r="BK40" s="47"/>
      <c r="BL40" s="47"/>
      <c r="BM40" s="47"/>
      <c r="BN40" s="47"/>
      <c r="BO40" s="47"/>
      <c r="BP40" s="47"/>
      <c r="BQ40" s="47"/>
      <c r="BR40" s="47"/>
      <c r="BS40" s="47"/>
      <c r="BT40" s="47"/>
      <c r="BU40" s="47"/>
      <c r="BV40" s="47"/>
      <c r="BW40" s="47"/>
      <c r="BX40" s="47"/>
      <c r="BY40" s="47"/>
      <c r="BZ40" s="47"/>
      <c r="CA40" s="47"/>
      <c r="CB40" s="47"/>
      <c r="CC40" s="47"/>
      <c r="CD40" s="47"/>
      <c r="CE40" s="47"/>
      <c r="CF40" s="47"/>
      <c r="CG40" s="47"/>
      <c r="CH40" s="47"/>
      <c r="CI40" s="47"/>
      <c r="CJ40" s="47"/>
      <c r="CK40" s="47"/>
      <c r="CL40" s="47"/>
      <c r="CM40" s="47"/>
      <c r="CN40" s="47"/>
      <c r="CO40" s="47"/>
      <c r="CP40" s="47"/>
      <c r="CQ40" s="47"/>
      <c r="CR40" s="47"/>
      <c r="CS40" s="47"/>
      <c r="CT40" s="47"/>
      <c r="CU40" s="47"/>
      <c r="CV40" s="47"/>
      <c r="CW40" s="47"/>
      <c r="CX40" s="47"/>
      <c r="CY40" s="47"/>
      <c r="CZ40" s="47"/>
      <c r="DA40" s="47"/>
      <c r="DB40" s="47"/>
      <c r="DC40" s="47"/>
      <c r="DD40" s="47"/>
      <c r="DE40" s="47"/>
      <c r="DF40" s="47"/>
      <c r="DG40" s="47"/>
      <c r="DH40" s="47"/>
      <c r="DI40" s="47"/>
      <c r="DJ40" s="47"/>
      <c r="DK40" s="47"/>
      <c r="DL40" s="47"/>
      <c r="DM40" s="47"/>
      <c r="DN40" s="47"/>
      <c r="DO40" s="58"/>
      <c r="DP40" s="58"/>
      <c r="DQ40" s="58"/>
      <c r="DR40" s="58"/>
      <c r="DS40" s="58"/>
      <c r="DT40" s="58"/>
      <c r="DU40" s="58"/>
      <c r="DV40" s="58"/>
    </row>
    <row r="41" spans="1:126" ht="12.75" customHeight="1" x14ac:dyDescent="0.3">
      <c r="A41" s="48"/>
      <c r="B41" s="48"/>
      <c r="C41" s="104" t="str">
        <f>Threats!A8</f>
        <v>T8-Other Enviromental Disasters</v>
      </c>
      <c r="D41" s="72">
        <f t="shared" ref="D41:Y41" si="10">(D$14/D$29)</f>
        <v>0.12328767123287671</v>
      </c>
      <c r="E41" s="122">
        <f t="shared" si="10"/>
        <v>0.34951456310679613</v>
      </c>
      <c r="F41" s="72">
        <f t="shared" si="10"/>
        <v>0.2189189189189189</v>
      </c>
      <c r="G41" s="72">
        <f t="shared" si="10"/>
        <v>0.27169811320754716</v>
      </c>
      <c r="H41" s="72">
        <f t="shared" si="10"/>
        <v>0.19565217391304349</v>
      </c>
      <c r="I41" s="72">
        <f t="shared" si="10"/>
        <v>0.29241877256317689</v>
      </c>
      <c r="J41" s="72">
        <f t="shared" si="10"/>
        <v>0.26610348468848999</v>
      </c>
      <c r="K41" s="72">
        <f t="shared" si="10"/>
        <v>0.26709062003179651</v>
      </c>
      <c r="L41" s="72">
        <f t="shared" si="10"/>
        <v>0.34605877506179622</v>
      </c>
      <c r="M41" s="72">
        <f t="shared" si="10"/>
        <v>0</v>
      </c>
      <c r="N41" s="72">
        <f t="shared" si="10"/>
        <v>0</v>
      </c>
      <c r="O41" s="72">
        <f t="shared" si="10"/>
        <v>0</v>
      </c>
      <c r="P41" s="72">
        <f t="shared" si="10"/>
        <v>0</v>
      </c>
      <c r="Q41" s="72">
        <f t="shared" si="10"/>
        <v>0</v>
      </c>
      <c r="R41" s="72">
        <f t="shared" si="10"/>
        <v>0</v>
      </c>
      <c r="S41" s="72">
        <f t="shared" si="10"/>
        <v>0</v>
      </c>
      <c r="T41" s="72">
        <f t="shared" si="10"/>
        <v>0</v>
      </c>
      <c r="U41" s="72">
        <f t="shared" si="10"/>
        <v>0</v>
      </c>
      <c r="V41" s="72">
        <f t="shared" si="10"/>
        <v>0</v>
      </c>
      <c r="W41" s="72">
        <f t="shared" si="10"/>
        <v>0</v>
      </c>
      <c r="X41" s="72">
        <f t="shared" si="10"/>
        <v>0</v>
      </c>
      <c r="Y41" s="72">
        <f t="shared" si="10"/>
        <v>0</v>
      </c>
      <c r="Z41" s="72">
        <f t="shared" si="2"/>
        <v>2.3307430927244419</v>
      </c>
      <c r="AA41" s="72">
        <f t="shared" si="3"/>
        <v>0.10629544487958134</v>
      </c>
      <c r="AB41" s="72" t="str">
        <f>Threats!B8</f>
        <v>Threats to The Level of Service</v>
      </c>
      <c r="AC41" s="72">
        <f>INDEX(I69:I73,MATCH(AB41,B59:B63,0))</f>
        <v>0.37964912280701757</v>
      </c>
      <c r="AD41" s="123">
        <f t="shared" si="4"/>
        <v>0.8848645706413496</v>
      </c>
      <c r="AE41" s="109">
        <f>MMULT(D14:Y14, AA34:AA55)/AA41</f>
        <v>12.191282029056886</v>
      </c>
      <c r="AF41" s="104" t="str">
        <f>Threats!A8</f>
        <v>T8-Other Enviromental Disasters</v>
      </c>
      <c r="AG41" s="47"/>
      <c r="AH41" s="47"/>
      <c r="AI41" s="47"/>
      <c r="AK41" s="47"/>
      <c r="AL41" s="47"/>
      <c r="AM41" s="47"/>
      <c r="AO41" s="47"/>
      <c r="AP41" s="47"/>
      <c r="AQ41" s="47"/>
      <c r="AR41" s="47"/>
      <c r="AS41" s="47"/>
      <c r="AT41" s="47"/>
      <c r="AU41" s="47"/>
      <c r="AV41" s="47"/>
      <c r="AW41" s="47"/>
      <c r="AX41" s="47"/>
      <c r="AY41" s="47"/>
      <c r="AZ41" s="47"/>
      <c r="BA41" s="47"/>
      <c r="BB41" s="47"/>
      <c r="BC41" s="47"/>
      <c r="BD41" s="47"/>
      <c r="BE41" s="47"/>
      <c r="BF41" s="47"/>
      <c r="BG41" s="47"/>
      <c r="BH41" s="47"/>
      <c r="BI41" s="47"/>
      <c r="BJ41" s="47"/>
      <c r="BK41" s="47"/>
      <c r="BL41" s="47"/>
      <c r="BM41" s="47"/>
      <c r="BN41" s="47"/>
      <c r="BO41" s="47"/>
      <c r="BP41" s="47"/>
      <c r="BQ41" s="47"/>
      <c r="BR41" s="47"/>
      <c r="BS41" s="47"/>
      <c r="BT41" s="47"/>
      <c r="BU41" s="47"/>
      <c r="BV41" s="47"/>
      <c r="BW41" s="47"/>
      <c r="BX41" s="47"/>
      <c r="BY41" s="47"/>
      <c r="BZ41" s="47"/>
      <c r="CA41" s="47"/>
      <c r="CB41" s="47"/>
      <c r="CC41" s="47"/>
      <c r="CD41" s="47"/>
      <c r="CE41" s="47"/>
      <c r="CF41" s="47"/>
      <c r="CG41" s="47"/>
      <c r="CH41" s="47"/>
      <c r="CI41" s="47"/>
      <c r="CJ41" s="47"/>
      <c r="CK41" s="47"/>
      <c r="CL41" s="47"/>
      <c r="CM41" s="47"/>
      <c r="CN41" s="47"/>
      <c r="CO41" s="47"/>
      <c r="CP41" s="47"/>
      <c r="CQ41" s="47"/>
      <c r="CR41" s="47"/>
      <c r="CS41" s="47"/>
      <c r="CT41" s="47"/>
      <c r="CU41" s="47"/>
      <c r="CV41" s="47"/>
      <c r="CW41" s="47"/>
      <c r="CX41" s="47"/>
      <c r="CY41" s="47"/>
      <c r="CZ41" s="47"/>
      <c r="DA41" s="47"/>
      <c r="DB41" s="47"/>
      <c r="DC41" s="47"/>
      <c r="DD41" s="47"/>
      <c r="DE41" s="47"/>
      <c r="DF41" s="47"/>
      <c r="DG41" s="47"/>
      <c r="DH41" s="47"/>
      <c r="DI41" s="47"/>
      <c r="DJ41" s="47"/>
      <c r="DK41" s="47"/>
      <c r="DL41" s="47"/>
      <c r="DM41" s="47"/>
      <c r="DN41" s="47"/>
      <c r="DO41" s="58"/>
      <c r="DP41" s="58"/>
      <c r="DQ41" s="58"/>
      <c r="DR41" s="58"/>
      <c r="DS41" s="58"/>
      <c r="DT41" s="58"/>
      <c r="DU41" s="58"/>
      <c r="DV41" s="58"/>
    </row>
    <row r="42" spans="1:126" ht="12.75" customHeight="1" x14ac:dyDescent="0.3">
      <c r="A42" s="48"/>
      <c r="B42" s="48"/>
      <c r="C42" s="104" t="str">
        <f>Threats!A9</f>
        <v>T9-Availability Threats(DDOS)</v>
      </c>
      <c r="D42" s="73">
        <f t="shared" ref="D42:Y42" si="11">(D$15/D$29)</f>
        <v>0.12328767123287671</v>
      </c>
      <c r="E42" s="124">
        <f t="shared" si="11"/>
        <v>0.14979195561719832</v>
      </c>
      <c r="F42" s="73">
        <f t="shared" si="11"/>
        <v>0.12162162162162161</v>
      </c>
      <c r="G42" s="73">
        <f t="shared" si="11"/>
        <v>0.13584905660377358</v>
      </c>
      <c r="H42" s="73">
        <f t="shared" si="11"/>
        <v>4.8913043478260872E-2</v>
      </c>
      <c r="I42" s="73">
        <f t="shared" si="11"/>
        <v>9.7472924187725629E-2</v>
      </c>
      <c r="J42" s="73">
        <f t="shared" si="11"/>
        <v>3.8014783526927137E-2</v>
      </c>
      <c r="K42" s="73">
        <f t="shared" si="11"/>
        <v>3.8155802861685212E-2</v>
      </c>
      <c r="L42" s="73">
        <f t="shared" si="11"/>
        <v>4.9436967865970884E-2</v>
      </c>
      <c r="M42" s="73">
        <f t="shared" si="11"/>
        <v>0</v>
      </c>
      <c r="N42" s="73">
        <f t="shared" si="11"/>
        <v>0</v>
      </c>
      <c r="O42" s="73">
        <f t="shared" si="11"/>
        <v>0</v>
      </c>
      <c r="P42" s="73">
        <f t="shared" si="11"/>
        <v>0</v>
      </c>
      <c r="Q42" s="73">
        <f t="shared" si="11"/>
        <v>0</v>
      </c>
      <c r="R42" s="73">
        <f t="shared" si="11"/>
        <v>0</v>
      </c>
      <c r="S42" s="73">
        <f t="shared" si="11"/>
        <v>0</v>
      </c>
      <c r="T42" s="73">
        <f t="shared" si="11"/>
        <v>0</v>
      </c>
      <c r="U42" s="73">
        <f t="shared" si="11"/>
        <v>0</v>
      </c>
      <c r="V42" s="73">
        <f t="shared" si="11"/>
        <v>0</v>
      </c>
      <c r="W42" s="73">
        <f t="shared" si="11"/>
        <v>0</v>
      </c>
      <c r="X42" s="73">
        <f t="shared" si="11"/>
        <v>0</v>
      </c>
      <c r="Y42" s="73">
        <f t="shared" si="11"/>
        <v>0</v>
      </c>
      <c r="Z42" s="73">
        <f t="shared" si="2"/>
        <v>0.80254382699603988</v>
      </c>
      <c r="AA42" s="73">
        <f t="shared" si="3"/>
        <v>3.6600667569152562E-2</v>
      </c>
      <c r="AB42" s="73" t="str">
        <f>Threats!B9</f>
        <v>Threats to The Level of Service</v>
      </c>
      <c r="AC42" s="73">
        <f>INDEX(I69:I73,MATCH(AB42,B59:B63,0))</f>
        <v>0.37964912280701757</v>
      </c>
      <c r="AD42" s="125">
        <f t="shared" si="4"/>
        <v>0.30468505993323342</v>
      </c>
      <c r="AE42" s="109">
        <f>MMULT(D15:Y15, AA34:AA55)/AA42</f>
        <v>12.129639210147253</v>
      </c>
      <c r="AF42" s="104" t="str">
        <f xml:space="preserve"> Threats!A9</f>
        <v>T9-Availability Threats(DDOS)</v>
      </c>
      <c r="AG42" s="47"/>
      <c r="AH42" s="47"/>
      <c r="AI42" s="47"/>
      <c r="AK42" s="47"/>
      <c r="AL42" s="47"/>
      <c r="AM42" s="47"/>
      <c r="AO42" s="47"/>
      <c r="AP42" s="47"/>
      <c r="AQ42" s="47"/>
      <c r="AR42" s="47"/>
      <c r="AS42" s="47"/>
      <c r="AT42" s="47"/>
      <c r="AU42" s="47"/>
      <c r="AV42" s="47"/>
      <c r="AW42" s="47"/>
      <c r="AX42" s="47"/>
      <c r="AY42" s="47"/>
      <c r="AZ42" s="47"/>
      <c r="BA42" s="47"/>
      <c r="BB42" s="47"/>
      <c r="BC42" s="47"/>
      <c r="BD42" s="47"/>
      <c r="BE42" s="47"/>
      <c r="BF42" s="47"/>
      <c r="BG42" s="47"/>
      <c r="BH42" s="47"/>
      <c r="BI42" s="47"/>
      <c r="BJ42" s="47"/>
      <c r="BK42" s="47"/>
      <c r="BL42" s="47"/>
      <c r="BM42" s="47"/>
      <c r="BN42" s="47"/>
      <c r="BO42" s="47"/>
      <c r="BP42" s="47"/>
      <c r="BQ42" s="47"/>
      <c r="BR42" s="47"/>
      <c r="BS42" s="47"/>
      <c r="BT42" s="47"/>
      <c r="BU42" s="47"/>
      <c r="BV42" s="47"/>
      <c r="BW42" s="47"/>
      <c r="BX42" s="47"/>
      <c r="BY42" s="47"/>
      <c r="BZ42" s="47"/>
      <c r="CA42" s="47"/>
      <c r="CB42" s="47"/>
      <c r="CC42" s="47"/>
      <c r="CD42" s="47"/>
      <c r="CE42" s="47"/>
      <c r="CF42" s="47"/>
      <c r="CG42" s="47"/>
      <c r="CH42" s="47"/>
      <c r="CI42" s="47"/>
      <c r="CJ42" s="47"/>
      <c r="CK42" s="47"/>
      <c r="CL42" s="47"/>
      <c r="CM42" s="47"/>
      <c r="CN42" s="47"/>
      <c r="CO42" s="47"/>
      <c r="CP42" s="47"/>
      <c r="CQ42" s="47"/>
      <c r="CR42" s="47"/>
      <c r="CS42" s="47"/>
      <c r="CT42" s="47"/>
      <c r="CU42" s="47"/>
      <c r="CV42" s="47"/>
      <c r="CW42" s="47"/>
      <c r="CX42" s="47"/>
      <c r="CY42" s="47"/>
      <c r="CZ42" s="47"/>
      <c r="DA42" s="47"/>
      <c r="DB42" s="47"/>
      <c r="DC42" s="47"/>
      <c r="DD42" s="47"/>
      <c r="DE42" s="47"/>
      <c r="DF42" s="47"/>
      <c r="DG42" s="47"/>
      <c r="DH42" s="47"/>
      <c r="DI42" s="47"/>
      <c r="DJ42" s="47"/>
      <c r="DK42" s="47"/>
      <c r="DL42" s="47"/>
      <c r="DM42" s="47"/>
      <c r="DN42" s="47"/>
      <c r="DO42" s="58"/>
      <c r="DP42" s="58"/>
      <c r="DQ42" s="58"/>
      <c r="DR42" s="58"/>
      <c r="DS42" s="58"/>
      <c r="DT42" s="58"/>
      <c r="DU42" s="58"/>
      <c r="DV42" s="58"/>
    </row>
    <row r="43" spans="1:126" ht="12.75" customHeight="1" x14ac:dyDescent="0.3">
      <c r="A43" s="48"/>
      <c r="B43" s="48"/>
      <c r="C43" s="104" t="str">
        <f>Threats!A10</f>
        <v>T10-Disk Failure</v>
      </c>
      <c r="D43" s="74">
        <f t="shared" ref="D43:Y43" si="12">(D$16/D$29)</f>
        <v>0</v>
      </c>
      <c r="E43" s="126">
        <f t="shared" si="12"/>
        <v>0</v>
      </c>
      <c r="F43" s="74">
        <f t="shared" si="12"/>
        <v>0</v>
      </c>
      <c r="G43" s="74">
        <f t="shared" si="12"/>
        <v>0</v>
      </c>
      <c r="H43" s="74">
        <f t="shared" si="12"/>
        <v>0</v>
      </c>
      <c r="I43" s="74">
        <f t="shared" si="12"/>
        <v>0</v>
      </c>
      <c r="J43" s="74">
        <f t="shared" si="12"/>
        <v>0</v>
      </c>
      <c r="K43" s="74">
        <f t="shared" si="12"/>
        <v>0</v>
      </c>
      <c r="L43" s="74">
        <f t="shared" si="12"/>
        <v>0</v>
      </c>
      <c r="M43" s="74">
        <f t="shared" si="12"/>
        <v>0.1171875</v>
      </c>
      <c r="N43" s="74">
        <f t="shared" si="12"/>
        <v>5.2631578947368418E-2</v>
      </c>
      <c r="O43" s="74">
        <f t="shared" si="12"/>
        <v>0.35714285714285715</v>
      </c>
      <c r="P43" s="74">
        <f t="shared" si="12"/>
        <v>5.1724137931034489E-2</v>
      </c>
      <c r="Q43" s="74">
        <f t="shared" si="12"/>
        <v>0.52941176470588236</v>
      </c>
      <c r="R43" s="74">
        <f t="shared" si="12"/>
        <v>0</v>
      </c>
      <c r="S43" s="74">
        <f t="shared" si="12"/>
        <v>0</v>
      </c>
      <c r="T43" s="74">
        <f t="shared" si="12"/>
        <v>0</v>
      </c>
      <c r="U43" s="74">
        <f t="shared" si="12"/>
        <v>0</v>
      </c>
      <c r="V43" s="74">
        <f t="shared" si="12"/>
        <v>0</v>
      </c>
      <c r="W43" s="74">
        <f t="shared" si="12"/>
        <v>0</v>
      </c>
      <c r="X43" s="74">
        <f t="shared" si="12"/>
        <v>0</v>
      </c>
      <c r="Y43" s="74">
        <f t="shared" si="12"/>
        <v>0</v>
      </c>
      <c r="Z43" s="74">
        <f t="shared" si="2"/>
        <v>1.1080978387271423</v>
      </c>
      <c r="AA43" s="74">
        <f t="shared" si="3"/>
        <v>5.0535708163323381E-2</v>
      </c>
      <c r="AB43" s="74" t="str">
        <f>Threats!B10</f>
        <v>Threats to the Information Base</v>
      </c>
      <c r="AC43" s="74">
        <f>INDEX(I69:I73,MATCH(AB43,B59:B63,0))</f>
        <v>0.1049122807017544</v>
      </c>
      <c r="AD43" s="127">
        <f t="shared" si="4"/>
        <v>0.11625307150154933</v>
      </c>
      <c r="AE43" s="109">
        <f>MMULT(D16:Y16, AA34:AA55)/AA43</f>
        <v>6.4964999759679465</v>
      </c>
      <c r="AF43" s="104" t="str">
        <f>Threats!A10</f>
        <v>T10-Disk Failure</v>
      </c>
      <c r="AG43" s="47"/>
      <c r="AH43" s="47"/>
      <c r="AI43" s="47"/>
      <c r="AK43" s="47"/>
      <c r="AL43" s="47"/>
      <c r="AM43" s="47"/>
      <c r="AO43" s="47"/>
      <c r="AP43" s="47"/>
      <c r="AQ43" s="47"/>
      <c r="AR43" s="47"/>
      <c r="AS43" s="47"/>
      <c r="AT43" s="47"/>
      <c r="AU43" s="47"/>
      <c r="AV43" s="47"/>
      <c r="AW43" s="47"/>
      <c r="AX43" s="47"/>
      <c r="AY43" s="47"/>
      <c r="AZ43" s="47"/>
      <c r="BA43" s="47"/>
      <c r="BB43" s="47"/>
      <c r="BC43" s="47"/>
      <c r="BD43" s="47"/>
      <c r="BE43" s="47"/>
      <c r="BF43" s="47"/>
      <c r="BG43" s="47"/>
      <c r="BH43" s="47"/>
      <c r="BI43" s="47"/>
      <c r="BJ43" s="47"/>
      <c r="BK43" s="47"/>
      <c r="BL43" s="47"/>
      <c r="BM43" s="47"/>
      <c r="BN43" s="47"/>
      <c r="BO43" s="47"/>
      <c r="BP43" s="47"/>
      <c r="BQ43" s="47"/>
      <c r="BR43" s="47"/>
      <c r="BS43" s="47"/>
      <c r="BT43" s="47"/>
      <c r="BU43" s="47"/>
      <c r="BV43" s="47"/>
      <c r="BW43" s="47"/>
      <c r="BX43" s="47"/>
      <c r="BY43" s="47"/>
      <c r="BZ43" s="47"/>
      <c r="CA43" s="47"/>
      <c r="CB43" s="47"/>
      <c r="CC43" s="47"/>
      <c r="CD43" s="47"/>
      <c r="CE43" s="47"/>
      <c r="CF43" s="47"/>
      <c r="CG43" s="47"/>
      <c r="CH43" s="47"/>
      <c r="CI43" s="47"/>
      <c r="CJ43" s="47"/>
      <c r="CK43" s="47"/>
      <c r="CL43" s="47"/>
      <c r="CM43" s="47"/>
      <c r="CN43" s="47"/>
      <c r="CO43" s="47"/>
      <c r="CP43" s="47"/>
      <c r="CQ43" s="47"/>
      <c r="CR43" s="47"/>
      <c r="CS43" s="47"/>
      <c r="CT43" s="47"/>
      <c r="CU43" s="47"/>
      <c r="CV43" s="47"/>
      <c r="CW43" s="47"/>
      <c r="CX43" s="47"/>
      <c r="CY43" s="47"/>
      <c r="CZ43" s="47"/>
      <c r="DA43" s="47"/>
      <c r="DB43" s="47"/>
      <c r="DC43" s="47"/>
      <c r="DD43" s="47"/>
      <c r="DE43" s="47"/>
      <c r="DF43" s="47"/>
      <c r="DG43" s="47"/>
      <c r="DH43" s="47"/>
      <c r="DI43" s="47"/>
      <c r="DJ43" s="47"/>
      <c r="DK43" s="47"/>
      <c r="DL43" s="47"/>
      <c r="DM43" s="47"/>
      <c r="DN43" s="47"/>
      <c r="DO43" s="58"/>
      <c r="DP43" s="58"/>
      <c r="DQ43" s="58"/>
      <c r="DR43" s="58"/>
      <c r="DS43" s="58"/>
      <c r="DT43" s="58"/>
      <c r="DU43" s="58"/>
      <c r="DV43" s="58"/>
    </row>
    <row r="44" spans="1:126" ht="12.75" customHeight="1" x14ac:dyDescent="0.3">
      <c r="A44" s="48"/>
      <c r="B44" s="48"/>
      <c r="C44" s="104" t="str">
        <f>Threats!A11</f>
        <v>T11-Data Corruption</v>
      </c>
      <c r="D44" s="75">
        <f t="shared" ref="D44:Y44" si="13">(D$17/D$29)</f>
        <v>0</v>
      </c>
      <c r="E44" s="128">
        <f t="shared" si="13"/>
        <v>0</v>
      </c>
      <c r="F44" s="75">
        <f t="shared" si="13"/>
        <v>0</v>
      </c>
      <c r="G44" s="75">
        <f t="shared" si="13"/>
        <v>0</v>
      </c>
      <c r="H44" s="75">
        <f t="shared" si="13"/>
        <v>0</v>
      </c>
      <c r="I44" s="75">
        <f t="shared" si="13"/>
        <v>0</v>
      </c>
      <c r="J44" s="75">
        <f t="shared" si="13"/>
        <v>0</v>
      </c>
      <c r="K44" s="75">
        <f t="shared" si="13"/>
        <v>0</v>
      </c>
      <c r="L44" s="75">
        <f t="shared" si="13"/>
        <v>0</v>
      </c>
      <c r="M44" s="75">
        <f t="shared" si="13"/>
        <v>0.3515625</v>
      </c>
      <c r="N44" s="75">
        <f t="shared" si="13"/>
        <v>0.15789473684210528</v>
      </c>
      <c r="O44" s="75">
        <f t="shared" si="13"/>
        <v>7.1428571428571425E-2</v>
      </c>
      <c r="P44" s="75">
        <f t="shared" si="13"/>
        <v>6.8965517241379309E-2</v>
      </c>
      <c r="Q44" s="75">
        <f t="shared" si="13"/>
        <v>0.17647058823529413</v>
      </c>
      <c r="R44" s="75">
        <f t="shared" si="13"/>
        <v>0</v>
      </c>
      <c r="S44" s="75">
        <f t="shared" si="13"/>
        <v>0</v>
      </c>
      <c r="T44" s="75">
        <f t="shared" si="13"/>
        <v>0</v>
      </c>
      <c r="U44" s="75">
        <f t="shared" si="13"/>
        <v>0</v>
      </c>
      <c r="V44" s="75">
        <f t="shared" si="13"/>
        <v>0</v>
      </c>
      <c r="W44" s="75">
        <f t="shared" si="13"/>
        <v>0</v>
      </c>
      <c r="X44" s="75">
        <f t="shared" si="13"/>
        <v>0</v>
      </c>
      <c r="Y44" s="75">
        <f t="shared" si="13"/>
        <v>0</v>
      </c>
      <c r="Z44" s="75">
        <f t="shared" si="2"/>
        <v>0.8263219137473502</v>
      </c>
      <c r="AA44" s="75">
        <f t="shared" si="3"/>
        <v>3.7685086661718173E-2</v>
      </c>
      <c r="AB44" s="75" t="str">
        <f>Threats!B11</f>
        <v>Threats to the Information Base</v>
      </c>
      <c r="AC44" s="75">
        <f>INDEX(I69:I73,MATCH(AB44,B59:B63,0))</f>
        <v>0.1049122807017544</v>
      </c>
      <c r="AD44" s="129">
        <f t="shared" si="4"/>
        <v>8.6691316565072896E-2</v>
      </c>
      <c r="AE44" s="109">
        <f>MMULT(D17:Y17, AA34:AA55)/AA44</f>
        <v>7.5276755814544218</v>
      </c>
      <c r="AF44" s="104" t="str">
        <f xml:space="preserve"> Threats!A11</f>
        <v>T11-Data Corruption</v>
      </c>
      <c r="AG44" s="47"/>
      <c r="AH44" s="47"/>
      <c r="AI44" s="47"/>
      <c r="AK44" s="47"/>
      <c r="AL44" s="47"/>
      <c r="AM44" s="47"/>
      <c r="AO44" s="47"/>
      <c r="AP44" s="47"/>
      <c r="AQ44" s="47"/>
      <c r="AR44" s="47"/>
      <c r="AS44" s="47"/>
      <c r="AT44" s="47"/>
      <c r="AU44" s="47"/>
      <c r="AV44" s="47"/>
      <c r="AW44" s="47"/>
      <c r="AX44" s="47"/>
      <c r="AY44" s="47"/>
      <c r="AZ44" s="47"/>
      <c r="BA44" s="47"/>
      <c r="BB44" s="47"/>
      <c r="BC44" s="47"/>
      <c r="BD44" s="47"/>
      <c r="BE44" s="47"/>
      <c r="BF44" s="47"/>
      <c r="BG44" s="47"/>
      <c r="BH44" s="47"/>
      <c r="BI44" s="47"/>
      <c r="BJ44" s="47"/>
      <c r="BK44" s="47"/>
      <c r="BL44" s="47"/>
      <c r="BM44" s="47"/>
      <c r="BN44" s="47"/>
      <c r="BO44" s="47"/>
      <c r="BP44" s="47"/>
      <c r="BQ44" s="47"/>
      <c r="BR44" s="47"/>
      <c r="BS44" s="47"/>
      <c r="BT44" s="47"/>
      <c r="BU44" s="47"/>
      <c r="BV44" s="47"/>
      <c r="BW44" s="47"/>
      <c r="BX44" s="47"/>
      <c r="BY44" s="47"/>
      <c r="BZ44" s="47"/>
      <c r="CA44" s="47"/>
      <c r="CB44" s="47"/>
      <c r="CC44" s="47"/>
      <c r="CD44" s="47"/>
      <c r="CE44" s="47"/>
      <c r="CF44" s="47"/>
      <c r="CG44" s="47"/>
      <c r="CH44" s="47"/>
      <c r="CI44" s="47"/>
      <c r="CJ44" s="47"/>
      <c r="CK44" s="47"/>
      <c r="CL44" s="47"/>
      <c r="CM44" s="47"/>
      <c r="CN44" s="47"/>
      <c r="CO44" s="47"/>
      <c r="CP44" s="47"/>
      <c r="CQ44" s="47"/>
      <c r="CR44" s="47"/>
      <c r="CS44" s="47"/>
      <c r="CT44" s="47"/>
      <c r="CU44" s="47"/>
      <c r="CV44" s="47"/>
      <c r="CW44" s="47"/>
      <c r="CX44" s="47"/>
      <c r="CY44" s="47"/>
      <c r="CZ44" s="47"/>
      <c r="DA44" s="47"/>
      <c r="DB44" s="47"/>
      <c r="DC44" s="47"/>
      <c r="DD44" s="47"/>
      <c r="DE44" s="47"/>
      <c r="DF44" s="47"/>
      <c r="DG44" s="47"/>
      <c r="DH44" s="47"/>
      <c r="DI44" s="47"/>
      <c r="DJ44" s="47"/>
      <c r="DK44" s="47"/>
      <c r="DL44" s="47"/>
      <c r="DM44" s="47"/>
      <c r="DN44" s="47"/>
      <c r="DO44" s="58"/>
      <c r="DP44" s="58"/>
      <c r="DQ44" s="58"/>
      <c r="DR44" s="58"/>
      <c r="DS44" s="58"/>
      <c r="DT44" s="58"/>
      <c r="DU44" s="58"/>
      <c r="DV44" s="58"/>
    </row>
    <row r="45" spans="1:126" ht="12.75" customHeight="1" x14ac:dyDescent="0.3">
      <c r="A45" s="48"/>
      <c r="B45" s="48"/>
      <c r="C45" s="104" t="str">
        <f>Threats!A12</f>
        <v>T12-Inaccurrate Data</v>
      </c>
      <c r="D45" s="76">
        <f t="shared" ref="D45:Y45" si="14">(D$18/D$29)</f>
        <v>0</v>
      </c>
      <c r="E45" s="130">
        <f t="shared" si="14"/>
        <v>0</v>
      </c>
      <c r="F45" s="76">
        <f t="shared" si="14"/>
        <v>0</v>
      </c>
      <c r="G45" s="76">
        <f t="shared" si="14"/>
        <v>0</v>
      </c>
      <c r="H45" s="76">
        <f t="shared" si="14"/>
        <v>0</v>
      </c>
      <c r="I45" s="76">
        <f t="shared" si="14"/>
        <v>0</v>
      </c>
      <c r="J45" s="76">
        <f t="shared" si="14"/>
        <v>0</v>
      </c>
      <c r="K45" s="76">
        <f t="shared" si="14"/>
        <v>0</v>
      </c>
      <c r="L45" s="76">
        <f t="shared" si="14"/>
        <v>0</v>
      </c>
      <c r="M45" s="76">
        <f t="shared" si="14"/>
        <v>2.34375E-2</v>
      </c>
      <c r="N45" s="76">
        <f t="shared" si="14"/>
        <v>0.15789473684210528</v>
      </c>
      <c r="O45" s="76">
        <f t="shared" si="14"/>
        <v>7.1428571428571425E-2</v>
      </c>
      <c r="P45" s="76">
        <f t="shared" si="14"/>
        <v>5.1724137931034489E-2</v>
      </c>
      <c r="Q45" s="76">
        <f t="shared" si="14"/>
        <v>5.8823529411764712E-2</v>
      </c>
      <c r="R45" s="76">
        <f t="shared" si="14"/>
        <v>0</v>
      </c>
      <c r="S45" s="76">
        <f t="shared" si="14"/>
        <v>0</v>
      </c>
      <c r="T45" s="76">
        <f t="shared" si="14"/>
        <v>0</v>
      </c>
      <c r="U45" s="76">
        <f t="shared" si="14"/>
        <v>0</v>
      </c>
      <c r="V45" s="76">
        <f t="shared" si="14"/>
        <v>0</v>
      </c>
      <c r="W45" s="76">
        <f t="shared" si="14"/>
        <v>0</v>
      </c>
      <c r="X45" s="76">
        <f t="shared" si="14"/>
        <v>0</v>
      </c>
      <c r="Y45" s="76">
        <f t="shared" si="14"/>
        <v>0</v>
      </c>
      <c r="Z45" s="76">
        <f t="shared" si="2"/>
        <v>0.3633084756134759</v>
      </c>
      <c r="AA45" s="76">
        <f t="shared" si="3"/>
        <v>1.6568980152469624E-2</v>
      </c>
      <c r="AB45" s="76" t="str">
        <f>Threats!B12</f>
        <v>Threats to the Information Base</v>
      </c>
      <c r="AC45" s="76">
        <f>INDEX(I69:I73,MATCH(AB45,B59:B63,0))</f>
        <v>0.1049122807017544</v>
      </c>
      <c r="AD45" s="131">
        <f t="shared" si="4"/>
        <v>3.8115520774887481E-2</v>
      </c>
      <c r="AE45" s="109">
        <f>MMULT(D18:Y18, AA34:AA55)/AA45</f>
        <v>6.0211041391251729</v>
      </c>
      <c r="AF45" s="104" t="str">
        <f>Threats!A12</f>
        <v>T12-Inaccurrate Data</v>
      </c>
      <c r="AG45" s="47"/>
      <c r="AH45" s="47"/>
      <c r="AI45" s="47"/>
      <c r="AK45" s="47"/>
      <c r="AL45" s="47"/>
      <c r="AM45" s="47"/>
      <c r="AO45" s="47"/>
      <c r="AP45" s="47"/>
      <c r="AQ45" s="47"/>
      <c r="AR45" s="47"/>
      <c r="AS45" s="47"/>
      <c r="AT45" s="47"/>
      <c r="AU45" s="47"/>
      <c r="AV45" s="47"/>
      <c r="AW45" s="47"/>
      <c r="AX45" s="47"/>
      <c r="AY45" s="47"/>
      <c r="AZ45" s="47"/>
      <c r="BA45" s="47"/>
      <c r="BB45" s="47"/>
      <c r="BC45" s="47"/>
      <c r="BD45" s="47"/>
      <c r="BE45" s="47"/>
      <c r="BF45" s="47"/>
      <c r="BG45" s="47"/>
      <c r="BH45" s="47"/>
      <c r="BI45" s="47"/>
      <c r="BJ45" s="47"/>
      <c r="BK45" s="47"/>
      <c r="BL45" s="47"/>
      <c r="BM45" s="47"/>
      <c r="BN45" s="47"/>
      <c r="BO45" s="47"/>
      <c r="BP45" s="47"/>
      <c r="BQ45" s="47"/>
      <c r="BR45" s="47"/>
      <c r="BS45" s="47"/>
      <c r="BT45" s="47"/>
      <c r="BU45" s="47"/>
      <c r="BV45" s="47"/>
      <c r="BW45" s="47"/>
      <c r="BX45" s="47"/>
      <c r="BY45" s="47"/>
      <c r="BZ45" s="47"/>
      <c r="CA45" s="47"/>
      <c r="CB45" s="47"/>
      <c r="CC45" s="47"/>
      <c r="CD45" s="47"/>
      <c r="CE45" s="47"/>
      <c r="CF45" s="47"/>
      <c r="CG45" s="47"/>
      <c r="CH45" s="47"/>
      <c r="CI45" s="47"/>
      <c r="CJ45" s="47"/>
      <c r="CK45" s="47"/>
      <c r="CL45" s="47"/>
      <c r="CM45" s="47"/>
      <c r="CN45" s="47"/>
      <c r="CO45" s="47"/>
      <c r="CP45" s="47"/>
      <c r="CQ45" s="47"/>
      <c r="CR45" s="47"/>
      <c r="CS45" s="47"/>
      <c r="CT45" s="47"/>
      <c r="CU45" s="47"/>
      <c r="CV45" s="47"/>
      <c r="CW45" s="47"/>
      <c r="CX45" s="47"/>
      <c r="CY45" s="47"/>
      <c r="CZ45" s="47"/>
      <c r="DA45" s="47"/>
      <c r="DB45" s="47"/>
      <c r="DC45" s="47"/>
      <c r="DD45" s="47"/>
      <c r="DE45" s="47"/>
      <c r="DF45" s="47"/>
      <c r="DG45" s="47"/>
      <c r="DH45" s="47"/>
      <c r="DI45" s="47"/>
      <c r="DJ45" s="47"/>
      <c r="DK45" s="47"/>
      <c r="DL45" s="47"/>
      <c r="DM45" s="47"/>
      <c r="DN45" s="47"/>
      <c r="DO45" s="58"/>
      <c r="DP45" s="58"/>
      <c r="DQ45" s="58"/>
      <c r="DR45" s="58"/>
      <c r="DS45" s="58"/>
      <c r="DT45" s="58"/>
      <c r="DU45" s="58"/>
      <c r="DV45" s="58"/>
    </row>
    <row r="46" spans="1:126" ht="12.75" customHeight="1" x14ac:dyDescent="0.3">
      <c r="A46" s="48"/>
      <c r="B46" s="48"/>
      <c r="C46" s="104" t="str">
        <f>Threats!A13</f>
        <v>T13-Un-authorized Access</v>
      </c>
      <c r="D46" s="77">
        <f t="shared" ref="D46:Y46" si="15">(D$19/D$29)</f>
        <v>0</v>
      </c>
      <c r="E46" s="132">
        <f t="shared" si="15"/>
        <v>0</v>
      </c>
      <c r="F46" s="77">
        <f t="shared" si="15"/>
        <v>0</v>
      </c>
      <c r="G46" s="77">
        <f t="shared" si="15"/>
        <v>0</v>
      </c>
      <c r="H46" s="77">
        <f t="shared" si="15"/>
        <v>0</v>
      </c>
      <c r="I46" s="77">
        <f t="shared" si="15"/>
        <v>0</v>
      </c>
      <c r="J46" s="77">
        <f t="shared" si="15"/>
        <v>0</v>
      </c>
      <c r="K46" s="77">
        <f t="shared" si="15"/>
        <v>0</v>
      </c>
      <c r="L46" s="77">
        <f t="shared" si="15"/>
        <v>0</v>
      </c>
      <c r="M46" s="77">
        <f t="shared" si="15"/>
        <v>0.46875</v>
      </c>
      <c r="N46" s="77">
        <f t="shared" si="15"/>
        <v>0.47368421052631582</v>
      </c>
      <c r="O46" s="77">
        <f t="shared" si="15"/>
        <v>0.2857142857142857</v>
      </c>
      <c r="P46" s="77">
        <f t="shared" si="15"/>
        <v>0.20689655172413796</v>
      </c>
      <c r="Q46" s="77">
        <f t="shared" si="15"/>
        <v>5.8823529411764712E-2</v>
      </c>
      <c r="R46" s="77">
        <f t="shared" si="15"/>
        <v>0</v>
      </c>
      <c r="S46" s="77">
        <f t="shared" si="15"/>
        <v>0</v>
      </c>
      <c r="T46" s="77">
        <f t="shared" si="15"/>
        <v>0</v>
      </c>
      <c r="U46" s="77">
        <f t="shared" si="15"/>
        <v>0</v>
      </c>
      <c r="V46" s="77">
        <f t="shared" si="15"/>
        <v>0</v>
      </c>
      <c r="W46" s="77">
        <f t="shared" si="15"/>
        <v>0</v>
      </c>
      <c r="X46" s="77">
        <f t="shared" si="15"/>
        <v>0</v>
      </c>
      <c r="Y46" s="77">
        <f t="shared" si="15"/>
        <v>0</v>
      </c>
      <c r="Z46" s="77">
        <f t="shared" si="2"/>
        <v>1.4938685773765041</v>
      </c>
      <c r="AA46" s="77">
        <f t="shared" si="3"/>
        <v>6.812909819170547E-2</v>
      </c>
      <c r="AB46" s="77" t="str">
        <f>Threats!B13</f>
        <v>Threats to the Information Base</v>
      </c>
      <c r="AC46" s="77">
        <f>INDEX(I69:I73,MATCH(AB46,B59:B63,0))</f>
        <v>0.1049122807017544</v>
      </c>
      <c r="AD46" s="133">
        <f t="shared" si="4"/>
        <v>0.15672515952125432</v>
      </c>
      <c r="AE46" s="109">
        <f>MMULT(D19:Y19, AA34:AA55)/AA46</f>
        <v>6.8689179197053472</v>
      </c>
      <c r="AF46" s="104" t="str">
        <f xml:space="preserve"> Threats!A13</f>
        <v>T13-Un-authorized Access</v>
      </c>
      <c r="AG46" s="47"/>
      <c r="AH46" s="47"/>
      <c r="AI46" s="47"/>
      <c r="AK46" s="47"/>
      <c r="AL46" s="47"/>
      <c r="AM46" s="47"/>
      <c r="AO46" s="47"/>
      <c r="AP46" s="47"/>
      <c r="AQ46" s="47"/>
      <c r="AR46" s="47"/>
      <c r="AS46" s="47"/>
      <c r="AT46" s="47"/>
      <c r="AU46" s="47"/>
      <c r="AV46" s="47"/>
      <c r="AW46" s="47"/>
      <c r="AX46" s="47"/>
      <c r="AY46" s="47"/>
      <c r="AZ46" s="47"/>
      <c r="BA46" s="47"/>
      <c r="BB46" s="47"/>
      <c r="BC46" s="47"/>
      <c r="BD46" s="47"/>
      <c r="BE46" s="47"/>
      <c r="BF46" s="47"/>
      <c r="BG46" s="47"/>
      <c r="BH46" s="47"/>
      <c r="BI46" s="47"/>
      <c r="BJ46" s="47"/>
      <c r="BK46" s="47"/>
      <c r="BL46" s="47"/>
      <c r="BM46" s="47"/>
      <c r="BN46" s="47"/>
      <c r="BO46" s="47"/>
      <c r="BP46" s="47"/>
      <c r="BQ46" s="47"/>
      <c r="BR46" s="47"/>
      <c r="BS46" s="47"/>
      <c r="BT46" s="47"/>
      <c r="BU46" s="47"/>
      <c r="BV46" s="47"/>
      <c r="BW46" s="47"/>
      <c r="BX46" s="47"/>
      <c r="BY46" s="47"/>
      <c r="BZ46" s="47"/>
      <c r="CA46" s="47"/>
      <c r="CB46" s="47"/>
      <c r="CC46" s="47"/>
      <c r="CD46" s="47"/>
      <c r="CE46" s="47"/>
      <c r="CF46" s="47"/>
      <c r="CG46" s="47"/>
      <c r="CH46" s="47"/>
      <c r="CI46" s="47"/>
      <c r="CJ46" s="47"/>
      <c r="CK46" s="47"/>
      <c r="CL46" s="47"/>
      <c r="CM46" s="47"/>
      <c r="CN46" s="47"/>
      <c r="CO46" s="47"/>
      <c r="CP46" s="47"/>
      <c r="CQ46" s="47"/>
      <c r="CR46" s="47"/>
      <c r="CS46" s="47"/>
      <c r="CT46" s="47"/>
      <c r="CU46" s="47"/>
      <c r="CV46" s="47"/>
      <c r="CW46" s="47"/>
      <c r="CX46" s="47"/>
      <c r="CY46" s="47"/>
      <c r="CZ46" s="47"/>
      <c r="DA46" s="47"/>
      <c r="DB46" s="47"/>
      <c r="DC46" s="47"/>
      <c r="DD46" s="47"/>
      <c r="DE46" s="47"/>
      <c r="DF46" s="47"/>
      <c r="DG46" s="47"/>
      <c r="DH46" s="47"/>
      <c r="DI46" s="47"/>
      <c r="DJ46" s="47"/>
      <c r="DK46" s="47"/>
      <c r="DL46" s="47"/>
      <c r="DM46" s="47"/>
      <c r="DN46" s="47"/>
      <c r="DO46" s="58"/>
      <c r="DP46" s="58"/>
      <c r="DQ46" s="58"/>
      <c r="DR46" s="58"/>
      <c r="DS46" s="58"/>
      <c r="DT46" s="58"/>
      <c r="DU46" s="58"/>
      <c r="DV46" s="58"/>
    </row>
    <row r="47" spans="1:126" ht="12.75" customHeight="1" x14ac:dyDescent="0.3">
      <c r="A47" s="48"/>
      <c r="B47" s="48"/>
      <c r="C47" s="104" t="str">
        <f>Threats!A14</f>
        <v>T14-Virus and Spyware</v>
      </c>
      <c r="D47" s="78">
        <f t="shared" ref="D47:Y47" si="16">(D$20/D$29)</f>
        <v>0</v>
      </c>
      <c r="E47" s="134">
        <f t="shared" si="16"/>
        <v>0</v>
      </c>
      <c r="F47" s="78">
        <f t="shared" si="16"/>
        <v>0</v>
      </c>
      <c r="G47" s="78">
        <f t="shared" si="16"/>
        <v>0</v>
      </c>
      <c r="H47" s="78">
        <f t="shared" si="16"/>
        <v>0</v>
      </c>
      <c r="I47" s="78">
        <f t="shared" si="16"/>
        <v>0</v>
      </c>
      <c r="J47" s="78">
        <f t="shared" si="16"/>
        <v>0</v>
      </c>
      <c r="K47" s="78">
        <f t="shared" si="16"/>
        <v>0</v>
      </c>
      <c r="L47" s="78">
        <f t="shared" si="16"/>
        <v>0</v>
      </c>
      <c r="M47" s="78">
        <f t="shared" si="16"/>
        <v>3.90625E-2</v>
      </c>
      <c r="N47" s="78">
        <f t="shared" si="16"/>
        <v>0.15789473684210528</v>
      </c>
      <c r="O47" s="78">
        <f t="shared" si="16"/>
        <v>0.21428571428571427</v>
      </c>
      <c r="P47" s="78">
        <f t="shared" si="16"/>
        <v>0.62068965517241381</v>
      </c>
      <c r="Q47" s="78">
        <f t="shared" si="16"/>
        <v>0.17647058823529413</v>
      </c>
      <c r="R47" s="78">
        <f t="shared" si="16"/>
        <v>0</v>
      </c>
      <c r="S47" s="78">
        <f t="shared" si="16"/>
        <v>0</v>
      </c>
      <c r="T47" s="78">
        <f t="shared" si="16"/>
        <v>0</v>
      </c>
      <c r="U47" s="78">
        <f t="shared" si="16"/>
        <v>0</v>
      </c>
      <c r="V47" s="78">
        <f t="shared" si="16"/>
        <v>0</v>
      </c>
      <c r="W47" s="78">
        <f t="shared" si="16"/>
        <v>0</v>
      </c>
      <c r="X47" s="78">
        <f t="shared" si="16"/>
        <v>0</v>
      </c>
      <c r="Y47" s="78">
        <f t="shared" si="16"/>
        <v>0</v>
      </c>
      <c r="Z47" s="78">
        <f t="shared" si="2"/>
        <v>1.2084031945355276</v>
      </c>
      <c r="AA47" s="78">
        <f t="shared" si="3"/>
        <v>5.5110215947016532E-2</v>
      </c>
      <c r="AB47" s="78" t="str">
        <f>Threats!B14</f>
        <v>Threats to the Information Base</v>
      </c>
      <c r="AC47" s="78">
        <f>INDEX(I69:I73,MATCH(AB47,B59:B63,0))</f>
        <v>0.1049122807017544</v>
      </c>
      <c r="AD47" s="135">
        <f t="shared" si="4"/>
        <v>0.126776335146008</v>
      </c>
      <c r="AE47" s="109">
        <f>MMULT(D20:Y20, AA34:AA55)/AA47</f>
        <v>6.6001333408927136</v>
      </c>
      <c r="AF47" s="104" t="str">
        <f>Threats!A14</f>
        <v>T14-Virus and Spyware</v>
      </c>
      <c r="AG47" s="47"/>
      <c r="AH47" s="47"/>
      <c r="AI47" s="47"/>
      <c r="AK47" s="47"/>
      <c r="AL47" s="47"/>
      <c r="AM47" s="47"/>
      <c r="AO47" s="47"/>
      <c r="AP47" s="47"/>
      <c r="AQ47" s="47"/>
      <c r="AR47" s="47"/>
      <c r="AS47" s="47"/>
      <c r="AT47" s="47"/>
      <c r="AU47" s="47"/>
      <c r="AV47" s="47"/>
      <c r="AW47" s="47"/>
      <c r="AX47" s="47"/>
      <c r="AY47" s="47"/>
      <c r="AZ47" s="47"/>
      <c r="BA47" s="47"/>
      <c r="BB47" s="47"/>
      <c r="BC47" s="47"/>
      <c r="BD47" s="47"/>
      <c r="BE47" s="47"/>
      <c r="BF47" s="47"/>
      <c r="BG47" s="47"/>
      <c r="BH47" s="47"/>
      <c r="BI47" s="47"/>
      <c r="BJ47" s="47"/>
      <c r="BK47" s="47"/>
      <c r="BL47" s="47"/>
      <c r="BM47" s="47"/>
      <c r="BN47" s="47"/>
      <c r="BO47" s="47"/>
      <c r="BP47" s="47"/>
      <c r="BQ47" s="47"/>
      <c r="BR47" s="47"/>
      <c r="BS47" s="47"/>
      <c r="BT47" s="47"/>
      <c r="BU47" s="47"/>
      <c r="BV47" s="47"/>
      <c r="BW47" s="47"/>
      <c r="BX47" s="47"/>
      <c r="BY47" s="47"/>
      <c r="BZ47" s="47"/>
      <c r="CA47" s="47"/>
      <c r="CB47" s="47"/>
      <c r="CC47" s="47"/>
      <c r="CD47" s="47"/>
      <c r="CE47" s="47"/>
      <c r="CF47" s="47"/>
      <c r="CG47" s="47"/>
      <c r="CH47" s="47"/>
      <c r="CI47" s="47"/>
      <c r="CJ47" s="47"/>
      <c r="CK47" s="47"/>
      <c r="CL47" s="47"/>
      <c r="CM47" s="47"/>
      <c r="CN47" s="47"/>
      <c r="CO47" s="47"/>
      <c r="CP47" s="47"/>
      <c r="CQ47" s="47"/>
      <c r="CR47" s="47"/>
      <c r="CS47" s="47"/>
      <c r="CT47" s="47"/>
      <c r="CU47" s="47"/>
      <c r="CV47" s="47"/>
      <c r="CW47" s="47"/>
      <c r="CX47" s="47"/>
      <c r="CY47" s="47"/>
      <c r="CZ47" s="47"/>
      <c r="DA47" s="47"/>
      <c r="DB47" s="47"/>
      <c r="DC47" s="47"/>
      <c r="DD47" s="47"/>
      <c r="DE47" s="47"/>
      <c r="DF47" s="47"/>
      <c r="DG47" s="47"/>
      <c r="DH47" s="47"/>
      <c r="DI47" s="47"/>
      <c r="DJ47" s="47"/>
      <c r="DK47" s="47"/>
      <c r="DL47" s="47"/>
      <c r="DM47" s="47"/>
      <c r="DN47" s="47"/>
      <c r="DO47" s="58"/>
      <c r="DP47" s="58"/>
      <c r="DQ47" s="58"/>
      <c r="DR47" s="58"/>
      <c r="DS47" s="58"/>
      <c r="DT47" s="58"/>
      <c r="DU47" s="58"/>
      <c r="DV47" s="58"/>
    </row>
    <row r="48" spans="1:126" ht="12.75" customHeight="1" x14ac:dyDescent="0.3">
      <c r="A48" s="48"/>
      <c r="B48" s="48"/>
      <c r="C48" s="104" t="str">
        <f>Threats!A15</f>
        <v>T15-Hacking</v>
      </c>
      <c r="D48" s="79">
        <f t="shared" ref="D48:Y48" si="17">(D$21/D$29)</f>
        <v>0</v>
      </c>
      <c r="E48" s="136">
        <f t="shared" si="17"/>
        <v>0</v>
      </c>
      <c r="F48" s="79">
        <f t="shared" si="17"/>
        <v>0</v>
      </c>
      <c r="G48" s="79">
        <f t="shared" si="17"/>
        <v>0</v>
      </c>
      <c r="H48" s="79">
        <f t="shared" si="17"/>
        <v>0</v>
      </c>
      <c r="I48" s="79">
        <f t="shared" si="17"/>
        <v>0</v>
      </c>
      <c r="J48" s="79">
        <f t="shared" si="17"/>
        <v>0</v>
      </c>
      <c r="K48" s="79">
        <f t="shared" si="17"/>
        <v>0</v>
      </c>
      <c r="L48" s="79">
        <f t="shared" si="17"/>
        <v>0</v>
      </c>
      <c r="M48" s="79">
        <f t="shared" si="17"/>
        <v>0</v>
      </c>
      <c r="N48" s="79">
        <f t="shared" si="17"/>
        <v>0</v>
      </c>
      <c r="O48" s="79">
        <f t="shared" si="17"/>
        <v>0</v>
      </c>
      <c r="P48" s="79">
        <f t="shared" si="17"/>
        <v>0</v>
      </c>
      <c r="Q48" s="79">
        <f t="shared" si="17"/>
        <v>0</v>
      </c>
      <c r="R48" s="79">
        <f t="shared" si="17"/>
        <v>0.39344262295081972</v>
      </c>
      <c r="S48" s="79">
        <f t="shared" si="17"/>
        <v>0.26666666666666666</v>
      </c>
      <c r="T48" s="79">
        <f t="shared" si="17"/>
        <v>0.41379310344827591</v>
      </c>
      <c r="U48" s="79">
        <f t="shared" si="17"/>
        <v>0.43243243243243246</v>
      </c>
      <c r="V48" s="79">
        <f t="shared" si="17"/>
        <v>0.41025641025641024</v>
      </c>
      <c r="W48" s="79">
        <f t="shared" si="17"/>
        <v>0.24657534246575344</v>
      </c>
      <c r="X48" s="79">
        <f t="shared" si="17"/>
        <v>0.47682119205298018</v>
      </c>
      <c r="Y48" s="79">
        <f t="shared" si="17"/>
        <v>0.35643564356435636</v>
      </c>
      <c r="Z48" s="79">
        <f t="shared" si="2"/>
        <v>2.9964234138376953</v>
      </c>
      <c r="AA48" s="79">
        <f t="shared" si="3"/>
        <v>0.1366543403327927</v>
      </c>
      <c r="AB48" s="79" t="str">
        <f>Threats!B15</f>
        <v>Threats to Information Leakage</v>
      </c>
      <c r="AC48" s="79">
        <f>INDEX(I69:I73,MATCH(AB48,B59:B63,0))</f>
        <v>0.11543859649122808</v>
      </c>
      <c r="AD48" s="137">
        <f t="shared" si="4"/>
        <v>0.34590291338687784</v>
      </c>
      <c r="AE48" s="109">
        <f>MMULT(D21:Y21, AA34:AA55)/AA48</f>
        <v>8.441538406590734</v>
      </c>
      <c r="AF48" s="104" t="str">
        <f xml:space="preserve"> Threats!A15</f>
        <v>T15-Hacking</v>
      </c>
      <c r="AG48" s="47"/>
      <c r="AH48" s="47"/>
      <c r="AI48" s="47"/>
      <c r="AK48" s="47"/>
      <c r="AL48" s="47"/>
      <c r="AM48" s="47"/>
      <c r="AO48" s="47"/>
      <c r="AP48" s="47"/>
      <c r="AQ48" s="47"/>
      <c r="AR48" s="47"/>
      <c r="AS48" s="47"/>
      <c r="AT48" s="47"/>
      <c r="AU48" s="47"/>
      <c r="AV48" s="47"/>
      <c r="AW48" s="47"/>
      <c r="AX48" s="47"/>
      <c r="AY48" s="47"/>
      <c r="AZ48" s="47"/>
      <c r="BA48" s="47"/>
      <c r="BB48" s="47"/>
      <c r="BC48" s="47"/>
      <c r="BD48" s="47"/>
      <c r="BE48" s="47"/>
      <c r="BF48" s="47"/>
      <c r="BG48" s="47"/>
      <c r="BH48" s="47"/>
      <c r="BI48" s="47"/>
      <c r="BJ48" s="47"/>
      <c r="BK48" s="47"/>
      <c r="BL48" s="47"/>
      <c r="BM48" s="47"/>
      <c r="BN48" s="47"/>
      <c r="BO48" s="47"/>
      <c r="BP48" s="47"/>
      <c r="BQ48" s="47"/>
      <c r="BR48" s="47"/>
      <c r="BS48" s="47"/>
      <c r="BT48" s="47"/>
      <c r="BU48" s="47"/>
      <c r="BV48" s="47"/>
      <c r="BW48" s="47"/>
      <c r="BX48" s="47"/>
      <c r="BY48" s="47"/>
      <c r="BZ48" s="47"/>
      <c r="CA48" s="47"/>
      <c r="CB48" s="47"/>
      <c r="CC48" s="47"/>
      <c r="CD48" s="47"/>
      <c r="CE48" s="47"/>
      <c r="CF48" s="47"/>
      <c r="CG48" s="47"/>
      <c r="CH48" s="47"/>
      <c r="CI48" s="47"/>
      <c r="CJ48" s="47"/>
      <c r="CK48" s="47"/>
      <c r="CL48" s="47"/>
      <c r="CM48" s="47"/>
      <c r="CN48" s="47"/>
      <c r="CO48" s="47"/>
      <c r="CP48" s="47"/>
      <c r="CQ48" s="47"/>
      <c r="CR48" s="47"/>
      <c r="CS48" s="47"/>
      <c r="CT48" s="47"/>
      <c r="CU48" s="47"/>
      <c r="CV48" s="47"/>
      <c r="CW48" s="47"/>
      <c r="CX48" s="47"/>
      <c r="CY48" s="47"/>
      <c r="CZ48" s="47"/>
      <c r="DA48" s="47"/>
      <c r="DB48" s="47"/>
      <c r="DC48" s="47"/>
      <c r="DD48" s="47"/>
      <c r="DE48" s="47"/>
      <c r="DF48" s="47"/>
      <c r="DG48" s="47"/>
      <c r="DH48" s="47"/>
      <c r="DI48" s="47"/>
      <c r="DJ48" s="47"/>
      <c r="DK48" s="47"/>
      <c r="DL48" s="47"/>
      <c r="DM48" s="47"/>
      <c r="DN48" s="47"/>
      <c r="DO48" s="58"/>
      <c r="DP48" s="58"/>
      <c r="DQ48" s="58"/>
      <c r="DR48" s="58"/>
      <c r="DS48" s="58"/>
      <c r="DT48" s="58"/>
      <c r="DU48" s="58"/>
      <c r="DV48" s="58"/>
    </row>
    <row r="49" spans="1:126" ht="12.75" customHeight="1" x14ac:dyDescent="0.3">
      <c r="A49" s="48"/>
      <c r="B49" s="48"/>
      <c r="C49" s="104" t="str">
        <f>Threats!A16</f>
        <v>T16-Media Leakage</v>
      </c>
      <c r="D49" s="80">
        <f t="shared" ref="D49:Y49" si="18">(D$22/D$29)</f>
        <v>0</v>
      </c>
      <c r="E49" s="138">
        <f t="shared" si="18"/>
        <v>0</v>
      </c>
      <c r="F49" s="80">
        <f t="shared" si="18"/>
        <v>0</v>
      </c>
      <c r="G49" s="80">
        <f t="shared" si="18"/>
        <v>0</v>
      </c>
      <c r="H49" s="80">
        <f t="shared" si="18"/>
        <v>0</v>
      </c>
      <c r="I49" s="80">
        <f t="shared" si="18"/>
        <v>0</v>
      </c>
      <c r="J49" s="80">
        <f t="shared" si="18"/>
        <v>0</v>
      </c>
      <c r="K49" s="80">
        <f t="shared" si="18"/>
        <v>0</v>
      </c>
      <c r="L49" s="80">
        <f t="shared" si="18"/>
        <v>0</v>
      </c>
      <c r="M49" s="80">
        <f t="shared" si="18"/>
        <v>0</v>
      </c>
      <c r="N49" s="80">
        <f t="shared" si="18"/>
        <v>0</v>
      </c>
      <c r="O49" s="80">
        <f t="shared" si="18"/>
        <v>0</v>
      </c>
      <c r="P49" s="80">
        <f t="shared" si="18"/>
        <v>0</v>
      </c>
      <c r="Q49" s="80">
        <f t="shared" si="18"/>
        <v>0</v>
      </c>
      <c r="R49" s="80">
        <f t="shared" si="18"/>
        <v>4.9180327868852465E-2</v>
      </c>
      <c r="S49" s="80">
        <f t="shared" si="18"/>
        <v>3.3333333333333333E-2</v>
      </c>
      <c r="T49" s="80">
        <f t="shared" si="18"/>
        <v>3.4482758620689655E-2</v>
      </c>
      <c r="U49" s="80">
        <f t="shared" si="18"/>
        <v>2.7027027027027029E-2</v>
      </c>
      <c r="V49" s="80">
        <f t="shared" si="18"/>
        <v>2.564102564102564E-2</v>
      </c>
      <c r="W49" s="80">
        <f t="shared" si="18"/>
        <v>1.3698630136986301E-2</v>
      </c>
      <c r="X49" s="80">
        <f t="shared" si="18"/>
        <v>2.6490066225165563E-2</v>
      </c>
      <c r="Y49" s="80">
        <f t="shared" si="18"/>
        <v>2.9702970297029698E-2</v>
      </c>
      <c r="Z49" s="80">
        <f t="shared" si="2"/>
        <v>0.23955613915010968</v>
      </c>
      <c r="AA49" s="80">
        <f t="shared" si="3"/>
        <v>1.0925153640520224E-2</v>
      </c>
      <c r="AB49" s="80" t="str">
        <f>Threats!B16</f>
        <v>Threats to Information Leakage</v>
      </c>
      <c r="AC49" s="80">
        <f>INDEX(I69:I73,MATCH(AB49,B59:B63,0))</f>
        <v>0.11543859649122808</v>
      </c>
      <c r="AD49" s="139">
        <f t="shared" si="4"/>
        <v>2.7654024484345997E-2</v>
      </c>
      <c r="AE49" s="109">
        <f>MMULT(D22:Y22, AA34:AA55)/AA49</f>
        <v>8.2339380545426568</v>
      </c>
      <c r="AF49" s="104" t="str">
        <f>Threats!A16</f>
        <v>T16-Media Leakage</v>
      </c>
      <c r="AG49" s="47"/>
      <c r="AH49" s="47"/>
      <c r="AI49" s="47"/>
      <c r="AK49" s="47"/>
      <c r="AL49" s="47"/>
      <c r="AM49" s="47"/>
      <c r="AO49" s="47"/>
      <c r="AP49" s="47"/>
      <c r="AQ49" s="47"/>
      <c r="AR49" s="47"/>
      <c r="AS49" s="47"/>
      <c r="AT49" s="47"/>
      <c r="AU49" s="47"/>
      <c r="AV49" s="47"/>
      <c r="AW49" s="47"/>
      <c r="AX49" s="47"/>
      <c r="AY49" s="47"/>
      <c r="AZ49" s="47"/>
      <c r="BA49" s="47"/>
      <c r="BB49" s="47"/>
      <c r="BC49" s="47"/>
      <c r="BD49" s="47"/>
      <c r="BE49" s="47"/>
      <c r="BF49" s="47"/>
      <c r="BG49" s="47"/>
      <c r="BH49" s="47"/>
      <c r="BI49" s="47"/>
      <c r="BJ49" s="47"/>
      <c r="BK49" s="47"/>
      <c r="BL49" s="47"/>
      <c r="BM49" s="47"/>
      <c r="BN49" s="47"/>
      <c r="BO49" s="47"/>
      <c r="BP49" s="47"/>
      <c r="BQ49" s="47"/>
      <c r="BR49" s="47"/>
      <c r="BS49" s="47"/>
      <c r="BT49" s="47"/>
      <c r="BU49" s="47"/>
      <c r="BV49" s="47"/>
      <c r="BW49" s="47"/>
      <c r="BX49" s="47"/>
      <c r="BY49" s="47"/>
      <c r="BZ49" s="47"/>
      <c r="CA49" s="47"/>
      <c r="CB49" s="47"/>
      <c r="CC49" s="47"/>
      <c r="CD49" s="47"/>
      <c r="CE49" s="47"/>
      <c r="CF49" s="47"/>
      <c r="CG49" s="47"/>
      <c r="CH49" s="47"/>
      <c r="CI49" s="47"/>
      <c r="CJ49" s="47"/>
      <c r="CK49" s="47"/>
      <c r="CL49" s="47"/>
      <c r="CM49" s="47"/>
      <c r="CN49" s="47"/>
      <c r="CO49" s="47"/>
      <c r="CP49" s="47"/>
      <c r="CQ49" s="47"/>
      <c r="CR49" s="47"/>
      <c r="CS49" s="47"/>
      <c r="CT49" s="47"/>
      <c r="CU49" s="47"/>
      <c r="CV49" s="47"/>
      <c r="CW49" s="47"/>
      <c r="CX49" s="47"/>
      <c r="CY49" s="47"/>
      <c r="CZ49" s="47"/>
      <c r="DA49" s="47"/>
      <c r="DB49" s="47"/>
      <c r="DC49" s="47"/>
      <c r="DD49" s="47"/>
      <c r="DE49" s="47"/>
      <c r="DF49" s="47"/>
      <c r="DG49" s="47"/>
      <c r="DH49" s="47"/>
      <c r="DI49" s="47"/>
      <c r="DJ49" s="47"/>
      <c r="DK49" s="47"/>
      <c r="DL49" s="47"/>
      <c r="DM49" s="47"/>
      <c r="DN49" s="47"/>
      <c r="DO49" s="58"/>
      <c r="DP49" s="58"/>
      <c r="DQ49" s="58"/>
      <c r="DR49" s="58"/>
      <c r="DS49" s="58"/>
      <c r="DT49" s="58"/>
      <c r="DU49" s="58"/>
      <c r="DV49" s="58"/>
    </row>
    <row r="50" spans="1:126" ht="13.5" customHeight="1" x14ac:dyDescent="0.3">
      <c r="A50" s="48"/>
      <c r="B50" s="48"/>
      <c r="C50" s="104" t="str">
        <f>Threats!A17</f>
        <v>T17-Communication Preventers(Botnet, Dialer)</v>
      </c>
      <c r="D50" s="81">
        <f t="shared" ref="D50:Y50" si="19">(D$23/D$29)</f>
        <v>0</v>
      </c>
      <c r="E50" s="140">
        <f t="shared" si="19"/>
        <v>0</v>
      </c>
      <c r="F50" s="81">
        <f t="shared" si="19"/>
        <v>0</v>
      </c>
      <c r="G50" s="81">
        <f t="shared" si="19"/>
        <v>0</v>
      </c>
      <c r="H50" s="81">
        <f t="shared" si="19"/>
        <v>0</v>
      </c>
      <c r="I50" s="81">
        <f t="shared" si="19"/>
        <v>0</v>
      </c>
      <c r="J50" s="81">
        <f t="shared" si="19"/>
        <v>0</v>
      </c>
      <c r="K50" s="81">
        <f t="shared" si="19"/>
        <v>0</v>
      </c>
      <c r="L50" s="81">
        <f t="shared" si="19"/>
        <v>0</v>
      </c>
      <c r="M50" s="81">
        <f t="shared" si="19"/>
        <v>0</v>
      </c>
      <c r="N50" s="81">
        <f t="shared" si="19"/>
        <v>0</v>
      </c>
      <c r="O50" s="81">
        <f t="shared" si="19"/>
        <v>0</v>
      </c>
      <c r="P50" s="81">
        <f t="shared" si="19"/>
        <v>0</v>
      </c>
      <c r="Q50" s="81">
        <f t="shared" si="19"/>
        <v>0</v>
      </c>
      <c r="R50" s="81">
        <f t="shared" si="19"/>
        <v>9.836065573770493E-2</v>
      </c>
      <c r="S50" s="81">
        <f t="shared" si="19"/>
        <v>0.1</v>
      </c>
      <c r="T50" s="81">
        <f t="shared" si="19"/>
        <v>0.10344827586206898</v>
      </c>
      <c r="U50" s="81">
        <f t="shared" si="19"/>
        <v>0.10810810810810811</v>
      </c>
      <c r="V50" s="81">
        <f t="shared" si="19"/>
        <v>0.10256410256410256</v>
      </c>
      <c r="W50" s="81">
        <f t="shared" si="19"/>
        <v>0.12328767123287672</v>
      </c>
      <c r="X50" s="81">
        <f t="shared" si="19"/>
        <v>7.9470198675496692E-2</v>
      </c>
      <c r="Y50" s="81">
        <f t="shared" si="19"/>
        <v>0.11881188118811879</v>
      </c>
      <c r="Z50" s="81">
        <f t="shared" si="2"/>
        <v>0.83405089336847682</v>
      </c>
      <c r="AA50" s="81">
        <f t="shared" si="3"/>
        <v>3.8037573098278855E-2</v>
      </c>
      <c r="AB50" s="81" t="str">
        <f>Threats!B17</f>
        <v>Threats to Information Leakage</v>
      </c>
      <c r="AC50" s="81">
        <f>INDEX(I69:I73,MATCH(AB50,B59:B63,0))</f>
        <v>0.11543859649122808</v>
      </c>
      <c r="AD50" s="141">
        <f t="shared" si="4"/>
        <v>9.6281664532711891E-2</v>
      </c>
      <c r="AE50" s="109">
        <f>MMULT(D23:Y23, AA34:AA55)/AA50</f>
        <v>8.3977019664680004</v>
      </c>
      <c r="AF50" s="104" t="str">
        <f xml:space="preserve"> Threats!A17</f>
        <v>T17-Communication Preventers(Botnet, Dialer)</v>
      </c>
      <c r="AG50" s="47"/>
      <c r="AH50" s="47"/>
      <c r="AI50" s="47"/>
      <c r="AK50" s="47"/>
      <c r="AL50" s="47"/>
      <c r="AM50" s="47"/>
      <c r="AO50" s="47"/>
      <c r="AP50" s="47"/>
      <c r="AQ50" s="47"/>
      <c r="AR50" s="47"/>
      <c r="AS50" s="47"/>
      <c r="AT50" s="47"/>
      <c r="AU50" s="47"/>
      <c r="AV50" s="47"/>
      <c r="AW50" s="47"/>
      <c r="AX50" s="47"/>
      <c r="AY50" s="47"/>
      <c r="AZ50" s="47"/>
      <c r="BA50" s="47"/>
      <c r="BB50" s="47"/>
      <c r="BC50" s="47"/>
      <c r="BD50" s="47"/>
      <c r="BE50" s="47"/>
      <c r="BF50" s="47"/>
      <c r="BG50" s="47"/>
      <c r="BH50" s="47"/>
      <c r="BI50" s="47"/>
      <c r="BJ50" s="47"/>
      <c r="BK50" s="47"/>
      <c r="BL50" s="47"/>
      <c r="BM50" s="47"/>
      <c r="BN50" s="47"/>
      <c r="BO50" s="47"/>
      <c r="BP50" s="47"/>
      <c r="BQ50" s="47"/>
      <c r="BR50" s="47"/>
      <c r="BS50" s="47"/>
      <c r="BT50" s="47"/>
      <c r="BU50" s="47"/>
      <c r="BV50" s="47"/>
      <c r="BW50" s="47"/>
      <c r="BX50" s="47"/>
      <c r="BY50" s="47"/>
      <c r="BZ50" s="47"/>
      <c r="CA50" s="47"/>
      <c r="CB50" s="47"/>
      <c r="CC50" s="47"/>
      <c r="CD50" s="47"/>
      <c r="CE50" s="47"/>
      <c r="CF50" s="47"/>
      <c r="CG50" s="47"/>
      <c r="CH50" s="47"/>
      <c r="CI50" s="47"/>
      <c r="CJ50" s="47"/>
      <c r="CK50" s="47"/>
      <c r="CL50" s="47"/>
      <c r="CM50" s="47"/>
      <c r="CN50" s="47"/>
      <c r="CO50" s="47"/>
      <c r="CP50" s="47"/>
      <c r="CQ50" s="47"/>
      <c r="CR50" s="47"/>
      <c r="CS50" s="47"/>
      <c r="CT50" s="47"/>
      <c r="CU50" s="47"/>
      <c r="CV50" s="47"/>
      <c r="CW50" s="47"/>
      <c r="CX50" s="47"/>
      <c r="CY50" s="47"/>
      <c r="CZ50" s="47"/>
      <c r="DA50" s="47"/>
      <c r="DB50" s="47"/>
      <c r="DC50" s="47"/>
      <c r="DD50" s="47"/>
      <c r="DE50" s="47"/>
      <c r="DF50" s="47"/>
      <c r="DG50" s="47"/>
      <c r="DH50" s="47"/>
      <c r="DI50" s="47"/>
      <c r="DJ50" s="47"/>
      <c r="DK50" s="47"/>
      <c r="DL50" s="47"/>
      <c r="DM50" s="47"/>
      <c r="DN50" s="47"/>
      <c r="DO50" s="58"/>
      <c r="DP50" s="58"/>
      <c r="DQ50" s="58"/>
      <c r="DR50" s="58"/>
      <c r="DS50" s="58"/>
      <c r="DT50" s="58"/>
      <c r="DU50" s="58"/>
      <c r="DV50" s="58"/>
    </row>
    <row r="51" spans="1:126" ht="12.75" customHeight="1" x14ac:dyDescent="0.3">
      <c r="A51" s="48"/>
      <c r="B51" s="48"/>
      <c r="C51" s="104" t="str">
        <f>Threats!A18</f>
        <v>T18-Authentication Threats</v>
      </c>
      <c r="D51" s="82">
        <f t="shared" ref="D51:Y51" si="20">(D$24/D$29)</f>
        <v>0</v>
      </c>
      <c r="E51" s="142">
        <f t="shared" si="20"/>
        <v>0</v>
      </c>
      <c r="F51" s="82">
        <f t="shared" si="20"/>
        <v>0</v>
      </c>
      <c r="G51" s="82">
        <f t="shared" si="20"/>
        <v>0</v>
      </c>
      <c r="H51" s="82">
        <f t="shared" si="20"/>
        <v>0</v>
      </c>
      <c r="I51" s="82">
        <f t="shared" si="20"/>
        <v>0</v>
      </c>
      <c r="J51" s="82">
        <f t="shared" si="20"/>
        <v>0</v>
      </c>
      <c r="K51" s="82">
        <f t="shared" si="20"/>
        <v>0</v>
      </c>
      <c r="L51" s="82">
        <f t="shared" si="20"/>
        <v>0</v>
      </c>
      <c r="M51" s="82">
        <f t="shared" si="20"/>
        <v>0</v>
      </c>
      <c r="N51" s="82">
        <f t="shared" si="20"/>
        <v>0</v>
      </c>
      <c r="O51" s="82">
        <f t="shared" si="20"/>
        <v>0</v>
      </c>
      <c r="P51" s="82">
        <f t="shared" si="20"/>
        <v>0</v>
      </c>
      <c r="Q51" s="82">
        <f t="shared" si="20"/>
        <v>0</v>
      </c>
      <c r="R51" s="82">
        <f t="shared" si="20"/>
        <v>9.836065573770493E-2</v>
      </c>
      <c r="S51" s="82">
        <f t="shared" si="20"/>
        <v>0.13333333333333333</v>
      </c>
      <c r="T51" s="82">
        <f t="shared" si="20"/>
        <v>0.10344827586206898</v>
      </c>
      <c r="U51" s="82">
        <f t="shared" si="20"/>
        <v>0.10810810810810811</v>
      </c>
      <c r="V51" s="82">
        <f t="shared" si="20"/>
        <v>0.10256410256410256</v>
      </c>
      <c r="W51" s="82">
        <f t="shared" si="20"/>
        <v>8.2191780821917818E-2</v>
      </c>
      <c r="X51" s="82">
        <f t="shared" si="20"/>
        <v>0.15894039735099338</v>
      </c>
      <c r="Y51" s="82">
        <f t="shared" si="20"/>
        <v>0.11881188118811879</v>
      </c>
      <c r="Z51" s="82">
        <f t="shared" si="2"/>
        <v>0.90575853496634795</v>
      </c>
      <c r="AA51" s="82">
        <f t="shared" si="3"/>
        <v>4.1307858737526029E-2</v>
      </c>
      <c r="AB51" s="82" t="str">
        <f>Threats!B18</f>
        <v>Threats to Information Leakage</v>
      </c>
      <c r="AC51" s="82">
        <f>INDEX(I69:I73,MATCH(AB51,B59:B63,0))</f>
        <v>0.11543859649122808</v>
      </c>
      <c r="AD51" s="143">
        <f t="shared" si="4"/>
        <v>0.10455949403646614</v>
      </c>
      <c r="AE51" s="109">
        <f>MMULT(D24:Y24, AA34:AA55)/AA51</f>
        <v>8.4413389011697877</v>
      </c>
      <c r="AF51" s="104" t="str">
        <f>Threats!A18</f>
        <v>T18-Authentication Threats</v>
      </c>
      <c r="AG51" s="47"/>
      <c r="AH51" s="47"/>
      <c r="AI51" s="47"/>
      <c r="AK51" s="47"/>
      <c r="AL51" s="47"/>
      <c r="AM51" s="47"/>
      <c r="AO51" s="47"/>
      <c r="AP51" s="47"/>
      <c r="AQ51" s="47"/>
      <c r="AR51" s="47"/>
      <c r="AS51" s="47"/>
      <c r="AT51" s="47"/>
      <c r="AU51" s="47"/>
      <c r="AV51" s="47"/>
      <c r="AW51" s="47"/>
      <c r="AX51" s="47"/>
      <c r="AY51" s="47"/>
      <c r="AZ51" s="47"/>
      <c r="BA51" s="47"/>
      <c r="BB51" s="47"/>
      <c r="BC51" s="47"/>
      <c r="BD51" s="47"/>
      <c r="BE51" s="47"/>
      <c r="BF51" s="47"/>
      <c r="BG51" s="47"/>
      <c r="BH51" s="47"/>
      <c r="BI51" s="47"/>
      <c r="BJ51" s="47"/>
      <c r="BK51" s="47"/>
      <c r="BL51" s="47"/>
      <c r="BM51" s="47"/>
      <c r="BN51" s="47"/>
      <c r="BO51" s="47"/>
      <c r="BP51" s="47"/>
      <c r="BQ51" s="47"/>
      <c r="BR51" s="47"/>
      <c r="BS51" s="47"/>
      <c r="BT51" s="47"/>
      <c r="BU51" s="47"/>
      <c r="BV51" s="47"/>
      <c r="BW51" s="47"/>
      <c r="BX51" s="47"/>
      <c r="BY51" s="47"/>
      <c r="BZ51" s="47"/>
      <c r="CA51" s="47"/>
      <c r="CB51" s="47"/>
      <c r="CC51" s="47"/>
      <c r="CD51" s="47"/>
      <c r="CE51" s="47"/>
      <c r="CF51" s="47"/>
      <c r="CG51" s="47"/>
      <c r="CH51" s="47"/>
      <c r="CI51" s="47"/>
      <c r="CJ51" s="47"/>
      <c r="CK51" s="47"/>
      <c r="CL51" s="47"/>
      <c r="CM51" s="47"/>
      <c r="CN51" s="47"/>
      <c r="CO51" s="47"/>
      <c r="CP51" s="47"/>
      <c r="CQ51" s="47"/>
      <c r="CR51" s="47"/>
      <c r="CS51" s="47"/>
      <c r="CT51" s="47"/>
      <c r="CU51" s="47"/>
      <c r="CV51" s="47"/>
      <c r="CW51" s="47"/>
      <c r="CX51" s="47"/>
      <c r="CY51" s="47"/>
      <c r="CZ51" s="47"/>
      <c r="DA51" s="47"/>
      <c r="DB51" s="47"/>
      <c r="DC51" s="47"/>
      <c r="DD51" s="47"/>
      <c r="DE51" s="47"/>
      <c r="DF51" s="47"/>
      <c r="DG51" s="47"/>
      <c r="DH51" s="47"/>
      <c r="DI51" s="47"/>
      <c r="DJ51" s="47"/>
      <c r="DK51" s="47"/>
      <c r="DL51" s="47"/>
      <c r="DM51" s="47"/>
      <c r="DN51" s="47"/>
      <c r="DO51" s="58"/>
      <c r="DP51" s="58"/>
      <c r="DQ51" s="58"/>
      <c r="DR51" s="58"/>
      <c r="DS51" s="58"/>
      <c r="DT51" s="58"/>
      <c r="DU51" s="58"/>
      <c r="DV51" s="58"/>
    </row>
    <row r="52" spans="1:126" ht="13.5" customHeight="1" x14ac:dyDescent="0.3">
      <c r="A52" s="48"/>
      <c r="B52" s="48"/>
      <c r="C52" s="104" t="str">
        <f>Threats!A19</f>
        <v>T19-Non Repudiation Threats</v>
      </c>
      <c r="D52" s="83">
        <f t="shared" ref="D52:Y52" si="21">(D$25/D$29)</f>
        <v>0</v>
      </c>
      <c r="E52" s="144">
        <f t="shared" si="21"/>
        <v>0</v>
      </c>
      <c r="F52" s="83">
        <f t="shared" si="21"/>
        <v>0</v>
      </c>
      <c r="G52" s="83">
        <f t="shared" si="21"/>
        <v>0</v>
      </c>
      <c r="H52" s="83">
        <f t="shared" si="21"/>
        <v>0</v>
      </c>
      <c r="I52" s="83">
        <f t="shared" si="21"/>
        <v>0</v>
      </c>
      <c r="J52" s="83">
        <f t="shared" si="21"/>
        <v>0</v>
      </c>
      <c r="K52" s="83">
        <f t="shared" si="21"/>
        <v>0</v>
      </c>
      <c r="L52" s="83">
        <f t="shared" si="21"/>
        <v>0</v>
      </c>
      <c r="M52" s="83">
        <f t="shared" si="21"/>
        <v>0</v>
      </c>
      <c r="N52" s="83">
        <f t="shared" si="21"/>
        <v>0</v>
      </c>
      <c r="O52" s="83">
        <f t="shared" si="21"/>
        <v>0</v>
      </c>
      <c r="P52" s="83">
        <f t="shared" si="21"/>
        <v>0</v>
      </c>
      <c r="Q52" s="83">
        <f t="shared" si="21"/>
        <v>0</v>
      </c>
      <c r="R52" s="83">
        <f t="shared" si="21"/>
        <v>9.836065573770493E-2</v>
      </c>
      <c r="S52" s="83">
        <f t="shared" si="21"/>
        <v>0.13333333333333333</v>
      </c>
      <c r="T52" s="83">
        <f t="shared" si="21"/>
        <v>0.10344827586206898</v>
      </c>
      <c r="U52" s="83">
        <f t="shared" si="21"/>
        <v>0.10810810810810811</v>
      </c>
      <c r="V52" s="83">
        <f t="shared" si="21"/>
        <v>0.10256410256410256</v>
      </c>
      <c r="W52" s="83">
        <f t="shared" si="21"/>
        <v>8.2191780821917818E-2</v>
      </c>
      <c r="X52" s="83">
        <f t="shared" si="21"/>
        <v>7.9470198675496692E-2</v>
      </c>
      <c r="Y52" s="83">
        <f t="shared" si="21"/>
        <v>0.11881188118811879</v>
      </c>
      <c r="Z52" s="83">
        <f t="shared" si="2"/>
        <v>0.82628833629085119</v>
      </c>
      <c r="AA52" s="83">
        <f t="shared" si="3"/>
        <v>3.7683555334354107E-2</v>
      </c>
      <c r="AB52" s="83" t="str">
        <f>Threats!B19</f>
        <v>Threats to Information Leakage</v>
      </c>
      <c r="AC52" s="83">
        <f>INDEX(I69:I73,MATCH(AB52,B59:B63,0))</f>
        <v>0.11543859649122808</v>
      </c>
      <c r="AD52" s="145">
        <f t="shared" si="4"/>
        <v>9.5385565838487743E-2</v>
      </c>
      <c r="AE52" s="109">
        <f>MMULT(D25:Y25, AA34:AA55)/AA52</f>
        <v>8.2991718636394793</v>
      </c>
      <c r="AF52" s="104" t="str">
        <f xml:space="preserve"> Threats!A19</f>
        <v>T19-Non Repudiation Threats</v>
      </c>
      <c r="AG52" s="47"/>
      <c r="AH52" s="47"/>
      <c r="AI52" s="47"/>
      <c r="AK52" s="47"/>
      <c r="AL52" s="47"/>
      <c r="AM52" s="47"/>
      <c r="AO52" s="47"/>
      <c r="AP52" s="47"/>
      <c r="AQ52" s="47"/>
      <c r="AR52" s="47"/>
      <c r="AS52" s="47"/>
      <c r="AT52" s="47"/>
      <c r="AU52" s="47"/>
      <c r="AV52" s="47"/>
      <c r="AW52" s="47"/>
      <c r="AX52" s="47"/>
      <c r="AY52" s="47"/>
      <c r="AZ52" s="47"/>
      <c r="BA52" s="47"/>
      <c r="BB52" s="47"/>
      <c r="BC52" s="47"/>
      <c r="BD52" s="47"/>
      <c r="BE52" s="47"/>
      <c r="BF52" s="47"/>
      <c r="BG52" s="47"/>
      <c r="BH52" s="47"/>
      <c r="BI52" s="47"/>
      <c r="BJ52" s="47"/>
      <c r="BK52" s="47"/>
      <c r="BL52" s="47"/>
      <c r="BM52" s="47"/>
      <c r="BN52" s="47"/>
      <c r="BO52" s="47"/>
      <c r="BP52" s="47"/>
      <c r="BQ52" s="47"/>
      <c r="BR52" s="47"/>
      <c r="BS52" s="47"/>
      <c r="BT52" s="47"/>
      <c r="BU52" s="47"/>
      <c r="BV52" s="47"/>
      <c r="BW52" s="47"/>
      <c r="BX52" s="47"/>
      <c r="BY52" s="47"/>
      <c r="BZ52" s="47"/>
      <c r="CA52" s="47"/>
      <c r="CB52" s="47"/>
      <c r="CC52" s="47"/>
      <c r="CD52" s="47"/>
      <c r="CE52" s="47"/>
      <c r="CF52" s="47"/>
      <c r="CG52" s="47"/>
      <c r="CH52" s="47"/>
      <c r="CI52" s="47"/>
      <c r="CJ52" s="47"/>
      <c r="CK52" s="47"/>
      <c r="CL52" s="47"/>
      <c r="CM52" s="47"/>
      <c r="CN52" s="47"/>
      <c r="CO52" s="47"/>
      <c r="CP52" s="47"/>
      <c r="CQ52" s="47"/>
      <c r="CR52" s="47"/>
      <c r="CS52" s="47"/>
      <c r="CT52" s="47"/>
      <c r="CU52" s="47"/>
      <c r="CV52" s="47"/>
      <c r="CW52" s="47"/>
      <c r="CX52" s="47"/>
      <c r="CY52" s="47"/>
      <c r="CZ52" s="47"/>
      <c r="DA52" s="47"/>
      <c r="DB52" s="47"/>
      <c r="DC52" s="47"/>
      <c r="DD52" s="47"/>
      <c r="DE52" s="47"/>
      <c r="DF52" s="47"/>
      <c r="DG52" s="47"/>
      <c r="DH52" s="47"/>
      <c r="DI52" s="47"/>
      <c r="DJ52" s="47"/>
      <c r="DK52" s="47"/>
      <c r="DL52" s="47"/>
      <c r="DM52" s="47"/>
      <c r="DN52" s="47"/>
      <c r="DO52" s="58"/>
      <c r="DP52" s="58"/>
      <c r="DQ52" s="58"/>
      <c r="DR52" s="58"/>
      <c r="DS52" s="58"/>
      <c r="DT52" s="58"/>
      <c r="DU52" s="58"/>
      <c r="DV52" s="58"/>
    </row>
    <row r="53" spans="1:126" ht="12.75" customHeight="1" x14ac:dyDescent="0.3">
      <c r="A53" s="48"/>
      <c r="B53" s="48"/>
      <c r="C53" s="104" t="str">
        <f>Threats!A20</f>
        <v>T20-Separation of Duties</v>
      </c>
      <c r="D53" s="84">
        <f t="shared" ref="D53:Y53" si="22">(D$26/D$29)</f>
        <v>0</v>
      </c>
      <c r="E53" s="146">
        <f t="shared" si="22"/>
        <v>0</v>
      </c>
      <c r="F53" s="84">
        <f t="shared" si="22"/>
        <v>0</v>
      </c>
      <c r="G53" s="84">
        <f t="shared" si="22"/>
        <v>0</v>
      </c>
      <c r="H53" s="84">
        <f t="shared" si="22"/>
        <v>0</v>
      </c>
      <c r="I53" s="84">
        <f t="shared" si="22"/>
        <v>0</v>
      </c>
      <c r="J53" s="84">
        <f t="shared" si="22"/>
        <v>0</v>
      </c>
      <c r="K53" s="84">
        <f t="shared" si="22"/>
        <v>0</v>
      </c>
      <c r="L53" s="84">
        <f t="shared" si="22"/>
        <v>0</v>
      </c>
      <c r="M53" s="84">
        <f t="shared" si="22"/>
        <v>0</v>
      </c>
      <c r="N53" s="84">
        <f t="shared" si="22"/>
        <v>0</v>
      </c>
      <c r="O53" s="84">
        <f t="shared" si="22"/>
        <v>0</v>
      </c>
      <c r="P53" s="84">
        <f t="shared" si="22"/>
        <v>0</v>
      </c>
      <c r="Q53" s="84">
        <f t="shared" si="22"/>
        <v>0</v>
      </c>
      <c r="R53" s="84">
        <f t="shared" si="22"/>
        <v>6.5573770491803282E-2</v>
      </c>
      <c r="S53" s="84">
        <f t="shared" si="22"/>
        <v>0.1</v>
      </c>
      <c r="T53" s="84">
        <f t="shared" si="22"/>
        <v>3.4482758620689655E-2</v>
      </c>
      <c r="U53" s="84">
        <f t="shared" si="22"/>
        <v>5.4054054054054057E-2</v>
      </c>
      <c r="V53" s="84">
        <f t="shared" si="22"/>
        <v>5.128205128205128E-2</v>
      </c>
      <c r="W53" s="84">
        <f t="shared" si="22"/>
        <v>4.1095890410958909E-2</v>
      </c>
      <c r="X53" s="84">
        <f t="shared" si="22"/>
        <v>1.9867549668874173E-2</v>
      </c>
      <c r="Y53" s="84">
        <f t="shared" si="22"/>
        <v>1.9801980198019799E-2</v>
      </c>
      <c r="Z53" s="84">
        <f t="shared" si="2"/>
        <v>0.38615805472645115</v>
      </c>
      <c r="AA53" s="84">
        <f t="shared" si="3"/>
        <v>1.7611053894833834E-2</v>
      </c>
      <c r="AB53" s="84" t="str">
        <f>Threats!B20</f>
        <v>Threats to Information Leakage</v>
      </c>
      <c r="AC53" s="84">
        <f>INDEX(I70:I74,MATCH(AB53,B60:B64,0))</f>
        <v>0.11543859649122808</v>
      </c>
      <c r="AD53" s="147">
        <f t="shared" si="4"/>
        <v>4.4577543861404362E-2</v>
      </c>
      <c r="AE53" s="109">
        <f>MMULT(D26:Y26, AA34:AA55)/AA53</f>
        <v>8.0690371763924471</v>
      </c>
      <c r="AF53" s="104" t="str">
        <f>Threats!A20</f>
        <v>T20-Separation of Duties</v>
      </c>
      <c r="AG53" s="47"/>
      <c r="AH53" s="47"/>
      <c r="AI53" s="47"/>
      <c r="AK53" s="47"/>
      <c r="AL53" s="47"/>
      <c r="AM53" s="47"/>
      <c r="AO53" s="47"/>
      <c r="AP53" s="47"/>
      <c r="AQ53" s="47"/>
      <c r="AR53" s="47"/>
      <c r="AS53" s="47"/>
      <c r="AT53" s="47"/>
      <c r="AU53" s="47"/>
      <c r="AV53" s="47"/>
      <c r="AW53" s="47"/>
      <c r="AX53" s="47"/>
      <c r="AY53" s="47"/>
      <c r="AZ53" s="47"/>
      <c r="BA53" s="47"/>
      <c r="BB53" s="47"/>
      <c r="BC53" s="47"/>
      <c r="BD53" s="47"/>
      <c r="BE53" s="47"/>
      <c r="BF53" s="47"/>
      <c r="BG53" s="47"/>
      <c r="BH53" s="47"/>
      <c r="BI53" s="47"/>
      <c r="BJ53" s="47"/>
      <c r="BK53" s="47"/>
      <c r="BL53" s="47"/>
      <c r="BM53" s="47"/>
      <c r="BN53" s="47"/>
      <c r="BO53" s="47"/>
      <c r="BP53" s="47"/>
      <c r="BQ53" s="47"/>
      <c r="BR53" s="47"/>
      <c r="BS53" s="47"/>
      <c r="BT53" s="47"/>
      <c r="BU53" s="47"/>
      <c r="BV53" s="47"/>
      <c r="BW53" s="47"/>
      <c r="BX53" s="47"/>
      <c r="BY53" s="47"/>
      <c r="BZ53" s="47"/>
      <c r="CA53" s="47"/>
      <c r="CB53" s="47"/>
      <c r="CC53" s="47"/>
      <c r="CD53" s="47"/>
      <c r="CE53" s="47"/>
      <c r="CF53" s="47"/>
      <c r="CG53" s="47"/>
      <c r="CH53" s="47"/>
      <c r="CI53" s="47"/>
      <c r="CJ53" s="47"/>
      <c r="CK53" s="47"/>
      <c r="CL53" s="47"/>
      <c r="CM53" s="47"/>
      <c r="CN53" s="47"/>
      <c r="CO53" s="47"/>
      <c r="CP53" s="47"/>
      <c r="CQ53" s="47"/>
      <c r="CR53" s="47"/>
      <c r="CS53" s="47"/>
      <c r="CT53" s="47"/>
      <c r="CU53" s="47"/>
      <c r="CV53" s="47"/>
      <c r="CW53" s="47"/>
      <c r="CX53" s="47"/>
      <c r="CY53" s="47"/>
      <c r="CZ53" s="47"/>
      <c r="DA53" s="47"/>
      <c r="DB53" s="47"/>
      <c r="DC53" s="47"/>
      <c r="DD53" s="47"/>
      <c r="DE53" s="47"/>
      <c r="DF53" s="47"/>
      <c r="DG53" s="47"/>
      <c r="DH53" s="47"/>
      <c r="DI53" s="47"/>
      <c r="DJ53" s="47"/>
      <c r="DK53" s="47"/>
      <c r="DL53" s="47"/>
      <c r="DM53" s="47"/>
      <c r="DN53" s="47"/>
      <c r="DO53" s="58"/>
      <c r="DP53" s="58"/>
      <c r="DQ53" s="58"/>
      <c r="DR53" s="58"/>
      <c r="DS53" s="58"/>
      <c r="DT53" s="58"/>
      <c r="DU53" s="58"/>
      <c r="DV53" s="58"/>
    </row>
    <row r="54" spans="1:126" ht="12.75" customHeight="1" x14ac:dyDescent="0.3">
      <c r="A54" s="48"/>
      <c r="B54" s="48"/>
      <c r="C54" s="104" t="str">
        <f>Threats!A21</f>
        <v>T21-Configuration Threats</v>
      </c>
      <c r="D54" s="85">
        <f t="shared" ref="D54:Y54" si="23">(D$27/D$29)</f>
        <v>0</v>
      </c>
      <c r="E54" s="146">
        <f t="shared" si="23"/>
        <v>0</v>
      </c>
      <c r="F54" s="85">
        <f t="shared" si="23"/>
        <v>0</v>
      </c>
      <c r="G54" s="85">
        <f t="shared" si="23"/>
        <v>0</v>
      </c>
      <c r="H54" s="85">
        <f t="shared" si="23"/>
        <v>0</v>
      </c>
      <c r="I54" s="85">
        <f t="shared" si="23"/>
        <v>0</v>
      </c>
      <c r="J54" s="85">
        <f t="shared" si="23"/>
        <v>0</v>
      </c>
      <c r="K54" s="85">
        <f t="shared" si="23"/>
        <v>0</v>
      </c>
      <c r="L54" s="85">
        <f t="shared" si="23"/>
        <v>0</v>
      </c>
      <c r="M54" s="85">
        <f t="shared" si="23"/>
        <v>0</v>
      </c>
      <c r="N54" s="85">
        <f t="shared" si="23"/>
        <v>0</v>
      </c>
      <c r="O54" s="85">
        <f t="shared" si="23"/>
        <v>0</v>
      </c>
      <c r="P54" s="85">
        <f t="shared" si="23"/>
        <v>0</v>
      </c>
      <c r="Q54" s="85">
        <f t="shared" si="23"/>
        <v>0</v>
      </c>
      <c r="R54" s="85">
        <f t="shared" si="23"/>
        <v>6.5573770491803282E-2</v>
      </c>
      <c r="S54" s="85">
        <f t="shared" si="23"/>
        <v>0.1</v>
      </c>
      <c r="T54" s="85">
        <f t="shared" si="23"/>
        <v>0.10344827586206898</v>
      </c>
      <c r="U54" s="85">
        <f t="shared" si="23"/>
        <v>5.4054054054054057E-2</v>
      </c>
      <c r="V54" s="85">
        <f t="shared" si="23"/>
        <v>0.10256410256410256</v>
      </c>
      <c r="W54" s="85">
        <f t="shared" si="23"/>
        <v>0.16438356164383564</v>
      </c>
      <c r="X54" s="85">
        <f t="shared" si="23"/>
        <v>7.9470198675496692E-2</v>
      </c>
      <c r="Y54" s="85">
        <f t="shared" si="23"/>
        <v>0.11881188118811879</v>
      </c>
      <c r="Z54" s="85">
        <f t="shared" si="2"/>
        <v>0.78830584447947993</v>
      </c>
      <c r="AA54" s="85">
        <f t="shared" si="3"/>
        <v>3.5951332732331753E-2</v>
      </c>
      <c r="AB54" s="85" t="str">
        <f>Threats!B21</f>
        <v>Threats to Information Leakage</v>
      </c>
      <c r="AC54" s="85">
        <f>INDEX(I69:I73,MATCH(AB54,B59:B63,0))</f>
        <v>0.11543859649122808</v>
      </c>
      <c r="AD54" s="148">
        <f t="shared" si="4"/>
        <v>9.1000920292543475E-2</v>
      </c>
      <c r="AE54" s="109">
        <f>MMULT(D27:Y27, AA34:AA55)/AA54</f>
        <v>8.4836205519710202</v>
      </c>
      <c r="AF54" s="104" t="str">
        <f xml:space="preserve"> Threats!A21</f>
        <v>T21-Configuration Threats</v>
      </c>
      <c r="AG54" s="47"/>
      <c r="AH54" s="47"/>
      <c r="AI54" s="47"/>
      <c r="AK54" s="47"/>
      <c r="AL54" s="47"/>
      <c r="AM54" s="47"/>
      <c r="AO54" s="47"/>
      <c r="AP54" s="47"/>
      <c r="AQ54" s="47"/>
      <c r="AR54" s="47"/>
      <c r="AS54" s="47"/>
      <c r="AT54" s="47"/>
      <c r="AU54" s="47"/>
      <c r="AV54" s="47"/>
      <c r="AW54" s="47"/>
      <c r="AX54" s="47"/>
      <c r="AY54" s="47"/>
      <c r="AZ54" s="47"/>
      <c r="BA54" s="47"/>
      <c r="BB54" s="47"/>
      <c r="BC54" s="47"/>
      <c r="BD54" s="47"/>
      <c r="BE54" s="47"/>
      <c r="BF54" s="47"/>
      <c r="BG54" s="47"/>
      <c r="BH54" s="47"/>
      <c r="BI54" s="47"/>
      <c r="BJ54" s="47"/>
      <c r="BK54" s="47"/>
      <c r="BL54" s="47"/>
      <c r="BM54" s="47"/>
      <c r="BN54" s="47"/>
      <c r="BO54" s="47"/>
      <c r="BP54" s="47"/>
      <c r="BQ54" s="47"/>
      <c r="BR54" s="47"/>
      <c r="BS54" s="47"/>
      <c r="BT54" s="47"/>
      <c r="BU54" s="47"/>
      <c r="BV54" s="47"/>
      <c r="BW54" s="47"/>
      <c r="BX54" s="47"/>
      <c r="BY54" s="47"/>
      <c r="BZ54" s="47"/>
      <c r="CA54" s="47"/>
      <c r="CB54" s="47"/>
      <c r="CC54" s="47"/>
      <c r="CD54" s="47"/>
      <c r="CE54" s="47"/>
      <c r="CF54" s="47"/>
      <c r="CG54" s="47"/>
      <c r="CH54" s="47"/>
      <c r="CI54" s="47"/>
      <c r="CJ54" s="47"/>
      <c r="CK54" s="47"/>
      <c r="CL54" s="47"/>
      <c r="CM54" s="47"/>
      <c r="CN54" s="47"/>
      <c r="CO54" s="47"/>
      <c r="CP54" s="47"/>
      <c r="CQ54" s="47"/>
      <c r="CR54" s="47"/>
      <c r="CS54" s="47"/>
      <c r="CT54" s="47"/>
      <c r="CU54" s="47"/>
      <c r="CV54" s="47"/>
      <c r="CW54" s="47"/>
      <c r="CX54" s="47"/>
      <c r="CY54" s="47"/>
      <c r="CZ54" s="47"/>
      <c r="DA54" s="47"/>
      <c r="DB54" s="47"/>
      <c r="DC54" s="47"/>
      <c r="DD54" s="47"/>
      <c r="DE54" s="47"/>
      <c r="DF54" s="47"/>
      <c r="DG54" s="47"/>
      <c r="DH54" s="47"/>
      <c r="DI54" s="47"/>
      <c r="DJ54" s="47"/>
      <c r="DK54" s="47"/>
      <c r="DL54" s="47"/>
      <c r="DM54" s="47"/>
      <c r="DN54" s="47"/>
      <c r="DO54" s="58"/>
      <c r="DP54" s="58"/>
      <c r="DQ54" s="58"/>
      <c r="DR54" s="58"/>
      <c r="DS54" s="58"/>
      <c r="DT54" s="58"/>
      <c r="DU54" s="58"/>
      <c r="DV54" s="58"/>
    </row>
    <row r="55" spans="1:126" ht="12.75" customHeight="1" x14ac:dyDescent="0.3">
      <c r="A55" s="48"/>
      <c r="B55" s="48"/>
      <c r="C55" s="104" t="str">
        <f>Threats!A22</f>
        <v>T22- Communications Threats</v>
      </c>
      <c r="D55" s="86">
        <f t="shared" ref="D55:Y55" si="24">(D$28/D$29)</f>
        <v>0</v>
      </c>
      <c r="E55" s="149">
        <f t="shared" si="24"/>
        <v>0</v>
      </c>
      <c r="F55" s="86">
        <f t="shared" si="24"/>
        <v>0</v>
      </c>
      <c r="G55" s="86">
        <f t="shared" si="24"/>
        <v>0</v>
      </c>
      <c r="H55" s="86">
        <f t="shared" si="24"/>
        <v>0</v>
      </c>
      <c r="I55" s="86">
        <f t="shared" si="24"/>
        <v>0</v>
      </c>
      <c r="J55" s="86">
        <f t="shared" si="24"/>
        <v>0</v>
      </c>
      <c r="K55" s="86">
        <f t="shared" si="24"/>
        <v>0</v>
      </c>
      <c r="L55" s="86">
        <f t="shared" si="24"/>
        <v>0</v>
      </c>
      <c r="M55" s="86">
        <f t="shared" si="24"/>
        <v>0</v>
      </c>
      <c r="N55" s="86">
        <f t="shared" si="24"/>
        <v>0</v>
      </c>
      <c r="O55" s="86">
        <f t="shared" si="24"/>
        <v>0</v>
      </c>
      <c r="P55" s="86">
        <f t="shared" si="24"/>
        <v>0</v>
      </c>
      <c r="Q55" s="86">
        <f t="shared" si="24"/>
        <v>0</v>
      </c>
      <c r="R55" s="86">
        <f t="shared" si="24"/>
        <v>0.13114754098360656</v>
      </c>
      <c r="S55" s="86">
        <f t="shared" si="24"/>
        <v>0.13333333333333333</v>
      </c>
      <c r="T55" s="86">
        <f t="shared" si="24"/>
        <v>0.10344827586206898</v>
      </c>
      <c r="U55" s="86">
        <f t="shared" si="24"/>
        <v>0.10810810810810811</v>
      </c>
      <c r="V55" s="86">
        <f t="shared" si="24"/>
        <v>0.10256410256410256</v>
      </c>
      <c r="W55" s="86">
        <f t="shared" si="24"/>
        <v>0.24657534246575344</v>
      </c>
      <c r="X55" s="86">
        <f t="shared" si="24"/>
        <v>7.9470198675496692E-2</v>
      </c>
      <c r="Y55" s="86">
        <f t="shared" si="24"/>
        <v>0.11881188118811879</v>
      </c>
      <c r="Z55" s="86">
        <f t="shared" si="2"/>
        <v>1.0234587831805884</v>
      </c>
      <c r="AA55" s="86">
        <f t="shared" si="3"/>
        <v>4.6675674815335591E-2</v>
      </c>
      <c r="AB55" s="86" t="str">
        <f>Threats!B22</f>
        <v>Threats to Information Leakage</v>
      </c>
      <c r="AC55" s="86">
        <f>INDEX(I69:I73,MATCH(AB55,B59:B63,0))</f>
        <v>0.11543859649122808</v>
      </c>
      <c r="AD55" s="150">
        <f t="shared" si="4"/>
        <v>0.11814664549698722</v>
      </c>
      <c r="AE55" s="109">
        <f>MMULT(D28:Y28, AA34:AA55)/AA55</f>
        <v>8.4535334730043985</v>
      </c>
      <c r="AF55" s="104" t="str">
        <f>Threats!A22</f>
        <v>T22- Communications Threats</v>
      </c>
      <c r="AG55" s="47"/>
      <c r="AH55" s="47"/>
      <c r="AI55" s="47"/>
      <c r="AK55" s="47"/>
      <c r="AL55" s="47"/>
      <c r="AM55" s="47"/>
      <c r="AO55" s="47"/>
      <c r="AP55" s="47"/>
      <c r="AQ55" s="47"/>
      <c r="AR55" s="47"/>
      <c r="AS55" s="47"/>
      <c r="AT55" s="47"/>
      <c r="AU55" s="47"/>
      <c r="AV55" s="47"/>
      <c r="AW55" s="47"/>
      <c r="AX55" s="47"/>
      <c r="AY55" s="47"/>
      <c r="AZ55" s="47"/>
      <c r="BA55" s="47"/>
      <c r="BB55" s="47"/>
      <c r="BC55" s="47"/>
      <c r="BD55" s="47"/>
      <c r="BE55" s="47"/>
      <c r="BF55" s="47"/>
      <c r="BG55" s="47"/>
      <c r="BH55" s="47"/>
      <c r="BI55" s="47"/>
      <c r="BJ55" s="47"/>
      <c r="BK55" s="47"/>
      <c r="BL55" s="47"/>
      <c r="BM55" s="47"/>
      <c r="BN55" s="47"/>
      <c r="BO55" s="47"/>
      <c r="BP55" s="47"/>
      <c r="BQ55" s="47"/>
      <c r="BR55" s="47"/>
      <c r="BS55" s="47"/>
      <c r="BT55" s="47"/>
      <c r="BU55" s="47"/>
      <c r="BV55" s="47"/>
      <c r="BW55" s="47"/>
      <c r="BX55" s="47"/>
      <c r="BY55" s="47"/>
      <c r="BZ55" s="47"/>
      <c r="CA55" s="47"/>
      <c r="CB55" s="47"/>
      <c r="CC55" s="47"/>
      <c r="CD55" s="47"/>
      <c r="CE55" s="47"/>
      <c r="CF55" s="47"/>
      <c r="CG55" s="47"/>
      <c r="CH55" s="47"/>
      <c r="CI55" s="47"/>
      <c r="CJ55" s="47"/>
      <c r="CK55" s="47"/>
      <c r="CL55" s="47"/>
      <c r="CM55" s="47"/>
      <c r="CN55" s="47"/>
      <c r="CO55" s="47"/>
      <c r="CP55" s="47"/>
      <c r="CQ55" s="47"/>
      <c r="CR55" s="47"/>
      <c r="CS55" s="47"/>
      <c r="CT55" s="47"/>
      <c r="CU55" s="47"/>
      <c r="CV55" s="47"/>
      <c r="CW55" s="47"/>
      <c r="CX55" s="47"/>
      <c r="CY55" s="47"/>
      <c r="CZ55" s="47"/>
      <c r="DA55" s="47"/>
      <c r="DB55" s="47"/>
      <c r="DC55" s="47"/>
      <c r="DD55" s="47"/>
      <c r="DE55" s="47"/>
      <c r="DF55" s="47"/>
      <c r="DG55" s="47"/>
      <c r="DH55" s="47"/>
      <c r="DI55" s="47"/>
      <c r="DJ55" s="47"/>
      <c r="DK55" s="47"/>
      <c r="DL55" s="47"/>
      <c r="DM55" s="47"/>
      <c r="DN55" s="47"/>
      <c r="DO55" s="58"/>
      <c r="DP55" s="58"/>
      <c r="DQ55" s="58"/>
      <c r="DR55" s="58"/>
      <c r="DS55" s="58"/>
      <c r="DT55" s="58"/>
      <c r="DU55" s="58"/>
      <c r="DV55" s="58"/>
    </row>
    <row r="56" spans="1:126" ht="32.25" customHeight="1" x14ac:dyDescent="0.3">
      <c r="A56" s="48"/>
      <c r="B56" s="48"/>
      <c r="C56" s="151" t="s">
        <v>251</v>
      </c>
      <c r="D56" s="152">
        <f t="shared" ref="D56:Z56" si="25">SUM(D34:D55)</f>
        <v>1.0000000000000002</v>
      </c>
      <c r="E56" s="152">
        <f t="shared" si="25"/>
        <v>1</v>
      </c>
      <c r="F56" s="152">
        <f t="shared" si="25"/>
        <v>0.927027027027027</v>
      </c>
      <c r="G56" s="152">
        <f t="shared" si="25"/>
        <v>1</v>
      </c>
      <c r="H56" s="152">
        <f t="shared" si="25"/>
        <v>1</v>
      </c>
      <c r="I56" s="152">
        <f t="shared" si="25"/>
        <v>1</v>
      </c>
      <c r="J56" s="152">
        <f t="shared" si="25"/>
        <v>1</v>
      </c>
      <c r="K56" s="152">
        <f t="shared" si="25"/>
        <v>1</v>
      </c>
      <c r="L56" s="152">
        <f t="shared" si="25"/>
        <v>1.0000000000000002</v>
      </c>
      <c r="M56" s="152">
        <f t="shared" si="25"/>
        <v>1</v>
      </c>
      <c r="N56" s="152">
        <f t="shared" si="25"/>
        <v>1</v>
      </c>
      <c r="O56" s="152">
        <f t="shared" si="25"/>
        <v>1</v>
      </c>
      <c r="P56" s="152">
        <f t="shared" si="25"/>
        <v>1</v>
      </c>
      <c r="Q56" s="152">
        <f t="shared" si="25"/>
        <v>1</v>
      </c>
      <c r="R56" s="152">
        <f t="shared" si="25"/>
        <v>1</v>
      </c>
      <c r="S56" s="152">
        <f t="shared" si="25"/>
        <v>0.99999999999999989</v>
      </c>
      <c r="T56" s="152">
        <f t="shared" si="25"/>
        <v>1</v>
      </c>
      <c r="U56" s="152">
        <f t="shared" si="25"/>
        <v>1</v>
      </c>
      <c r="V56" s="152">
        <f t="shared" si="25"/>
        <v>0.99999999999999989</v>
      </c>
      <c r="W56" s="152">
        <f t="shared" si="25"/>
        <v>1.0000000000000002</v>
      </c>
      <c r="X56" s="152">
        <f t="shared" si="25"/>
        <v>0.99999999999999989</v>
      </c>
      <c r="Y56" s="152">
        <f t="shared" si="25"/>
        <v>0.99999999999999989</v>
      </c>
      <c r="Z56" s="152">
        <f t="shared" si="25"/>
        <v>21.92702702702703</v>
      </c>
      <c r="AA56" s="151"/>
      <c r="AB56" s="151"/>
      <c r="AC56" s="153"/>
      <c r="AD56" s="154"/>
      <c r="AE56" s="109"/>
      <c r="AF56" s="47"/>
      <c r="AG56" s="47"/>
      <c r="AH56" s="47"/>
      <c r="AI56" s="47"/>
      <c r="AJ56" s="47"/>
      <c r="AK56" s="47"/>
      <c r="AL56" s="155"/>
      <c r="AM56" s="155"/>
      <c r="AN56" s="155"/>
      <c r="AO56" s="47"/>
      <c r="AP56" s="47"/>
      <c r="AQ56" s="47"/>
      <c r="AR56" s="47"/>
      <c r="AS56" s="47"/>
      <c r="AT56" s="47"/>
      <c r="AU56" s="47"/>
      <c r="AV56" s="47"/>
      <c r="AW56" s="47"/>
      <c r="AX56" s="47"/>
      <c r="AY56" s="47"/>
      <c r="AZ56" s="47"/>
      <c r="BA56" s="47"/>
      <c r="BB56" s="47"/>
      <c r="BC56" s="47"/>
      <c r="BD56" s="47"/>
      <c r="BE56" s="47"/>
      <c r="BF56" s="47"/>
      <c r="BG56" s="47"/>
      <c r="BH56" s="47"/>
      <c r="BI56" s="47"/>
      <c r="BJ56" s="47"/>
      <c r="BK56" s="47"/>
      <c r="BL56" s="47"/>
      <c r="BM56" s="47"/>
      <c r="BN56" s="47"/>
      <c r="BO56" s="47"/>
      <c r="BP56" s="47"/>
      <c r="BQ56" s="47"/>
      <c r="BR56" s="47"/>
      <c r="BS56" s="47"/>
      <c r="BT56" s="47"/>
      <c r="BU56" s="47"/>
      <c r="BV56" s="47"/>
      <c r="BW56" s="47"/>
      <c r="BX56" s="47"/>
      <c r="BY56" s="47"/>
      <c r="BZ56" s="47"/>
      <c r="CA56" s="47"/>
      <c r="CB56" s="47"/>
      <c r="CC56" s="47"/>
      <c r="CD56" s="47"/>
      <c r="CE56" s="47"/>
      <c r="CF56" s="47"/>
      <c r="CG56" s="47"/>
      <c r="CH56" s="47"/>
      <c r="CI56" s="47"/>
      <c r="CJ56" s="47"/>
      <c r="CK56" s="47"/>
      <c r="CL56" s="47"/>
      <c r="CM56" s="47"/>
      <c r="CN56" s="47"/>
      <c r="CO56" s="47"/>
      <c r="CP56" s="47"/>
      <c r="CQ56" s="47"/>
      <c r="CR56" s="47"/>
      <c r="CS56" s="47"/>
      <c r="CT56" s="47"/>
      <c r="CU56" s="47"/>
      <c r="CV56" s="47"/>
      <c r="CW56" s="47"/>
      <c r="CX56" s="58"/>
      <c r="CY56" s="58"/>
      <c r="CZ56" s="58"/>
      <c r="DA56" s="58"/>
      <c r="DB56" s="58"/>
      <c r="DC56" s="58"/>
      <c r="DD56" s="58"/>
      <c r="DE56" s="58"/>
    </row>
    <row r="57" spans="1:126" ht="51" customHeight="1" x14ac:dyDescent="0.25">
      <c r="A57" s="48"/>
      <c r="B57" s="48"/>
      <c r="C57" s="47"/>
      <c r="D57" s="103"/>
      <c r="E57" s="103"/>
      <c r="F57" s="103"/>
      <c r="G57" s="103"/>
      <c r="H57" s="103"/>
      <c r="I57" s="103"/>
      <c r="J57" s="103"/>
      <c r="K57" s="103"/>
      <c r="L57" s="103"/>
      <c r="M57" s="103"/>
      <c r="N57" s="103"/>
      <c r="O57" s="103"/>
      <c r="P57" s="103"/>
      <c r="Q57" s="103"/>
      <c r="R57" s="103"/>
      <c r="S57" s="103"/>
      <c r="T57" s="103"/>
      <c r="U57" s="103"/>
      <c r="V57" s="103"/>
      <c r="W57" s="103"/>
      <c r="X57" s="103"/>
      <c r="Y57" s="103"/>
      <c r="Z57" s="103"/>
      <c r="AA57" s="103"/>
      <c r="AB57" s="156"/>
      <c r="AC57" s="103"/>
      <c r="AD57" s="157"/>
      <c r="AF57" s="158"/>
      <c r="AG57" s="159" t="s">
        <v>294</v>
      </c>
      <c r="AH57" s="159" t="s">
        <v>295</v>
      </c>
      <c r="AI57" s="159" t="s">
        <v>293</v>
      </c>
      <c r="AJ57" s="159" t="s">
        <v>263</v>
      </c>
      <c r="AK57" s="47"/>
      <c r="AL57" s="47"/>
      <c r="AM57" s="47"/>
      <c r="AN57" s="47"/>
      <c r="AO57" s="47"/>
      <c r="AP57" s="47"/>
      <c r="AQ57" s="47"/>
      <c r="AR57" s="47"/>
      <c r="AS57" s="47"/>
      <c r="AT57" s="47"/>
      <c r="AU57" s="47"/>
      <c r="AV57" s="47"/>
      <c r="AW57" s="47"/>
      <c r="AX57" s="47"/>
      <c r="AY57" s="47"/>
      <c r="AZ57" s="47"/>
      <c r="BA57" s="47"/>
      <c r="BB57" s="47"/>
      <c r="BC57" s="47"/>
      <c r="BD57" s="47"/>
      <c r="BE57" s="47"/>
      <c r="BF57" s="47"/>
      <c r="BG57" s="47"/>
      <c r="BH57" s="47"/>
      <c r="BI57" s="47"/>
      <c r="BJ57" s="47"/>
      <c r="BK57" s="47"/>
      <c r="BL57" s="47"/>
      <c r="BM57" s="47"/>
      <c r="BN57" s="47"/>
      <c r="BO57" s="47"/>
      <c r="BP57" s="47"/>
      <c r="BQ57" s="47"/>
      <c r="BR57" s="47"/>
      <c r="BS57" s="47"/>
      <c r="BT57" s="47"/>
      <c r="BU57" s="47"/>
      <c r="BV57" s="47"/>
      <c r="BW57" s="47"/>
      <c r="BX57" s="47"/>
      <c r="BY57" s="47"/>
      <c r="BZ57" s="47"/>
      <c r="CA57" s="47"/>
      <c r="CB57" s="47"/>
      <c r="CC57" s="47"/>
      <c r="CD57" s="47"/>
      <c r="CE57" s="47"/>
      <c r="CF57" s="47"/>
      <c r="CG57" s="47"/>
      <c r="CH57" s="47"/>
      <c r="CI57" s="47"/>
      <c r="CJ57" s="47"/>
      <c r="CK57" s="47"/>
      <c r="CL57" s="47"/>
      <c r="CM57" s="47"/>
      <c r="CN57" s="47"/>
      <c r="CO57" s="47"/>
      <c r="CP57" s="47"/>
      <c r="CQ57" s="47"/>
      <c r="CR57" s="47"/>
      <c r="CS57" s="47"/>
      <c r="CT57" s="47"/>
      <c r="CU57" s="47"/>
      <c r="CV57" s="47"/>
      <c r="CW57" s="47"/>
      <c r="CX57" s="47"/>
      <c r="CY57" s="47"/>
      <c r="CZ57" s="47"/>
      <c r="DA57" s="47"/>
      <c r="DB57" s="47"/>
      <c r="DC57" s="47"/>
      <c r="DD57" s="47"/>
      <c r="DE57" s="47"/>
      <c r="DF57" s="47"/>
    </row>
    <row r="58" spans="1:126" ht="97.5" customHeight="1" x14ac:dyDescent="0.35">
      <c r="A58" s="47"/>
      <c r="B58" s="160" t="s">
        <v>291</v>
      </c>
      <c r="C58" s="161" t="str">
        <f>B59</f>
        <v>Threats to The Level of Service</v>
      </c>
      <c r="D58" s="162" t="str">
        <f>B60</f>
        <v>Threats to the Information Base</v>
      </c>
      <c r="E58" s="162" t="str">
        <f>B61</f>
        <v>Threats to Information Leakage</v>
      </c>
      <c r="F58" s="162" t="str">
        <f>B62</f>
        <v>Threat_Group4</v>
      </c>
      <c r="G58" s="162" t="str">
        <f>B63</f>
        <v>Threat_Group5</v>
      </c>
      <c r="H58" s="163"/>
      <c r="I58" s="405" t="s">
        <v>266</v>
      </c>
      <c r="J58" s="405"/>
      <c r="K58" s="405"/>
      <c r="L58" s="405"/>
      <c r="M58" s="164"/>
      <c r="N58" s="164"/>
      <c r="O58" s="165"/>
      <c r="P58" s="165"/>
      <c r="Q58" s="165"/>
      <c r="R58" s="165"/>
      <c r="S58" s="165"/>
      <c r="T58" s="165"/>
      <c r="U58" s="165"/>
      <c r="V58" s="165"/>
      <c r="W58" s="165"/>
      <c r="X58" s="165"/>
      <c r="Y58" s="165"/>
      <c r="Z58" s="165"/>
      <c r="AA58" s="165"/>
      <c r="AB58" s="165"/>
      <c r="AC58" s="165"/>
      <c r="AD58" s="165"/>
      <c r="AF58" s="166" t="s">
        <v>296</v>
      </c>
      <c r="AG58" s="212">
        <f ca="1">IF(Threats!I1&lt;&gt;0,AVERAGE(INDIRECT("AF"&amp;Threats!G1&amp;":AF"&amp;Threats!H1),0))</f>
        <v>0</v>
      </c>
      <c r="AH58" s="212">
        <f ca="1">(AG58-Threats!I1)/(Threats!I1-1)</f>
        <v>-1.125</v>
      </c>
      <c r="AI58" s="212">
        <f>INDEX('AHP Settings'!B3:B32,MATCH(Threats!I1,'AHP Settings'!A3:A32,0))</f>
        <v>1.4499</v>
      </c>
      <c r="AJ58" s="212">
        <f ca="1">AH58/AI58</f>
        <v>-0.7759155803848542</v>
      </c>
      <c r="AL58" s="47"/>
      <c r="AM58" s="47"/>
      <c r="AN58" s="47"/>
    </row>
    <row r="59" spans="1:126" ht="27.6" customHeight="1" x14ac:dyDescent="0.25">
      <c r="A59" s="47"/>
      <c r="B59" s="216" t="str">
        <f>Threats!D1</f>
        <v>Threats to The Level of Service</v>
      </c>
      <c r="C59" s="168">
        <v>1</v>
      </c>
      <c r="D59" s="37">
        <v>4</v>
      </c>
      <c r="E59" s="37">
        <v>3</v>
      </c>
      <c r="F59" s="37">
        <v>0</v>
      </c>
      <c r="G59" s="37">
        <v>0</v>
      </c>
      <c r="H59" s="169"/>
      <c r="I59" s="359" t="s">
        <v>255</v>
      </c>
      <c r="J59" s="359"/>
      <c r="K59" s="359"/>
      <c r="L59" s="359"/>
      <c r="M59" s="47"/>
      <c r="N59" s="47"/>
      <c r="AB59" s="44"/>
      <c r="AF59" s="166" t="s">
        <v>297</v>
      </c>
      <c r="AG59" s="212">
        <f ca="1">IF(Threats!I2&lt;&gt;0,AVERAGE(INDIRECT("AF"&amp;Threats!G2&amp;":AF"&amp;Threats!H2),0))</f>
        <v>0</v>
      </c>
      <c r="AH59" s="212">
        <f ca="1">(AG59-Threats!I2)/(Threats!I2-1)</f>
        <v>-1.25</v>
      </c>
      <c r="AI59" s="212">
        <f>INDEX('AHP Settings'!B4:B33,MATCH(Threats!I2,'AHP Settings'!A4:A33,0))</f>
        <v>1.1086</v>
      </c>
      <c r="AJ59" s="212">
        <f ca="1">AH59/AI59</f>
        <v>-1.1275482590654879</v>
      </c>
      <c r="AL59" s="47"/>
      <c r="AM59" s="47"/>
      <c r="AN59" s="47"/>
    </row>
    <row r="60" spans="1:126" ht="36.6" customHeight="1" x14ac:dyDescent="0.25">
      <c r="A60" s="47"/>
      <c r="B60" s="216" t="str">
        <f>Threats!D2</f>
        <v>Threats to the Information Base</v>
      </c>
      <c r="C60" s="67">
        <f>IF(D59&lt;&gt;0,(C59/D59),0)</f>
        <v>0.25</v>
      </c>
      <c r="D60" s="168">
        <v>1</v>
      </c>
      <c r="E60" s="38">
        <v>1</v>
      </c>
      <c r="F60" s="38">
        <v>0</v>
      </c>
      <c r="G60" s="38">
        <v>0</v>
      </c>
      <c r="H60" s="169"/>
      <c r="I60" s="361" t="s">
        <v>255</v>
      </c>
      <c r="J60" s="361"/>
      <c r="K60" s="361"/>
      <c r="L60" s="361"/>
      <c r="M60" s="47"/>
      <c r="N60" s="47"/>
      <c r="AB60" s="44"/>
      <c r="AD60" s="165"/>
      <c r="AF60" s="166" t="s">
        <v>298</v>
      </c>
      <c r="AG60" s="212">
        <f ca="1">IF(Threats!I3&lt;&gt;0,AVERAGE(INDIRECT("AF"&amp;Threats!G3&amp;":AF"&amp;Threats!H3),0))</f>
        <v>0</v>
      </c>
      <c r="AH60" s="212">
        <f ca="1">(AG60-Threats!I3)/(Threats!I3-1)</f>
        <v>-1.125</v>
      </c>
      <c r="AI60" s="212">
        <f>INDEX('AHP Settings'!B5:B34,MATCH(Threats!I3,'AHP Settings'!A5:A34,0))</f>
        <v>1.4499</v>
      </c>
      <c r="AJ60" s="212">
        <f ca="1">AH60/AI60</f>
        <v>-0.7759155803848542</v>
      </c>
      <c r="AL60" s="47"/>
      <c r="AM60" s="47"/>
      <c r="AN60" s="47"/>
    </row>
    <row r="61" spans="1:126" ht="39" customHeight="1" x14ac:dyDescent="0.25">
      <c r="A61" s="47"/>
      <c r="B61" s="216" t="str">
        <f>Threats!D3</f>
        <v>Threats to Information Leakage</v>
      </c>
      <c r="C61" s="67">
        <f>IF(E59&lt;&gt;0, (C59/E59),0)</f>
        <v>0.33333333333333331</v>
      </c>
      <c r="D61" s="67">
        <f>IF(E60 &lt;&gt; 0, (D60/E60),0)</f>
        <v>1</v>
      </c>
      <c r="E61" s="168">
        <v>1</v>
      </c>
      <c r="F61" s="190">
        <v>0</v>
      </c>
      <c r="G61" s="190">
        <v>0</v>
      </c>
      <c r="H61" s="169"/>
      <c r="I61" s="363" t="s">
        <v>255</v>
      </c>
      <c r="J61" s="363"/>
      <c r="K61" s="363"/>
      <c r="L61" s="363"/>
      <c r="M61" s="47"/>
      <c r="N61" s="47"/>
      <c r="AB61" s="44"/>
      <c r="AF61" s="166" t="s">
        <v>299</v>
      </c>
      <c r="AG61" s="212" t="b">
        <f ca="1">IF(Threats!I4&lt;&gt;0,AVERAGE(INDIRECT("AF"&amp;Threats!G4&amp;":AF"&amp;Threats!H4),0))</f>
        <v>0</v>
      </c>
      <c r="AH61" s="212">
        <f ca="1">(AG61-Threats!I4)/(Threats!I4-1)</f>
        <v>0</v>
      </c>
      <c r="AI61" s="212" t="e">
        <f>INDEX('AHP Settings'!B6:B35,MATCH(Threats!I4,'AHP Settings'!A6:A35,0))</f>
        <v>#N/A</v>
      </c>
      <c r="AJ61" s="212" t="e">
        <f ca="1">AH61/AI61</f>
        <v>#N/A</v>
      </c>
      <c r="AL61" s="47"/>
      <c r="AM61" s="47"/>
      <c r="AN61" s="47"/>
    </row>
    <row r="62" spans="1:126" ht="26.4" customHeight="1" x14ac:dyDescent="0.25">
      <c r="A62" s="47"/>
      <c r="B62" s="216" t="str">
        <f>Threats!D4</f>
        <v>Threat_Group4</v>
      </c>
      <c r="C62" s="67">
        <f>IF(F59&lt;&gt; 0, (C59/F59), 0)</f>
        <v>0</v>
      </c>
      <c r="D62" s="67">
        <f>IF(F60&lt;&gt;0, (D60/F60),0)</f>
        <v>0</v>
      </c>
      <c r="E62" s="67">
        <f>IF(F61&lt;&gt; 0, (E61/F61), 0)</f>
        <v>0</v>
      </c>
      <c r="F62" s="168">
        <v>1</v>
      </c>
      <c r="G62" s="191">
        <v>0</v>
      </c>
      <c r="H62" s="169"/>
      <c r="I62" s="347" t="s">
        <v>255</v>
      </c>
      <c r="J62" s="347"/>
      <c r="K62" s="347"/>
      <c r="L62" s="347"/>
      <c r="M62" s="47"/>
      <c r="N62" s="47"/>
      <c r="AB62" s="44"/>
      <c r="AD62" s="165"/>
      <c r="AF62" s="166" t="s">
        <v>300</v>
      </c>
      <c r="AG62" s="212" t="b">
        <f ca="1">IF(Threats!I5&lt;&gt;0,AVERAGE(INDIRECT("AF"&amp;Threats!G5&amp;":AF"&amp;Threats!H5),0))</f>
        <v>0</v>
      </c>
      <c r="AH62" s="212">
        <f ca="1">(AG62-Threats!I5)/(Threats!I5-1)</f>
        <v>0</v>
      </c>
      <c r="AI62" s="212" t="e">
        <f>INDEX('AHP Settings'!B7:B36,MATCH(Threats!I5,'AHP Settings'!A7:A36,0))</f>
        <v>#N/A</v>
      </c>
      <c r="AJ62" s="212" t="e">
        <f ca="1">AH62/AI62</f>
        <v>#N/A</v>
      </c>
      <c r="AL62" s="47"/>
      <c r="AM62" s="47"/>
      <c r="AN62" s="47"/>
    </row>
    <row r="63" spans="1:126" ht="24" customHeight="1" x14ac:dyDescent="0.25">
      <c r="A63" s="47"/>
      <c r="B63" s="216" t="str">
        <f>Threats!D5</f>
        <v>Threat_Group5</v>
      </c>
      <c r="C63" s="67">
        <f>IF(G59&lt;&gt;0, (C59/G59), 0)</f>
        <v>0</v>
      </c>
      <c r="D63" s="67">
        <f>IF(G60&lt;&gt;0, (D60/G60),0)</f>
        <v>0</v>
      </c>
      <c r="E63" s="67">
        <f>IF(G61&lt;&gt;0, (E61/G61),0)</f>
        <v>0</v>
      </c>
      <c r="F63" s="67">
        <f>IF(G62&lt;&gt;0, (F62/G62), 0)</f>
        <v>0</v>
      </c>
      <c r="G63" s="168">
        <v>1</v>
      </c>
      <c r="H63" s="47"/>
      <c r="I63" s="367" t="s">
        <v>255</v>
      </c>
      <c r="J63" s="367"/>
      <c r="K63" s="367"/>
      <c r="L63" s="367"/>
      <c r="M63" s="47"/>
      <c r="N63" s="47"/>
      <c r="AB63" s="44"/>
      <c r="AF63" s="44"/>
      <c r="AL63" s="47"/>
      <c r="AM63" s="47"/>
      <c r="AN63" s="47"/>
    </row>
    <row r="64" spans="1:126" x14ac:dyDescent="0.25">
      <c r="A64" s="47"/>
      <c r="B64" s="87" t="s">
        <v>251</v>
      </c>
      <c r="C64" s="88">
        <f>SUM(C59:C63)</f>
        <v>1.5833333333333333</v>
      </c>
      <c r="D64" s="88">
        <f>SUM(D59:D63)</f>
        <v>6</v>
      </c>
      <c r="E64" s="88">
        <f>SUM(E59:E63)</f>
        <v>5</v>
      </c>
      <c r="F64" s="88">
        <f>SUM(F59:F63)</f>
        <v>1</v>
      </c>
      <c r="G64" s="88">
        <f>SUM(G59:G63)</f>
        <v>1</v>
      </c>
      <c r="H64" s="47"/>
      <c r="I64" s="47"/>
      <c r="J64" s="49"/>
      <c r="K64" s="47"/>
      <c r="L64" s="47"/>
      <c r="M64" s="47"/>
      <c r="N64" s="47"/>
      <c r="AB64" s="44"/>
      <c r="AD64" s="165"/>
      <c r="AF64" s="44"/>
      <c r="AL64" s="47"/>
      <c r="AM64" s="47"/>
      <c r="AN64" s="47"/>
    </row>
    <row r="65" spans="1:93" ht="21" customHeight="1" x14ac:dyDescent="0.25">
      <c r="B65" s="48"/>
      <c r="C65" s="48"/>
      <c r="D65" s="48"/>
      <c r="E65" s="48"/>
      <c r="F65" s="48"/>
      <c r="G65" s="48"/>
      <c r="H65" s="48"/>
      <c r="I65" s="48"/>
      <c r="J65" s="48"/>
      <c r="K65" s="48"/>
      <c r="AB65" s="44"/>
      <c r="AF65" s="44"/>
      <c r="AL65" s="47"/>
      <c r="AM65" s="47"/>
      <c r="AN65" s="47"/>
    </row>
    <row r="66" spans="1:93" ht="16.2" customHeight="1" x14ac:dyDescent="0.3">
      <c r="B66" s="48"/>
      <c r="C66" s="48"/>
      <c r="D66" s="48"/>
      <c r="E66" s="48"/>
      <c r="F66" s="48"/>
      <c r="G66" s="48"/>
      <c r="H66" s="48"/>
      <c r="I66" s="48"/>
      <c r="J66" s="48"/>
      <c r="K66" s="48"/>
      <c r="AB66" s="44"/>
      <c r="AD66" s="170"/>
      <c r="AE66" s="109"/>
      <c r="AF66" s="44"/>
      <c r="AL66" s="47"/>
      <c r="AM66" s="47"/>
      <c r="AN66" s="47"/>
    </row>
    <row r="67" spans="1:93" ht="12.75" customHeight="1" x14ac:dyDescent="0.3">
      <c r="B67" s="413" t="s">
        <v>250</v>
      </c>
      <c r="C67" s="411" t="s">
        <v>362</v>
      </c>
      <c r="D67" s="411" t="s">
        <v>363</v>
      </c>
      <c r="E67" s="411" t="s">
        <v>364</v>
      </c>
      <c r="F67" s="411" t="s">
        <v>259</v>
      </c>
      <c r="G67" s="411" t="s">
        <v>260</v>
      </c>
      <c r="H67" s="411" t="s">
        <v>252</v>
      </c>
      <c r="I67" s="171"/>
      <c r="J67" s="411" t="s">
        <v>265</v>
      </c>
      <c r="K67" s="411" t="s">
        <v>267</v>
      </c>
      <c r="AB67" s="44"/>
      <c r="AF67" s="44"/>
      <c r="AL67" s="47"/>
      <c r="AM67" s="47"/>
      <c r="AN67" s="47"/>
    </row>
    <row r="68" spans="1:93" ht="155.25" customHeight="1" x14ac:dyDescent="0.25">
      <c r="B68" s="414"/>
      <c r="C68" s="412" t="e">
        <v>#REF!</v>
      </c>
      <c r="D68" s="412" t="e">
        <v>#REF!</v>
      </c>
      <c r="E68" s="412" t="e">
        <v>#REF!</v>
      </c>
      <c r="F68" s="412" t="e">
        <v>#REF!</v>
      </c>
      <c r="G68" s="412" t="e">
        <v>#REF!</v>
      </c>
      <c r="H68" s="412"/>
      <c r="I68" s="172" t="s">
        <v>253</v>
      </c>
      <c r="J68" s="412"/>
      <c r="K68" s="412"/>
      <c r="AB68" s="44"/>
      <c r="AF68" s="44"/>
      <c r="AL68" s="47"/>
      <c r="AM68" s="47"/>
      <c r="AN68" s="47"/>
    </row>
    <row r="69" spans="1:93" ht="12.75" customHeight="1" x14ac:dyDescent="0.3">
      <c r="B69" s="167" t="s">
        <v>362</v>
      </c>
      <c r="C69" s="173">
        <f>(C59/C64)</f>
        <v>0.63157894736842113</v>
      </c>
      <c r="D69" s="173">
        <f>(D59/D64)</f>
        <v>0.66666666666666663</v>
      </c>
      <c r="E69" s="173">
        <f>(E59/E64)</f>
        <v>0.6</v>
      </c>
      <c r="F69" s="173">
        <f>(F59/F64)</f>
        <v>0</v>
      </c>
      <c r="G69" s="173">
        <f>(G59/G64)</f>
        <v>0</v>
      </c>
      <c r="H69" s="174">
        <f>SUM(C69:G69)</f>
        <v>1.8982456140350878</v>
      </c>
      <c r="I69" s="174">
        <f>(H69/H74)</f>
        <v>0.37964912280701757</v>
      </c>
      <c r="J69" s="175">
        <f>MMULT(C59:G59,I69:I73)/I69</f>
        <v>3.0175600739371538</v>
      </c>
      <c r="K69" s="175">
        <v>3.05811749842072</v>
      </c>
      <c r="AB69" s="44"/>
      <c r="AF69" s="44"/>
      <c r="AL69" s="47"/>
      <c r="AM69" s="47"/>
      <c r="AN69" s="47"/>
    </row>
    <row r="70" spans="1:93" ht="12.75" customHeight="1" x14ac:dyDescent="0.3">
      <c r="B70" s="167" t="s">
        <v>363</v>
      </c>
      <c r="C70" s="176">
        <f>(C60/C64)</f>
        <v>0.15789473684210528</v>
      </c>
      <c r="D70" s="176">
        <f>(D60/D64)</f>
        <v>0.16666666666666666</v>
      </c>
      <c r="E70" s="176">
        <f>(E60/E64)</f>
        <v>0.2</v>
      </c>
      <c r="F70" s="176">
        <f>(F60/F64)</f>
        <v>0</v>
      </c>
      <c r="G70" s="176">
        <f>(G60/G64)</f>
        <v>0</v>
      </c>
      <c r="H70" s="177">
        <f>SUM(C70:G70)</f>
        <v>0.52456140350877201</v>
      </c>
      <c r="I70" s="174">
        <f>(H70/H74)</f>
        <v>0.1049122807017544</v>
      </c>
      <c r="J70" s="175">
        <f>MMULT(C60:G60,I69:I73)/I70</f>
        <v>3.0050167224080266</v>
      </c>
      <c r="K70" s="175">
        <v>3.0147819660014781</v>
      </c>
      <c r="AB70" s="44"/>
      <c r="AF70" s="44"/>
      <c r="AL70" s="47"/>
      <c r="AM70" s="47"/>
      <c r="AN70" s="47"/>
    </row>
    <row r="71" spans="1:93" ht="12.75" customHeight="1" x14ac:dyDescent="0.3">
      <c r="B71" s="167" t="s">
        <v>364</v>
      </c>
      <c r="C71" s="178">
        <f>(C61/C64)</f>
        <v>0.21052631578947367</v>
      </c>
      <c r="D71" s="178">
        <f>(D61/D64)</f>
        <v>0.16666666666666666</v>
      </c>
      <c r="E71" s="178">
        <f>(E61/E64)</f>
        <v>0.2</v>
      </c>
      <c r="F71" s="178">
        <f>(F61/F64)</f>
        <v>0</v>
      </c>
      <c r="G71" s="178">
        <f>(G61/G64)</f>
        <v>0</v>
      </c>
      <c r="H71" s="179">
        <f>SUM(C71:G71)</f>
        <v>0.57719298245614037</v>
      </c>
      <c r="I71" s="174">
        <f>(H71/H74)</f>
        <v>0.11543859649122808</v>
      </c>
      <c r="J71" s="175">
        <f>MMULT(C61:G61,I69:I73)/I71</f>
        <v>3.0050658561296859</v>
      </c>
      <c r="K71" s="175">
        <v>3.0146981627296587</v>
      </c>
      <c r="AB71" s="44"/>
      <c r="AF71" s="44"/>
      <c r="AL71" s="47"/>
      <c r="AM71" s="47"/>
      <c r="AN71" s="47"/>
    </row>
    <row r="72" spans="1:93" ht="12.75" customHeight="1" x14ac:dyDescent="0.3">
      <c r="B72" s="167" t="s">
        <v>259</v>
      </c>
      <c r="C72" s="180">
        <f>(C62/C64)</f>
        <v>0</v>
      </c>
      <c r="D72" s="180">
        <f>(D62/D64)</f>
        <v>0</v>
      </c>
      <c r="E72" s="180">
        <f>(E62/E64)</f>
        <v>0</v>
      </c>
      <c r="F72" s="180">
        <f>(F62/F64)</f>
        <v>1</v>
      </c>
      <c r="G72" s="180">
        <f>(G62/G64)</f>
        <v>0</v>
      </c>
      <c r="H72" s="181">
        <f>SUM(C72:G72)</f>
        <v>1</v>
      </c>
      <c r="I72" s="174">
        <f>(H72/H74)</f>
        <v>0.2</v>
      </c>
      <c r="J72" s="175">
        <f>MMULT(C62:G62,I69:I73)/I72</f>
        <v>1</v>
      </c>
      <c r="K72" s="175">
        <v>1</v>
      </c>
      <c r="AB72" s="44"/>
      <c r="AF72" s="44"/>
      <c r="AL72" s="47"/>
      <c r="AM72" s="47"/>
      <c r="AN72" s="47"/>
    </row>
    <row r="73" spans="1:93" ht="12.75" customHeight="1" x14ac:dyDescent="0.3">
      <c r="B73" s="167" t="s">
        <v>260</v>
      </c>
      <c r="C73" s="182">
        <f>(C63/C64)</f>
        <v>0</v>
      </c>
      <c r="D73" s="182">
        <f>(D63/D64)</f>
        <v>0</v>
      </c>
      <c r="E73" s="182">
        <f>(E63/E64)</f>
        <v>0</v>
      </c>
      <c r="F73" s="182">
        <f>(F63/F64)</f>
        <v>0</v>
      </c>
      <c r="G73" s="182">
        <f>(G63/G64)</f>
        <v>1</v>
      </c>
      <c r="H73" s="183">
        <f>SUM(C73:G73)</f>
        <v>1</v>
      </c>
      <c r="I73" s="174">
        <f>(H73/H74)</f>
        <v>0.2</v>
      </c>
      <c r="J73" s="175">
        <f>MMULT(C63:G63,I69:I73)/I73</f>
        <v>1</v>
      </c>
      <c r="K73" s="175">
        <v>1</v>
      </c>
      <c r="AB73" s="44"/>
      <c r="AF73" s="44"/>
      <c r="AL73" s="47"/>
      <c r="AM73" s="47"/>
      <c r="AN73" s="47"/>
    </row>
    <row r="74" spans="1:93" ht="25.95" customHeight="1" x14ac:dyDescent="0.3">
      <c r="B74" s="151" t="s">
        <v>251</v>
      </c>
      <c r="C74" s="152">
        <f>SUM(C69:C73)</f>
        <v>1</v>
      </c>
      <c r="D74" s="152">
        <f>SUM(D69:D73)</f>
        <v>0.99999999999999989</v>
      </c>
      <c r="E74" s="152">
        <f>SUM(E69:E73)</f>
        <v>1</v>
      </c>
      <c r="F74" s="152">
        <f>SUM(F69:F73)</f>
        <v>1</v>
      </c>
      <c r="G74" s="152">
        <f>SUM(G69:G73)</f>
        <v>1</v>
      </c>
      <c r="H74" s="151">
        <v>5</v>
      </c>
      <c r="I74" s="184" t="s">
        <v>261</v>
      </c>
      <c r="J74" s="175">
        <f>((AVERAGE(J69:J73)-5)/4)</f>
        <v>-0.69861786737625664</v>
      </c>
      <c r="K74" s="175">
        <f>((AVERAGE(K69:K71)-3)/2)</f>
        <v>1.4599604525309395E-2</v>
      </c>
      <c r="AB74" s="44"/>
      <c r="AF74" s="44"/>
      <c r="AL74" s="47"/>
      <c r="AM74" s="47"/>
      <c r="AN74" s="47"/>
    </row>
    <row r="75" spans="1:93" s="50" customFormat="1" ht="27" customHeight="1" x14ac:dyDescent="0.3">
      <c r="B75" s="94"/>
      <c r="C75" s="94"/>
      <c r="D75" s="94"/>
      <c r="E75" s="94"/>
      <c r="F75" s="94"/>
      <c r="G75" s="94"/>
      <c r="H75" s="94"/>
      <c r="I75" s="185" t="s">
        <v>262</v>
      </c>
      <c r="J75" s="175">
        <v>0.52449999999999997</v>
      </c>
      <c r="K75" s="175">
        <v>1.1086</v>
      </c>
      <c r="L75" s="165"/>
      <c r="M75" s="94"/>
      <c r="N75" s="94"/>
      <c r="O75" s="94"/>
      <c r="P75" s="94"/>
      <c r="Q75" s="94"/>
      <c r="R75" s="94"/>
      <c r="S75" s="94"/>
      <c r="T75" s="94"/>
      <c r="U75" s="94"/>
      <c r="V75" s="94"/>
      <c r="W75" s="94"/>
      <c r="X75" s="94"/>
      <c r="Y75" s="94"/>
      <c r="Z75" s="94"/>
      <c r="AA75" s="94"/>
      <c r="AL75" s="47"/>
      <c r="AM75" s="47"/>
      <c r="AN75" s="47"/>
    </row>
    <row r="76" spans="1:93" ht="27" customHeight="1" x14ac:dyDescent="0.3">
      <c r="A76" s="48"/>
      <c r="B76" s="48"/>
      <c r="C76" s="47"/>
      <c r="D76" s="47"/>
      <c r="E76" s="47"/>
      <c r="F76" s="47"/>
      <c r="G76" s="47"/>
      <c r="H76" s="47"/>
      <c r="I76" s="186" t="s">
        <v>276</v>
      </c>
      <c r="J76" s="175">
        <f>J74/J75</f>
        <v>-1.3319692418994409</v>
      </c>
      <c r="K76" s="175">
        <f>K74/K75</f>
        <v>1.3169406932445784E-2</v>
      </c>
      <c r="L76" s="47"/>
      <c r="M76" s="47"/>
      <c r="N76" s="47"/>
      <c r="O76" s="47"/>
      <c r="P76" s="47"/>
      <c r="Q76" s="47"/>
      <c r="R76" s="47"/>
      <c r="S76" s="47"/>
      <c r="T76" s="47"/>
      <c r="U76" s="47"/>
      <c r="V76" s="47"/>
      <c r="W76" s="47"/>
      <c r="X76" s="47"/>
      <c r="Y76" s="47"/>
      <c r="Z76" s="47"/>
      <c r="AA76" s="47"/>
      <c r="AB76" s="47"/>
      <c r="AC76" s="47"/>
      <c r="AD76" s="47"/>
      <c r="AE76" s="47"/>
      <c r="AF76" s="47"/>
      <c r="AG76" s="47"/>
      <c r="AH76" s="47"/>
      <c r="AI76" s="47"/>
      <c r="AJ76" s="47"/>
      <c r="AK76" s="47"/>
      <c r="AL76" s="47"/>
      <c r="AM76" s="47"/>
      <c r="AN76" s="47"/>
      <c r="AO76" s="47"/>
      <c r="AP76" s="47"/>
      <c r="AQ76" s="47"/>
      <c r="AR76" s="47"/>
      <c r="AS76" s="47"/>
      <c r="AT76" s="47"/>
      <c r="AU76" s="47"/>
      <c r="AV76" s="47"/>
      <c r="AW76" s="47"/>
      <c r="AX76" s="47"/>
      <c r="AY76" s="47"/>
      <c r="AZ76" s="47"/>
      <c r="BA76" s="47"/>
      <c r="BB76" s="47"/>
      <c r="BC76" s="47"/>
      <c r="BD76" s="47"/>
      <c r="BE76" s="47"/>
      <c r="BF76" s="47"/>
      <c r="BG76" s="47"/>
      <c r="BH76" s="47"/>
      <c r="BI76" s="47"/>
      <c r="BJ76" s="47"/>
      <c r="BK76" s="47"/>
      <c r="BL76" s="47"/>
      <c r="BM76" s="47"/>
      <c r="BN76" s="47"/>
      <c r="BO76" s="47"/>
      <c r="BP76" s="47"/>
      <c r="BQ76" s="47"/>
      <c r="BR76" s="47"/>
      <c r="BS76" s="47"/>
      <c r="BT76" s="47"/>
      <c r="BU76" s="47"/>
      <c r="BV76" s="47"/>
      <c r="BW76" s="47"/>
      <c r="BX76" s="47"/>
      <c r="BY76" s="47"/>
      <c r="BZ76" s="47"/>
      <c r="CA76" s="47"/>
      <c r="CB76" s="47"/>
      <c r="CC76" s="47"/>
      <c r="CD76" s="47"/>
      <c r="CE76" s="47"/>
      <c r="CF76" s="47"/>
      <c r="CG76" s="47"/>
      <c r="CH76" s="47"/>
      <c r="CI76" s="47"/>
      <c r="CJ76" s="47"/>
      <c r="CK76" s="47"/>
      <c r="CL76" s="47"/>
      <c r="CM76" s="47"/>
      <c r="CN76" s="47"/>
      <c r="CO76" s="47"/>
    </row>
    <row r="77" spans="1:93" ht="30" customHeight="1" x14ac:dyDescent="0.25">
      <c r="A77" s="48"/>
      <c r="B77" s="48"/>
      <c r="C77" s="47"/>
      <c r="D77" s="47"/>
      <c r="E77" s="47"/>
      <c r="F77" s="49"/>
      <c r="G77" s="94"/>
      <c r="H77" s="94"/>
      <c r="I77" s="47"/>
      <c r="J77" s="47"/>
      <c r="K77" s="47"/>
      <c r="L77" s="47"/>
      <c r="M77" s="47"/>
      <c r="N77" s="47"/>
      <c r="O77" s="47"/>
      <c r="P77" s="47"/>
      <c r="Q77" s="47"/>
      <c r="R77" s="47"/>
      <c r="S77" s="47"/>
      <c r="T77" s="47"/>
      <c r="U77" s="47"/>
      <c r="V77" s="47"/>
      <c r="W77" s="47"/>
      <c r="X77" s="47"/>
      <c r="Y77" s="47"/>
      <c r="Z77" s="47"/>
      <c r="AA77" s="47"/>
      <c r="AB77" s="47"/>
      <c r="AC77" s="47"/>
      <c r="AD77" s="47"/>
      <c r="AE77" s="47"/>
      <c r="AF77" s="47"/>
      <c r="AG77" s="47"/>
      <c r="AH77" s="47"/>
      <c r="AI77" s="47"/>
      <c r="AJ77" s="47"/>
      <c r="AK77" s="47"/>
      <c r="AL77" s="47"/>
      <c r="AM77" s="47"/>
      <c r="AN77" s="47"/>
      <c r="AO77" s="47"/>
      <c r="AP77" s="47"/>
      <c r="AQ77" s="47"/>
      <c r="AR77" s="47"/>
      <c r="AS77" s="47"/>
      <c r="AT77" s="47"/>
      <c r="AU77" s="47"/>
      <c r="AV77" s="47"/>
      <c r="AW77" s="47"/>
      <c r="AX77" s="47"/>
      <c r="AY77" s="47"/>
      <c r="AZ77" s="47"/>
      <c r="BA77" s="47"/>
      <c r="BB77" s="47"/>
      <c r="BC77" s="47"/>
      <c r="BD77" s="47"/>
      <c r="BE77" s="47"/>
      <c r="BF77" s="47"/>
      <c r="BG77" s="47"/>
      <c r="BH77" s="47"/>
      <c r="BI77" s="47"/>
      <c r="BJ77" s="47"/>
      <c r="BK77" s="47"/>
      <c r="BL77" s="47"/>
      <c r="BM77" s="47"/>
      <c r="BN77" s="47"/>
      <c r="BO77" s="47"/>
      <c r="BP77" s="47"/>
      <c r="BQ77" s="47"/>
      <c r="BR77" s="47"/>
      <c r="BS77" s="47"/>
      <c r="BT77" s="47"/>
      <c r="BU77" s="47"/>
      <c r="BV77" s="47"/>
      <c r="BW77" s="47"/>
      <c r="BX77" s="47"/>
      <c r="BY77" s="47"/>
      <c r="BZ77" s="47"/>
      <c r="CA77" s="47"/>
      <c r="CB77" s="47"/>
      <c r="CC77" s="47"/>
      <c r="CD77" s="47"/>
      <c r="CE77" s="47"/>
      <c r="CF77" s="47"/>
      <c r="CG77" s="47"/>
      <c r="CH77" s="47"/>
      <c r="CI77" s="47"/>
      <c r="CJ77" s="47"/>
      <c r="CK77" s="47"/>
      <c r="CL77" s="47"/>
    </row>
    <row r="78" spans="1:93" ht="15.6" x14ac:dyDescent="0.3">
      <c r="A78" s="48"/>
      <c r="B78" s="48"/>
      <c r="C78" s="48"/>
      <c r="D78" s="343" t="s">
        <v>290</v>
      </c>
      <c r="E78" s="344"/>
      <c r="F78" s="344"/>
      <c r="G78" s="345"/>
      <c r="H78" s="49"/>
      <c r="I78" s="47"/>
      <c r="J78" s="47"/>
      <c r="K78" s="47"/>
      <c r="L78" s="47"/>
      <c r="M78" s="47"/>
      <c r="N78" s="47"/>
      <c r="O78" s="47"/>
      <c r="P78" s="47"/>
      <c r="Q78" s="47"/>
      <c r="R78" s="47"/>
      <c r="S78" s="47"/>
      <c r="T78" s="47"/>
      <c r="U78" s="47"/>
      <c r="V78" s="47"/>
      <c r="W78" s="47"/>
      <c r="X78" s="47"/>
      <c r="Y78" s="47"/>
      <c r="Z78" s="47"/>
      <c r="AA78" s="47"/>
      <c r="AB78" s="47"/>
      <c r="AC78" s="47"/>
      <c r="AD78" s="47"/>
      <c r="AE78" s="47"/>
      <c r="AF78" s="47"/>
      <c r="AG78" s="47"/>
      <c r="AH78" s="47"/>
      <c r="AI78" s="47"/>
      <c r="AJ78" s="47"/>
      <c r="AK78" s="47"/>
      <c r="AL78" s="47"/>
      <c r="AM78" s="47"/>
      <c r="AN78" s="47"/>
      <c r="AO78" s="47"/>
      <c r="AP78" s="47"/>
      <c r="AQ78" s="47"/>
      <c r="AR78" s="47"/>
      <c r="AS78" s="47"/>
      <c r="AT78" s="47"/>
      <c r="AU78" s="47"/>
      <c r="AV78" s="47"/>
      <c r="AW78" s="47"/>
      <c r="AX78" s="47"/>
      <c r="AY78" s="47"/>
      <c r="AZ78" s="47"/>
      <c r="BA78" s="47"/>
      <c r="BB78" s="47"/>
      <c r="BC78" s="47"/>
      <c r="BD78" s="47"/>
      <c r="BE78" s="47"/>
      <c r="BF78" s="47"/>
      <c r="BG78" s="47"/>
      <c r="BH78" s="47"/>
      <c r="BI78" s="47"/>
      <c r="BJ78" s="47"/>
      <c r="BK78" s="47"/>
      <c r="BL78" s="47"/>
      <c r="BM78" s="47"/>
      <c r="BN78" s="47"/>
      <c r="BO78" s="47"/>
      <c r="BP78" s="47"/>
      <c r="BQ78" s="47"/>
      <c r="BR78" s="47"/>
      <c r="BS78" s="47"/>
      <c r="BT78" s="47"/>
      <c r="BU78" s="47"/>
      <c r="BV78" s="47"/>
      <c r="BW78" s="47"/>
      <c r="BX78" s="47"/>
      <c r="BY78" s="47"/>
      <c r="BZ78" s="47"/>
      <c r="CA78" s="47"/>
      <c r="CB78" s="47"/>
      <c r="CC78" s="47"/>
      <c r="CD78" s="47"/>
      <c r="CE78" s="47"/>
      <c r="CF78" s="47"/>
      <c r="CG78" s="47"/>
      <c r="CH78" s="47"/>
      <c r="CI78" s="47"/>
      <c r="CJ78" s="47"/>
      <c r="CK78" s="47"/>
      <c r="CL78" s="47"/>
    </row>
    <row r="79" spans="1:93" ht="22.8" x14ac:dyDescent="0.4">
      <c r="A79" s="48"/>
      <c r="B79" s="48"/>
      <c r="C79" s="48"/>
      <c r="D79" s="187" t="s">
        <v>287</v>
      </c>
      <c r="E79" s="188" t="s">
        <v>288</v>
      </c>
      <c r="F79" s="187" t="s">
        <v>289</v>
      </c>
      <c r="G79" s="189">
        <v>9</v>
      </c>
      <c r="H79" s="49"/>
      <c r="I79" s="47"/>
      <c r="J79" s="47"/>
      <c r="K79" s="47"/>
      <c r="L79" s="47"/>
      <c r="M79" s="47"/>
      <c r="N79" s="47"/>
      <c r="O79" s="47"/>
      <c r="P79" s="47"/>
      <c r="Q79" s="47"/>
      <c r="R79" s="47"/>
      <c r="S79" s="47"/>
      <c r="T79" s="47"/>
      <c r="U79" s="47"/>
      <c r="V79" s="47"/>
      <c r="W79" s="47"/>
      <c r="X79" s="47"/>
      <c r="Y79" s="47"/>
      <c r="Z79" s="47"/>
      <c r="AA79" s="47"/>
      <c r="AB79" s="47"/>
      <c r="AC79" s="47"/>
      <c r="AD79" s="47"/>
      <c r="AE79" s="47"/>
      <c r="AF79" s="47"/>
      <c r="AG79" s="47"/>
      <c r="AH79" s="47"/>
      <c r="AI79" s="47"/>
      <c r="AJ79" s="47"/>
      <c r="AK79" s="47"/>
      <c r="AL79" s="47"/>
      <c r="AM79" s="47"/>
      <c r="AN79" s="47"/>
      <c r="AO79" s="47"/>
      <c r="AP79" s="47"/>
      <c r="AQ79" s="47"/>
      <c r="AR79" s="47"/>
      <c r="AS79" s="47"/>
      <c r="AT79" s="47"/>
      <c r="AU79" s="47"/>
      <c r="AV79" s="47"/>
      <c r="AW79" s="47"/>
      <c r="AX79" s="47"/>
      <c r="AY79" s="47"/>
      <c r="AZ79" s="47"/>
      <c r="BA79" s="47"/>
      <c r="BB79" s="47"/>
      <c r="BC79" s="47"/>
      <c r="BD79" s="47"/>
      <c r="BE79" s="47"/>
      <c r="BF79" s="47"/>
      <c r="BG79" s="47"/>
      <c r="BH79" s="47"/>
      <c r="BI79" s="47"/>
      <c r="BJ79" s="47"/>
      <c r="BK79" s="47"/>
      <c r="BL79" s="47"/>
      <c r="BM79" s="47"/>
      <c r="BN79" s="47"/>
      <c r="BO79" s="47"/>
      <c r="BP79" s="47"/>
      <c r="BQ79" s="47"/>
      <c r="BR79" s="47"/>
      <c r="BS79" s="47"/>
      <c r="BT79" s="47"/>
      <c r="BU79" s="47"/>
      <c r="BV79" s="47"/>
      <c r="BW79" s="47"/>
      <c r="BX79" s="47"/>
      <c r="BY79" s="47"/>
      <c r="BZ79" s="47"/>
      <c r="CA79" s="47"/>
      <c r="CB79" s="47"/>
      <c r="CC79" s="47"/>
      <c r="CD79" s="47"/>
      <c r="CE79" s="47"/>
      <c r="CF79" s="47"/>
      <c r="CG79" s="47"/>
      <c r="CH79" s="47"/>
      <c r="CI79" s="47"/>
      <c r="CJ79" s="47"/>
      <c r="CK79" s="47"/>
      <c r="CL79" s="47"/>
    </row>
    <row r="80" spans="1:93" ht="22.8" x14ac:dyDescent="0.4">
      <c r="A80" s="48"/>
      <c r="B80" s="48"/>
      <c r="C80" s="48"/>
      <c r="D80" s="187" t="s">
        <v>287</v>
      </c>
      <c r="E80" s="188" t="s">
        <v>279</v>
      </c>
      <c r="F80" s="187" t="s">
        <v>289</v>
      </c>
      <c r="G80" s="189">
        <v>7</v>
      </c>
      <c r="H80" s="49"/>
      <c r="I80" s="47"/>
      <c r="J80" s="47"/>
      <c r="K80" s="47"/>
      <c r="L80" s="47"/>
      <c r="M80" s="47"/>
      <c r="N80" s="47"/>
      <c r="O80" s="47"/>
      <c r="P80" s="47"/>
      <c r="Q80" s="47"/>
      <c r="R80" s="47"/>
      <c r="S80" s="47"/>
      <c r="T80" s="47"/>
      <c r="U80" s="47"/>
      <c r="V80" s="47"/>
      <c r="W80" s="47"/>
      <c r="X80" s="47"/>
      <c r="Y80" s="47"/>
      <c r="Z80" s="47"/>
      <c r="AA80" s="47"/>
      <c r="AB80" s="47"/>
      <c r="AC80" s="47"/>
      <c r="AD80" s="47"/>
      <c r="AE80" s="47"/>
      <c r="AF80" s="47"/>
      <c r="AG80" s="47"/>
      <c r="AH80" s="47"/>
      <c r="AL80" s="47"/>
      <c r="AM80" s="47"/>
      <c r="AN80" s="47"/>
      <c r="AO80" s="47"/>
      <c r="AP80" s="47"/>
      <c r="AQ80" s="47"/>
      <c r="AR80" s="47"/>
      <c r="AS80" s="47"/>
      <c r="AT80" s="47"/>
      <c r="AU80" s="47"/>
      <c r="AV80" s="47"/>
      <c r="AW80" s="47"/>
      <c r="AX80" s="47"/>
      <c r="AY80" s="47"/>
      <c r="AZ80" s="47"/>
      <c r="BA80" s="47"/>
      <c r="BB80" s="47"/>
      <c r="BC80" s="47"/>
      <c r="BD80" s="47"/>
      <c r="BE80" s="47"/>
      <c r="BF80" s="47"/>
      <c r="BG80" s="47"/>
      <c r="BH80" s="47"/>
      <c r="BI80" s="47"/>
      <c r="BJ80" s="47"/>
      <c r="BK80" s="47"/>
      <c r="BL80" s="47"/>
      <c r="BM80" s="47"/>
      <c r="BN80" s="47"/>
      <c r="BO80" s="47"/>
      <c r="BP80" s="47"/>
      <c r="BQ80" s="47"/>
      <c r="BR80" s="47"/>
      <c r="BS80" s="47"/>
      <c r="BT80" s="47"/>
      <c r="BU80" s="47"/>
      <c r="BV80" s="47"/>
      <c r="BW80" s="47"/>
      <c r="BX80" s="47"/>
      <c r="BY80" s="47"/>
      <c r="BZ80" s="47"/>
      <c r="CA80" s="47"/>
      <c r="CB80" s="47"/>
      <c r="CC80" s="47"/>
      <c r="CD80" s="47"/>
      <c r="CE80" s="47"/>
      <c r="CF80" s="47"/>
      <c r="CG80" s="47"/>
      <c r="CH80" s="47"/>
      <c r="CI80" s="47"/>
      <c r="CJ80" s="47"/>
      <c r="CK80" s="47"/>
      <c r="CL80" s="47"/>
    </row>
    <row r="81" spans="2:90" ht="22.8" x14ac:dyDescent="0.4">
      <c r="B81" s="48"/>
      <c r="C81" s="48"/>
      <c r="D81" s="187" t="s">
        <v>287</v>
      </c>
      <c r="E81" s="188" t="s">
        <v>280</v>
      </c>
      <c r="F81" s="187" t="s">
        <v>289</v>
      </c>
      <c r="G81" s="189">
        <v>5</v>
      </c>
      <c r="H81" s="49"/>
      <c r="I81" s="47"/>
      <c r="J81" s="47"/>
      <c r="K81" s="47"/>
      <c r="L81" s="47"/>
      <c r="M81" s="47"/>
      <c r="N81" s="47"/>
      <c r="O81" s="47"/>
      <c r="P81" s="47"/>
      <c r="Q81" s="47"/>
      <c r="R81" s="47"/>
      <c r="S81" s="47"/>
      <c r="T81" s="47"/>
      <c r="U81" s="47"/>
      <c r="V81" s="47"/>
      <c r="W81" s="47"/>
      <c r="X81" s="47"/>
      <c r="Y81" s="47"/>
      <c r="Z81" s="47"/>
      <c r="AA81" s="47"/>
      <c r="AB81" s="47"/>
      <c r="AC81" s="47"/>
      <c r="AD81" s="47"/>
      <c r="AE81" s="47"/>
      <c r="AF81" s="47"/>
      <c r="AG81" s="47"/>
      <c r="AH81" s="47"/>
      <c r="AI81" s="47"/>
      <c r="AJ81" s="47"/>
      <c r="AK81" s="47"/>
      <c r="AL81" s="47"/>
      <c r="AM81" s="47"/>
      <c r="AN81" s="47"/>
      <c r="AO81" s="47"/>
      <c r="AP81" s="47"/>
      <c r="AQ81" s="47"/>
      <c r="AR81" s="47"/>
      <c r="AS81" s="47"/>
      <c r="AT81" s="47"/>
      <c r="AU81" s="47"/>
      <c r="AV81" s="47"/>
      <c r="AW81" s="47"/>
      <c r="AX81" s="47"/>
      <c r="AY81" s="47"/>
      <c r="AZ81" s="47"/>
      <c r="BA81" s="47"/>
      <c r="BB81" s="47"/>
      <c r="BC81" s="47"/>
      <c r="BD81" s="47"/>
      <c r="BE81" s="47"/>
      <c r="BF81" s="47"/>
      <c r="BG81" s="47"/>
      <c r="BH81" s="47"/>
      <c r="BI81" s="47"/>
      <c r="BJ81" s="47"/>
      <c r="BK81" s="47"/>
      <c r="BL81" s="47"/>
      <c r="BM81" s="47"/>
      <c r="BN81" s="47"/>
      <c r="BO81" s="47"/>
      <c r="BP81" s="47"/>
      <c r="BQ81" s="47"/>
      <c r="BR81" s="47"/>
      <c r="BS81" s="47"/>
      <c r="BT81" s="47"/>
      <c r="BU81" s="47"/>
      <c r="BV81" s="47"/>
      <c r="BW81" s="47"/>
      <c r="BX81" s="47"/>
      <c r="BY81" s="47"/>
      <c r="BZ81" s="47"/>
      <c r="CA81" s="47"/>
      <c r="CB81" s="47"/>
      <c r="CC81" s="47"/>
      <c r="CD81" s="47"/>
      <c r="CE81" s="47"/>
      <c r="CF81" s="47"/>
      <c r="CG81" s="47"/>
      <c r="CH81" s="47"/>
      <c r="CI81" s="47"/>
      <c r="CJ81" s="47"/>
      <c r="CK81" s="47"/>
      <c r="CL81" s="47"/>
    </row>
    <row r="82" spans="2:90" ht="22.8" x14ac:dyDescent="0.4">
      <c r="B82" s="48"/>
      <c r="C82" s="48"/>
      <c r="D82" s="187" t="s">
        <v>287</v>
      </c>
      <c r="E82" s="188" t="s">
        <v>281</v>
      </c>
      <c r="F82" s="187" t="s">
        <v>289</v>
      </c>
      <c r="G82" s="189">
        <v>3</v>
      </c>
      <c r="H82" s="49"/>
      <c r="I82" s="47"/>
      <c r="J82" s="47"/>
      <c r="K82" s="47"/>
      <c r="L82" s="47"/>
      <c r="M82" s="47"/>
      <c r="N82" s="47"/>
      <c r="O82" s="47"/>
      <c r="P82" s="47"/>
      <c r="Q82" s="47"/>
      <c r="R82" s="47"/>
      <c r="S82" s="47"/>
      <c r="T82" s="47"/>
      <c r="U82" s="47"/>
      <c r="V82" s="47"/>
      <c r="W82" s="47"/>
      <c r="X82" s="47"/>
      <c r="Y82" s="47"/>
      <c r="Z82" s="47"/>
      <c r="AA82" s="47"/>
      <c r="AB82" s="47"/>
      <c r="AC82" s="47"/>
      <c r="AD82" s="47"/>
      <c r="AE82" s="47"/>
      <c r="AF82" s="47"/>
      <c r="AG82" s="47"/>
      <c r="AH82" s="47"/>
      <c r="AI82" s="47"/>
      <c r="AJ82" s="47"/>
      <c r="AK82" s="47"/>
      <c r="AL82" s="47"/>
      <c r="AM82" s="47"/>
      <c r="AN82" s="47"/>
      <c r="AO82" s="47"/>
      <c r="AP82" s="47"/>
      <c r="AQ82" s="47"/>
      <c r="AR82" s="47"/>
      <c r="AS82" s="47"/>
      <c r="AT82" s="47"/>
      <c r="AU82" s="47"/>
      <c r="AV82" s="47"/>
      <c r="AW82" s="47"/>
      <c r="AX82" s="47"/>
      <c r="AY82" s="47"/>
      <c r="AZ82" s="47"/>
      <c r="BA82" s="47"/>
      <c r="BB82" s="47"/>
      <c r="BC82" s="47"/>
      <c r="BD82" s="47"/>
      <c r="BE82" s="47"/>
      <c r="BF82" s="47"/>
      <c r="BG82" s="47"/>
      <c r="BH82" s="47"/>
      <c r="BI82" s="47"/>
      <c r="BJ82" s="47"/>
      <c r="BK82" s="47"/>
      <c r="BL82" s="47"/>
      <c r="BM82" s="47"/>
      <c r="BN82" s="47"/>
      <c r="BO82" s="47"/>
      <c r="BP82" s="47"/>
      <c r="BQ82" s="47"/>
      <c r="BR82" s="47"/>
      <c r="BS82" s="47"/>
      <c r="BT82" s="47"/>
      <c r="BU82" s="47"/>
      <c r="BV82" s="47"/>
      <c r="BW82" s="47"/>
      <c r="BX82" s="47"/>
      <c r="BY82" s="47"/>
      <c r="BZ82" s="47"/>
      <c r="CA82" s="47"/>
      <c r="CB82" s="47"/>
      <c r="CC82" s="47"/>
      <c r="CD82" s="47"/>
      <c r="CE82" s="47"/>
      <c r="CF82" s="47"/>
      <c r="CG82" s="47"/>
      <c r="CH82" s="47"/>
      <c r="CI82" s="47"/>
      <c r="CJ82" s="47"/>
      <c r="CK82" s="47"/>
      <c r="CL82" s="47"/>
    </row>
    <row r="83" spans="2:90" ht="18.600000000000001" customHeight="1" x14ac:dyDescent="0.4">
      <c r="B83" s="48"/>
      <c r="C83" s="48"/>
      <c r="D83" s="187" t="s">
        <v>287</v>
      </c>
      <c r="E83" s="188" t="s">
        <v>282</v>
      </c>
      <c r="F83" s="187" t="s">
        <v>289</v>
      </c>
      <c r="G83" s="189">
        <v>1</v>
      </c>
      <c r="H83" s="49"/>
      <c r="I83" s="47"/>
      <c r="J83" s="47"/>
      <c r="K83" s="47"/>
      <c r="L83" s="47"/>
      <c r="M83" s="47"/>
      <c r="N83" s="47"/>
      <c r="O83" s="47"/>
      <c r="P83" s="47"/>
      <c r="Q83" s="47"/>
      <c r="R83" s="47"/>
      <c r="S83" s="47"/>
      <c r="T83" s="47"/>
      <c r="U83" s="47"/>
      <c r="V83" s="47"/>
      <c r="W83" s="47"/>
      <c r="X83" s="47"/>
      <c r="Y83" s="47"/>
      <c r="Z83" s="47"/>
      <c r="AA83" s="47"/>
      <c r="AB83" s="47"/>
      <c r="AC83" s="47"/>
      <c r="AD83" s="47"/>
      <c r="AE83" s="47"/>
      <c r="AF83" s="47"/>
      <c r="AG83" s="47"/>
      <c r="AH83" s="47"/>
      <c r="AI83" s="47"/>
      <c r="AJ83" s="47"/>
      <c r="AK83" s="47"/>
      <c r="AL83" s="47"/>
      <c r="AM83" s="47"/>
      <c r="AN83" s="47"/>
      <c r="AO83" s="47"/>
      <c r="AP83" s="47"/>
      <c r="AQ83" s="47"/>
      <c r="AR83" s="47"/>
      <c r="AS83" s="47"/>
      <c r="AT83" s="47"/>
      <c r="AU83" s="47"/>
      <c r="AV83" s="47"/>
      <c r="AW83" s="47"/>
      <c r="AX83" s="47"/>
      <c r="AY83" s="47"/>
      <c r="AZ83" s="47"/>
      <c r="BA83" s="47"/>
      <c r="BB83" s="47"/>
      <c r="BC83" s="47"/>
      <c r="BD83" s="47"/>
      <c r="BE83" s="47"/>
      <c r="BF83" s="47"/>
      <c r="BG83" s="47"/>
      <c r="BH83" s="47"/>
      <c r="BI83" s="47"/>
      <c r="BJ83" s="47"/>
      <c r="BK83" s="47"/>
      <c r="BL83" s="47"/>
      <c r="BM83" s="47"/>
      <c r="BN83" s="47"/>
      <c r="BO83" s="47"/>
      <c r="BP83" s="47"/>
      <c r="BQ83" s="47"/>
      <c r="BR83" s="47"/>
      <c r="BS83" s="47"/>
      <c r="BT83" s="47"/>
      <c r="BU83" s="47"/>
      <c r="BV83" s="47"/>
      <c r="BW83" s="47"/>
      <c r="BX83" s="47"/>
      <c r="BY83" s="47"/>
      <c r="BZ83" s="47"/>
      <c r="CA83" s="47"/>
      <c r="CB83" s="47"/>
      <c r="CC83" s="47"/>
      <c r="CD83" s="47"/>
      <c r="CE83" s="47"/>
      <c r="CF83" s="47"/>
      <c r="CG83" s="47"/>
      <c r="CH83" s="47"/>
      <c r="CI83" s="47"/>
      <c r="CJ83" s="47"/>
      <c r="CK83" s="47"/>
      <c r="CL83" s="47"/>
    </row>
    <row r="84" spans="2:90" ht="22.8" x14ac:dyDescent="0.4">
      <c r="B84" s="48"/>
      <c r="C84" s="48"/>
      <c r="D84" s="187" t="s">
        <v>289</v>
      </c>
      <c r="E84" s="188" t="s">
        <v>281</v>
      </c>
      <c r="F84" s="187" t="s">
        <v>287</v>
      </c>
      <c r="G84" s="189" t="s">
        <v>283</v>
      </c>
      <c r="H84" s="48"/>
      <c r="I84" s="48"/>
      <c r="J84" s="48"/>
      <c r="K84" s="48"/>
      <c r="L84" s="48"/>
      <c r="M84" s="48"/>
      <c r="N84" s="48"/>
      <c r="O84" s="48"/>
      <c r="P84" s="48"/>
      <c r="Q84" s="48"/>
      <c r="R84" s="48"/>
      <c r="S84" s="48"/>
      <c r="T84" s="48"/>
      <c r="U84" s="48"/>
      <c r="V84" s="48"/>
      <c r="W84" s="48"/>
      <c r="X84" s="48"/>
      <c r="Y84" s="48"/>
      <c r="AB84" s="44"/>
      <c r="AC84" s="49"/>
      <c r="AF84" s="44"/>
    </row>
    <row r="85" spans="2:90" ht="22.8" x14ac:dyDescent="0.4">
      <c r="B85" s="48"/>
      <c r="C85" s="48"/>
      <c r="D85" s="187" t="s">
        <v>289</v>
      </c>
      <c r="E85" s="188" t="s">
        <v>280</v>
      </c>
      <c r="F85" s="187" t="s">
        <v>287</v>
      </c>
      <c r="G85" s="189" t="s">
        <v>284</v>
      </c>
      <c r="H85" s="48"/>
      <c r="I85" s="48"/>
      <c r="J85" s="48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  <c r="W85" s="48"/>
      <c r="X85" s="48"/>
      <c r="Y85" s="48"/>
      <c r="AB85" s="44"/>
      <c r="AC85" s="49"/>
      <c r="AF85" s="44"/>
    </row>
    <row r="86" spans="2:90" ht="22.8" x14ac:dyDescent="0.4">
      <c r="B86" s="48"/>
      <c r="C86" s="48"/>
      <c r="D86" s="187" t="s">
        <v>289</v>
      </c>
      <c r="E86" s="188" t="s">
        <v>279</v>
      </c>
      <c r="F86" s="187" t="s">
        <v>287</v>
      </c>
      <c r="G86" s="189" t="s">
        <v>285</v>
      </c>
      <c r="H86" s="48"/>
      <c r="I86" s="48"/>
      <c r="J86" s="48"/>
      <c r="K86" s="48"/>
      <c r="L86" s="48"/>
      <c r="M86" s="48"/>
      <c r="N86" s="48"/>
      <c r="O86" s="48"/>
      <c r="P86" s="48"/>
      <c r="Q86" s="48"/>
      <c r="R86" s="48"/>
      <c r="S86" s="48"/>
      <c r="T86" s="48"/>
      <c r="U86" s="48"/>
      <c r="V86" s="48"/>
      <c r="W86" s="48"/>
      <c r="X86" s="48"/>
      <c r="Y86" s="48"/>
      <c r="AB86" s="44"/>
      <c r="AC86" s="49"/>
      <c r="AF86" s="44"/>
    </row>
    <row r="87" spans="2:90" ht="22.8" x14ac:dyDescent="0.4">
      <c r="B87" s="48"/>
      <c r="C87" s="48"/>
      <c r="D87" s="187" t="s">
        <v>289</v>
      </c>
      <c r="E87" s="188" t="s">
        <v>278</v>
      </c>
      <c r="F87" s="187" t="s">
        <v>287</v>
      </c>
      <c r="G87" s="189" t="s">
        <v>286</v>
      </c>
      <c r="H87" s="48"/>
      <c r="I87" s="48"/>
      <c r="J87" s="48"/>
      <c r="K87" s="48"/>
      <c r="L87" s="48"/>
      <c r="M87" s="48"/>
      <c r="N87" s="48"/>
      <c r="O87" s="48"/>
      <c r="P87" s="48"/>
      <c r="Q87" s="48"/>
      <c r="R87" s="48"/>
      <c r="S87" s="48"/>
      <c r="T87" s="48"/>
      <c r="U87" s="48"/>
      <c r="V87" s="48"/>
      <c r="W87" s="48"/>
      <c r="X87" s="48"/>
      <c r="Y87" s="48"/>
      <c r="AB87" s="44"/>
      <c r="AC87" s="49"/>
      <c r="AF87" s="44"/>
    </row>
    <row r="88" spans="2:90" ht="22.8" x14ac:dyDescent="0.4">
      <c r="B88" s="48"/>
      <c r="C88" s="48"/>
      <c r="D88" s="187" t="s">
        <v>287</v>
      </c>
      <c r="E88" s="188" t="s">
        <v>292</v>
      </c>
      <c r="F88" s="187" t="s">
        <v>289</v>
      </c>
      <c r="G88" s="189">
        <v>0</v>
      </c>
      <c r="H88" s="48"/>
      <c r="I88" s="48"/>
      <c r="J88" s="48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  <c r="W88" s="48"/>
      <c r="X88" s="48"/>
      <c r="Y88" s="48"/>
      <c r="AB88" s="44"/>
      <c r="AC88" s="49"/>
      <c r="AF88" s="44"/>
    </row>
    <row r="89" spans="2:90" ht="12.75" customHeight="1" x14ac:dyDescent="0.25">
      <c r="B89" s="48"/>
      <c r="C89" s="48"/>
      <c r="D89" s="48"/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  <c r="P89" s="48"/>
      <c r="Q89" s="48"/>
      <c r="R89" s="48"/>
      <c r="S89" s="48"/>
      <c r="T89" s="48"/>
      <c r="U89" s="48"/>
      <c r="V89" s="48"/>
      <c r="W89" s="48"/>
      <c r="X89" s="48"/>
      <c r="Y89" s="48"/>
      <c r="Z89" s="48"/>
      <c r="AA89" s="48"/>
      <c r="AC89" s="47"/>
      <c r="AD89" s="47"/>
      <c r="AE89" s="47"/>
      <c r="AG89" s="47"/>
      <c r="AH89" s="47"/>
      <c r="AI89" s="47"/>
      <c r="AJ89" s="47"/>
      <c r="AK89" s="47"/>
      <c r="AL89" s="47"/>
      <c r="AM89" s="47"/>
      <c r="AN89" s="47"/>
      <c r="AO89" s="47"/>
      <c r="AP89" s="47"/>
      <c r="AQ89" s="47"/>
      <c r="AR89" s="47"/>
      <c r="AS89" s="47"/>
    </row>
    <row r="90" spans="2:90" ht="12.75" customHeight="1" x14ac:dyDescent="0.25">
      <c r="B90" s="48"/>
      <c r="C90" s="48"/>
      <c r="D90" s="48"/>
      <c r="E90" s="48"/>
      <c r="F90" s="48"/>
      <c r="G90" s="48"/>
      <c r="H90" s="48"/>
      <c r="I90" s="48"/>
      <c r="J90" s="48"/>
      <c r="K90" s="48"/>
      <c r="L90" s="48"/>
      <c r="M90" s="48"/>
      <c r="N90" s="48"/>
      <c r="O90" s="48"/>
      <c r="P90" s="48"/>
      <c r="Q90" s="48"/>
      <c r="R90" s="48"/>
      <c r="S90" s="48"/>
      <c r="T90" s="48"/>
      <c r="U90" s="48"/>
      <c r="V90" s="48"/>
      <c r="W90" s="48"/>
      <c r="X90" s="48"/>
      <c r="Y90" s="48"/>
      <c r="Z90" s="48"/>
      <c r="AA90" s="48"/>
      <c r="AC90" s="47"/>
      <c r="AD90" s="47"/>
      <c r="AE90" s="47"/>
      <c r="AG90" s="47"/>
      <c r="AH90" s="47"/>
      <c r="AI90" s="47"/>
      <c r="AJ90" s="47"/>
      <c r="AK90" s="47"/>
      <c r="AL90" s="47"/>
      <c r="AM90" s="47"/>
      <c r="AN90" s="47"/>
      <c r="AO90" s="47"/>
      <c r="AP90" s="47"/>
      <c r="AQ90" s="47"/>
      <c r="AR90" s="47"/>
      <c r="AS90" s="47"/>
    </row>
    <row r="91" spans="2:90" ht="12.75" customHeight="1" x14ac:dyDescent="0.25">
      <c r="B91" s="48"/>
      <c r="C91" s="48"/>
      <c r="D91" s="48"/>
      <c r="E91" s="48"/>
      <c r="F91" s="48"/>
      <c r="G91" s="48"/>
      <c r="H91" s="48"/>
      <c r="I91" s="48"/>
      <c r="J91" s="48"/>
      <c r="K91" s="48"/>
      <c r="L91" s="48"/>
      <c r="M91" s="48"/>
      <c r="N91" s="48"/>
      <c r="O91" s="48"/>
      <c r="P91" s="48"/>
      <c r="Q91" s="48"/>
      <c r="R91" s="48"/>
      <c r="S91" s="48"/>
      <c r="T91" s="48"/>
      <c r="U91" s="48"/>
      <c r="V91" s="48"/>
      <c r="W91" s="48"/>
      <c r="X91" s="48"/>
      <c r="Y91" s="48"/>
      <c r="Z91" s="48"/>
      <c r="AA91" s="48"/>
      <c r="AC91" s="47"/>
      <c r="AD91" s="47"/>
      <c r="AE91" s="47"/>
      <c r="AG91" s="47"/>
      <c r="AH91" s="47"/>
      <c r="AI91" s="47"/>
      <c r="AJ91" s="47"/>
      <c r="AK91" s="47"/>
      <c r="AL91" s="47"/>
      <c r="AM91" s="47"/>
      <c r="AN91" s="47"/>
      <c r="AO91" s="47"/>
      <c r="AP91" s="47"/>
      <c r="AQ91" s="47"/>
      <c r="AR91" s="47"/>
      <c r="AS91" s="47"/>
    </row>
    <row r="92" spans="2:90" ht="12.75" customHeight="1" x14ac:dyDescent="0.25">
      <c r="B92" s="48"/>
      <c r="C92" s="48"/>
      <c r="D92" s="48"/>
      <c r="E92" s="48"/>
      <c r="F92" s="48"/>
      <c r="G92" s="48"/>
      <c r="H92" s="48"/>
      <c r="I92" s="48"/>
      <c r="J92" s="48"/>
      <c r="K92" s="48"/>
      <c r="L92" s="48"/>
      <c r="M92" s="48"/>
      <c r="N92" s="48"/>
      <c r="O92" s="48"/>
      <c r="P92" s="48"/>
      <c r="Q92" s="48"/>
      <c r="R92" s="48"/>
      <c r="S92" s="48"/>
      <c r="T92" s="48"/>
      <c r="U92" s="48"/>
      <c r="V92" s="48"/>
      <c r="W92" s="48"/>
      <c r="X92" s="48"/>
      <c r="Y92" s="48"/>
      <c r="Z92" s="48"/>
      <c r="AA92" s="48"/>
      <c r="AC92" s="47"/>
      <c r="AD92" s="47"/>
      <c r="AE92" s="47"/>
      <c r="AG92" s="47"/>
      <c r="AH92" s="47"/>
      <c r="AI92" s="47"/>
      <c r="AJ92" s="47"/>
      <c r="AK92" s="47"/>
      <c r="AL92" s="47"/>
      <c r="AM92" s="47"/>
      <c r="AN92" s="47"/>
      <c r="AO92" s="47"/>
      <c r="AP92" s="47"/>
      <c r="AQ92" s="47"/>
      <c r="AR92" s="47"/>
      <c r="AS92" s="47"/>
    </row>
    <row r="93" spans="2:90" ht="12.75" customHeight="1" x14ac:dyDescent="0.25">
      <c r="B93" s="48"/>
      <c r="C93" s="48"/>
      <c r="D93" s="48"/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  <c r="P93" s="48"/>
      <c r="Q93" s="48"/>
      <c r="R93" s="48"/>
      <c r="S93" s="48"/>
      <c r="T93" s="48"/>
      <c r="U93" s="48"/>
      <c r="V93" s="48"/>
      <c r="W93" s="48"/>
      <c r="X93" s="48"/>
      <c r="Y93" s="48"/>
      <c r="Z93" s="48"/>
      <c r="AA93" s="48"/>
      <c r="AC93" s="47"/>
      <c r="AD93" s="47"/>
      <c r="AE93" s="47"/>
      <c r="AG93" s="47"/>
      <c r="AH93" s="47"/>
      <c r="AI93" s="47"/>
      <c r="AJ93" s="47"/>
      <c r="AK93" s="47"/>
      <c r="AL93" s="47"/>
      <c r="AM93" s="47"/>
      <c r="AN93" s="47"/>
      <c r="AO93" s="47"/>
      <c r="AP93" s="47"/>
      <c r="AQ93" s="47"/>
      <c r="AR93" s="47"/>
      <c r="AS93" s="47"/>
    </row>
    <row r="94" spans="2:90" ht="12.75" customHeight="1" x14ac:dyDescent="0.25">
      <c r="B94" s="48"/>
      <c r="C94" s="48"/>
      <c r="D94" s="48"/>
      <c r="E94" s="48"/>
      <c r="F94" s="48"/>
      <c r="G94" s="48"/>
      <c r="H94" s="48"/>
      <c r="I94" s="48"/>
      <c r="J94" s="48"/>
      <c r="K94" s="48"/>
      <c r="L94" s="48"/>
      <c r="M94" s="48"/>
      <c r="N94" s="48"/>
      <c r="O94" s="48"/>
      <c r="P94" s="48"/>
      <c r="Q94" s="48"/>
      <c r="R94" s="48"/>
      <c r="S94" s="48"/>
      <c r="T94" s="48"/>
      <c r="U94" s="48"/>
      <c r="V94" s="48"/>
      <c r="W94" s="48"/>
      <c r="X94" s="48"/>
      <c r="Y94" s="48"/>
      <c r="Z94" s="48"/>
      <c r="AA94" s="48"/>
      <c r="AC94" s="47"/>
      <c r="AD94" s="47"/>
      <c r="AE94" s="47"/>
      <c r="AG94" s="47"/>
      <c r="AH94" s="47"/>
      <c r="AI94" s="47"/>
      <c r="AJ94" s="47"/>
      <c r="AK94" s="47"/>
      <c r="AL94" s="47"/>
      <c r="AM94" s="47"/>
      <c r="AN94" s="47"/>
      <c r="AO94" s="47"/>
      <c r="AP94" s="47"/>
      <c r="AQ94" s="47"/>
      <c r="AR94" s="47"/>
      <c r="AS94" s="47"/>
    </row>
    <row r="95" spans="2:90" ht="12.75" customHeight="1" x14ac:dyDescent="0.25">
      <c r="B95" s="48"/>
      <c r="C95" s="48"/>
      <c r="D95" s="48"/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  <c r="P95" s="48"/>
      <c r="Q95" s="48"/>
      <c r="R95" s="48"/>
      <c r="S95" s="48"/>
      <c r="T95" s="48"/>
      <c r="U95" s="48"/>
      <c r="V95" s="48"/>
      <c r="W95" s="48"/>
      <c r="X95" s="48"/>
      <c r="Y95" s="48"/>
      <c r="Z95" s="48"/>
      <c r="AA95" s="48"/>
      <c r="AC95" s="47"/>
      <c r="AD95" s="47"/>
      <c r="AE95" s="47"/>
      <c r="AG95" s="47"/>
      <c r="AH95" s="47"/>
      <c r="AI95" s="47"/>
      <c r="AJ95" s="47"/>
      <c r="AK95" s="47"/>
      <c r="AL95" s="47"/>
      <c r="AM95" s="47"/>
      <c r="AN95" s="47"/>
      <c r="AO95" s="47"/>
      <c r="AP95" s="47"/>
      <c r="AQ95" s="47"/>
      <c r="AR95" s="47"/>
      <c r="AS95" s="47"/>
    </row>
    <row r="96" spans="2:90" ht="12.75" customHeight="1" x14ac:dyDescent="0.25">
      <c r="B96" s="48"/>
      <c r="C96" s="48"/>
      <c r="D96" s="48"/>
      <c r="E96" s="48"/>
      <c r="F96" s="48"/>
      <c r="G96" s="48"/>
      <c r="H96" s="48"/>
      <c r="I96" s="48"/>
      <c r="J96" s="48"/>
      <c r="K96" s="48"/>
      <c r="L96" s="48"/>
      <c r="M96" s="48"/>
      <c r="N96" s="48"/>
      <c r="O96" s="48"/>
      <c r="P96" s="48"/>
      <c r="Q96" s="48"/>
      <c r="R96" s="48"/>
      <c r="S96" s="48"/>
      <c r="T96" s="48"/>
      <c r="U96" s="48"/>
      <c r="V96" s="48"/>
      <c r="W96" s="48"/>
      <c r="X96" s="48"/>
      <c r="Y96" s="48"/>
      <c r="Z96" s="48"/>
      <c r="AA96" s="48"/>
      <c r="AC96" s="47"/>
      <c r="AD96" s="47"/>
      <c r="AE96" s="47"/>
      <c r="AG96" s="47"/>
      <c r="AH96" s="47"/>
      <c r="AI96" s="47"/>
      <c r="AJ96" s="47"/>
      <c r="AK96" s="47"/>
      <c r="AL96" s="47"/>
      <c r="AM96" s="47"/>
      <c r="AN96" s="47"/>
      <c r="AO96" s="47"/>
      <c r="AP96" s="47"/>
      <c r="AQ96" s="47"/>
      <c r="AR96" s="47"/>
      <c r="AS96" s="47"/>
    </row>
    <row r="97" spans="2:45" ht="12.75" customHeight="1" x14ac:dyDescent="0.25">
      <c r="B97" s="48"/>
      <c r="C97" s="48"/>
      <c r="D97" s="48"/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  <c r="P97" s="48"/>
      <c r="Q97" s="48"/>
      <c r="R97" s="48"/>
      <c r="S97" s="48"/>
      <c r="T97" s="48"/>
      <c r="U97" s="48"/>
      <c r="V97" s="48"/>
      <c r="W97" s="48"/>
      <c r="X97" s="48"/>
      <c r="Y97" s="48"/>
      <c r="Z97" s="48"/>
      <c r="AA97" s="48"/>
      <c r="AC97" s="47"/>
      <c r="AD97" s="47"/>
      <c r="AE97" s="47"/>
      <c r="AG97" s="47"/>
      <c r="AH97" s="47"/>
      <c r="AI97" s="47"/>
      <c r="AJ97" s="47"/>
      <c r="AK97" s="47"/>
      <c r="AL97" s="47"/>
      <c r="AM97" s="47"/>
      <c r="AN97" s="47"/>
      <c r="AO97" s="47"/>
      <c r="AP97" s="47"/>
      <c r="AQ97" s="47"/>
      <c r="AR97" s="47"/>
      <c r="AS97" s="47"/>
    </row>
    <row r="98" spans="2:45" ht="12.75" customHeight="1" x14ac:dyDescent="0.25">
      <c r="B98" s="48"/>
      <c r="C98" s="48"/>
      <c r="D98" s="48"/>
      <c r="E98" s="48"/>
      <c r="F98" s="48"/>
      <c r="G98" s="48"/>
      <c r="H98" s="48"/>
      <c r="I98" s="48"/>
      <c r="J98" s="48"/>
      <c r="K98" s="48"/>
      <c r="L98" s="48"/>
      <c r="M98" s="48"/>
      <c r="N98" s="48"/>
      <c r="O98" s="48"/>
      <c r="P98" s="48"/>
      <c r="Q98" s="48"/>
      <c r="R98" s="48"/>
      <c r="S98" s="48"/>
      <c r="T98" s="48"/>
      <c r="U98" s="48"/>
      <c r="V98" s="48"/>
      <c r="W98" s="48"/>
      <c r="X98" s="48"/>
      <c r="Y98" s="48"/>
      <c r="Z98" s="48"/>
      <c r="AA98" s="48"/>
      <c r="AC98" s="47"/>
      <c r="AD98" s="47"/>
      <c r="AE98" s="47"/>
      <c r="AG98" s="47"/>
      <c r="AH98" s="47"/>
      <c r="AI98" s="47"/>
      <c r="AJ98" s="47"/>
      <c r="AK98" s="47"/>
      <c r="AL98" s="47"/>
      <c r="AM98" s="47"/>
      <c r="AN98" s="47"/>
      <c r="AO98" s="47"/>
      <c r="AP98" s="47"/>
      <c r="AQ98" s="47"/>
      <c r="AR98" s="47"/>
      <c r="AS98" s="47"/>
    </row>
    <row r="99" spans="2:45" ht="12.75" customHeight="1" x14ac:dyDescent="0.25">
      <c r="B99" s="48"/>
      <c r="C99" s="48"/>
      <c r="D99" s="48"/>
      <c r="E99" s="48"/>
      <c r="F99" s="48"/>
      <c r="G99" s="48"/>
      <c r="H99" s="48"/>
      <c r="I99" s="48"/>
      <c r="J99" s="48"/>
      <c r="K99" s="48"/>
      <c r="L99" s="48"/>
      <c r="M99" s="48"/>
      <c r="N99" s="48"/>
      <c r="O99" s="48"/>
      <c r="P99" s="48"/>
      <c r="Q99" s="48"/>
      <c r="R99" s="48"/>
      <c r="S99" s="48"/>
      <c r="T99" s="48"/>
      <c r="U99" s="48"/>
      <c r="V99" s="48"/>
      <c r="W99" s="48"/>
      <c r="X99" s="48"/>
      <c r="Y99" s="48"/>
      <c r="Z99" s="48"/>
      <c r="AA99" s="48"/>
    </row>
    <row r="100" spans="2:45" ht="12.75" customHeight="1" x14ac:dyDescent="0.25">
      <c r="B100" s="48"/>
      <c r="C100" s="48"/>
      <c r="D100" s="48"/>
      <c r="E100" s="48"/>
      <c r="F100" s="48"/>
      <c r="G100" s="48"/>
      <c r="H100" s="48"/>
      <c r="I100" s="48"/>
      <c r="J100" s="48"/>
      <c r="K100" s="48"/>
      <c r="L100" s="48"/>
      <c r="M100" s="48"/>
      <c r="N100" s="48"/>
      <c r="O100" s="48"/>
      <c r="P100" s="48"/>
      <c r="Q100" s="48"/>
      <c r="R100" s="48"/>
      <c r="S100" s="48"/>
      <c r="T100" s="48"/>
      <c r="U100" s="48"/>
      <c r="V100" s="48"/>
      <c r="W100" s="48"/>
      <c r="X100" s="48"/>
      <c r="Y100" s="48"/>
      <c r="Z100" s="48"/>
      <c r="AA100" s="48"/>
    </row>
    <row r="101" spans="2:45" ht="12.75" customHeight="1" x14ac:dyDescent="0.25">
      <c r="B101" s="48"/>
      <c r="C101" s="48"/>
      <c r="D101" s="48"/>
      <c r="E101" s="48"/>
      <c r="F101" s="48"/>
      <c r="G101" s="48"/>
      <c r="H101" s="48"/>
      <c r="I101" s="48"/>
      <c r="J101" s="48"/>
      <c r="K101" s="48"/>
      <c r="L101" s="48"/>
      <c r="M101" s="48"/>
      <c r="N101" s="48"/>
      <c r="O101" s="48"/>
      <c r="P101" s="48"/>
      <c r="Q101" s="48"/>
      <c r="R101" s="48"/>
      <c r="S101" s="48"/>
      <c r="T101" s="48"/>
      <c r="U101" s="48"/>
      <c r="V101" s="48"/>
      <c r="W101" s="48"/>
      <c r="X101" s="48"/>
      <c r="Y101" s="48"/>
      <c r="Z101" s="48"/>
      <c r="AA101" s="48"/>
    </row>
    <row r="102" spans="2:45" ht="12.75" customHeight="1" x14ac:dyDescent="0.25">
      <c r="B102" s="48"/>
      <c r="C102" s="48"/>
      <c r="D102" s="48"/>
      <c r="E102" s="48"/>
      <c r="F102" s="48"/>
      <c r="G102" s="48"/>
      <c r="H102" s="48"/>
      <c r="I102" s="48"/>
      <c r="J102" s="48"/>
      <c r="K102" s="48"/>
      <c r="L102" s="48"/>
      <c r="M102" s="48"/>
      <c r="N102" s="48"/>
      <c r="O102" s="48"/>
      <c r="P102" s="48"/>
      <c r="Q102" s="48"/>
      <c r="R102" s="48"/>
      <c r="S102" s="48"/>
      <c r="T102" s="48"/>
      <c r="U102" s="48"/>
      <c r="V102" s="48"/>
      <c r="W102" s="48"/>
      <c r="X102" s="48"/>
      <c r="Y102" s="48"/>
      <c r="Z102" s="48"/>
      <c r="AA102" s="48"/>
    </row>
    <row r="103" spans="2:45" ht="12.75" customHeight="1" x14ac:dyDescent="0.25">
      <c r="B103" s="48"/>
      <c r="C103" s="48"/>
      <c r="D103" s="48"/>
      <c r="E103" s="48"/>
      <c r="F103" s="48"/>
      <c r="G103" s="48"/>
      <c r="H103" s="48"/>
      <c r="I103" s="48"/>
      <c r="J103" s="48"/>
      <c r="K103" s="48"/>
      <c r="L103" s="48"/>
      <c r="M103" s="48"/>
      <c r="N103" s="48"/>
      <c r="O103" s="48"/>
      <c r="P103" s="48"/>
      <c r="Q103" s="48"/>
      <c r="R103" s="48"/>
      <c r="S103" s="48"/>
      <c r="T103" s="48"/>
      <c r="U103" s="48"/>
      <c r="V103" s="48"/>
      <c r="W103" s="48"/>
      <c r="X103" s="48"/>
      <c r="Y103" s="48"/>
      <c r="Z103" s="48"/>
      <c r="AA103" s="48"/>
    </row>
    <row r="104" spans="2:45" ht="12.75" customHeight="1" x14ac:dyDescent="0.25">
      <c r="B104" s="48"/>
      <c r="C104" s="48"/>
      <c r="D104" s="48"/>
      <c r="E104" s="48"/>
      <c r="F104" s="48"/>
      <c r="G104" s="48"/>
      <c r="H104" s="48"/>
      <c r="I104" s="48"/>
      <c r="J104" s="48"/>
      <c r="K104" s="48"/>
      <c r="L104" s="48"/>
      <c r="M104" s="48"/>
      <c r="N104" s="48"/>
      <c r="O104" s="48"/>
      <c r="P104" s="48"/>
      <c r="Q104" s="48"/>
      <c r="R104" s="48"/>
      <c r="S104" s="48"/>
      <c r="T104" s="48"/>
      <c r="U104" s="48"/>
      <c r="V104" s="48"/>
      <c r="W104" s="48"/>
      <c r="X104" s="48"/>
      <c r="Y104" s="48"/>
      <c r="Z104" s="48"/>
      <c r="AA104" s="48"/>
    </row>
    <row r="105" spans="2:45" ht="12.75" customHeight="1" x14ac:dyDescent="0.25">
      <c r="B105" s="48"/>
      <c r="C105" s="48"/>
      <c r="D105" s="48"/>
      <c r="E105" s="48"/>
      <c r="F105" s="48"/>
      <c r="G105" s="48"/>
      <c r="H105" s="48"/>
      <c r="I105" s="48"/>
      <c r="J105" s="48"/>
      <c r="K105" s="48"/>
      <c r="L105" s="48"/>
      <c r="M105" s="48"/>
      <c r="N105" s="48"/>
      <c r="O105" s="48"/>
      <c r="P105" s="48"/>
      <c r="Q105" s="48"/>
      <c r="R105" s="48"/>
      <c r="S105" s="48"/>
      <c r="T105" s="48"/>
      <c r="U105" s="48"/>
      <c r="V105" s="48"/>
      <c r="W105" s="48"/>
      <c r="X105" s="48"/>
      <c r="Y105" s="48"/>
      <c r="Z105" s="48"/>
      <c r="AA105" s="48"/>
    </row>
    <row r="106" spans="2:45" ht="12.75" customHeight="1" x14ac:dyDescent="0.25">
      <c r="B106" s="48"/>
      <c r="C106" s="48"/>
      <c r="D106" s="48"/>
      <c r="E106" s="48"/>
      <c r="F106" s="48"/>
      <c r="G106" s="48"/>
      <c r="H106" s="48"/>
      <c r="I106" s="48"/>
      <c r="J106" s="48"/>
      <c r="K106" s="48"/>
      <c r="L106" s="48"/>
      <c r="M106" s="48"/>
      <c r="N106" s="48"/>
      <c r="O106" s="48"/>
      <c r="P106" s="48"/>
      <c r="Q106" s="48"/>
      <c r="R106" s="48"/>
      <c r="S106" s="48"/>
      <c r="T106" s="48"/>
      <c r="U106" s="48"/>
      <c r="V106" s="48"/>
      <c r="W106" s="48"/>
      <c r="X106" s="48"/>
      <c r="Y106" s="48"/>
      <c r="Z106" s="48"/>
      <c r="AA106" s="48"/>
    </row>
    <row r="107" spans="2:45" ht="12.75" customHeight="1" x14ac:dyDescent="0.25">
      <c r="B107" s="48"/>
      <c r="C107" s="48"/>
      <c r="D107" s="48"/>
      <c r="E107" s="48"/>
      <c r="F107" s="48"/>
      <c r="G107" s="48"/>
      <c r="H107" s="48"/>
      <c r="I107" s="48"/>
      <c r="J107" s="48"/>
      <c r="K107" s="48"/>
      <c r="L107" s="48"/>
      <c r="M107" s="48"/>
      <c r="N107" s="48"/>
      <c r="O107" s="48"/>
      <c r="P107" s="48"/>
      <c r="Q107" s="48"/>
      <c r="R107" s="48"/>
      <c r="S107" s="48"/>
      <c r="T107" s="48"/>
      <c r="U107" s="48"/>
      <c r="V107" s="48"/>
      <c r="W107" s="48"/>
      <c r="X107" s="48"/>
      <c r="Y107" s="48"/>
      <c r="Z107" s="48"/>
      <c r="AA107" s="48"/>
    </row>
    <row r="108" spans="2:45" ht="12.75" customHeight="1" x14ac:dyDescent="0.25">
      <c r="B108" s="48"/>
      <c r="C108" s="48"/>
      <c r="D108" s="48"/>
      <c r="E108" s="48"/>
      <c r="F108" s="48"/>
      <c r="G108" s="48"/>
      <c r="H108" s="48"/>
      <c r="I108" s="48"/>
      <c r="J108" s="48"/>
      <c r="K108" s="48"/>
      <c r="L108" s="48"/>
      <c r="M108" s="48"/>
      <c r="N108" s="48"/>
      <c r="O108" s="48"/>
      <c r="P108" s="48"/>
      <c r="Q108" s="48"/>
      <c r="R108" s="48"/>
      <c r="S108" s="48"/>
      <c r="T108" s="48"/>
      <c r="U108" s="48"/>
      <c r="V108" s="48"/>
      <c r="W108" s="48"/>
      <c r="X108" s="48"/>
      <c r="Y108" s="48"/>
      <c r="Z108" s="48"/>
      <c r="AA108" s="48"/>
    </row>
    <row r="109" spans="2:45" ht="12.75" customHeight="1" x14ac:dyDescent="0.25">
      <c r="B109" s="48"/>
      <c r="C109" s="48"/>
      <c r="D109" s="48"/>
      <c r="E109" s="48"/>
      <c r="F109" s="48"/>
      <c r="G109" s="48"/>
      <c r="H109" s="48"/>
      <c r="I109" s="48"/>
      <c r="J109" s="48"/>
      <c r="K109" s="48"/>
      <c r="L109" s="48"/>
      <c r="M109" s="48"/>
      <c r="N109" s="48"/>
      <c r="O109" s="48"/>
      <c r="P109" s="48"/>
      <c r="Q109" s="48"/>
      <c r="R109" s="48"/>
      <c r="S109" s="48"/>
      <c r="T109" s="48"/>
      <c r="U109" s="48"/>
      <c r="V109" s="48"/>
      <c r="W109" s="48"/>
      <c r="X109" s="48"/>
      <c r="Y109" s="48"/>
      <c r="Z109" s="48"/>
      <c r="AA109" s="48"/>
    </row>
    <row r="110" spans="2:45" ht="12.75" customHeight="1" x14ac:dyDescent="0.25">
      <c r="B110" s="48"/>
      <c r="C110" s="48"/>
      <c r="D110" s="48"/>
      <c r="E110" s="48"/>
      <c r="F110" s="48"/>
      <c r="G110" s="48"/>
      <c r="H110" s="48"/>
      <c r="I110" s="48"/>
      <c r="J110" s="48"/>
      <c r="K110" s="48"/>
      <c r="L110" s="48"/>
      <c r="M110" s="48"/>
      <c r="N110" s="48"/>
      <c r="O110" s="48"/>
      <c r="P110" s="48"/>
      <c r="Q110" s="48"/>
      <c r="R110" s="48"/>
      <c r="S110" s="48"/>
      <c r="T110" s="48"/>
      <c r="U110" s="48"/>
      <c r="V110" s="48"/>
      <c r="W110" s="48"/>
      <c r="X110" s="48"/>
      <c r="Y110" s="48"/>
      <c r="Z110" s="48"/>
      <c r="AA110" s="48"/>
    </row>
    <row r="111" spans="2:45" ht="12.75" customHeight="1" x14ac:dyDescent="0.25">
      <c r="B111" s="48"/>
      <c r="C111" s="48"/>
      <c r="D111" s="48"/>
      <c r="E111" s="48"/>
      <c r="F111" s="48"/>
      <c r="G111" s="48"/>
      <c r="H111" s="48"/>
      <c r="I111" s="48"/>
      <c r="J111" s="48"/>
      <c r="K111" s="48"/>
      <c r="L111" s="48"/>
      <c r="M111" s="48"/>
      <c r="N111" s="48"/>
      <c r="O111" s="48"/>
      <c r="P111" s="48"/>
      <c r="Q111" s="48"/>
      <c r="R111" s="48"/>
      <c r="S111" s="48"/>
      <c r="T111" s="48"/>
      <c r="U111" s="48"/>
      <c r="V111" s="48"/>
      <c r="W111" s="48"/>
      <c r="X111" s="48"/>
      <c r="Y111" s="48"/>
      <c r="Z111" s="48"/>
      <c r="AA111" s="48"/>
    </row>
    <row r="112" spans="2:45" ht="12.75" customHeight="1" x14ac:dyDescent="0.25">
      <c r="B112" s="48"/>
      <c r="C112" s="48"/>
      <c r="D112" s="48"/>
      <c r="E112" s="48"/>
      <c r="F112" s="48"/>
      <c r="G112" s="48"/>
      <c r="H112" s="48"/>
      <c r="I112" s="48"/>
      <c r="J112" s="48"/>
      <c r="K112" s="48"/>
      <c r="L112" s="48"/>
      <c r="M112" s="48"/>
      <c r="N112" s="48"/>
      <c r="O112" s="48"/>
      <c r="P112" s="48"/>
      <c r="Q112" s="48"/>
      <c r="R112" s="48"/>
      <c r="S112" s="48"/>
      <c r="T112" s="48"/>
      <c r="U112" s="48"/>
      <c r="V112" s="48"/>
      <c r="W112" s="48"/>
      <c r="X112" s="48"/>
      <c r="Y112" s="48"/>
      <c r="Z112" s="48"/>
      <c r="AA112" s="48"/>
    </row>
    <row r="113" spans="2:27" ht="12.75" customHeight="1" x14ac:dyDescent="0.25">
      <c r="B113" s="48"/>
      <c r="C113" s="48"/>
      <c r="D113" s="48"/>
      <c r="E113" s="48"/>
      <c r="F113" s="48"/>
      <c r="G113" s="48"/>
      <c r="H113" s="48"/>
      <c r="I113" s="48"/>
      <c r="J113" s="48"/>
      <c r="K113" s="48"/>
      <c r="L113" s="48"/>
      <c r="M113" s="48"/>
      <c r="N113" s="48"/>
      <c r="O113" s="48"/>
      <c r="P113" s="48"/>
      <c r="Q113" s="48"/>
      <c r="R113" s="48"/>
      <c r="S113" s="48"/>
      <c r="T113" s="48"/>
      <c r="U113" s="48"/>
      <c r="V113" s="48"/>
      <c r="W113" s="48"/>
      <c r="X113" s="48"/>
      <c r="Y113" s="48"/>
      <c r="Z113" s="48"/>
      <c r="AA113" s="48"/>
    </row>
    <row r="114" spans="2:27" ht="12.75" customHeight="1" x14ac:dyDescent="0.25">
      <c r="B114" s="48"/>
      <c r="C114" s="48"/>
      <c r="D114" s="48"/>
      <c r="E114" s="48"/>
      <c r="F114" s="48"/>
      <c r="G114" s="48"/>
      <c r="H114" s="48"/>
      <c r="I114" s="48"/>
      <c r="J114" s="48"/>
      <c r="K114" s="48"/>
      <c r="L114" s="48"/>
      <c r="M114" s="48"/>
      <c r="N114" s="48"/>
      <c r="O114" s="48"/>
      <c r="P114" s="48"/>
      <c r="Q114" s="48"/>
      <c r="R114" s="48"/>
      <c r="S114" s="48"/>
      <c r="T114" s="48"/>
      <c r="U114" s="48"/>
      <c r="V114" s="48"/>
      <c r="W114" s="48"/>
      <c r="X114" s="48"/>
      <c r="Y114" s="48"/>
      <c r="Z114" s="48"/>
      <c r="AA114" s="48"/>
    </row>
    <row r="115" spans="2:27" ht="12.75" customHeight="1" x14ac:dyDescent="0.25">
      <c r="B115" s="48"/>
      <c r="C115" s="48"/>
      <c r="D115" s="48"/>
      <c r="E115" s="48"/>
      <c r="F115" s="48"/>
      <c r="G115" s="48"/>
      <c r="H115" s="48"/>
      <c r="I115" s="48"/>
      <c r="J115" s="48"/>
      <c r="K115" s="48"/>
      <c r="L115" s="48"/>
      <c r="M115" s="48"/>
      <c r="N115" s="48"/>
      <c r="O115" s="48"/>
      <c r="P115" s="48"/>
      <c r="Q115" s="48"/>
      <c r="R115" s="48"/>
      <c r="S115" s="48"/>
      <c r="T115" s="48"/>
      <c r="U115" s="48"/>
      <c r="V115" s="48"/>
      <c r="W115" s="48"/>
      <c r="X115" s="48"/>
      <c r="Y115" s="48"/>
      <c r="Z115" s="48"/>
      <c r="AA115" s="48"/>
    </row>
    <row r="116" spans="2:27" ht="12.75" customHeight="1" x14ac:dyDescent="0.25">
      <c r="B116" s="48"/>
      <c r="C116" s="48"/>
      <c r="D116" s="48"/>
      <c r="E116" s="48"/>
      <c r="F116" s="48"/>
      <c r="G116" s="48"/>
      <c r="H116" s="48"/>
      <c r="I116" s="48"/>
      <c r="J116" s="48"/>
      <c r="K116" s="48"/>
      <c r="L116" s="48"/>
      <c r="M116" s="48"/>
      <c r="N116" s="48"/>
      <c r="O116" s="48"/>
      <c r="P116" s="48"/>
      <c r="Q116" s="48"/>
      <c r="R116" s="48"/>
      <c r="S116" s="48"/>
      <c r="T116" s="48"/>
      <c r="U116" s="48"/>
      <c r="V116" s="48"/>
      <c r="W116" s="48"/>
      <c r="X116" s="48"/>
      <c r="Y116" s="48"/>
      <c r="Z116" s="48"/>
      <c r="AA116" s="48"/>
    </row>
    <row r="117" spans="2:27" ht="12.75" customHeight="1" x14ac:dyDescent="0.25">
      <c r="B117" s="48"/>
      <c r="C117" s="48"/>
      <c r="D117" s="48"/>
      <c r="E117" s="48"/>
      <c r="F117" s="48"/>
      <c r="G117" s="48"/>
      <c r="H117" s="48"/>
      <c r="I117" s="48"/>
      <c r="J117" s="48"/>
      <c r="K117" s="48"/>
      <c r="L117" s="48"/>
      <c r="M117" s="48"/>
      <c r="N117" s="48"/>
      <c r="O117" s="48"/>
      <c r="P117" s="48"/>
      <c r="Q117" s="48"/>
      <c r="R117" s="48"/>
      <c r="S117" s="48"/>
      <c r="T117" s="48"/>
      <c r="U117" s="48"/>
      <c r="V117" s="48"/>
      <c r="W117" s="48"/>
      <c r="X117" s="48"/>
      <c r="Y117" s="48"/>
      <c r="Z117" s="48"/>
      <c r="AA117" s="48"/>
    </row>
    <row r="118" spans="2:27" ht="12.75" customHeight="1" x14ac:dyDescent="0.25">
      <c r="B118" s="48"/>
      <c r="C118" s="48"/>
      <c r="D118" s="48"/>
      <c r="E118" s="48"/>
      <c r="F118" s="48"/>
      <c r="G118" s="48"/>
      <c r="H118" s="48"/>
      <c r="I118" s="48"/>
      <c r="J118" s="48"/>
      <c r="K118" s="48"/>
      <c r="L118" s="48"/>
      <c r="M118" s="48"/>
      <c r="N118" s="48"/>
      <c r="O118" s="48"/>
      <c r="P118" s="48"/>
      <c r="Q118" s="48"/>
      <c r="R118" s="48"/>
      <c r="S118" s="48"/>
      <c r="T118" s="48"/>
      <c r="U118" s="48"/>
      <c r="V118" s="48"/>
      <c r="W118" s="48"/>
      <c r="X118" s="48"/>
      <c r="Y118" s="48"/>
      <c r="Z118" s="48"/>
      <c r="AA118" s="48"/>
    </row>
    <row r="119" spans="2:27" ht="12.75" customHeight="1" x14ac:dyDescent="0.25">
      <c r="B119" s="48"/>
      <c r="C119" s="48"/>
      <c r="D119" s="48"/>
      <c r="E119" s="48"/>
      <c r="F119" s="48"/>
      <c r="G119" s="48"/>
      <c r="H119" s="48"/>
      <c r="I119" s="48"/>
      <c r="J119" s="48"/>
      <c r="K119" s="48"/>
      <c r="L119" s="48"/>
      <c r="M119" s="48"/>
      <c r="N119" s="48"/>
      <c r="O119" s="48"/>
      <c r="P119" s="48"/>
      <c r="Q119" s="48"/>
      <c r="R119" s="48"/>
      <c r="S119" s="48"/>
      <c r="T119" s="48"/>
      <c r="U119" s="48"/>
      <c r="V119" s="48"/>
      <c r="W119" s="48"/>
      <c r="X119" s="48"/>
      <c r="Y119" s="48"/>
      <c r="Z119" s="48"/>
      <c r="AA119" s="48"/>
    </row>
    <row r="120" spans="2:27" ht="12.75" customHeight="1" x14ac:dyDescent="0.25">
      <c r="B120" s="48"/>
      <c r="C120" s="48"/>
      <c r="D120" s="48"/>
      <c r="E120" s="48"/>
      <c r="F120" s="48"/>
      <c r="G120" s="48"/>
      <c r="H120" s="48"/>
      <c r="I120" s="48"/>
      <c r="J120" s="48"/>
      <c r="K120" s="48"/>
      <c r="L120" s="48"/>
      <c r="M120" s="48"/>
      <c r="N120" s="48"/>
      <c r="O120" s="48"/>
      <c r="P120" s="48"/>
      <c r="Q120" s="48"/>
      <c r="R120" s="48"/>
      <c r="S120" s="48"/>
      <c r="T120" s="48"/>
      <c r="U120" s="48"/>
      <c r="V120" s="48"/>
      <c r="W120" s="48"/>
      <c r="X120" s="48"/>
      <c r="Y120" s="48"/>
      <c r="Z120" s="48"/>
      <c r="AA120" s="48"/>
    </row>
    <row r="121" spans="2:27" ht="12.75" customHeight="1" x14ac:dyDescent="0.25">
      <c r="B121" s="48"/>
      <c r="C121" s="48"/>
      <c r="D121" s="48"/>
      <c r="E121" s="48"/>
      <c r="F121" s="48"/>
      <c r="G121" s="48"/>
      <c r="H121" s="48"/>
      <c r="I121" s="48"/>
      <c r="J121" s="48"/>
      <c r="K121" s="48"/>
      <c r="L121" s="48"/>
      <c r="M121" s="48"/>
      <c r="N121" s="48"/>
      <c r="O121" s="48"/>
      <c r="P121" s="48"/>
      <c r="Q121" s="48"/>
      <c r="R121" s="48"/>
      <c r="S121" s="48"/>
      <c r="T121" s="48"/>
      <c r="U121" s="48"/>
      <c r="V121" s="48"/>
      <c r="W121" s="48"/>
      <c r="X121" s="48"/>
      <c r="Y121" s="48"/>
      <c r="Z121" s="48"/>
      <c r="AA121" s="48"/>
    </row>
    <row r="122" spans="2:27" ht="12.75" customHeight="1" x14ac:dyDescent="0.25">
      <c r="B122" s="48"/>
      <c r="C122" s="48"/>
      <c r="D122" s="48"/>
      <c r="E122" s="48"/>
      <c r="F122" s="48"/>
      <c r="G122" s="48"/>
      <c r="H122" s="48"/>
      <c r="I122" s="48"/>
      <c r="J122" s="48"/>
      <c r="K122" s="48"/>
      <c r="L122" s="48"/>
      <c r="M122" s="48"/>
      <c r="N122" s="48"/>
      <c r="O122" s="48"/>
      <c r="P122" s="48"/>
      <c r="Q122" s="48"/>
      <c r="R122" s="48"/>
      <c r="S122" s="48"/>
      <c r="T122" s="48"/>
      <c r="U122" s="48"/>
      <c r="V122" s="48"/>
      <c r="W122" s="48"/>
      <c r="X122" s="48"/>
      <c r="Y122" s="48"/>
      <c r="Z122" s="48"/>
      <c r="AA122" s="48"/>
    </row>
    <row r="123" spans="2:27" ht="12.75" customHeight="1" x14ac:dyDescent="0.25">
      <c r="B123" s="48"/>
      <c r="C123" s="48"/>
      <c r="D123" s="48"/>
      <c r="E123" s="48"/>
      <c r="F123" s="48"/>
      <c r="G123" s="48"/>
      <c r="H123" s="48"/>
      <c r="I123" s="48"/>
      <c r="J123" s="48"/>
      <c r="K123" s="48"/>
      <c r="L123" s="48"/>
      <c r="M123" s="48"/>
      <c r="N123" s="48"/>
      <c r="O123" s="48"/>
      <c r="P123" s="48"/>
      <c r="Q123" s="48"/>
      <c r="R123" s="48"/>
      <c r="S123" s="48"/>
      <c r="T123" s="48"/>
      <c r="U123" s="48"/>
      <c r="V123" s="48"/>
      <c r="W123" s="48"/>
      <c r="X123" s="48"/>
      <c r="Y123" s="48"/>
      <c r="Z123" s="48"/>
      <c r="AA123" s="48"/>
    </row>
    <row r="124" spans="2:27" ht="12.75" customHeight="1" x14ac:dyDescent="0.25">
      <c r="B124" s="48"/>
      <c r="C124" s="48"/>
      <c r="D124" s="48"/>
      <c r="E124" s="48"/>
      <c r="F124" s="48"/>
      <c r="G124" s="48"/>
      <c r="H124" s="48"/>
      <c r="I124" s="48"/>
      <c r="J124" s="48"/>
      <c r="K124" s="48"/>
      <c r="L124" s="48"/>
      <c r="M124" s="48"/>
      <c r="N124" s="48"/>
      <c r="O124" s="48"/>
      <c r="P124" s="48"/>
      <c r="Q124" s="48"/>
      <c r="R124" s="48"/>
      <c r="S124" s="48"/>
      <c r="T124" s="48"/>
      <c r="U124" s="48"/>
      <c r="V124" s="48"/>
      <c r="W124" s="48"/>
      <c r="X124" s="48"/>
      <c r="Y124" s="48"/>
      <c r="Z124" s="48"/>
      <c r="AA124" s="48"/>
    </row>
    <row r="125" spans="2:27" ht="12.75" customHeight="1" x14ac:dyDescent="0.25">
      <c r="B125" s="48"/>
      <c r="C125" s="48"/>
      <c r="D125" s="48"/>
      <c r="E125" s="48"/>
      <c r="F125" s="48"/>
      <c r="G125" s="48"/>
      <c r="H125" s="48"/>
      <c r="I125" s="48"/>
      <c r="J125" s="48"/>
      <c r="K125" s="48"/>
      <c r="L125" s="48"/>
      <c r="M125" s="48"/>
      <c r="N125" s="48"/>
      <c r="O125" s="48"/>
      <c r="P125" s="48"/>
      <c r="Q125" s="48"/>
      <c r="R125" s="48"/>
      <c r="S125" s="48"/>
      <c r="T125" s="48"/>
      <c r="U125" s="48"/>
      <c r="V125" s="48"/>
      <c r="W125" s="48"/>
      <c r="X125" s="48"/>
      <c r="Y125" s="48"/>
      <c r="Z125" s="48"/>
      <c r="AA125" s="48"/>
    </row>
    <row r="126" spans="2:27" ht="12.75" customHeight="1" x14ac:dyDescent="0.25">
      <c r="B126" s="48"/>
      <c r="C126" s="48"/>
      <c r="D126" s="48"/>
      <c r="E126" s="48"/>
      <c r="F126" s="48"/>
      <c r="G126" s="48"/>
      <c r="H126" s="48"/>
      <c r="I126" s="48"/>
      <c r="J126" s="48"/>
      <c r="K126" s="48"/>
      <c r="L126" s="48"/>
      <c r="M126" s="48"/>
      <c r="N126" s="48"/>
      <c r="O126" s="48"/>
      <c r="P126" s="48"/>
      <c r="Q126" s="48"/>
      <c r="R126" s="48"/>
      <c r="S126" s="48"/>
      <c r="T126" s="48"/>
      <c r="U126" s="48"/>
      <c r="V126" s="48"/>
      <c r="W126" s="48"/>
      <c r="X126" s="48"/>
      <c r="Y126" s="48"/>
      <c r="Z126" s="48"/>
      <c r="AA126" s="48"/>
    </row>
    <row r="127" spans="2:27" ht="12.75" customHeight="1" x14ac:dyDescent="0.25">
      <c r="B127" s="48"/>
      <c r="C127" s="48"/>
      <c r="D127" s="48"/>
      <c r="E127" s="48"/>
      <c r="F127" s="48"/>
      <c r="G127" s="48"/>
      <c r="H127" s="48"/>
      <c r="I127" s="48"/>
      <c r="J127" s="48"/>
      <c r="K127" s="48"/>
      <c r="L127" s="48"/>
      <c r="M127" s="48"/>
      <c r="N127" s="48"/>
      <c r="O127" s="48"/>
      <c r="P127" s="48"/>
      <c r="Q127" s="48"/>
      <c r="R127" s="48"/>
      <c r="S127" s="48"/>
      <c r="T127" s="48"/>
      <c r="U127" s="48"/>
      <c r="V127" s="48"/>
      <c r="W127" s="48"/>
      <c r="X127" s="48"/>
      <c r="Y127" s="48"/>
      <c r="Z127" s="48"/>
      <c r="AA127" s="48"/>
    </row>
    <row r="128" spans="2:27" ht="12.75" customHeight="1" x14ac:dyDescent="0.25">
      <c r="B128" s="48"/>
      <c r="C128" s="48"/>
      <c r="D128" s="48"/>
      <c r="E128" s="48"/>
      <c r="F128" s="48"/>
      <c r="G128" s="48"/>
      <c r="H128" s="48"/>
      <c r="I128" s="48"/>
      <c r="J128" s="48"/>
      <c r="K128" s="48"/>
      <c r="L128" s="48"/>
      <c r="M128" s="48"/>
      <c r="N128" s="48"/>
      <c r="O128" s="48"/>
      <c r="P128" s="48"/>
      <c r="Q128" s="48"/>
      <c r="R128" s="48"/>
      <c r="S128" s="48"/>
      <c r="T128" s="48"/>
      <c r="U128" s="48"/>
      <c r="V128" s="48"/>
      <c r="W128" s="48"/>
      <c r="X128" s="48"/>
      <c r="Y128" s="48"/>
      <c r="Z128" s="48"/>
      <c r="AA128" s="48"/>
    </row>
    <row r="129" spans="2:27" ht="12.75" customHeight="1" x14ac:dyDescent="0.25">
      <c r="B129" s="48"/>
      <c r="C129" s="48"/>
      <c r="D129" s="48"/>
      <c r="E129" s="48"/>
      <c r="F129" s="48"/>
      <c r="G129" s="48"/>
      <c r="H129" s="48"/>
      <c r="I129" s="48"/>
      <c r="J129" s="48"/>
      <c r="K129" s="48"/>
      <c r="L129" s="48"/>
      <c r="M129" s="48"/>
      <c r="N129" s="48"/>
      <c r="O129" s="48"/>
      <c r="P129" s="48"/>
      <c r="Q129" s="48"/>
      <c r="R129" s="48"/>
      <c r="S129" s="48"/>
      <c r="T129" s="48"/>
      <c r="U129" s="48"/>
      <c r="V129" s="48"/>
      <c r="W129" s="48"/>
      <c r="X129" s="48"/>
      <c r="Y129" s="48"/>
      <c r="Z129" s="48"/>
      <c r="AA129" s="48"/>
    </row>
    <row r="130" spans="2:27" ht="12.75" customHeight="1" x14ac:dyDescent="0.25">
      <c r="B130" s="48"/>
      <c r="C130" s="48"/>
      <c r="D130" s="48"/>
      <c r="E130" s="48"/>
      <c r="F130" s="48"/>
      <c r="G130" s="48"/>
      <c r="H130" s="48"/>
      <c r="I130" s="48"/>
      <c r="J130" s="48"/>
      <c r="K130" s="48"/>
      <c r="L130" s="48"/>
      <c r="M130" s="48"/>
      <c r="N130" s="48"/>
      <c r="O130" s="48"/>
      <c r="P130" s="48"/>
      <c r="Q130" s="48"/>
      <c r="R130" s="48"/>
      <c r="S130" s="48"/>
      <c r="T130" s="48"/>
      <c r="U130" s="48"/>
      <c r="V130" s="48"/>
      <c r="W130" s="48"/>
      <c r="X130" s="48"/>
      <c r="Y130" s="48"/>
      <c r="Z130" s="48"/>
      <c r="AA130" s="48"/>
    </row>
    <row r="131" spans="2:27" ht="12.75" customHeight="1" x14ac:dyDescent="0.25">
      <c r="B131" s="48"/>
      <c r="C131" s="48"/>
      <c r="D131" s="48"/>
      <c r="E131" s="48"/>
      <c r="F131" s="48"/>
      <c r="G131" s="48"/>
      <c r="H131" s="48"/>
      <c r="I131" s="48"/>
      <c r="J131" s="48"/>
      <c r="K131" s="48"/>
      <c r="L131" s="48"/>
      <c r="M131" s="48"/>
      <c r="N131" s="48"/>
      <c r="O131" s="48"/>
      <c r="P131" s="48"/>
      <c r="Q131" s="48"/>
      <c r="R131" s="48"/>
      <c r="S131" s="48"/>
      <c r="T131" s="48"/>
      <c r="U131" s="48"/>
      <c r="V131" s="48"/>
      <c r="W131" s="48"/>
      <c r="X131" s="48"/>
      <c r="Y131" s="48"/>
      <c r="Z131" s="48"/>
      <c r="AA131" s="48"/>
    </row>
    <row r="132" spans="2:27" ht="12.75" customHeight="1" x14ac:dyDescent="0.25">
      <c r="B132" s="48"/>
      <c r="C132" s="48"/>
      <c r="D132" s="48"/>
      <c r="E132" s="48"/>
      <c r="F132" s="48"/>
      <c r="G132" s="48"/>
      <c r="H132" s="48"/>
      <c r="I132" s="48"/>
      <c r="J132" s="48"/>
      <c r="K132" s="48"/>
      <c r="L132" s="48"/>
      <c r="M132" s="48"/>
      <c r="N132" s="48"/>
      <c r="O132" s="48"/>
      <c r="P132" s="48"/>
      <c r="Q132" s="48"/>
      <c r="R132" s="48"/>
      <c r="S132" s="48"/>
      <c r="T132" s="48"/>
      <c r="U132" s="48"/>
      <c r="V132" s="48"/>
      <c r="W132" s="48"/>
      <c r="X132" s="48"/>
      <c r="Y132" s="48"/>
      <c r="Z132" s="48"/>
      <c r="AA132" s="48"/>
    </row>
    <row r="133" spans="2:27" ht="12.75" customHeight="1" x14ac:dyDescent="0.25">
      <c r="B133" s="48"/>
      <c r="C133" s="48"/>
      <c r="D133" s="48"/>
      <c r="E133" s="48"/>
      <c r="F133" s="48"/>
      <c r="G133" s="48"/>
      <c r="H133" s="48"/>
      <c r="I133" s="48"/>
      <c r="J133" s="48"/>
      <c r="K133" s="48"/>
      <c r="L133" s="48"/>
      <c r="M133" s="48"/>
      <c r="N133" s="48"/>
      <c r="O133" s="48"/>
      <c r="P133" s="48"/>
      <c r="Q133" s="48"/>
      <c r="R133" s="48"/>
      <c r="S133" s="48"/>
      <c r="T133" s="48"/>
      <c r="U133" s="48"/>
      <c r="V133" s="48"/>
      <c r="W133" s="48"/>
      <c r="X133" s="48"/>
      <c r="Y133" s="48"/>
      <c r="Z133" s="48"/>
      <c r="AA133" s="48"/>
    </row>
    <row r="134" spans="2:27" ht="12.75" customHeight="1" x14ac:dyDescent="0.25">
      <c r="B134" s="48"/>
      <c r="C134" s="48"/>
      <c r="D134" s="48"/>
      <c r="E134" s="48"/>
      <c r="F134" s="48"/>
      <c r="G134" s="48"/>
      <c r="H134" s="48"/>
      <c r="I134" s="48"/>
      <c r="J134" s="48"/>
      <c r="K134" s="48"/>
      <c r="L134" s="48"/>
      <c r="M134" s="48"/>
      <c r="N134" s="48"/>
      <c r="O134" s="48"/>
      <c r="P134" s="48"/>
      <c r="Q134" s="48"/>
      <c r="R134" s="48"/>
      <c r="S134" s="48"/>
      <c r="T134" s="48"/>
      <c r="U134" s="48"/>
      <c r="V134" s="48"/>
      <c r="W134" s="48"/>
      <c r="X134" s="48"/>
      <c r="Y134" s="48"/>
      <c r="Z134" s="48"/>
      <c r="AA134" s="48"/>
    </row>
    <row r="135" spans="2:27" ht="12.75" customHeight="1" x14ac:dyDescent="0.25">
      <c r="B135" s="48"/>
      <c r="C135" s="48"/>
      <c r="D135" s="48"/>
      <c r="E135" s="48"/>
      <c r="F135" s="48"/>
      <c r="G135" s="48"/>
      <c r="H135" s="48"/>
      <c r="I135" s="48"/>
      <c r="J135" s="48"/>
      <c r="K135" s="48"/>
      <c r="L135" s="48"/>
      <c r="M135" s="48"/>
      <c r="N135" s="48"/>
      <c r="O135" s="48"/>
      <c r="P135" s="48"/>
      <c r="Q135" s="48"/>
      <c r="R135" s="48"/>
      <c r="S135" s="48"/>
      <c r="T135" s="48"/>
      <c r="U135" s="48"/>
      <c r="V135" s="48"/>
      <c r="W135" s="48"/>
      <c r="X135" s="48"/>
      <c r="Y135" s="48"/>
      <c r="Z135" s="48"/>
      <c r="AA135" s="48"/>
    </row>
    <row r="136" spans="2:27" ht="12.75" customHeight="1" x14ac:dyDescent="0.25">
      <c r="B136" s="48"/>
      <c r="C136" s="48"/>
      <c r="D136" s="48"/>
      <c r="E136" s="48"/>
      <c r="F136" s="48"/>
      <c r="G136" s="48"/>
      <c r="H136" s="48"/>
      <c r="I136" s="48"/>
      <c r="J136" s="48"/>
      <c r="K136" s="48"/>
      <c r="L136" s="48"/>
      <c r="M136" s="48"/>
      <c r="N136" s="48"/>
      <c r="O136" s="48"/>
      <c r="P136" s="48"/>
      <c r="Q136" s="48"/>
      <c r="R136" s="48"/>
      <c r="S136" s="48"/>
      <c r="T136" s="48"/>
      <c r="U136" s="48"/>
      <c r="V136" s="48"/>
      <c r="W136" s="48"/>
      <c r="X136" s="48"/>
      <c r="Y136" s="48"/>
      <c r="Z136" s="48"/>
      <c r="AA136" s="48"/>
    </row>
    <row r="137" spans="2:27" ht="12.75" customHeight="1" x14ac:dyDescent="0.25">
      <c r="B137" s="48"/>
      <c r="C137" s="48"/>
      <c r="D137" s="48"/>
      <c r="E137" s="48"/>
      <c r="F137" s="48"/>
      <c r="G137" s="48"/>
      <c r="H137" s="48"/>
      <c r="I137" s="48"/>
      <c r="J137" s="48"/>
      <c r="K137" s="48"/>
      <c r="L137" s="48"/>
      <c r="M137" s="48"/>
      <c r="N137" s="48"/>
      <c r="O137" s="48"/>
      <c r="P137" s="48"/>
      <c r="Q137" s="48"/>
      <c r="R137" s="48"/>
      <c r="S137" s="48"/>
      <c r="T137" s="48"/>
      <c r="U137" s="48"/>
      <c r="V137" s="48"/>
      <c r="W137" s="48"/>
      <c r="X137" s="48"/>
      <c r="Y137" s="48"/>
      <c r="Z137" s="48"/>
      <c r="AA137" s="48"/>
    </row>
    <row r="138" spans="2:27" ht="12.75" customHeight="1" x14ac:dyDescent="0.25">
      <c r="B138" s="48"/>
      <c r="C138" s="48"/>
      <c r="D138" s="48"/>
      <c r="E138" s="48"/>
      <c r="F138" s="48"/>
      <c r="G138" s="48"/>
      <c r="H138" s="48"/>
      <c r="I138" s="48"/>
      <c r="J138" s="48"/>
      <c r="K138" s="48"/>
      <c r="L138" s="48"/>
      <c r="M138" s="48"/>
      <c r="N138" s="48"/>
      <c r="O138" s="48"/>
      <c r="P138" s="48"/>
      <c r="Q138" s="48"/>
      <c r="R138" s="48"/>
      <c r="S138" s="48"/>
      <c r="T138" s="48"/>
      <c r="U138" s="48"/>
      <c r="V138" s="48"/>
      <c r="W138" s="48"/>
      <c r="X138" s="48"/>
      <c r="Y138" s="48"/>
      <c r="Z138" s="48"/>
      <c r="AA138" s="48"/>
    </row>
    <row r="139" spans="2:27" ht="12.75" customHeight="1" x14ac:dyDescent="0.25">
      <c r="B139" s="48"/>
      <c r="C139" s="48"/>
      <c r="D139" s="48"/>
      <c r="E139" s="48"/>
      <c r="F139" s="48"/>
      <c r="G139" s="48"/>
      <c r="H139" s="48"/>
      <c r="I139" s="48"/>
      <c r="J139" s="48"/>
      <c r="K139" s="48"/>
      <c r="L139" s="48"/>
      <c r="M139" s="48"/>
      <c r="N139" s="48"/>
      <c r="O139" s="48"/>
      <c r="P139" s="48"/>
      <c r="Q139" s="48"/>
      <c r="R139" s="48"/>
      <c r="S139" s="48"/>
      <c r="T139" s="48"/>
      <c r="U139" s="48"/>
      <c r="V139" s="48"/>
      <c r="W139" s="48"/>
      <c r="X139" s="48"/>
      <c r="Y139" s="48"/>
      <c r="Z139" s="48"/>
      <c r="AA139" s="48"/>
    </row>
    <row r="140" spans="2:27" ht="12.75" customHeight="1" x14ac:dyDescent="0.25">
      <c r="B140" s="48"/>
      <c r="C140" s="48"/>
      <c r="D140" s="48"/>
      <c r="E140" s="48"/>
      <c r="F140" s="48"/>
      <c r="G140" s="48"/>
      <c r="H140" s="48"/>
      <c r="I140" s="48"/>
      <c r="J140" s="48"/>
      <c r="K140" s="48"/>
      <c r="L140" s="48"/>
      <c r="M140" s="48"/>
      <c r="N140" s="48"/>
      <c r="O140" s="48"/>
      <c r="P140" s="48"/>
      <c r="Q140" s="48"/>
      <c r="R140" s="48"/>
      <c r="S140" s="48"/>
      <c r="T140" s="48"/>
      <c r="U140" s="48"/>
      <c r="V140" s="48"/>
      <c r="W140" s="48"/>
      <c r="X140" s="48"/>
      <c r="Y140" s="48"/>
      <c r="Z140" s="48"/>
      <c r="AA140" s="48"/>
    </row>
    <row r="141" spans="2:27" ht="12.75" customHeight="1" x14ac:dyDescent="0.25">
      <c r="B141" s="48"/>
      <c r="C141" s="48"/>
      <c r="D141" s="48"/>
      <c r="E141" s="48"/>
      <c r="F141" s="48"/>
      <c r="G141" s="48"/>
      <c r="H141" s="48"/>
      <c r="I141" s="48"/>
      <c r="J141" s="48"/>
      <c r="K141" s="48"/>
      <c r="L141" s="48"/>
      <c r="M141" s="48"/>
      <c r="N141" s="48"/>
      <c r="O141" s="48"/>
      <c r="P141" s="48"/>
      <c r="Q141" s="48"/>
      <c r="R141" s="48"/>
      <c r="S141" s="48"/>
      <c r="T141" s="48"/>
      <c r="U141" s="48"/>
      <c r="V141" s="48"/>
      <c r="W141" s="48"/>
      <c r="X141" s="48"/>
      <c r="Y141" s="48"/>
      <c r="Z141" s="48"/>
      <c r="AA141" s="48"/>
    </row>
    <row r="142" spans="2:27" ht="12.75" customHeight="1" x14ac:dyDescent="0.25">
      <c r="B142" s="48"/>
      <c r="C142" s="48"/>
      <c r="D142" s="48"/>
      <c r="E142" s="48"/>
      <c r="F142" s="48"/>
      <c r="G142" s="48"/>
      <c r="H142" s="48"/>
      <c r="I142" s="48"/>
      <c r="J142" s="48"/>
      <c r="K142" s="48"/>
      <c r="L142" s="48"/>
      <c r="M142" s="48"/>
      <c r="N142" s="48"/>
      <c r="O142" s="48"/>
      <c r="P142" s="48"/>
      <c r="Q142" s="48"/>
      <c r="R142" s="48"/>
      <c r="S142" s="48"/>
      <c r="T142" s="48"/>
      <c r="U142" s="48"/>
      <c r="V142" s="48"/>
      <c r="W142" s="48"/>
      <c r="X142" s="48"/>
      <c r="Y142" s="48"/>
      <c r="Z142" s="48"/>
      <c r="AA142" s="48"/>
    </row>
    <row r="143" spans="2:27" ht="12.75" customHeight="1" x14ac:dyDescent="0.25">
      <c r="B143" s="48"/>
      <c r="C143" s="48"/>
      <c r="D143" s="48"/>
      <c r="E143" s="48"/>
      <c r="F143" s="48"/>
      <c r="G143" s="48"/>
      <c r="H143" s="48"/>
      <c r="I143" s="48"/>
      <c r="J143" s="48"/>
      <c r="K143" s="48"/>
      <c r="L143" s="48"/>
      <c r="M143" s="48"/>
      <c r="N143" s="48"/>
      <c r="O143" s="48"/>
      <c r="P143" s="48"/>
      <c r="Q143" s="48"/>
      <c r="R143" s="48"/>
      <c r="S143" s="48"/>
      <c r="T143" s="48"/>
      <c r="U143" s="48"/>
      <c r="V143" s="48"/>
      <c r="W143" s="48"/>
      <c r="X143" s="48"/>
      <c r="Y143" s="48"/>
      <c r="Z143" s="48"/>
      <c r="AA143" s="48"/>
    </row>
    <row r="144" spans="2:27" ht="12.75" customHeight="1" x14ac:dyDescent="0.25">
      <c r="B144" s="48"/>
      <c r="C144" s="48"/>
      <c r="D144" s="48"/>
      <c r="E144" s="48"/>
      <c r="F144" s="48"/>
      <c r="G144" s="48"/>
      <c r="H144" s="48"/>
      <c r="I144" s="48"/>
      <c r="J144" s="48"/>
      <c r="K144" s="48"/>
      <c r="L144" s="48"/>
      <c r="M144" s="48"/>
      <c r="N144" s="48"/>
      <c r="O144" s="48"/>
      <c r="P144" s="48"/>
      <c r="Q144" s="48"/>
      <c r="R144" s="48"/>
      <c r="S144" s="48"/>
      <c r="T144" s="48"/>
      <c r="U144" s="48"/>
      <c r="V144" s="48"/>
      <c r="W144" s="48"/>
      <c r="X144" s="48"/>
      <c r="Y144" s="48"/>
      <c r="Z144" s="48"/>
      <c r="AA144" s="48"/>
    </row>
    <row r="145" spans="2:27" ht="12.75" customHeight="1" x14ac:dyDescent="0.25">
      <c r="B145" s="48"/>
      <c r="C145" s="48"/>
      <c r="D145" s="48"/>
      <c r="E145" s="48"/>
      <c r="F145" s="48"/>
      <c r="G145" s="48"/>
      <c r="H145" s="48"/>
      <c r="I145" s="48"/>
      <c r="J145" s="48"/>
      <c r="K145" s="48"/>
      <c r="L145" s="48"/>
      <c r="M145" s="48"/>
      <c r="N145" s="48"/>
      <c r="O145" s="48"/>
      <c r="P145" s="48"/>
      <c r="Q145" s="48"/>
      <c r="R145" s="48"/>
      <c r="S145" s="48"/>
      <c r="T145" s="48"/>
      <c r="U145" s="48"/>
      <c r="V145" s="48"/>
      <c r="W145" s="48"/>
      <c r="X145" s="48"/>
      <c r="Y145" s="48"/>
      <c r="Z145" s="48"/>
      <c r="AA145" s="48"/>
    </row>
    <row r="146" spans="2:27" ht="12.75" customHeight="1" x14ac:dyDescent="0.25">
      <c r="B146" s="48"/>
      <c r="C146" s="48"/>
      <c r="D146" s="48"/>
      <c r="E146" s="48"/>
      <c r="F146" s="48"/>
      <c r="G146" s="48"/>
      <c r="H146" s="48"/>
      <c r="I146" s="48"/>
      <c r="J146" s="48"/>
      <c r="K146" s="48"/>
      <c r="L146" s="48"/>
      <c r="M146" s="48"/>
      <c r="N146" s="48"/>
      <c r="O146" s="48"/>
      <c r="P146" s="48"/>
      <c r="Q146" s="48"/>
      <c r="R146" s="48"/>
      <c r="S146" s="48"/>
      <c r="T146" s="48"/>
      <c r="U146" s="48"/>
      <c r="V146" s="48"/>
      <c r="W146" s="48"/>
      <c r="X146" s="48"/>
      <c r="Y146" s="48"/>
      <c r="Z146" s="48"/>
      <c r="AA146" s="48"/>
    </row>
    <row r="147" spans="2:27" ht="12.75" customHeight="1" x14ac:dyDescent="0.25">
      <c r="B147" s="48"/>
      <c r="C147" s="48"/>
      <c r="D147" s="48"/>
      <c r="E147" s="48"/>
      <c r="F147" s="48"/>
      <c r="G147" s="48"/>
      <c r="H147" s="48"/>
      <c r="I147" s="48"/>
      <c r="J147" s="48"/>
      <c r="K147" s="48"/>
      <c r="L147" s="48"/>
      <c r="M147" s="48"/>
      <c r="N147" s="48"/>
      <c r="O147" s="48"/>
      <c r="P147" s="48"/>
      <c r="Q147" s="48"/>
      <c r="R147" s="48"/>
      <c r="S147" s="48"/>
      <c r="T147" s="48"/>
      <c r="U147" s="48"/>
      <c r="V147" s="48"/>
      <c r="W147" s="48"/>
      <c r="X147" s="48"/>
      <c r="Y147" s="48"/>
      <c r="Z147" s="48"/>
      <c r="AA147" s="48"/>
    </row>
    <row r="148" spans="2:27" ht="12.75" customHeight="1" x14ac:dyDescent="0.25">
      <c r="B148" s="48"/>
      <c r="C148" s="48"/>
      <c r="D148" s="48"/>
      <c r="E148" s="48"/>
      <c r="F148" s="48"/>
      <c r="G148" s="48"/>
      <c r="H148" s="48"/>
      <c r="I148" s="48"/>
      <c r="J148" s="48"/>
      <c r="K148" s="48"/>
      <c r="L148" s="48"/>
      <c r="M148" s="48"/>
      <c r="N148" s="48"/>
      <c r="O148" s="48"/>
      <c r="P148" s="48"/>
      <c r="Q148" s="48"/>
      <c r="R148" s="48"/>
      <c r="S148" s="48"/>
      <c r="T148" s="48"/>
      <c r="U148" s="48"/>
      <c r="V148" s="48"/>
      <c r="W148" s="48"/>
      <c r="X148" s="48"/>
      <c r="Y148" s="48"/>
      <c r="Z148" s="48"/>
      <c r="AA148" s="48"/>
    </row>
    <row r="149" spans="2:27" ht="12.75" customHeight="1" x14ac:dyDescent="0.25">
      <c r="B149" s="48"/>
      <c r="C149" s="48"/>
      <c r="D149" s="48"/>
      <c r="E149" s="48"/>
      <c r="F149" s="48"/>
      <c r="G149" s="48"/>
      <c r="H149" s="48"/>
      <c r="I149" s="48"/>
      <c r="J149" s="48"/>
      <c r="K149" s="48"/>
      <c r="L149" s="48"/>
      <c r="M149" s="48"/>
      <c r="N149" s="48"/>
      <c r="O149" s="48"/>
      <c r="P149" s="48"/>
      <c r="Q149" s="48"/>
      <c r="R149" s="48"/>
      <c r="S149" s="48"/>
      <c r="T149" s="48"/>
      <c r="U149" s="48"/>
      <c r="V149" s="48"/>
      <c r="W149" s="48"/>
      <c r="X149" s="48"/>
      <c r="Y149" s="48"/>
      <c r="Z149" s="48"/>
      <c r="AA149" s="48"/>
    </row>
    <row r="150" spans="2:27" ht="12.75" customHeight="1" x14ac:dyDescent="0.25">
      <c r="B150" s="48"/>
      <c r="C150" s="48"/>
      <c r="D150" s="48"/>
      <c r="E150" s="48"/>
      <c r="F150" s="48"/>
      <c r="G150" s="48"/>
      <c r="H150" s="48"/>
      <c r="I150" s="48"/>
      <c r="J150" s="48"/>
      <c r="K150" s="48"/>
      <c r="L150" s="48"/>
      <c r="M150" s="48"/>
      <c r="N150" s="48"/>
      <c r="O150" s="48"/>
      <c r="P150" s="48"/>
      <c r="Q150" s="48"/>
      <c r="R150" s="48"/>
      <c r="S150" s="48"/>
      <c r="T150" s="48"/>
      <c r="U150" s="48"/>
      <c r="V150" s="48"/>
      <c r="W150" s="48"/>
      <c r="X150" s="48"/>
      <c r="Y150" s="48"/>
      <c r="Z150" s="48"/>
      <c r="AA150" s="48"/>
    </row>
    <row r="151" spans="2:27" ht="12.75" customHeight="1" x14ac:dyDescent="0.25">
      <c r="B151" s="48"/>
      <c r="C151" s="48"/>
      <c r="D151" s="48"/>
      <c r="E151" s="48"/>
      <c r="F151" s="48"/>
      <c r="G151" s="48"/>
      <c r="H151" s="48"/>
      <c r="I151" s="48"/>
      <c r="J151" s="48"/>
      <c r="K151" s="48"/>
      <c r="L151" s="48"/>
      <c r="M151" s="48"/>
      <c r="N151" s="48"/>
      <c r="O151" s="48"/>
      <c r="P151" s="48"/>
      <c r="Q151" s="48"/>
      <c r="R151" s="48"/>
      <c r="S151" s="48"/>
      <c r="T151" s="48"/>
      <c r="U151" s="48"/>
      <c r="V151" s="48"/>
      <c r="W151" s="48"/>
      <c r="X151" s="48"/>
      <c r="Y151" s="48"/>
      <c r="Z151" s="48"/>
      <c r="AA151" s="48"/>
    </row>
    <row r="152" spans="2:27" ht="12.75" customHeight="1" x14ac:dyDescent="0.25">
      <c r="B152" s="48"/>
      <c r="C152" s="48"/>
      <c r="D152" s="48"/>
      <c r="E152" s="48"/>
      <c r="F152" s="48"/>
      <c r="G152" s="48"/>
      <c r="H152" s="48"/>
      <c r="I152" s="48"/>
      <c r="J152" s="48"/>
      <c r="K152" s="48"/>
      <c r="L152" s="48"/>
      <c r="M152" s="48"/>
      <c r="N152" s="48"/>
      <c r="O152" s="48"/>
      <c r="P152" s="48"/>
      <c r="Q152" s="48"/>
      <c r="R152" s="48"/>
      <c r="S152" s="48"/>
      <c r="T152" s="48"/>
      <c r="U152" s="48"/>
      <c r="V152" s="48"/>
      <c r="W152" s="48"/>
      <c r="X152" s="48"/>
      <c r="Y152" s="48"/>
      <c r="Z152" s="48"/>
      <c r="AA152" s="48"/>
    </row>
    <row r="153" spans="2:27" ht="12.75" customHeight="1" x14ac:dyDescent="0.25">
      <c r="B153" s="48"/>
      <c r="C153" s="48"/>
      <c r="D153" s="48"/>
      <c r="E153" s="48"/>
      <c r="F153" s="48"/>
      <c r="G153" s="48"/>
      <c r="H153" s="48"/>
      <c r="I153" s="48"/>
      <c r="J153" s="48"/>
      <c r="K153" s="48"/>
      <c r="L153" s="48"/>
      <c r="M153" s="48"/>
      <c r="N153" s="48"/>
      <c r="O153" s="48"/>
      <c r="P153" s="48"/>
      <c r="Q153" s="48"/>
      <c r="R153" s="48"/>
      <c r="S153" s="48"/>
      <c r="T153" s="48"/>
      <c r="U153" s="48"/>
      <c r="V153" s="48"/>
      <c r="W153" s="48"/>
      <c r="X153" s="48"/>
      <c r="Y153" s="48"/>
      <c r="Z153" s="48"/>
      <c r="AA153" s="48"/>
    </row>
    <row r="154" spans="2:27" ht="12.75" customHeight="1" x14ac:dyDescent="0.25">
      <c r="B154" s="48"/>
      <c r="C154" s="48"/>
      <c r="D154" s="48"/>
      <c r="E154" s="48"/>
      <c r="F154" s="48"/>
      <c r="G154" s="48"/>
      <c r="H154" s="48"/>
      <c r="I154" s="48"/>
      <c r="J154" s="48"/>
      <c r="K154" s="48"/>
      <c r="L154" s="48"/>
      <c r="M154" s="48"/>
      <c r="N154" s="48"/>
      <c r="O154" s="48"/>
      <c r="P154" s="48"/>
      <c r="Q154" s="48"/>
      <c r="R154" s="48"/>
      <c r="S154" s="48"/>
      <c r="T154" s="48"/>
      <c r="U154" s="48"/>
      <c r="V154" s="48"/>
      <c r="W154" s="48"/>
      <c r="X154" s="48"/>
      <c r="Y154" s="48"/>
      <c r="Z154" s="48"/>
      <c r="AA154" s="48"/>
    </row>
    <row r="155" spans="2:27" ht="12.75" customHeight="1" x14ac:dyDescent="0.25">
      <c r="B155" s="48"/>
      <c r="C155" s="48"/>
      <c r="D155" s="48"/>
      <c r="E155" s="48"/>
      <c r="F155" s="48"/>
      <c r="G155" s="48"/>
      <c r="H155" s="48"/>
      <c r="I155" s="48"/>
      <c r="J155" s="48"/>
      <c r="K155" s="48"/>
      <c r="L155" s="48"/>
      <c r="M155" s="48"/>
      <c r="N155" s="48"/>
      <c r="O155" s="48"/>
      <c r="P155" s="48"/>
      <c r="Q155" s="48"/>
      <c r="R155" s="48"/>
      <c r="S155" s="48"/>
      <c r="T155" s="48"/>
      <c r="U155" s="48"/>
      <c r="V155" s="48"/>
      <c r="W155" s="48"/>
      <c r="X155" s="48"/>
      <c r="Y155" s="48"/>
      <c r="Z155" s="48"/>
      <c r="AA155" s="48"/>
    </row>
    <row r="156" spans="2:27" ht="12.75" customHeight="1" x14ac:dyDescent="0.25">
      <c r="B156" s="48"/>
      <c r="C156" s="48"/>
      <c r="D156" s="48"/>
      <c r="E156" s="48"/>
      <c r="F156" s="48"/>
      <c r="G156" s="48"/>
      <c r="H156" s="48"/>
      <c r="I156" s="48"/>
      <c r="J156" s="48"/>
      <c r="K156" s="48"/>
      <c r="L156" s="48"/>
      <c r="M156" s="48"/>
      <c r="N156" s="48"/>
      <c r="O156" s="48"/>
      <c r="P156" s="48"/>
      <c r="Q156" s="48"/>
      <c r="R156" s="48"/>
      <c r="S156" s="48"/>
      <c r="T156" s="48"/>
      <c r="U156" s="48"/>
      <c r="V156" s="48"/>
      <c r="W156" s="48"/>
      <c r="X156" s="48"/>
      <c r="Y156" s="48"/>
      <c r="Z156" s="48"/>
      <c r="AA156" s="48"/>
    </row>
    <row r="157" spans="2:27" ht="12.75" customHeight="1" x14ac:dyDescent="0.25">
      <c r="B157" s="48"/>
      <c r="C157" s="48"/>
      <c r="D157" s="48"/>
      <c r="E157" s="48"/>
      <c r="F157" s="48"/>
      <c r="G157" s="48"/>
      <c r="H157" s="48"/>
      <c r="I157" s="48"/>
      <c r="J157" s="48"/>
      <c r="K157" s="48"/>
      <c r="L157" s="48"/>
      <c r="M157" s="48"/>
      <c r="N157" s="48"/>
      <c r="O157" s="48"/>
      <c r="P157" s="48"/>
      <c r="Q157" s="48"/>
      <c r="R157" s="48"/>
      <c r="S157" s="48"/>
      <c r="T157" s="48"/>
      <c r="U157" s="48"/>
      <c r="V157" s="48"/>
      <c r="W157" s="48"/>
      <c r="X157" s="48"/>
      <c r="Y157" s="48"/>
      <c r="Z157" s="48"/>
      <c r="AA157" s="48"/>
    </row>
    <row r="158" spans="2:27" ht="12.75" customHeight="1" x14ac:dyDescent="0.25">
      <c r="B158" s="48"/>
      <c r="C158" s="48"/>
      <c r="D158" s="48"/>
      <c r="E158" s="48"/>
      <c r="F158" s="48"/>
      <c r="G158" s="48"/>
      <c r="H158" s="48"/>
      <c r="I158" s="48"/>
      <c r="J158" s="48"/>
      <c r="K158" s="48"/>
      <c r="L158" s="48"/>
      <c r="M158" s="48"/>
      <c r="N158" s="48"/>
      <c r="O158" s="48"/>
      <c r="P158" s="48"/>
      <c r="Q158" s="48"/>
      <c r="R158" s="48"/>
      <c r="S158" s="48"/>
      <c r="T158" s="48"/>
      <c r="U158" s="48"/>
      <c r="V158" s="48"/>
      <c r="W158" s="48"/>
      <c r="X158" s="48"/>
      <c r="Y158" s="48"/>
      <c r="Z158" s="48"/>
      <c r="AA158" s="48"/>
    </row>
    <row r="159" spans="2:27" ht="12.75" customHeight="1" x14ac:dyDescent="0.25">
      <c r="B159" s="48"/>
      <c r="C159" s="48"/>
      <c r="D159" s="48"/>
      <c r="E159" s="48"/>
      <c r="F159" s="48"/>
      <c r="G159" s="48"/>
      <c r="H159" s="48"/>
      <c r="I159" s="48"/>
      <c r="J159" s="48"/>
      <c r="K159" s="48"/>
      <c r="L159" s="48"/>
      <c r="M159" s="48"/>
      <c r="N159" s="48"/>
      <c r="O159" s="48"/>
      <c r="P159" s="48"/>
      <c r="Q159" s="48"/>
      <c r="R159" s="48"/>
      <c r="S159" s="48"/>
      <c r="T159" s="48"/>
      <c r="U159" s="48"/>
      <c r="V159" s="48"/>
      <c r="W159" s="48"/>
      <c r="X159" s="48"/>
      <c r="Y159" s="48"/>
      <c r="Z159" s="48"/>
      <c r="AA159" s="48"/>
    </row>
    <row r="160" spans="2:27" ht="12.75" customHeight="1" x14ac:dyDescent="0.25">
      <c r="B160" s="48"/>
      <c r="C160" s="48"/>
      <c r="D160" s="48"/>
      <c r="E160" s="48"/>
      <c r="F160" s="48"/>
      <c r="G160" s="48"/>
      <c r="H160" s="48"/>
      <c r="I160" s="48"/>
      <c r="J160" s="48"/>
      <c r="K160" s="48"/>
      <c r="L160" s="48"/>
      <c r="M160" s="48"/>
      <c r="N160" s="48"/>
      <c r="O160" s="48"/>
      <c r="P160" s="48"/>
      <c r="Q160" s="48"/>
      <c r="R160" s="48"/>
      <c r="S160" s="48"/>
      <c r="T160" s="48"/>
      <c r="U160" s="48"/>
      <c r="V160" s="48"/>
      <c r="W160" s="48"/>
      <c r="X160" s="48"/>
      <c r="Y160" s="48"/>
      <c r="Z160" s="48"/>
      <c r="AA160" s="48"/>
    </row>
    <row r="161" spans="2:27" ht="12.75" customHeight="1" x14ac:dyDescent="0.25">
      <c r="B161" s="48"/>
      <c r="C161" s="48"/>
      <c r="D161" s="48"/>
      <c r="E161" s="48"/>
      <c r="F161" s="48"/>
      <c r="G161" s="48"/>
      <c r="H161" s="48"/>
      <c r="I161" s="48"/>
      <c r="J161" s="48"/>
      <c r="K161" s="48"/>
      <c r="L161" s="48"/>
      <c r="M161" s="48"/>
      <c r="N161" s="48"/>
      <c r="O161" s="48"/>
      <c r="P161" s="48"/>
      <c r="Q161" s="48"/>
      <c r="R161" s="48"/>
      <c r="S161" s="48"/>
      <c r="T161" s="48"/>
      <c r="U161" s="48"/>
      <c r="V161" s="48"/>
      <c r="W161" s="48"/>
      <c r="X161" s="48"/>
      <c r="Y161" s="48"/>
      <c r="Z161" s="48"/>
      <c r="AA161" s="48"/>
    </row>
    <row r="162" spans="2:27" ht="12.75" customHeight="1" x14ac:dyDescent="0.25">
      <c r="B162" s="48"/>
      <c r="C162" s="48"/>
      <c r="D162" s="48"/>
      <c r="E162" s="48"/>
      <c r="F162" s="48"/>
      <c r="G162" s="48"/>
      <c r="H162" s="48"/>
      <c r="I162" s="48"/>
      <c r="J162" s="48"/>
      <c r="K162" s="48"/>
      <c r="L162" s="48"/>
      <c r="M162" s="48"/>
      <c r="N162" s="48"/>
      <c r="O162" s="48"/>
      <c r="P162" s="48"/>
      <c r="Q162" s="48"/>
      <c r="R162" s="48"/>
      <c r="S162" s="48"/>
      <c r="T162" s="48"/>
      <c r="U162" s="48"/>
      <c r="V162" s="48"/>
      <c r="W162" s="48"/>
      <c r="X162" s="48"/>
      <c r="Y162" s="48"/>
      <c r="Z162" s="48"/>
      <c r="AA162" s="48"/>
    </row>
    <row r="163" spans="2:27" ht="12.75" customHeight="1" x14ac:dyDescent="0.25">
      <c r="B163" s="48"/>
      <c r="C163" s="48"/>
      <c r="D163" s="48"/>
      <c r="E163" s="48"/>
      <c r="F163" s="48"/>
      <c r="G163" s="48"/>
      <c r="H163" s="48"/>
      <c r="I163" s="48"/>
      <c r="J163" s="48"/>
      <c r="K163" s="48"/>
      <c r="L163" s="48"/>
      <c r="M163" s="48"/>
      <c r="N163" s="48"/>
      <c r="O163" s="48"/>
      <c r="P163" s="48"/>
      <c r="Q163" s="48"/>
      <c r="R163" s="48"/>
      <c r="S163" s="48"/>
      <c r="T163" s="48"/>
      <c r="U163" s="48"/>
      <c r="V163" s="48"/>
      <c r="W163" s="48"/>
      <c r="X163" s="48"/>
      <c r="Y163" s="48"/>
      <c r="Z163" s="48"/>
      <c r="AA163" s="48"/>
    </row>
    <row r="164" spans="2:27" ht="12.75" customHeight="1" x14ac:dyDescent="0.25">
      <c r="B164" s="48"/>
      <c r="C164" s="48"/>
      <c r="D164" s="48"/>
      <c r="E164" s="48"/>
      <c r="F164" s="48"/>
      <c r="G164" s="48"/>
      <c r="H164" s="48"/>
      <c r="I164" s="48"/>
      <c r="J164" s="48"/>
      <c r="K164" s="48"/>
      <c r="L164" s="48"/>
      <c r="M164" s="48"/>
      <c r="N164" s="48"/>
      <c r="O164" s="48"/>
      <c r="P164" s="48"/>
      <c r="Q164" s="48"/>
      <c r="R164" s="48"/>
      <c r="S164" s="48"/>
      <c r="T164" s="48"/>
      <c r="U164" s="48"/>
      <c r="V164" s="48"/>
      <c r="W164" s="48"/>
      <c r="X164" s="48"/>
      <c r="Y164" s="48"/>
      <c r="Z164" s="48"/>
      <c r="AA164" s="48"/>
    </row>
    <row r="165" spans="2:27" ht="12.75" customHeight="1" x14ac:dyDescent="0.25">
      <c r="B165" s="48"/>
      <c r="C165" s="48"/>
      <c r="D165" s="48"/>
      <c r="E165" s="48"/>
      <c r="F165" s="48"/>
      <c r="G165" s="48"/>
      <c r="H165" s="48"/>
      <c r="I165" s="48"/>
      <c r="J165" s="48"/>
      <c r="K165" s="48"/>
      <c r="L165" s="48"/>
      <c r="M165" s="48"/>
      <c r="N165" s="48"/>
      <c r="O165" s="48"/>
      <c r="P165" s="48"/>
      <c r="Q165" s="48"/>
      <c r="R165" s="48"/>
      <c r="S165" s="48"/>
      <c r="T165" s="48"/>
      <c r="U165" s="48"/>
      <c r="V165" s="48"/>
      <c r="W165" s="48"/>
      <c r="X165" s="48"/>
      <c r="Y165" s="48"/>
      <c r="Z165" s="48"/>
      <c r="AA165" s="48"/>
    </row>
    <row r="166" spans="2:27" ht="12.75" customHeight="1" x14ac:dyDescent="0.25">
      <c r="B166" s="48"/>
      <c r="C166" s="48"/>
      <c r="D166" s="48"/>
      <c r="E166" s="48"/>
      <c r="F166" s="48"/>
      <c r="G166" s="48"/>
      <c r="H166" s="48"/>
      <c r="I166" s="48"/>
      <c r="J166" s="48"/>
      <c r="K166" s="48"/>
      <c r="L166" s="48"/>
      <c r="M166" s="48"/>
      <c r="N166" s="48"/>
      <c r="O166" s="48"/>
      <c r="P166" s="48"/>
      <c r="Q166" s="48"/>
      <c r="R166" s="48"/>
      <c r="S166" s="48"/>
      <c r="T166" s="48"/>
      <c r="U166" s="48"/>
      <c r="V166" s="48"/>
      <c r="W166" s="48"/>
      <c r="X166" s="48"/>
      <c r="Y166" s="48"/>
      <c r="Z166" s="48"/>
      <c r="AA166" s="48"/>
    </row>
    <row r="167" spans="2:27" ht="12.75" customHeight="1" x14ac:dyDescent="0.25">
      <c r="B167" s="48"/>
      <c r="C167" s="48"/>
      <c r="D167" s="48"/>
      <c r="E167" s="48"/>
      <c r="F167" s="48"/>
      <c r="G167" s="48"/>
      <c r="H167" s="48"/>
      <c r="I167" s="48"/>
      <c r="J167" s="48"/>
      <c r="K167" s="48"/>
      <c r="L167" s="48"/>
      <c r="M167" s="48"/>
      <c r="N167" s="48"/>
      <c r="O167" s="48"/>
      <c r="P167" s="48"/>
      <c r="Q167" s="48"/>
      <c r="R167" s="48"/>
      <c r="S167" s="48"/>
      <c r="T167" s="48"/>
      <c r="U167" s="48"/>
      <c r="V167" s="48"/>
      <c r="W167" s="48"/>
      <c r="X167" s="48"/>
      <c r="Y167" s="48"/>
      <c r="Z167" s="48"/>
      <c r="AA167" s="48"/>
    </row>
    <row r="168" spans="2:27" ht="12.75" customHeight="1" x14ac:dyDescent="0.25">
      <c r="B168" s="48"/>
      <c r="C168" s="48"/>
      <c r="D168" s="48"/>
      <c r="E168" s="48"/>
      <c r="F168" s="48"/>
      <c r="G168" s="48"/>
      <c r="H168" s="48"/>
      <c r="I168" s="48"/>
      <c r="J168" s="48"/>
      <c r="K168" s="48"/>
      <c r="L168" s="48"/>
      <c r="M168" s="48"/>
      <c r="N168" s="48"/>
      <c r="O168" s="48"/>
      <c r="P168" s="48"/>
      <c r="Q168" s="48"/>
      <c r="R168" s="48"/>
      <c r="S168" s="48"/>
      <c r="T168" s="48"/>
      <c r="U168" s="48"/>
      <c r="V168" s="48"/>
      <c r="W168" s="48"/>
      <c r="X168" s="48"/>
      <c r="Y168" s="48"/>
      <c r="Z168" s="48"/>
      <c r="AA168" s="48"/>
    </row>
    <row r="169" spans="2:27" ht="12.75" customHeight="1" x14ac:dyDescent="0.25">
      <c r="B169" s="48"/>
      <c r="C169" s="48"/>
      <c r="D169" s="48"/>
      <c r="E169" s="48"/>
      <c r="F169" s="48"/>
      <c r="G169" s="48"/>
      <c r="H169" s="48"/>
      <c r="I169" s="48"/>
      <c r="J169" s="48"/>
      <c r="K169" s="48"/>
      <c r="L169" s="48"/>
      <c r="M169" s="48"/>
      <c r="N169" s="48"/>
      <c r="O169" s="48"/>
      <c r="P169" s="48"/>
      <c r="Q169" s="48"/>
      <c r="R169" s="48"/>
      <c r="S169" s="48"/>
      <c r="T169" s="48"/>
      <c r="U169" s="48"/>
      <c r="V169" s="48"/>
      <c r="W169" s="48"/>
      <c r="X169" s="48"/>
      <c r="Y169" s="48"/>
      <c r="Z169" s="48"/>
      <c r="AA169" s="48"/>
    </row>
    <row r="170" spans="2:27" ht="12.75" customHeight="1" x14ac:dyDescent="0.25">
      <c r="B170" s="48"/>
      <c r="C170" s="48"/>
      <c r="D170" s="48"/>
      <c r="E170" s="48"/>
      <c r="F170" s="48"/>
      <c r="G170" s="48"/>
      <c r="H170" s="48"/>
      <c r="I170" s="48"/>
      <c r="J170" s="48"/>
      <c r="K170" s="48"/>
      <c r="L170" s="48"/>
      <c r="M170" s="48"/>
      <c r="N170" s="48"/>
      <c r="O170" s="48"/>
      <c r="P170" s="48"/>
      <c r="Q170" s="48"/>
      <c r="R170" s="48"/>
      <c r="S170" s="48"/>
      <c r="T170" s="48"/>
      <c r="U170" s="48"/>
      <c r="V170" s="48"/>
      <c r="W170" s="48"/>
      <c r="X170" s="48"/>
      <c r="Y170" s="48"/>
      <c r="Z170" s="48"/>
      <c r="AA170" s="48"/>
    </row>
    <row r="171" spans="2:27" ht="12.75" customHeight="1" x14ac:dyDescent="0.25">
      <c r="B171" s="48"/>
      <c r="C171" s="48"/>
      <c r="D171" s="48"/>
      <c r="E171" s="48"/>
      <c r="F171" s="48"/>
      <c r="G171" s="48"/>
      <c r="H171" s="48"/>
      <c r="I171" s="48"/>
      <c r="J171" s="48"/>
      <c r="K171" s="48"/>
      <c r="L171" s="48"/>
      <c r="M171" s="48"/>
      <c r="N171" s="48"/>
      <c r="O171" s="48"/>
      <c r="P171" s="48"/>
      <c r="Q171" s="48"/>
      <c r="R171" s="48"/>
      <c r="S171" s="48"/>
      <c r="T171" s="48"/>
      <c r="U171" s="48"/>
      <c r="V171" s="48"/>
      <c r="W171" s="48"/>
      <c r="X171" s="48"/>
      <c r="Y171" s="48"/>
      <c r="Z171" s="48"/>
      <c r="AA171" s="48"/>
    </row>
    <row r="172" spans="2:27" ht="12.75" customHeight="1" x14ac:dyDescent="0.25">
      <c r="B172" s="48"/>
      <c r="C172" s="48"/>
      <c r="D172" s="48"/>
      <c r="E172" s="48"/>
      <c r="F172" s="48"/>
      <c r="G172" s="48"/>
      <c r="H172" s="48"/>
      <c r="I172" s="48"/>
      <c r="J172" s="48"/>
      <c r="K172" s="48"/>
      <c r="L172" s="48"/>
      <c r="M172" s="48"/>
      <c r="N172" s="48"/>
      <c r="O172" s="48"/>
      <c r="P172" s="48"/>
      <c r="Q172" s="48"/>
      <c r="R172" s="48"/>
      <c r="S172" s="48"/>
      <c r="T172" s="48"/>
      <c r="U172" s="48"/>
      <c r="V172" s="48"/>
      <c r="W172" s="48"/>
      <c r="X172" s="48"/>
      <c r="Y172" s="48"/>
      <c r="Z172" s="48"/>
      <c r="AA172" s="48"/>
    </row>
    <row r="173" spans="2:27" ht="12.75" customHeight="1" x14ac:dyDescent="0.25">
      <c r="B173" s="48"/>
      <c r="C173" s="48"/>
      <c r="D173" s="48"/>
      <c r="E173" s="48"/>
      <c r="F173" s="48"/>
      <c r="G173" s="48"/>
      <c r="H173" s="48"/>
      <c r="I173" s="48"/>
      <c r="J173" s="48"/>
      <c r="K173" s="48"/>
      <c r="L173" s="48"/>
      <c r="M173" s="48"/>
      <c r="N173" s="48"/>
      <c r="O173" s="48"/>
      <c r="P173" s="48"/>
      <c r="Q173" s="48"/>
      <c r="R173" s="48"/>
      <c r="S173" s="48"/>
      <c r="T173" s="48"/>
      <c r="U173" s="48"/>
      <c r="V173" s="48"/>
      <c r="W173" s="48"/>
      <c r="X173" s="48"/>
      <c r="Y173" s="48"/>
      <c r="Z173" s="48"/>
      <c r="AA173" s="48"/>
    </row>
    <row r="174" spans="2:27" ht="12.75" customHeight="1" x14ac:dyDescent="0.25">
      <c r="B174" s="48"/>
      <c r="C174" s="48"/>
      <c r="D174" s="48"/>
      <c r="E174" s="48"/>
      <c r="F174" s="48"/>
      <c r="G174" s="48"/>
      <c r="H174" s="48"/>
      <c r="I174" s="48"/>
      <c r="J174" s="48"/>
      <c r="K174" s="48"/>
      <c r="L174" s="48"/>
      <c r="M174" s="48"/>
      <c r="N174" s="48"/>
      <c r="O174" s="48"/>
      <c r="P174" s="48"/>
      <c r="Q174" s="48"/>
      <c r="R174" s="48"/>
      <c r="S174" s="48"/>
      <c r="T174" s="48"/>
      <c r="U174" s="48"/>
      <c r="V174" s="48"/>
      <c r="W174" s="48"/>
      <c r="X174" s="48"/>
      <c r="Y174" s="48"/>
      <c r="Z174" s="48"/>
      <c r="AA174" s="48"/>
    </row>
    <row r="175" spans="2:27" ht="12.75" customHeight="1" x14ac:dyDescent="0.25">
      <c r="B175" s="48"/>
      <c r="C175" s="48"/>
      <c r="D175" s="48"/>
      <c r="E175" s="48"/>
      <c r="F175" s="48"/>
      <c r="G175" s="48"/>
      <c r="H175" s="48"/>
      <c r="I175" s="48"/>
      <c r="J175" s="48"/>
      <c r="K175" s="48"/>
      <c r="L175" s="48"/>
      <c r="M175" s="48"/>
      <c r="N175" s="48"/>
      <c r="O175" s="48"/>
      <c r="P175" s="48"/>
      <c r="Q175" s="48"/>
      <c r="R175" s="48"/>
      <c r="S175" s="48"/>
      <c r="T175" s="48"/>
      <c r="U175" s="48"/>
      <c r="V175" s="48"/>
      <c r="W175" s="48"/>
      <c r="X175" s="48"/>
      <c r="Y175" s="48"/>
      <c r="Z175" s="48"/>
      <c r="AA175" s="48"/>
    </row>
    <row r="176" spans="2:27" ht="12.75" customHeight="1" x14ac:dyDescent="0.25">
      <c r="B176" s="48"/>
      <c r="C176" s="48"/>
      <c r="D176" s="48"/>
      <c r="E176" s="48"/>
      <c r="F176" s="48"/>
      <c r="G176" s="48"/>
      <c r="H176" s="48"/>
      <c r="I176" s="48"/>
      <c r="J176" s="48"/>
      <c r="K176" s="48"/>
      <c r="L176" s="48"/>
      <c r="M176" s="48"/>
      <c r="N176" s="48"/>
      <c r="O176" s="48"/>
      <c r="P176" s="48"/>
      <c r="Q176" s="48"/>
      <c r="R176" s="48"/>
      <c r="S176" s="48"/>
      <c r="T176" s="48"/>
      <c r="U176" s="48"/>
      <c r="V176" s="48"/>
      <c r="W176" s="48"/>
      <c r="X176" s="48"/>
      <c r="Y176" s="48"/>
      <c r="Z176" s="48"/>
      <c r="AA176" s="48"/>
    </row>
    <row r="177" spans="2:27" ht="12.75" customHeight="1" x14ac:dyDescent="0.25">
      <c r="B177" s="48"/>
      <c r="C177" s="48"/>
      <c r="D177" s="48"/>
      <c r="E177" s="48"/>
      <c r="F177" s="48"/>
      <c r="G177" s="48"/>
      <c r="H177" s="48"/>
      <c r="I177" s="48"/>
      <c r="J177" s="48"/>
      <c r="K177" s="48"/>
      <c r="L177" s="48"/>
      <c r="M177" s="48"/>
      <c r="N177" s="48"/>
      <c r="O177" s="48"/>
      <c r="P177" s="48"/>
      <c r="Q177" s="48"/>
      <c r="R177" s="48"/>
      <c r="S177" s="48"/>
      <c r="T177" s="48"/>
      <c r="U177" s="48"/>
      <c r="V177" s="48"/>
      <c r="W177" s="48"/>
      <c r="X177" s="48"/>
      <c r="Y177" s="48"/>
      <c r="Z177" s="48"/>
      <c r="AA177" s="48"/>
    </row>
    <row r="178" spans="2:27" ht="12.75" customHeight="1" x14ac:dyDescent="0.25">
      <c r="B178" s="48"/>
      <c r="C178" s="48"/>
      <c r="D178" s="48"/>
      <c r="E178" s="48"/>
      <c r="F178" s="48"/>
      <c r="G178" s="48"/>
      <c r="H178" s="48"/>
      <c r="I178" s="48"/>
      <c r="J178" s="48"/>
      <c r="K178" s="48"/>
      <c r="L178" s="48"/>
      <c r="M178" s="48"/>
      <c r="N178" s="48"/>
      <c r="O178" s="48"/>
      <c r="P178" s="48"/>
      <c r="Q178" s="48"/>
      <c r="R178" s="48"/>
      <c r="S178" s="48"/>
      <c r="T178" s="48"/>
      <c r="U178" s="48"/>
      <c r="V178" s="48"/>
      <c r="W178" s="48"/>
      <c r="X178" s="48"/>
      <c r="Y178" s="48"/>
      <c r="Z178" s="48"/>
      <c r="AA178" s="48"/>
    </row>
    <row r="179" spans="2:27" ht="12.75" customHeight="1" x14ac:dyDescent="0.25">
      <c r="B179" s="48"/>
      <c r="C179" s="48"/>
      <c r="D179" s="48"/>
      <c r="E179" s="48"/>
      <c r="F179" s="48"/>
      <c r="G179" s="48"/>
      <c r="H179" s="48"/>
      <c r="I179" s="48"/>
      <c r="J179" s="48"/>
      <c r="K179" s="48"/>
      <c r="L179" s="48"/>
      <c r="M179" s="48"/>
      <c r="N179" s="48"/>
      <c r="O179" s="48"/>
      <c r="P179" s="48"/>
      <c r="Q179" s="48"/>
      <c r="R179" s="48"/>
      <c r="S179" s="48"/>
      <c r="T179" s="48"/>
      <c r="U179" s="48"/>
      <c r="V179" s="48"/>
      <c r="W179" s="48"/>
      <c r="X179" s="48"/>
      <c r="Y179" s="48"/>
      <c r="Z179" s="48"/>
      <c r="AA179" s="48"/>
    </row>
    <row r="180" spans="2:27" ht="12.75" customHeight="1" x14ac:dyDescent="0.25">
      <c r="B180" s="48"/>
      <c r="C180" s="48"/>
      <c r="D180" s="48"/>
      <c r="E180" s="48"/>
      <c r="F180" s="48"/>
      <c r="G180" s="48"/>
      <c r="H180" s="48"/>
      <c r="I180" s="48"/>
      <c r="J180" s="48"/>
      <c r="K180" s="48"/>
      <c r="L180" s="48"/>
      <c r="M180" s="48"/>
      <c r="N180" s="48"/>
      <c r="O180" s="48"/>
      <c r="P180" s="48"/>
      <c r="Q180" s="48"/>
      <c r="R180" s="48"/>
      <c r="S180" s="48"/>
      <c r="T180" s="48"/>
      <c r="U180" s="48"/>
      <c r="V180" s="48"/>
      <c r="W180" s="48"/>
      <c r="X180" s="48"/>
      <c r="Y180" s="48"/>
      <c r="Z180" s="48"/>
      <c r="AA180" s="48"/>
    </row>
    <row r="181" spans="2:27" ht="12.75" customHeight="1" x14ac:dyDescent="0.25">
      <c r="B181" s="48"/>
      <c r="C181" s="48"/>
      <c r="D181" s="48"/>
      <c r="E181" s="48"/>
      <c r="F181" s="48"/>
      <c r="G181" s="48"/>
      <c r="H181" s="48"/>
      <c r="I181" s="48"/>
      <c r="J181" s="48"/>
      <c r="K181" s="48"/>
      <c r="L181" s="48"/>
      <c r="M181" s="48"/>
      <c r="N181" s="48"/>
      <c r="O181" s="48"/>
      <c r="P181" s="48"/>
      <c r="Q181" s="48"/>
      <c r="R181" s="48"/>
      <c r="S181" s="48"/>
      <c r="T181" s="48"/>
      <c r="U181" s="48"/>
      <c r="V181" s="48"/>
      <c r="W181" s="48"/>
      <c r="X181" s="48"/>
      <c r="Y181" s="48"/>
      <c r="Z181" s="48"/>
      <c r="AA181" s="48"/>
    </row>
    <row r="182" spans="2:27" ht="12.75" customHeight="1" x14ac:dyDescent="0.25">
      <c r="B182" s="48"/>
      <c r="C182" s="48"/>
      <c r="D182" s="48"/>
      <c r="E182" s="48"/>
      <c r="F182" s="48"/>
      <c r="G182" s="48"/>
      <c r="H182" s="48"/>
      <c r="I182" s="48"/>
      <c r="J182" s="48"/>
      <c r="K182" s="48"/>
      <c r="L182" s="48"/>
      <c r="M182" s="48"/>
      <c r="N182" s="48"/>
      <c r="O182" s="48"/>
      <c r="P182" s="48"/>
      <c r="Q182" s="48"/>
      <c r="R182" s="48"/>
      <c r="S182" s="48"/>
      <c r="T182" s="48"/>
      <c r="U182" s="48"/>
      <c r="V182" s="48"/>
      <c r="W182" s="48"/>
      <c r="X182" s="48"/>
      <c r="Y182" s="48"/>
      <c r="Z182" s="48"/>
      <c r="AA182" s="48"/>
    </row>
    <row r="183" spans="2:27" ht="12.75" customHeight="1" x14ac:dyDescent="0.25">
      <c r="B183" s="48"/>
      <c r="C183" s="48"/>
      <c r="D183" s="48"/>
      <c r="E183" s="48"/>
      <c r="F183" s="48"/>
      <c r="G183" s="48"/>
      <c r="H183" s="48"/>
      <c r="I183" s="48"/>
      <c r="J183" s="48"/>
      <c r="K183" s="48"/>
      <c r="L183" s="48"/>
      <c r="M183" s="48"/>
      <c r="N183" s="48"/>
      <c r="O183" s="48"/>
      <c r="P183" s="48"/>
      <c r="Q183" s="48"/>
      <c r="R183" s="48"/>
      <c r="S183" s="48"/>
      <c r="T183" s="48"/>
      <c r="U183" s="48"/>
      <c r="V183" s="48"/>
      <c r="W183" s="48"/>
      <c r="X183" s="48"/>
      <c r="Y183" s="48"/>
      <c r="Z183" s="48"/>
      <c r="AA183" s="48"/>
    </row>
    <row r="184" spans="2:27" ht="12.75" customHeight="1" x14ac:dyDescent="0.25">
      <c r="B184" s="48"/>
      <c r="C184" s="48"/>
      <c r="D184" s="48"/>
      <c r="E184" s="48"/>
      <c r="F184" s="48"/>
      <c r="G184" s="48"/>
      <c r="H184" s="48"/>
      <c r="I184" s="48"/>
      <c r="J184" s="48"/>
      <c r="K184" s="48"/>
      <c r="L184" s="48"/>
      <c r="M184" s="48"/>
      <c r="N184" s="48"/>
      <c r="O184" s="48"/>
      <c r="P184" s="48"/>
      <c r="Q184" s="48"/>
      <c r="R184" s="48"/>
      <c r="S184" s="48"/>
      <c r="T184" s="48"/>
      <c r="U184" s="48"/>
      <c r="V184" s="48"/>
      <c r="W184" s="48"/>
      <c r="X184" s="48"/>
      <c r="Y184" s="48"/>
      <c r="Z184" s="48"/>
      <c r="AA184" s="48"/>
    </row>
    <row r="185" spans="2:27" ht="12.75" customHeight="1" x14ac:dyDescent="0.25">
      <c r="B185" s="48"/>
      <c r="C185" s="48"/>
      <c r="D185" s="48"/>
      <c r="E185" s="48"/>
      <c r="F185" s="48"/>
      <c r="G185" s="48"/>
      <c r="H185" s="48"/>
      <c r="I185" s="48"/>
      <c r="J185" s="48"/>
      <c r="K185" s="48"/>
      <c r="L185" s="48"/>
      <c r="M185" s="48"/>
      <c r="N185" s="48"/>
      <c r="O185" s="48"/>
      <c r="P185" s="48"/>
      <c r="Q185" s="48"/>
      <c r="R185" s="48"/>
      <c r="S185" s="48"/>
      <c r="T185" s="48"/>
      <c r="U185" s="48"/>
      <c r="V185" s="48"/>
      <c r="W185" s="48"/>
      <c r="X185" s="48"/>
      <c r="Y185" s="48"/>
      <c r="Z185" s="48"/>
      <c r="AA185" s="48"/>
    </row>
    <row r="186" spans="2:27" ht="12.75" customHeight="1" x14ac:dyDescent="0.25">
      <c r="B186" s="48"/>
      <c r="C186" s="48"/>
      <c r="D186" s="48"/>
      <c r="E186" s="48"/>
      <c r="F186" s="48"/>
      <c r="G186" s="48"/>
      <c r="H186" s="48"/>
      <c r="I186" s="48"/>
      <c r="J186" s="48"/>
      <c r="K186" s="48"/>
      <c r="L186" s="48"/>
      <c r="M186" s="48"/>
      <c r="N186" s="48"/>
      <c r="O186" s="48"/>
      <c r="P186" s="48"/>
      <c r="Q186" s="48"/>
      <c r="R186" s="48"/>
      <c r="S186" s="48"/>
      <c r="T186" s="48"/>
      <c r="U186" s="48"/>
      <c r="V186" s="48"/>
      <c r="W186" s="48"/>
      <c r="X186" s="48"/>
      <c r="Y186" s="48"/>
      <c r="Z186" s="48"/>
      <c r="AA186" s="48"/>
    </row>
    <row r="187" spans="2:27" ht="12.75" customHeight="1" x14ac:dyDescent="0.25">
      <c r="B187" s="48"/>
      <c r="C187" s="48"/>
      <c r="D187" s="48"/>
      <c r="E187" s="48"/>
      <c r="F187" s="48"/>
      <c r="G187" s="48"/>
      <c r="H187" s="48"/>
      <c r="I187" s="48"/>
      <c r="J187" s="48"/>
      <c r="K187" s="48"/>
      <c r="L187" s="48"/>
      <c r="M187" s="48"/>
      <c r="N187" s="48"/>
      <c r="O187" s="48"/>
      <c r="P187" s="48"/>
      <c r="Q187" s="48"/>
      <c r="R187" s="48"/>
      <c r="S187" s="48"/>
      <c r="T187" s="48"/>
      <c r="U187" s="48"/>
      <c r="V187" s="48"/>
      <c r="W187" s="48"/>
      <c r="X187" s="48"/>
      <c r="Y187" s="48"/>
      <c r="Z187" s="48"/>
      <c r="AA187" s="48"/>
    </row>
    <row r="188" spans="2:27" ht="12.75" customHeight="1" x14ac:dyDescent="0.25">
      <c r="B188" s="48"/>
      <c r="C188" s="48"/>
      <c r="D188" s="48"/>
      <c r="E188" s="48"/>
      <c r="F188" s="48"/>
      <c r="G188" s="48"/>
      <c r="H188" s="48"/>
      <c r="I188" s="48"/>
      <c r="J188" s="48"/>
      <c r="K188" s="48"/>
      <c r="L188" s="48"/>
      <c r="M188" s="48"/>
      <c r="N188" s="48"/>
      <c r="O188" s="48"/>
      <c r="P188" s="48"/>
      <c r="Q188" s="48"/>
      <c r="R188" s="48"/>
      <c r="S188" s="48"/>
      <c r="T188" s="48"/>
      <c r="U188" s="48"/>
      <c r="V188" s="48"/>
      <c r="W188" s="48"/>
      <c r="X188" s="48"/>
      <c r="Y188" s="48"/>
      <c r="Z188" s="48"/>
      <c r="AA188" s="48"/>
    </row>
    <row r="189" spans="2:27" ht="12.75" customHeight="1" x14ac:dyDescent="0.25">
      <c r="B189" s="48"/>
      <c r="C189" s="48"/>
      <c r="D189" s="48"/>
      <c r="E189" s="48"/>
      <c r="F189" s="48"/>
      <c r="G189" s="48"/>
      <c r="H189" s="48"/>
      <c r="I189" s="48"/>
      <c r="J189" s="48"/>
      <c r="K189" s="48"/>
      <c r="L189" s="48"/>
      <c r="M189" s="48"/>
      <c r="N189" s="48"/>
      <c r="O189" s="48"/>
      <c r="P189" s="48"/>
      <c r="Q189" s="48"/>
      <c r="R189" s="48"/>
      <c r="S189" s="48"/>
      <c r="T189" s="48"/>
      <c r="U189" s="48"/>
      <c r="V189" s="48"/>
      <c r="W189" s="48"/>
      <c r="X189" s="48"/>
      <c r="Y189" s="48"/>
      <c r="Z189" s="48"/>
      <c r="AA189" s="48"/>
    </row>
    <row r="190" spans="2:27" ht="12.75" customHeight="1" x14ac:dyDescent="0.25">
      <c r="B190" s="48"/>
      <c r="C190" s="48"/>
      <c r="D190" s="48"/>
      <c r="E190" s="48"/>
      <c r="F190" s="48"/>
      <c r="G190" s="48"/>
      <c r="H190" s="48"/>
      <c r="I190" s="48"/>
      <c r="J190" s="48"/>
      <c r="K190" s="48"/>
      <c r="L190" s="48"/>
      <c r="M190" s="48"/>
      <c r="N190" s="48"/>
      <c r="O190" s="48"/>
      <c r="P190" s="48"/>
      <c r="Q190" s="48"/>
      <c r="R190" s="48"/>
      <c r="S190" s="48"/>
      <c r="T190" s="48"/>
      <c r="U190" s="48"/>
      <c r="V190" s="48"/>
      <c r="W190" s="48"/>
      <c r="X190" s="48"/>
      <c r="Y190" s="48"/>
      <c r="Z190" s="48"/>
      <c r="AA190" s="48"/>
    </row>
    <row r="191" spans="2:27" ht="12.75" customHeight="1" x14ac:dyDescent="0.25">
      <c r="B191" s="48"/>
      <c r="C191" s="48"/>
      <c r="D191" s="48"/>
      <c r="E191" s="48"/>
      <c r="F191" s="48"/>
      <c r="G191" s="48"/>
      <c r="H191" s="48"/>
      <c r="I191" s="48"/>
      <c r="J191" s="48"/>
      <c r="K191" s="48"/>
      <c r="L191" s="48"/>
      <c r="M191" s="48"/>
      <c r="N191" s="48"/>
      <c r="O191" s="48"/>
      <c r="P191" s="48"/>
      <c r="Q191" s="48"/>
      <c r="R191" s="48"/>
      <c r="S191" s="48"/>
      <c r="T191" s="48"/>
      <c r="U191" s="48"/>
      <c r="V191" s="48"/>
      <c r="W191" s="48"/>
      <c r="X191" s="48"/>
      <c r="Y191" s="48"/>
      <c r="Z191" s="48"/>
      <c r="AA191" s="48"/>
    </row>
    <row r="192" spans="2:27" ht="12.75" customHeight="1" x14ac:dyDescent="0.25">
      <c r="B192" s="48"/>
      <c r="C192" s="48"/>
      <c r="D192" s="48"/>
      <c r="E192" s="48"/>
      <c r="F192" s="48"/>
      <c r="G192" s="48"/>
      <c r="H192" s="48"/>
      <c r="I192" s="48"/>
      <c r="J192" s="48"/>
      <c r="K192" s="48"/>
      <c r="L192" s="48"/>
      <c r="M192" s="48"/>
      <c r="N192" s="48"/>
      <c r="O192" s="48"/>
      <c r="P192" s="48"/>
      <c r="Q192" s="48"/>
      <c r="R192" s="48"/>
      <c r="S192" s="48"/>
      <c r="T192" s="48"/>
      <c r="U192" s="48"/>
      <c r="V192" s="48"/>
      <c r="W192" s="48"/>
      <c r="X192" s="48"/>
      <c r="Y192" s="48"/>
      <c r="Z192" s="48"/>
      <c r="AA192" s="48"/>
    </row>
    <row r="193" spans="2:27" ht="12.75" customHeight="1" x14ac:dyDescent="0.25">
      <c r="B193" s="48"/>
      <c r="C193" s="48"/>
      <c r="D193" s="48"/>
      <c r="E193" s="48"/>
      <c r="F193" s="48"/>
      <c r="G193" s="48"/>
      <c r="H193" s="48"/>
      <c r="I193" s="48"/>
      <c r="J193" s="48"/>
      <c r="K193" s="48"/>
      <c r="L193" s="48"/>
      <c r="M193" s="48"/>
      <c r="N193" s="48"/>
      <c r="O193" s="48"/>
      <c r="P193" s="48"/>
      <c r="Q193" s="48"/>
      <c r="R193" s="48"/>
      <c r="S193" s="48"/>
      <c r="T193" s="48"/>
      <c r="U193" s="48"/>
      <c r="V193" s="48"/>
      <c r="W193" s="48"/>
      <c r="X193" s="48"/>
      <c r="Y193" s="48"/>
      <c r="Z193" s="48"/>
      <c r="AA193" s="48"/>
    </row>
    <row r="194" spans="2:27" ht="12.75" customHeight="1" x14ac:dyDescent="0.25">
      <c r="B194" s="48"/>
      <c r="C194" s="48"/>
      <c r="D194" s="48"/>
      <c r="E194" s="48"/>
      <c r="F194" s="48"/>
      <c r="G194" s="48"/>
      <c r="H194" s="48"/>
      <c r="I194" s="48"/>
      <c r="J194" s="48"/>
      <c r="K194" s="48"/>
      <c r="L194" s="48"/>
      <c r="M194" s="48"/>
      <c r="N194" s="48"/>
      <c r="O194" s="48"/>
      <c r="P194" s="48"/>
      <c r="Q194" s="48"/>
      <c r="R194" s="48"/>
      <c r="S194" s="48"/>
      <c r="T194" s="48"/>
      <c r="U194" s="48"/>
      <c r="V194" s="48"/>
      <c r="W194" s="48"/>
      <c r="X194" s="48"/>
      <c r="Y194" s="48"/>
      <c r="Z194" s="48"/>
      <c r="AA194" s="48"/>
    </row>
    <row r="195" spans="2:27" ht="12.75" customHeight="1" x14ac:dyDescent="0.25">
      <c r="B195" s="48"/>
      <c r="C195" s="48"/>
      <c r="D195" s="48"/>
      <c r="E195" s="48"/>
      <c r="F195" s="48"/>
      <c r="G195" s="48"/>
      <c r="H195" s="48"/>
      <c r="I195" s="48"/>
      <c r="J195" s="48"/>
      <c r="K195" s="48"/>
      <c r="L195" s="48"/>
      <c r="M195" s="48"/>
      <c r="N195" s="48"/>
      <c r="O195" s="48"/>
      <c r="P195" s="48"/>
      <c r="Q195" s="48"/>
      <c r="R195" s="48"/>
      <c r="S195" s="48"/>
      <c r="T195" s="48"/>
      <c r="U195" s="48"/>
      <c r="V195" s="48"/>
      <c r="W195" s="48"/>
      <c r="X195" s="48"/>
      <c r="Y195" s="48"/>
      <c r="Z195" s="48"/>
      <c r="AA195" s="48"/>
    </row>
    <row r="196" spans="2:27" ht="12.75" customHeight="1" x14ac:dyDescent="0.25">
      <c r="B196" s="48"/>
      <c r="C196" s="48"/>
      <c r="D196" s="48"/>
      <c r="E196" s="48"/>
      <c r="F196" s="48"/>
      <c r="G196" s="48"/>
      <c r="H196" s="48"/>
      <c r="I196" s="48"/>
      <c r="J196" s="48"/>
      <c r="K196" s="48"/>
      <c r="L196" s="48"/>
      <c r="M196" s="48"/>
      <c r="N196" s="48"/>
      <c r="O196" s="48"/>
      <c r="P196" s="48"/>
      <c r="Q196" s="48"/>
      <c r="R196" s="48"/>
      <c r="S196" s="48"/>
      <c r="T196" s="48"/>
      <c r="U196" s="48"/>
      <c r="V196" s="48"/>
      <c r="W196" s="48"/>
      <c r="X196" s="48"/>
      <c r="Y196" s="48"/>
      <c r="Z196" s="48"/>
      <c r="AA196" s="48"/>
    </row>
    <row r="197" spans="2:27" ht="12.75" customHeight="1" x14ac:dyDescent="0.25">
      <c r="B197" s="48"/>
      <c r="C197" s="48"/>
      <c r="D197" s="48"/>
      <c r="E197" s="48"/>
      <c r="F197" s="48"/>
      <c r="G197" s="48"/>
      <c r="H197" s="48"/>
      <c r="I197" s="48"/>
      <c r="J197" s="48"/>
      <c r="K197" s="48"/>
      <c r="L197" s="48"/>
      <c r="M197" s="48"/>
      <c r="N197" s="48"/>
      <c r="O197" s="48"/>
      <c r="P197" s="48"/>
      <c r="Q197" s="48"/>
      <c r="R197" s="48"/>
      <c r="S197" s="48"/>
      <c r="T197" s="48"/>
      <c r="U197" s="48"/>
      <c r="V197" s="48"/>
      <c r="W197" s="48"/>
      <c r="X197" s="48"/>
      <c r="Y197" s="48"/>
      <c r="Z197" s="48"/>
      <c r="AA197" s="48"/>
    </row>
    <row r="198" spans="2:27" ht="12.75" customHeight="1" x14ac:dyDescent="0.25">
      <c r="B198" s="48"/>
      <c r="C198" s="48"/>
      <c r="D198" s="48"/>
      <c r="E198" s="48"/>
      <c r="F198" s="48"/>
      <c r="G198" s="48"/>
      <c r="H198" s="48"/>
      <c r="I198" s="48"/>
      <c r="J198" s="48"/>
      <c r="K198" s="48"/>
      <c r="L198" s="48"/>
      <c r="M198" s="48"/>
      <c r="N198" s="48"/>
      <c r="O198" s="48"/>
      <c r="P198" s="48"/>
      <c r="Q198" s="48"/>
      <c r="R198" s="48"/>
      <c r="S198" s="48"/>
      <c r="T198" s="48"/>
      <c r="U198" s="48"/>
      <c r="V198" s="48"/>
      <c r="W198" s="48"/>
      <c r="X198" s="48"/>
      <c r="Y198" s="48"/>
      <c r="Z198" s="48"/>
      <c r="AA198" s="48"/>
    </row>
    <row r="199" spans="2:27" ht="12.75" customHeight="1" x14ac:dyDescent="0.25">
      <c r="B199" s="48"/>
      <c r="C199" s="48"/>
      <c r="D199" s="48"/>
      <c r="E199" s="48"/>
      <c r="F199" s="48"/>
      <c r="G199" s="48"/>
      <c r="H199" s="48"/>
      <c r="I199" s="48"/>
      <c r="J199" s="48"/>
      <c r="K199" s="48"/>
      <c r="L199" s="48"/>
      <c r="M199" s="48"/>
      <c r="N199" s="48"/>
      <c r="O199" s="48"/>
      <c r="P199" s="48"/>
      <c r="Q199" s="48"/>
      <c r="R199" s="48"/>
      <c r="S199" s="48"/>
      <c r="T199" s="48"/>
      <c r="U199" s="48"/>
      <c r="V199" s="48"/>
      <c r="W199" s="48"/>
      <c r="X199" s="48"/>
      <c r="Y199" s="48"/>
      <c r="Z199" s="48"/>
      <c r="AA199" s="48"/>
    </row>
    <row r="200" spans="2:27" ht="12.75" customHeight="1" x14ac:dyDescent="0.25">
      <c r="B200" s="48"/>
      <c r="C200" s="48"/>
      <c r="D200" s="48"/>
      <c r="E200" s="48"/>
      <c r="F200" s="48"/>
      <c r="G200" s="48"/>
      <c r="H200" s="48"/>
      <c r="I200" s="48"/>
      <c r="J200" s="48"/>
      <c r="K200" s="48"/>
      <c r="L200" s="48"/>
      <c r="M200" s="48"/>
      <c r="N200" s="48"/>
      <c r="O200" s="48"/>
      <c r="P200" s="48"/>
      <c r="Q200" s="48"/>
      <c r="R200" s="48"/>
      <c r="S200" s="48"/>
      <c r="T200" s="48"/>
      <c r="U200" s="48"/>
      <c r="V200" s="48"/>
      <c r="W200" s="48"/>
      <c r="X200" s="48"/>
      <c r="Y200" s="48"/>
      <c r="Z200" s="48"/>
      <c r="AA200" s="48"/>
    </row>
    <row r="201" spans="2:27" ht="12.75" customHeight="1" x14ac:dyDescent="0.25">
      <c r="B201" s="48"/>
      <c r="C201" s="48"/>
      <c r="D201" s="48"/>
      <c r="E201" s="48"/>
      <c r="F201" s="48"/>
      <c r="G201" s="48"/>
      <c r="H201" s="48"/>
      <c r="I201" s="48"/>
      <c r="J201" s="48"/>
      <c r="K201" s="48"/>
      <c r="L201" s="48"/>
      <c r="M201" s="48"/>
      <c r="N201" s="48"/>
      <c r="O201" s="48"/>
      <c r="P201" s="48"/>
      <c r="Q201" s="48"/>
      <c r="R201" s="48"/>
      <c r="S201" s="48"/>
      <c r="T201" s="48"/>
      <c r="U201" s="48"/>
      <c r="V201" s="48"/>
      <c r="W201" s="48"/>
      <c r="X201" s="48"/>
      <c r="Y201" s="48"/>
      <c r="Z201" s="48"/>
      <c r="AA201" s="48"/>
    </row>
    <row r="202" spans="2:27" ht="12.75" customHeight="1" x14ac:dyDescent="0.25">
      <c r="B202" s="48"/>
      <c r="C202" s="48"/>
      <c r="D202" s="48"/>
      <c r="E202" s="48"/>
      <c r="F202" s="48"/>
      <c r="G202" s="48"/>
      <c r="H202" s="48"/>
      <c r="I202" s="48"/>
      <c r="J202" s="48"/>
      <c r="K202" s="48"/>
      <c r="L202" s="48"/>
      <c r="M202" s="48"/>
      <c r="N202" s="48"/>
      <c r="O202" s="48"/>
      <c r="P202" s="48"/>
      <c r="Q202" s="48"/>
      <c r="R202" s="48"/>
      <c r="S202" s="48"/>
      <c r="T202" s="48"/>
      <c r="U202" s="48"/>
      <c r="V202" s="48"/>
      <c r="W202" s="48"/>
      <c r="X202" s="48"/>
      <c r="Y202" s="48"/>
      <c r="Z202" s="48"/>
      <c r="AA202" s="48"/>
    </row>
    <row r="203" spans="2:27" ht="12.75" customHeight="1" x14ac:dyDescent="0.25">
      <c r="B203" s="48"/>
      <c r="C203" s="48"/>
      <c r="D203" s="48"/>
      <c r="E203" s="48"/>
      <c r="F203" s="48"/>
      <c r="G203" s="48"/>
      <c r="H203" s="48"/>
      <c r="I203" s="48"/>
      <c r="J203" s="48"/>
      <c r="K203" s="48"/>
      <c r="L203" s="48"/>
      <c r="M203" s="48"/>
      <c r="N203" s="48"/>
      <c r="O203" s="48"/>
      <c r="P203" s="48"/>
      <c r="Q203" s="48"/>
      <c r="R203" s="48"/>
      <c r="S203" s="48"/>
      <c r="T203" s="48"/>
      <c r="U203" s="48"/>
      <c r="V203" s="48"/>
      <c r="W203" s="48"/>
      <c r="X203" s="48"/>
      <c r="Y203" s="48"/>
      <c r="Z203" s="48"/>
      <c r="AA203" s="48"/>
    </row>
    <row r="204" spans="2:27" ht="12.75" customHeight="1" x14ac:dyDescent="0.25">
      <c r="B204" s="48"/>
      <c r="C204" s="48"/>
      <c r="D204" s="48"/>
      <c r="E204" s="48"/>
      <c r="F204" s="48"/>
      <c r="G204" s="48"/>
      <c r="H204" s="48"/>
      <c r="I204" s="48"/>
      <c r="J204" s="48"/>
      <c r="K204" s="48"/>
      <c r="L204" s="48"/>
      <c r="M204" s="48"/>
      <c r="N204" s="48"/>
      <c r="O204" s="48"/>
      <c r="P204" s="48"/>
      <c r="Q204" s="48"/>
      <c r="R204" s="48"/>
      <c r="S204" s="48"/>
      <c r="T204" s="48"/>
      <c r="U204" s="48"/>
      <c r="V204" s="48"/>
      <c r="W204" s="48"/>
      <c r="X204" s="48"/>
      <c r="Y204" s="48"/>
      <c r="Z204" s="48"/>
      <c r="AA204" s="48"/>
    </row>
    <row r="205" spans="2:27" ht="12.75" customHeight="1" x14ac:dyDescent="0.25">
      <c r="B205" s="48"/>
      <c r="C205" s="48"/>
      <c r="D205" s="48"/>
      <c r="E205" s="48"/>
      <c r="F205" s="48"/>
      <c r="G205" s="48"/>
      <c r="H205" s="48"/>
      <c r="I205" s="48"/>
      <c r="J205" s="48"/>
      <c r="K205" s="48"/>
      <c r="L205" s="48"/>
      <c r="M205" s="48"/>
      <c r="N205" s="48"/>
      <c r="O205" s="48"/>
      <c r="P205" s="48"/>
      <c r="Q205" s="48"/>
      <c r="R205" s="48"/>
      <c r="S205" s="48"/>
      <c r="T205" s="48"/>
      <c r="U205" s="48"/>
      <c r="V205" s="48"/>
      <c r="W205" s="48"/>
      <c r="X205" s="48"/>
      <c r="Y205" s="48"/>
      <c r="Z205" s="48"/>
      <c r="AA205" s="48"/>
    </row>
    <row r="206" spans="2:27" ht="12.75" customHeight="1" x14ac:dyDescent="0.25">
      <c r="B206" s="48"/>
      <c r="C206" s="48"/>
      <c r="D206" s="48"/>
      <c r="E206" s="48"/>
      <c r="F206" s="48"/>
      <c r="G206" s="48"/>
      <c r="H206" s="48"/>
      <c r="I206" s="48"/>
      <c r="J206" s="48"/>
      <c r="K206" s="48"/>
      <c r="L206" s="48"/>
      <c r="M206" s="48"/>
      <c r="N206" s="48"/>
      <c r="O206" s="48"/>
      <c r="P206" s="48"/>
      <c r="Q206" s="48"/>
      <c r="R206" s="48"/>
      <c r="S206" s="48"/>
      <c r="T206" s="48"/>
      <c r="U206" s="48"/>
      <c r="V206" s="48"/>
      <c r="W206" s="48"/>
      <c r="X206" s="48"/>
      <c r="Y206" s="48"/>
      <c r="Z206" s="48"/>
      <c r="AA206" s="48"/>
    </row>
    <row r="207" spans="2:27" ht="12.75" customHeight="1" x14ac:dyDescent="0.25">
      <c r="B207" s="48"/>
      <c r="C207" s="48"/>
      <c r="D207" s="48"/>
      <c r="E207" s="48"/>
      <c r="F207" s="48"/>
      <c r="G207" s="48"/>
      <c r="H207" s="48"/>
      <c r="I207" s="48"/>
      <c r="J207" s="48"/>
      <c r="K207" s="48"/>
      <c r="L207" s="48"/>
      <c r="M207" s="48"/>
      <c r="N207" s="48"/>
      <c r="O207" s="48"/>
      <c r="P207" s="48"/>
      <c r="Q207" s="48"/>
      <c r="R207" s="48"/>
      <c r="S207" s="48"/>
      <c r="T207" s="48"/>
      <c r="U207" s="48"/>
      <c r="V207" s="48"/>
      <c r="W207" s="48"/>
      <c r="X207" s="48"/>
      <c r="Y207" s="48"/>
      <c r="Z207" s="48"/>
      <c r="AA207" s="48"/>
    </row>
    <row r="208" spans="2:27" ht="12.75" customHeight="1" x14ac:dyDescent="0.25">
      <c r="B208" s="48"/>
      <c r="C208" s="48"/>
      <c r="D208" s="48"/>
      <c r="E208" s="48"/>
      <c r="F208" s="48"/>
      <c r="G208" s="48"/>
      <c r="H208" s="48"/>
      <c r="I208" s="48"/>
      <c r="J208" s="48"/>
      <c r="K208" s="48"/>
      <c r="L208" s="48"/>
      <c r="M208" s="48"/>
      <c r="N208" s="48"/>
      <c r="O208" s="48"/>
      <c r="P208" s="48"/>
      <c r="Q208" s="48"/>
      <c r="R208" s="48"/>
      <c r="S208" s="48"/>
      <c r="T208" s="48"/>
      <c r="U208" s="48"/>
      <c r="V208" s="48"/>
      <c r="W208" s="48"/>
      <c r="X208" s="48"/>
      <c r="Y208" s="48"/>
      <c r="Z208" s="48"/>
      <c r="AA208" s="48"/>
    </row>
    <row r="209" spans="2:27" ht="12.75" customHeight="1" x14ac:dyDescent="0.25">
      <c r="B209" s="48"/>
      <c r="C209" s="48"/>
      <c r="D209" s="48"/>
      <c r="E209" s="48"/>
      <c r="F209" s="48"/>
      <c r="G209" s="48"/>
      <c r="H209" s="48"/>
      <c r="I209" s="48"/>
      <c r="J209" s="48"/>
      <c r="K209" s="48"/>
      <c r="L209" s="48"/>
      <c r="M209" s="48"/>
      <c r="N209" s="48"/>
      <c r="O209" s="48"/>
      <c r="P209" s="48"/>
      <c r="Q209" s="48"/>
      <c r="R209" s="48"/>
      <c r="S209" s="48"/>
      <c r="T209" s="48"/>
      <c r="U209" s="48"/>
      <c r="V209" s="48"/>
      <c r="W209" s="48"/>
      <c r="X209" s="48"/>
      <c r="Y209" s="48"/>
      <c r="Z209" s="48"/>
      <c r="AA209" s="48"/>
    </row>
    <row r="210" spans="2:27" ht="12.75" customHeight="1" x14ac:dyDescent="0.25">
      <c r="B210" s="48"/>
      <c r="C210" s="48"/>
      <c r="D210" s="48"/>
      <c r="E210" s="48"/>
      <c r="F210" s="48"/>
      <c r="G210" s="48"/>
      <c r="H210" s="48"/>
      <c r="I210" s="48"/>
      <c r="J210" s="48"/>
      <c r="K210" s="48"/>
      <c r="L210" s="48"/>
      <c r="M210" s="48"/>
      <c r="N210" s="48"/>
      <c r="O210" s="48"/>
      <c r="P210" s="48"/>
      <c r="Q210" s="48"/>
      <c r="R210" s="48"/>
      <c r="S210" s="48"/>
      <c r="T210" s="48"/>
      <c r="U210" s="48"/>
      <c r="V210" s="48"/>
      <c r="W210" s="48"/>
      <c r="X210" s="48"/>
      <c r="Y210" s="48"/>
      <c r="Z210" s="48"/>
      <c r="AA210" s="48"/>
    </row>
    <row r="211" spans="2:27" ht="12.75" customHeight="1" x14ac:dyDescent="0.25">
      <c r="B211" s="48"/>
      <c r="C211" s="48"/>
      <c r="D211" s="48"/>
      <c r="E211" s="48"/>
      <c r="F211" s="48"/>
      <c r="G211" s="48"/>
      <c r="H211" s="48"/>
      <c r="I211" s="48"/>
      <c r="J211" s="48"/>
      <c r="K211" s="48"/>
      <c r="L211" s="48"/>
      <c r="M211" s="48"/>
      <c r="N211" s="48"/>
      <c r="O211" s="48"/>
      <c r="P211" s="48"/>
      <c r="Q211" s="48"/>
      <c r="R211" s="48"/>
      <c r="S211" s="48"/>
      <c r="T211" s="48"/>
      <c r="U211" s="48"/>
      <c r="V211" s="48"/>
      <c r="W211" s="48"/>
      <c r="X211" s="48"/>
      <c r="Y211" s="48"/>
      <c r="Z211" s="48"/>
      <c r="AA211" s="48"/>
    </row>
    <row r="212" spans="2:27" ht="12.75" customHeight="1" x14ac:dyDescent="0.25">
      <c r="B212" s="48"/>
      <c r="C212" s="48"/>
      <c r="D212" s="48"/>
      <c r="E212" s="48"/>
      <c r="F212" s="48"/>
      <c r="G212" s="48"/>
      <c r="H212" s="48"/>
      <c r="I212" s="48"/>
      <c r="J212" s="48"/>
      <c r="K212" s="48"/>
      <c r="L212" s="48"/>
      <c r="M212" s="48"/>
      <c r="N212" s="48"/>
      <c r="O212" s="48"/>
      <c r="P212" s="48"/>
      <c r="Q212" s="48"/>
      <c r="R212" s="48"/>
      <c r="S212" s="48"/>
      <c r="T212" s="48"/>
      <c r="U212" s="48"/>
      <c r="V212" s="48"/>
      <c r="W212" s="48"/>
      <c r="X212" s="48"/>
      <c r="Y212" s="48"/>
      <c r="Z212" s="48"/>
      <c r="AA212" s="48"/>
    </row>
    <row r="213" spans="2:27" ht="12.75" customHeight="1" x14ac:dyDescent="0.25">
      <c r="B213" s="48"/>
      <c r="C213" s="48"/>
      <c r="D213" s="48"/>
      <c r="E213" s="48"/>
      <c r="F213" s="48"/>
      <c r="G213" s="48"/>
      <c r="H213" s="48"/>
      <c r="I213" s="48"/>
      <c r="J213" s="48"/>
      <c r="K213" s="48"/>
      <c r="L213" s="48"/>
      <c r="M213" s="48"/>
      <c r="N213" s="48"/>
      <c r="O213" s="48"/>
      <c r="P213" s="48"/>
      <c r="Q213" s="48"/>
      <c r="R213" s="48"/>
      <c r="S213" s="48"/>
      <c r="T213" s="48"/>
      <c r="U213" s="48"/>
      <c r="V213" s="48"/>
      <c r="W213" s="48"/>
      <c r="X213" s="48"/>
      <c r="Y213" s="48"/>
      <c r="Z213" s="48"/>
      <c r="AA213" s="48"/>
    </row>
    <row r="214" spans="2:27" ht="12.75" customHeight="1" x14ac:dyDescent="0.25">
      <c r="B214" s="48"/>
      <c r="C214" s="48"/>
      <c r="D214" s="48"/>
      <c r="E214" s="48"/>
      <c r="F214" s="48"/>
      <c r="G214" s="48"/>
      <c r="H214" s="48"/>
      <c r="I214" s="48"/>
      <c r="J214" s="48"/>
      <c r="K214" s="48"/>
      <c r="L214" s="48"/>
      <c r="M214" s="48"/>
      <c r="N214" s="48"/>
      <c r="O214" s="48"/>
      <c r="P214" s="48"/>
      <c r="Q214" s="48"/>
      <c r="R214" s="48"/>
      <c r="S214" s="48"/>
      <c r="T214" s="48"/>
      <c r="U214" s="48"/>
      <c r="V214" s="48"/>
      <c r="W214" s="48"/>
      <c r="X214" s="48"/>
      <c r="Y214" s="48"/>
      <c r="Z214" s="48"/>
      <c r="AA214" s="48"/>
    </row>
    <row r="215" spans="2:27" ht="12.75" customHeight="1" x14ac:dyDescent="0.25">
      <c r="B215" s="48"/>
      <c r="C215" s="48"/>
      <c r="D215" s="48"/>
      <c r="E215" s="48"/>
      <c r="F215" s="48"/>
      <c r="G215" s="48"/>
      <c r="H215" s="48"/>
      <c r="I215" s="48"/>
      <c r="J215" s="48"/>
      <c r="K215" s="48"/>
      <c r="L215" s="48"/>
      <c r="M215" s="48"/>
      <c r="N215" s="48"/>
      <c r="O215" s="48"/>
      <c r="P215" s="48"/>
      <c r="Q215" s="48"/>
      <c r="R215" s="48"/>
      <c r="S215" s="48"/>
      <c r="T215" s="48"/>
      <c r="U215" s="48"/>
      <c r="V215" s="48"/>
      <c r="W215" s="48"/>
      <c r="X215" s="48"/>
      <c r="Y215" s="48"/>
      <c r="Z215" s="48"/>
      <c r="AA215" s="48"/>
    </row>
    <row r="216" spans="2:27" ht="12.75" customHeight="1" x14ac:dyDescent="0.25">
      <c r="B216" s="48"/>
      <c r="C216" s="48"/>
      <c r="D216" s="48"/>
      <c r="E216" s="48"/>
      <c r="F216" s="48"/>
      <c r="G216" s="48"/>
      <c r="H216" s="48"/>
      <c r="I216" s="48"/>
      <c r="J216" s="48"/>
      <c r="K216" s="48"/>
      <c r="L216" s="48"/>
      <c r="M216" s="48"/>
      <c r="N216" s="48"/>
      <c r="O216" s="48"/>
      <c r="P216" s="48"/>
      <c r="Q216" s="48"/>
      <c r="R216" s="48"/>
      <c r="S216" s="48"/>
      <c r="T216" s="48"/>
      <c r="U216" s="48"/>
      <c r="V216" s="48"/>
      <c r="W216" s="48"/>
      <c r="X216" s="48"/>
      <c r="Y216" s="48"/>
      <c r="Z216" s="48"/>
      <c r="AA216" s="48"/>
    </row>
    <row r="217" spans="2:27" ht="12.75" customHeight="1" x14ac:dyDescent="0.25">
      <c r="B217" s="48"/>
      <c r="C217" s="48"/>
      <c r="D217" s="48"/>
      <c r="E217" s="48"/>
      <c r="F217" s="48"/>
      <c r="G217" s="48"/>
      <c r="H217" s="48"/>
      <c r="I217" s="48"/>
      <c r="J217" s="48"/>
      <c r="K217" s="48"/>
      <c r="L217" s="48"/>
      <c r="M217" s="48"/>
      <c r="N217" s="48"/>
      <c r="O217" s="48"/>
      <c r="P217" s="48"/>
      <c r="Q217" s="48"/>
      <c r="R217" s="48"/>
      <c r="S217" s="48"/>
      <c r="T217" s="48"/>
      <c r="U217" s="48"/>
      <c r="V217" s="48"/>
      <c r="W217" s="48"/>
      <c r="X217" s="48"/>
      <c r="Y217" s="48"/>
      <c r="Z217" s="48"/>
      <c r="AA217" s="48"/>
    </row>
    <row r="218" spans="2:27" ht="12.75" customHeight="1" x14ac:dyDescent="0.25">
      <c r="B218" s="48"/>
      <c r="C218" s="48"/>
      <c r="D218" s="48"/>
      <c r="E218" s="48"/>
      <c r="F218" s="48"/>
      <c r="G218" s="48"/>
      <c r="H218" s="48"/>
      <c r="I218" s="48"/>
      <c r="J218" s="48"/>
      <c r="K218" s="48"/>
      <c r="L218" s="48"/>
      <c r="M218" s="48"/>
      <c r="N218" s="48"/>
      <c r="O218" s="48"/>
      <c r="P218" s="48"/>
      <c r="Q218" s="48"/>
      <c r="R218" s="48"/>
      <c r="S218" s="48"/>
      <c r="T218" s="48"/>
      <c r="U218" s="48"/>
      <c r="V218" s="48"/>
      <c r="W218" s="48"/>
      <c r="X218" s="48"/>
      <c r="Y218" s="48"/>
      <c r="Z218" s="48"/>
      <c r="AA218" s="48"/>
    </row>
    <row r="219" spans="2:27" ht="12.75" customHeight="1" x14ac:dyDescent="0.25">
      <c r="B219" s="48"/>
      <c r="C219" s="48"/>
      <c r="D219" s="48"/>
      <c r="E219" s="48"/>
      <c r="F219" s="48"/>
      <c r="G219" s="48"/>
      <c r="H219" s="48"/>
      <c r="I219" s="48"/>
      <c r="J219" s="48"/>
      <c r="K219" s="48"/>
      <c r="L219" s="48"/>
      <c r="M219" s="48"/>
      <c r="N219" s="48"/>
      <c r="O219" s="48"/>
      <c r="P219" s="48"/>
      <c r="Q219" s="48"/>
      <c r="R219" s="48"/>
      <c r="S219" s="48"/>
      <c r="T219" s="48"/>
      <c r="U219" s="48"/>
      <c r="V219" s="48"/>
      <c r="W219" s="48"/>
      <c r="X219" s="48"/>
      <c r="Y219" s="48"/>
      <c r="Z219" s="48"/>
      <c r="AA219" s="48"/>
    </row>
    <row r="220" spans="2:27" ht="12.75" customHeight="1" x14ac:dyDescent="0.25">
      <c r="B220" s="48"/>
      <c r="C220" s="48"/>
      <c r="D220" s="48"/>
      <c r="E220" s="48"/>
      <c r="F220" s="48"/>
      <c r="G220" s="48"/>
      <c r="H220" s="48"/>
      <c r="I220" s="48"/>
      <c r="J220" s="48"/>
      <c r="K220" s="48"/>
      <c r="L220" s="48"/>
      <c r="M220" s="48"/>
      <c r="N220" s="48"/>
      <c r="O220" s="48"/>
      <c r="P220" s="48"/>
      <c r="Q220" s="48"/>
      <c r="R220" s="48"/>
      <c r="S220" s="48"/>
      <c r="T220" s="48"/>
      <c r="U220" s="48"/>
      <c r="V220" s="48"/>
      <c r="W220" s="48"/>
      <c r="X220" s="48"/>
      <c r="Y220" s="48"/>
      <c r="Z220" s="48"/>
      <c r="AA220" s="48"/>
    </row>
    <row r="221" spans="2:27" ht="12.75" customHeight="1" x14ac:dyDescent="0.25">
      <c r="B221" s="48"/>
      <c r="C221" s="48"/>
      <c r="D221" s="48"/>
      <c r="E221" s="48"/>
      <c r="F221" s="48"/>
      <c r="G221" s="48"/>
      <c r="H221" s="48"/>
      <c r="I221" s="48"/>
      <c r="J221" s="48"/>
      <c r="K221" s="48"/>
      <c r="L221" s="48"/>
      <c r="M221" s="48"/>
      <c r="N221" s="48"/>
      <c r="O221" s="48"/>
      <c r="P221" s="48"/>
      <c r="Q221" s="48"/>
      <c r="R221" s="48"/>
      <c r="S221" s="48"/>
      <c r="T221" s="48"/>
      <c r="U221" s="48"/>
      <c r="V221" s="48"/>
      <c r="W221" s="48"/>
      <c r="X221" s="48"/>
      <c r="Y221" s="48"/>
      <c r="Z221" s="48"/>
      <c r="AA221" s="48"/>
    </row>
    <row r="222" spans="2:27" ht="12.75" customHeight="1" x14ac:dyDescent="0.25">
      <c r="B222" s="48"/>
      <c r="C222" s="48"/>
      <c r="D222" s="48"/>
      <c r="E222" s="48"/>
      <c r="F222" s="48"/>
      <c r="G222" s="48"/>
      <c r="H222" s="48"/>
      <c r="I222" s="48"/>
      <c r="J222" s="48"/>
      <c r="K222" s="48"/>
      <c r="L222" s="48"/>
      <c r="M222" s="48"/>
      <c r="N222" s="48"/>
      <c r="O222" s="48"/>
      <c r="P222" s="48"/>
      <c r="Q222" s="48"/>
      <c r="R222" s="48"/>
      <c r="S222" s="48"/>
      <c r="T222" s="48"/>
      <c r="U222" s="48"/>
      <c r="V222" s="48"/>
      <c r="W222" s="48"/>
      <c r="X222" s="48"/>
      <c r="Y222" s="48"/>
      <c r="Z222" s="48"/>
      <c r="AA222" s="48"/>
    </row>
    <row r="223" spans="2:27" ht="12.75" customHeight="1" x14ac:dyDescent="0.25">
      <c r="B223" s="48"/>
      <c r="C223" s="48"/>
      <c r="D223" s="48"/>
      <c r="E223" s="48"/>
      <c r="F223" s="48"/>
      <c r="G223" s="48"/>
      <c r="H223" s="48"/>
      <c r="I223" s="48"/>
      <c r="J223" s="48"/>
      <c r="K223" s="48"/>
      <c r="L223" s="48"/>
      <c r="M223" s="48"/>
      <c r="N223" s="48"/>
      <c r="O223" s="48"/>
      <c r="P223" s="48"/>
      <c r="Q223" s="48"/>
      <c r="R223" s="48"/>
      <c r="S223" s="48"/>
      <c r="T223" s="48"/>
      <c r="U223" s="48"/>
      <c r="V223" s="48"/>
      <c r="W223" s="48"/>
      <c r="X223" s="48"/>
      <c r="Y223" s="48"/>
      <c r="Z223" s="48"/>
      <c r="AA223" s="48"/>
    </row>
    <row r="224" spans="2:27" ht="12.75" customHeight="1" x14ac:dyDescent="0.25">
      <c r="B224" s="48"/>
      <c r="C224" s="48"/>
      <c r="D224" s="48"/>
      <c r="E224" s="48"/>
      <c r="F224" s="48"/>
      <c r="G224" s="48"/>
      <c r="H224" s="48"/>
      <c r="I224" s="48"/>
      <c r="J224" s="48"/>
      <c r="K224" s="48"/>
      <c r="L224" s="48"/>
      <c r="M224" s="48"/>
      <c r="N224" s="48"/>
      <c r="O224" s="48"/>
      <c r="P224" s="48"/>
      <c r="Q224" s="48"/>
      <c r="R224" s="48"/>
      <c r="S224" s="48"/>
      <c r="T224" s="48"/>
      <c r="U224" s="48"/>
      <c r="V224" s="48"/>
      <c r="W224" s="48"/>
      <c r="X224" s="48"/>
      <c r="Y224" s="48"/>
      <c r="Z224" s="48"/>
      <c r="AA224" s="48"/>
    </row>
    <row r="225" spans="2:27" ht="12.75" customHeight="1" x14ac:dyDescent="0.25">
      <c r="B225" s="48"/>
      <c r="C225" s="48"/>
      <c r="D225" s="48"/>
      <c r="E225" s="48"/>
      <c r="F225" s="48"/>
      <c r="G225" s="48"/>
      <c r="H225" s="48"/>
      <c r="I225" s="48"/>
      <c r="J225" s="48"/>
      <c r="K225" s="48"/>
      <c r="L225" s="48"/>
      <c r="M225" s="48"/>
      <c r="N225" s="48"/>
      <c r="O225" s="48"/>
      <c r="P225" s="48"/>
      <c r="Q225" s="48"/>
      <c r="R225" s="48"/>
      <c r="S225" s="48"/>
      <c r="T225" s="48"/>
      <c r="U225" s="48"/>
      <c r="V225" s="48"/>
      <c r="W225" s="48"/>
      <c r="X225" s="48"/>
      <c r="Y225" s="48"/>
      <c r="Z225" s="48"/>
      <c r="AA225" s="48"/>
    </row>
    <row r="226" spans="2:27" ht="12.75" customHeight="1" x14ac:dyDescent="0.25">
      <c r="B226" s="48"/>
      <c r="C226" s="48"/>
      <c r="D226" s="48"/>
      <c r="E226" s="48"/>
      <c r="F226" s="48"/>
      <c r="G226" s="48"/>
      <c r="H226" s="48"/>
      <c r="I226" s="48"/>
      <c r="J226" s="48"/>
      <c r="K226" s="48"/>
      <c r="L226" s="48"/>
      <c r="M226" s="48"/>
      <c r="N226" s="48"/>
      <c r="O226" s="48"/>
      <c r="P226" s="48"/>
      <c r="Q226" s="48"/>
      <c r="R226" s="48"/>
      <c r="S226" s="48"/>
      <c r="T226" s="48"/>
      <c r="U226" s="48"/>
      <c r="V226" s="48"/>
      <c r="W226" s="48"/>
      <c r="X226" s="48"/>
      <c r="Y226" s="48"/>
      <c r="Z226" s="48"/>
      <c r="AA226" s="48"/>
    </row>
    <row r="227" spans="2:27" ht="12.75" customHeight="1" x14ac:dyDescent="0.25">
      <c r="B227" s="48"/>
      <c r="C227" s="48"/>
      <c r="D227" s="48"/>
      <c r="E227" s="48"/>
      <c r="F227" s="48"/>
      <c r="G227" s="48"/>
      <c r="H227" s="48"/>
      <c r="I227" s="48"/>
      <c r="J227" s="48"/>
      <c r="K227" s="48"/>
      <c r="L227" s="48"/>
      <c r="M227" s="48"/>
      <c r="N227" s="48"/>
      <c r="O227" s="48"/>
      <c r="P227" s="48"/>
      <c r="Q227" s="48"/>
      <c r="R227" s="48"/>
      <c r="S227" s="48"/>
      <c r="T227" s="48"/>
      <c r="U227" s="48"/>
      <c r="V227" s="48"/>
      <c r="W227" s="48"/>
      <c r="X227" s="48"/>
      <c r="Y227" s="48"/>
      <c r="Z227" s="48"/>
      <c r="AA227" s="48"/>
    </row>
    <row r="228" spans="2:27" ht="12.75" customHeight="1" x14ac:dyDescent="0.25">
      <c r="B228" s="48"/>
      <c r="C228" s="48"/>
      <c r="D228" s="48"/>
      <c r="E228" s="48"/>
      <c r="F228" s="48"/>
      <c r="G228" s="48"/>
      <c r="H228" s="48"/>
      <c r="I228" s="48"/>
      <c r="J228" s="48"/>
      <c r="K228" s="48"/>
      <c r="L228" s="48"/>
      <c r="M228" s="48"/>
      <c r="N228" s="48"/>
      <c r="O228" s="48"/>
      <c r="P228" s="48"/>
      <c r="Q228" s="48"/>
      <c r="R228" s="48"/>
      <c r="S228" s="48"/>
      <c r="T228" s="48"/>
      <c r="U228" s="48"/>
      <c r="V228" s="48"/>
      <c r="W228" s="48"/>
      <c r="X228" s="48"/>
      <c r="Y228" s="48"/>
      <c r="Z228" s="48"/>
      <c r="AA228" s="48"/>
    </row>
    <row r="229" spans="2:27" ht="12.75" customHeight="1" x14ac:dyDescent="0.25">
      <c r="B229" s="48"/>
      <c r="C229" s="48"/>
      <c r="D229" s="48"/>
      <c r="E229" s="48"/>
      <c r="F229" s="48"/>
      <c r="G229" s="48"/>
      <c r="H229" s="48"/>
      <c r="I229" s="48"/>
      <c r="J229" s="48"/>
      <c r="K229" s="48"/>
      <c r="L229" s="48"/>
      <c r="M229" s="48"/>
      <c r="N229" s="48"/>
      <c r="O229" s="48"/>
      <c r="P229" s="48"/>
      <c r="Q229" s="48"/>
      <c r="R229" s="48"/>
      <c r="S229" s="48"/>
      <c r="T229" s="48"/>
      <c r="U229" s="48"/>
      <c r="V229" s="48"/>
      <c r="W229" s="48"/>
      <c r="X229" s="48"/>
      <c r="Y229" s="48"/>
      <c r="Z229" s="48"/>
      <c r="AA229" s="48"/>
    </row>
    <row r="230" spans="2:27" ht="12.75" customHeight="1" x14ac:dyDescent="0.25">
      <c r="B230" s="48"/>
      <c r="C230" s="48"/>
      <c r="D230" s="48"/>
      <c r="E230" s="48"/>
      <c r="F230" s="48"/>
      <c r="G230" s="48"/>
      <c r="H230" s="48"/>
      <c r="I230" s="48"/>
      <c r="J230" s="48"/>
      <c r="K230" s="48"/>
      <c r="L230" s="48"/>
      <c r="M230" s="48"/>
      <c r="N230" s="48"/>
      <c r="O230" s="48"/>
      <c r="P230" s="48"/>
      <c r="Q230" s="48"/>
      <c r="R230" s="48"/>
      <c r="S230" s="48"/>
      <c r="T230" s="48"/>
      <c r="U230" s="48"/>
      <c r="V230" s="48"/>
      <c r="W230" s="48"/>
      <c r="X230" s="48"/>
      <c r="Y230" s="48"/>
      <c r="Z230" s="48"/>
      <c r="AA230" s="48"/>
    </row>
    <row r="231" spans="2:27" ht="12.75" customHeight="1" x14ac:dyDescent="0.25">
      <c r="B231" s="48"/>
      <c r="C231" s="48"/>
      <c r="D231" s="48"/>
      <c r="E231" s="48"/>
      <c r="F231" s="48"/>
      <c r="G231" s="48"/>
      <c r="H231" s="48"/>
      <c r="I231" s="48"/>
      <c r="J231" s="48"/>
      <c r="K231" s="48"/>
      <c r="L231" s="48"/>
      <c r="M231" s="48"/>
      <c r="N231" s="48"/>
      <c r="O231" s="48"/>
      <c r="P231" s="48"/>
      <c r="Q231" s="48"/>
      <c r="R231" s="48"/>
      <c r="S231" s="48"/>
      <c r="T231" s="48"/>
      <c r="U231" s="48"/>
      <c r="V231" s="48"/>
      <c r="W231" s="48"/>
      <c r="X231" s="48"/>
      <c r="Y231" s="48"/>
      <c r="Z231" s="48"/>
      <c r="AA231" s="48"/>
    </row>
    <row r="232" spans="2:27" ht="12.75" customHeight="1" x14ac:dyDescent="0.25">
      <c r="B232" s="48"/>
      <c r="C232" s="48"/>
      <c r="D232" s="48"/>
      <c r="E232" s="48"/>
      <c r="F232" s="48"/>
      <c r="G232" s="48"/>
      <c r="H232" s="48"/>
      <c r="I232" s="48"/>
      <c r="J232" s="48"/>
      <c r="K232" s="48"/>
      <c r="L232" s="48"/>
      <c r="M232" s="48"/>
      <c r="N232" s="48"/>
      <c r="O232" s="48"/>
      <c r="P232" s="48"/>
      <c r="Q232" s="48"/>
      <c r="R232" s="48"/>
      <c r="S232" s="48"/>
      <c r="T232" s="48"/>
      <c r="U232" s="48"/>
      <c r="V232" s="48"/>
      <c r="W232" s="48"/>
      <c r="X232" s="48"/>
      <c r="Y232" s="48"/>
      <c r="Z232" s="48"/>
      <c r="AA232" s="48"/>
    </row>
    <row r="233" spans="2:27" ht="12.75" customHeight="1" x14ac:dyDescent="0.25">
      <c r="B233" s="48"/>
      <c r="C233" s="48"/>
      <c r="D233" s="48"/>
      <c r="E233" s="48"/>
      <c r="F233" s="48"/>
      <c r="G233" s="48"/>
      <c r="H233" s="48"/>
      <c r="I233" s="48"/>
      <c r="J233" s="48"/>
      <c r="K233" s="48"/>
      <c r="L233" s="48"/>
      <c r="M233" s="48"/>
      <c r="N233" s="48"/>
      <c r="O233" s="48"/>
      <c r="P233" s="48"/>
      <c r="Q233" s="48"/>
      <c r="R233" s="48"/>
      <c r="S233" s="48"/>
      <c r="T233" s="48"/>
      <c r="U233" s="48"/>
      <c r="V233" s="48"/>
      <c r="W233" s="48"/>
      <c r="X233" s="48"/>
      <c r="Y233" s="48"/>
      <c r="Z233" s="48"/>
      <c r="AA233" s="48"/>
    </row>
    <row r="234" spans="2:27" ht="12.75" customHeight="1" x14ac:dyDescent="0.25">
      <c r="B234" s="48"/>
      <c r="C234" s="48"/>
      <c r="D234" s="48"/>
      <c r="E234" s="48"/>
      <c r="F234" s="48"/>
      <c r="G234" s="48"/>
      <c r="H234" s="48"/>
      <c r="I234" s="48"/>
      <c r="J234" s="48"/>
      <c r="K234" s="48"/>
      <c r="L234" s="48"/>
      <c r="M234" s="48"/>
      <c r="N234" s="48"/>
      <c r="O234" s="48"/>
      <c r="P234" s="48"/>
      <c r="Q234" s="48"/>
      <c r="R234" s="48"/>
      <c r="S234" s="48"/>
      <c r="T234" s="48"/>
      <c r="U234" s="48"/>
      <c r="V234" s="48"/>
      <c r="W234" s="48"/>
      <c r="X234" s="48"/>
      <c r="Y234" s="48"/>
      <c r="Z234" s="48"/>
      <c r="AA234" s="48"/>
    </row>
    <row r="235" spans="2:27" ht="12.75" customHeight="1" x14ac:dyDescent="0.25">
      <c r="B235" s="48"/>
      <c r="C235" s="48"/>
      <c r="D235" s="48"/>
      <c r="E235" s="48"/>
      <c r="F235" s="48"/>
      <c r="G235" s="48"/>
      <c r="H235" s="48"/>
      <c r="I235" s="48"/>
      <c r="J235" s="48"/>
      <c r="K235" s="48"/>
      <c r="L235" s="48"/>
      <c r="M235" s="48"/>
      <c r="N235" s="48"/>
      <c r="O235" s="48"/>
      <c r="P235" s="48"/>
      <c r="Q235" s="48"/>
      <c r="R235" s="48"/>
      <c r="S235" s="48"/>
      <c r="T235" s="48"/>
      <c r="U235" s="48"/>
      <c r="V235" s="48"/>
      <c r="W235" s="48"/>
      <c r="X235" s="48"/>
      <c r="Y235" s="48"/>
      <c r="Z235" s="48"/>
      <c r="AA235" s="48"/>
    </row>
    <row r="236" spans="2:27" ht="12.75" customHeight="1" x14ac:dyDescent="0.25">
      <c r="B236" s="48"/>
      <c r="C236" s="48"/>
      <c r="D236" s="48"/>
      <c r="E236" s="48"/>
      <c r="F236" s="48"/>
      <c r="G236" s="48"/>
      <c r="H236" s="48"/>
      <c r="I236" s="48"/>
      <c r="J236" s="48"/>
      <c r="K236" s="48"/>
      <c r="L236" s="48"/>
      <c r="M236" s="48"/>
      <c r="N236" s="48"/>
      <c r="O236" s="48"/>
      <c r="P236" s="48"/>
      <c r="Q236" s="48"/>
      <c r="R236" s="48"/>
      <c r="S236" s="48"/>
      <c r="T236" s="48"/>
      <c r="U236" s="48"/>
      <c r="V236" s="48"/>
      <c r="W236" s="48"/>
      <c r="X236" s="48"/>
      <c r="Y236" s="48"/>
      <c r="Z236" s="48"/>
      <c r="AA236" s="48"/>
    </row>
    <row r="237" spans="2:27" ht="12.75" customHeight="1" x14ac:dyDescent="0.25">
      <c r="B237" s="48"/>
      <c r="C237" s="48"/>
      <c r="D237" s="48"/>
      <c r="E237" s="48"/>
      <c r="F237" s="48"/>
      <c r="G237" s="48"/>
      <c r="H237" s="48"/>
      <c r="I237" s="48"/>
      <c r="J237" s="48"/>
      <c r="K237" s="48"/>
      <c r="L237" s="48"/>
      <c r="M237" s="48"/>
      <c r="N237" s="48"/>
      <c r="O237" s="48"/>
      <c r="P237" s="48"/>
      <c r="Q237" s="48"/>
      <c r="R237" s="48"/>
      <c r="S237" s="48"/>
      <c r="T237" s="48"/>
      <c r="U237" s="48"/>
      <c r="V237" s="48"/>
      <c r="W237" s="48"/>
      <c r="X237" s="48"/>
      <c r="Y237" s="48"/>
      <c r="Z237" s="48"/>
      <c r="AA237" s="48"/>
    </row>
    <row r="238" spans="2:27" ht="12.75" customHeight="1" x14ac:dyDescent="0.25">
      <c r="B238" s="48"/>
      <c r="C238" s="48"/>
      <c r="D238" s="48"/>
      <c r="E238" s="48"/>
      <c r="F238" s="48"/>
      <c r="G238" s="48"/>
      <c r="H238" s="48"/>
      <c r="I238" s="48"/>
      <c r="J238" s="48"/>
      <c r="K238" s="48"/>
      <c r="L238" s="48"/>
      <c r="M238" s="48"/>
      <c r="N238" s="48"/>
      <c r="O238" s="48"/>
      <c r="P238" s="48"/>
      <c r="Q238" s="48"/>
      <c r="R238" s="48"/>
      <c r="S238" s="48"/>
      <c r="T238" s="48"/>
      <c r="U238" s="48"/>
      <c r="V238" s="48"/>
      <c r="W238" s="48"/>
      <c r="X238" s="48"/>
      <c r="Y238" s="48"/>
      <c r="Z238" s="48"/>
      <c r="AA238" s="48"/>
    </row>
    <row r="239" spans="2:27" ht="12.75" customHeight="1" x14ac:dyDescent="0.25">
      <c r="B239" s="48"/>
      <c r="C239" s="48"/>
      <c r="D239" s="48"/>
      <c r="E239" s="48"/>
      <c r="F239" s="48"/>
      <c r="G239" s="48"/>
      <c r="H239" s="48"/>
      <c r="I239" s="48"/>
      <c r="J239" s="48"/>
      <c r="K239" s="48"/>
      <c r="L239" s="48"/>
      <c r="M239" s="48"/>
      <c r="N239" s="48"/>
      <c r="O239" s="48"/>
      <c r="P239" s="48"/>
      <c r="Q239" s="48"/>
      <c r="R239" s="48"/>
      <c r="S239" s="48"/>
      <c r="T239" s="48"/>
      <c r="U239" s="48"/>
      <c r="V239" s="48"/>
      <c r="W239" s="48"/>
      <c r="X239" s="48"/>
      <c r="Y239" s="48"/>
      <c r="Z239" s="48"/>
      <c r="AA239" s="48"/>
    </row>
    <row r="240" spans="2:27" ht="12.75" customHeight="1" x14ac:dyDescent="0.25">
      <c r="B240" s="48"/>
      <c r="C240" s="48"/>
      <c r="D240" s="48"/>
      <c r="E240" s="48"/>
      <c r="F240" s="48"/>
      <c r="G240" s="48"/>
      <c r="H240" s="48"/>
      <c r="I240" s="48"/>
      <c r="J240" s="48"/>
      <c r="K240" s="48"/>
      <c r="L240" s="48"/>
      <c r="M240" s="48"/>
      <c r="N240" s="48"/>
      <c r="O240" s="48"/>
      <c r="P240" s="48"/>
      <c r="Q240" s="48"/>
      <c r="R240" s="48"/>
      <c r="S240" s="48"/>
      <c r="T240" s="48"/>
      <c r="U240" s="48"/>
      <c r="V240" s="48"/>
      <c r="W240" s="48"/>
      <c r="X240" s="48"/>
      <c r="Y240" s="48"/>
      <c r="Z240" s="48"/>
      <c r="AA240" s="48"/>
    </row>
    <row r="241" spans="2:27" ht="12.75" customHeight="1" x14ac:dyDescent="0.25">
      <c r="B241" s="48"/>
      <c r="C241" s="48"/>
      <c r="D241" s="48"/>
      <c r="E241" s="48"/>
      <c r="F241" s="48"/>
      <c r="G241" s="48"/>
      <c r="H241" s="48"/>
      <c r="I241" s="48"/>
      <c r="J241" s="48"/>
      <c r="K241" s="48"/>
      <c r="L241" s="48"/>
      <c r="M241" s="48"/>
      <c r="N241" s="48"/>
      <c r="O241" s="48"/>
      <c r="P241" s="48"/>
      <c r="Q241" s="48"/>
      <c r="R241" s="48"/>
      <c r="S241" s="48"/>
      <c r="T241" s="48"/>
      <c r="U241" s="48"/>
      <c r="V241" s="48"/>
      <c r="W241" s="48"/>
      <c r="X241" s="48"/>
      <c r="Y241" s="48"/>
      <c r="Z241" s="48"/>
      <c r="AA241" s="48"/>
    </row>
    <row r="242" spans="2:27" ht="12.75" customHeight="1" x14ac:dyDescent="0.25">
      <c r="B242" s="48"/>
      <c r="C242" s="48"/>
      <c r="D242" s="48"/>
      <c r="E242" s="48"/>
      <c r="F242" s="48"/>
      <c r="G242" s="48"/>
      <c r="H242" s="48"/>
      <c r="I242" s="48"/>
      <c r="J242" s="48"/>
      <c r="K242" s="48"/>
      <c r="L242" s="48"/>
      <c r="M242" s="48"/>
      <c r="N242" s="48"/>
      <c r="O242" s="48"/>
      <c r="P242" s="48"/>
      <c r="Q242" s="48"/>
      <c r="R242" s="48"/>
      <c r="S242" s="48"/>
      <c r="T242" s="48"/>
      <c r="U242" s="48"/>
      <c r="V242" s="48"/>
      <c r="W242" s="48"/>
      <c r="X242" s="48"/>
      <c r="Y242" s="48"/>
      <c r="Z242" s="48"/>
      <c r="AA242" s="48"/>
    </row>
    <row r="243" spans="2:27" ht="12.75" customHeight="1" x14ac:dyDescent="0.25">
      <c r="B243" s="48"/>
      <c r="C243" s="48"/>
      <c r="D243" s="48"/>
      <c r="E243" s="48"/>
      <c r="F243" s="48"/>
      <c r="G243" s="48"/>
      <c r="H243" s="48"/>
      <c r="I243" s="48"/>
      <c r="J243" s="48"/>
      <c r="K243" s="48"/>
      <c r="L243" s="48"/>
      <c r="M243" s="48"/>
      <c r="N243" s="48"/>
      <c r="O243" s="48"/>
      <c r="P243" s="48"/>
      <c r="Q243" s="48"/>
      <c r="R243" s="48"/>
      <c r="S243" s="48"/>
      <c r="T243" s="48"/>
      <c r="U243" s="48"/>
      <c r="V243" s="48"/>
      <c r="W243" s="48"/>
      <c r="X243" s="48"/>
      <c r="Y243" s="48"/>
      <c r="Z243" s="48"/>
      <c r="AA243" s="48"/>
    </row>
    <row r="244" spans="2:27" ht="12.75" customHeight="1" x14ac:dyDescent="0.25">
      <c r="B244" s="48"/>
      <c r="C244" s="48"/>
      <c r="D244" s="48"/>
      <c r="E244" s="48"/>
      <c r="F244" s="48"/>
      <c r="G244" s="48"/>
      <c r="H244" s="48"/>
      <c r="I244" s="48"/>
      <c r="J244" s="48"/>
      <c r="K244" s="48"/>
      <c r="L244" s="48"/>
      <c r="M244" s="48"/>
      <c r="N244" s="48"/>
      <c r="O244" s="48"/>
      <c r="P244" s="48"/>
      <c r="Q244" s="48"/>
      <c r="R244" s="48"/>
      <c r="S244" s="48"/>
      <c r="T244" s="48"/>
      <c r="U244" s="48"/>
      <c r="V244" s="48"/>
      <c r="W244" s="48"/>
      <c r="X244" s="48"/>
      <c r="Y244" s="48"/>
      <c r="Z244" s="48"/>
      <c r="AA244" s="48"/>
    </row>
    <row r="245" spans="2:27" ht="12.75" customHeight="1" x14ac:dyDescent="0.25">
      <c r="B245" s="48"/>
      <c r="C245" s="48"/>
      <c r="D245" s="48"/>
      <c r="E245" s="48"/>
      <c r="F245" s="48"/>
      <c r="G245" s="48"/>
      <c r="H245" s="48"/>
      <c r="I245" s="48"/>
      <c r="J245" s="48"/>
      <c r="K245" s="48"/>
      <c r="L245" s="48"/>
      <c r="M245" s="48"/>
      <c r="N245" s="48"/>
      <c r="O245" s="48"/>
      <c r="P245" s="48"/>
      <c r="Q245" s="48"/>
      <c r="R245" s="48"/>
      <c r="S245" s="48"/>
      <c r="T245" s="48"/>
      <c r="U245" s="48"/>
      <c r="V245" s="48"/>
      <c r="W245" s="48"/>
      <c r="X245" s="48"/>
      <c r="Y245" s="48"/>
      <c r="Z245" s="48"/>
      <c r="AA245" s="48"/>
    </row>
    <row r="246" spans="2:27" ht="12.75" customHeight="1" x14ac:dyDescent="0.25">
      <c r="B246" s="48"/>
      <c r="C246" s="48"/>
      <c r="D246" s="48"/>
      <c r="E246" s="48"/>
      <c r="F246" s="48"/>
      <c r="G246" s="48"/>
      <c r="H246" s="48"/>
      <c r="I246" s="48"/>
      <c r="J246" s="48"/>
      <c r="K246" s="48"/>
      <c r="L246" s="48"/>
      <c r="M246" s="48"/>
      <c r="N246" s="48"/>
      <c r="O246" s="48"/>
      <c r="P246" s="48"/>
      <c r="Q246" s="48"/>
      <c r="R246" s="48"/>
      <c r="S246" s="48"/>
      <c r="T246" s="48"/>
      <c r="U246" s="48"/>
      <c r="V246" s="48"/>
      <c r="W246" s="48"/>
      <c r="X246" s="48"/>
      <c r="Y246" s="48"/>
      <c r="Z246" s="48"/>
      <c r="AA246" s="48"/>
    </row>
    <row r="247" spans="2:27" ht="12.75" customHeight="1" x14ac:dyDescent="0.25">
      <c r="B247" s="48"/>
      <c r="C247" s="48"/>
      <c r="D247" s="48"/>
      <c r="E247" s="48"/>
      <c r="F247" s="48"/>
      <c r="G247" s="48"/>
      <c r="H247" s="48"/>
      <c r="I247" s="48"/>
      <c r="J247" s="48"/>
      <c r="K247" s="48"/>
      <c r="L247" s="48"/>
      <c r="M247" s="48"/>
      <c r="N247" s="48"/>
      <c r="O247" s="48"/>
      <c r="P247" s="48"/>
      <c r="Q247" s="48"/>
      <c r="R247" s="48"/>
      <c r="S247" s="48"/>
      <c r="T247" s="48"/>
      <c r="U247" s="48"/>
      <c r="V247" s="48"/>
      <c r="W247" s="48"/>
      <c r="X247" s="48"/>
      <c r="Y247" s="48"/>
      <c r="Z247" s="48"/>
      <c r="AA247" s="48"/>
    </row>
    <row r="248" spans="2:27" ht="12.75" customHeight="1" x14ac:dyDescent="0.25">
      <c r="B248" s="48"/>
      <c r="C248" s="48"/>
      <c r="D248" s="48"/>
      <c r="E248" s="48"/>
      <c r="F248" s="48"/>
      <c r="G248" s="48"/>
      <c r="H248" s="48"/>
      <c r="I248" s="48"/>
      <c r="J248" s="48"/>
      <c r="K248" s="48"/>
      <c r="L248" s="48"/>
      <c r="M248" s="48"/>
      <c r="N248" s="48"/>
      <c r="O248" s="48"/>
      <c r="P248" s="48"/>
      <c r="Q248" s="48"/>
      <c r="R248" s="48"/>
      <c r="S248" s="48"/>
      <c r="T248" s="48"/>
      <c r="U248" s="48"/>
      <c r="V248" s="48"/>
      <c r="W248" s="48"/>
      <c r="X248" s="48"/>
      <c r="Y248" s="48"/>
      <c r="Z248" s="48"/>
      <c r="AA248" s="48"/>
    </row>
    <row r="249" spans="2:27" ht="12.75" customHeight="1" x14ac:dyDescent="0.25">
      <c r="B249" s="48"/>
      <c r="C249" s="48"/>
      <c r="D249" s="48"/>
      <c r="E249" s="48"/>
      <c r="F249" s="48"/>
      <c r="G249" s="48"/>
      <c r="H249" s="48"/>
      <c r="I249" s="48"/>
      <c r="J249" s="48"/>
      <c r="K249" s="48"/>
      <c r="L249" s="48"/>
      <c r="M249" s="48"/>
      <c r="N249" s="48"/>
      <c r="O249" s="48"/>
      <c r="P249" s="48"/>
      <c r="Q249" s="48"/>
      <c r="R249" s="48"/>
      <c r="S249" s="48"/>
      <c r="T249" s="48"/>
      <c r="U249" s="48"/>
      <c r="V249" s="48"/>
      <c r="W249" s="48"/>
      <c r="X249" s="48"/>
      <c r="Y249" s="48"/>
      <c r="Z249" s="48"/>
      <c r="AA249" s="48"/>
    </row>
    <row r="250" spans="2:27" ht="12.75" customHeight="1" x14ac:dyDescent="0.25">
      <c r="B250" s="48"/>
      <c r="C250" s="48"/>
      <c r="D250" s="48"/>
      <c r="E250" s="48"/>
      <c r="F250" s="48"/>
      <c r="G250" s="48"/>
      <c r="H250" s="48"/>
      <c r="I250" s="48"/>
      <c r="J250" s="48"/>
      <c r="K250" s="48"/>
      <c r="L250" s="48"/>
      <c r="M250" s="48"/>
      <c r="N250" s="48"/>
      <c r="O250" s="48"/>
      <c r="P250" s="48"/>
      <c r="Q250" s="48"/>
      <c r="R250" s="48"/>
      <c r="S250" s="48"/>
      <c r="T250" s="48"/>
      <c r="U250" s="48"/>
      <c r="V250" s="48"/>
      <c r="W250" s="48"/>
      <c r="X250" s="48"/>
      <c r="Y250" s="48"/>
      <c r="Z250" s="48"/>
      <c r="AA250" s="48"/>
    </row>
    <row r="251" spans="2:27" ht="12.75" customHeight="1" x14ac:dyDescent="0.25">
      <c r="B251" s="48"/>
      <c r="C251" s="48"/>
      <c r="D251" s="48"/>
      <c r="E251" s="48"/>
      <c r="F251" s="48"/>
      <c r="G251" s="48"/>
      <c r="H251" s="48"/>
      <c r="I251" s="48"/>
      <c r="J251" s="48"/>
      <c r="K251" s="48"/>
      <c r="L251" s="48"/>
      <c r="M251" s="48"/>
      <c r="N251" s="48"/>
      <c r="O251" s="48"/>
      <c r="P251" s="48"/>
      <c r="Q251" s="48"/>
      <c r="R251" s="48"/>
      <c r="S251" s="48"/>
      <c r="T251" s="48"/>
      <c r="U251" s="48"/>
      <c r="V251" s="48"/>
      <c r="W251" s="48"/>
      <c r="X251" s="48"/>
      <c r="Y251" s="48"/>
      <c r="Z251" s="48"/>
      <c r="AA251" s="48"/>
    </row>
    <row r="252" spans="2:27" ht="12.75" customHeight="1" x14ac:dyDescent="0.25">
      <c r="B252" s="48"/>
      <c r="C252" s="48"/>
      <c r="D252" s="48"/>
      <c r="E252" s="48"/>
      <c r="F252" s="48"/>
      <c r="G252" s="48"/>
      <c r="H252" s="48"/>
      <c r="I252" s="48"/>
      <c r="J252" s="48"/>
      <c r="K252" s="48"/>
      <c r="L252" s="48"/>
      <c r="M252" s="48"/>
      <c r="N252" s="48"/>
      <c r="O252" s="48"/>
      <c r="P252" s="48"/>
      <c r="Q252" s="48"/>
      <c r="R252" s="48"/>
      <c r="S252" s="48"/>
      <c r="T252" s="48"/>
      <c r="U252" s="48"/>
      <c r="V252" s="48"/>
      <c r="W252" s="48"/>
      <c r="X252" s="48"/>
      <c r="Y252" s="48"/>
      <c r="Z252" s="48"/>
      <c r="AA252" s="48"/>
    </row>
    <row r="253" spans="2:27" ht="12.75" customHeight="1" x14ac:dyDescent="0.25">
      <c r="B253" s="48"/>
      <c r="C253" s="48"/>
      <c r="D253" s="48"/>
      <c r="E253" s="48"/>
      <c r="F253" s="48"/>
      <c r="G253" s="48"/>
      <c r="H253" s="48"/>
      <c r="I253" s="48"/>
      <c r="J253" s="48"/>
      <c r="K253" s="48"/>
      <c r="L253" s="48"/>
      <c r="M253" s="48"/>
      <c r="N253" s="48"/>
      <c r="O253" s="48"/>
      <c r="P253" s="48"/>
      <c r="Q253" s="48"/>
      <c r="R253" s="48"/>
      <c r="S253" s="48"/>
      <c r="T253" s="48"/>
      <c r="U253" s="48"/>
      <c r="V253" s="48"/>
      <c r="W253" s="48"/>
      <c r="X253" s="48"/>
      <c r="Y253" s="48"/>
      <c r="Z253" s="48"/>
      <c r="AA253" s="48"/>
    </row>
    <row r="254" spans="2:27" ht="12.75" customHeight="1" x14ac:dyDescent="0.25">
      <c r="B254" s="48"/>
      <c r="C254" s="48"/>
      <c r="D254" s="48"/>
      <c r="E254" s="48"/>
      <c r="F254" s="48"/>
      <c r="G254" s="48"/>
      <c r="H254" s="48"/>
      <c r="I254" s="48"/>
      <c r="J254" s="48"/>
      <c r="K254" s="48"/>
      <c r="L254" s="48"/>
      <c r="M254" s="48"/>
      <c r="N254" s="48"/>
      <c r="O254" s="48"/>
      <c r="P254" s="48"/>
      <c r="Q254" s="48"/>
      <c r="R254" s="48"/>
      <c r="S254" s="48"/>
      <c r="T254" s="48"/>
      <c r="U254" s="48"/>
      <c r="V254" s="48"/>
      <c r="W254" s="48"/>
      <c r="X254" s="48"/>
      <c r="Y254" s="48"/>
      <c r="Z254" s="48"/>
      <c r="AA254" s="48"/>
    </row>
    <row r="255" spans="2:27" ht="12.75" customHeight="1" x14ac:dyDescent="0.25">
      <c r="B255" s="48"/>
      <c r="C255" s="48"/>
      <c r="D255" s="48"/>
      <c r="E255" s="48"/>
      <c r="F255" s="48"/>
      <c r="G255" s="48"/>
      <c r="H255" s="48"/>
      <c r="I255" s="48"/>
      <c r="J255" s="48"/>
      <c r="K255" s="48"/>
      <c r="L255" s="48"/>
      <c r="M255" s="48"/>
      <c r="N255" s="48"/>
      <c r="O255" s="48"/>
      <c r="P255" s="48"/>
      <c r="Q255" s="48"/>
      <c r="R255" s="48"/>
      <c r="S255" s="48"/>
      <c r="T255" s="48"/>
      <c r="U255" s="48"/>
      <c r="V255" s="48"/>
      <c r="W255" s="48"/>
      <c r="X255" s="48"/>
      <c r="Y255" s="48"/>
      <c r="Z255" s="48"/>
      <c r="AA255" s="48"/>
    </row>
    <row r="256" spans="2:27" ht="12.75" customHeight="1" x14ac:dyDescent="0.25">
      <c r="B256" s="48"/>
      <c r="C256" s="48"/>
      <c r="D256" s="48"/>
      <c r="E256" s="48"/>
      <c r="F256" s="48"/>
      <c r="G256" s="48"/>
      <c r="H256" s="48"/>
      <c r="I256" s="48"/>
      <c r="J256" s="48"/>
      <c r="K256" s="48"/>
      <c r="L256" s="48"/>
      <c r="M256" s="48"/>
      <c r="N256" s="48"/>
      <c r="O256" s="48"/>
      <c r="P256" s="48"/>
      <c r="Q256" s="48"/>
      <c r="R256" s="48"/>
      <c r="S256" s="48"/>
      <c r="T256" s="48"/>
      <c r="U256" s="48"/>
      <c r="V256" s="48"/>
      <c r="W256" s="48"/>
      <c r="X256" s="48"/>
      <c r="Y256" s="48"/>
      <c r="Z256" s="48"/>
      <c r="AA256" s="48"/>
    </row>
    <row r="257" spans="2:27" ht="12.75" customHeight="1" x14ac:dyDescent="0.25">
      <c r="B257" s="48"/>
      <c r="C257" s="48"/>
      <c r="D257" s="48"/>
      <c r="E257" s="48"/>
      <c r="F257" s="48"/>
      <c r="G257" s="48"/>
      <c r="H257" s="48"/>
      <c r="I257" s="48"/>
      <c r="J257" s="48"/>
      <c r="K257" s="48"/>
      <c r="L257" s="48"/>
      <c r="M257" s="48"/>
      <c r="N257" s="48"/>
      <c r="O257" s="48"/>
      <c r="P257" s="48"/>
      <c r="Q257" s="48"/>
      <c r="R257" s="48"/>
      <c r="S257" s="48"/>
      <c r="T257" s="48"/>
      <c r="U257" s="48"/>
      <c r="V257" s="48"/>
      <c r="W257" s="48"/>
      <c r="X257" s="48"/>
      <c r="Y257" s="48"/>
      <c r="Z257" s="48"/>
      <c r="AA257" s="48"/>
    </row>
    <row r="258" spans="2:27" ht="12.75" customHeight="1" x14ac:dyDescent="0.25">
      <c r="B258" s="48"/>
      <c r="C258" s="48"/>
      <c r="D258" s="48"/>
      <c r="E258" s="48"/>
      <c r="F258" s="48"/>
      <c r="G258" s="48"/>
      <c r="H258" s="48"/>
      <c r="I258" s="48"/>
      <c r="J258" s="48"/>
      <c r="K258" s="48"/>
      <c r="L258" s="48"/>
      <c r="M258" s="48"/>
      <c r="N258" s="48"/>
      <c r="O258" s="48"/>
      <c r="P258" s="48"/>
      <c r="Q258" s="48"/>
      <c r="R258" s="48"/>
      <c r="S258" s="48"/>
      <c r="T258" s="48"/>
      <c r="U258" s="48"/>
      <c r="V258" s="48"/>
      <c r="W258" s="48"/>
      <c r="X258" s="48"/>
      <c r="Y258" s="48"/>
      <c r="Z258" s="48"/>
      <c r="AA258" s="48"/>
    </row>
    <row r="259" spans="2:27" ht="12.75" customHeight="1" x14ac:dyDescent="0.25">
      <c r="B259" s="48"/>
      <c r="C259" s="48"/>
      <c r="D259" s="48"/>
      <c r="E259" s="48"/>
      <c r="F259" s="48"/>
      <c r="G259" s="48"/>
      <c r="H259" s="48"/>
      <c r="I259" s="48"/>
      <c r="J259" s="48"/>
      <c r="K259" s="48"/>
      <c r="L259" s="48"/>
      <c r="M259" s="48"/>
      <c r="N259" s="48"/>
      <c r="O259" s="48"/>
      <c r="P259" s="48"/>
      <c r="Q259" s="48"/>
      <c r="R259" s="48"/>
      <c r="S259" s="48"/>
      <c r="T259" s="48"/>
      <c r="U259" s="48"/>
      <c r="V259" s="48"/>
      <c r="W259" s="48"/>
      <c r="X259" s="48"/>
      <c r="Y259" s="48"/>
      <c r="Z259" s="48"/>
      <c r="AA259" s="48"/>
    </row>
    <row r="260" spans="2:27" ht="12.75" customHeight="1" x14ac:dyDescent="0.25">
      <c r="B260" s="48"/>
      <c r="C260" s="48"/>
      <c r="D260" s="48"/>
      <c r="E260" s="48"/>
      <c r="F260" s="48"/>
      <c r="G260" s="48"/>
      <c r="H260" s="48"/>
      <c r="I260" s="48"/>
      <c r="J260" s="48"/>
      <c r="K260" s="48"/>
      <c r="L260" s="48"/>
      <c r="M260" s="48"/>
      <c r="N260" s="48"/>
      <c r="O260" s="48"/>
      <c r="P260" s="48"/>
      <c r="Q260" s="48"/>
      <c r="R260" s="48"/>
      <c r="S260" s="48"/>
      <c r="T260" s="48"/>
      <c r="U260" s="48"/>
      <c r="V260" s="48"/>
      <c r="W260" s="48"/>
      <c r="X260" s="48"/>
      <c r="Y260" s="48"/>
      <c r="Z260" s="48"/>
      <c r="AA260" s="48"/>
    </row>
    <row r="261" spans="2:27" ht="12.75" customHeight="1" x14ac:dyDescent="0.25">
      <c r="B261" s="48"/>
      <c r="C261" s="48"/>
      <c r="D261" s="48"/>
      <c r="E261" s="48"/>
      <c r="F261" s="48"/>
      <c r="G261" s="48"/>
      <c r="H261" s="48"/>
      <c r="I261" s="48"/>
      <c r="J261" s="48"/>
      <c r="K261" s="48"/>
      <c r="L261" s="48"/>
      <c r="M261" s="48"/>
      <c r="N261" s="48"/>
      <c r="O261" s="48"/>
      <c r="P261" s="48"/>
      <c r="Q261" s="48"/>
      <c r="R261" s="48"/>
      <c r="S261" s="48"/>
      <c r="T261" s="48"/>
      <c r="U261" s="48"/>
      <c r="V261" s="48"/>
      <c r="W261" s="48"/>
      <c r="X261" s="48"/>
      <c r="Y261" s="48"/>
      <c r="Z261" s="48"/>
      <c r="AA261" s="48"/>
    </row>
    <row r="262" spans="2:27" ht="12.75" customHeight="1" x14ac:dyDescent="0.25">
      <c r="B262" s="48"/>
      <c r="C262" s="48"/>
      <c r="D262" s="48"/>
      <c r="E262" s="48"/>
      <c r="F262" s="48"/>
      <c r="G262" s="48"/>
      <c r="H262" s="48"/>
      <c r="I262" s="48"/>
      <c r="J262" s="48"/>
      <c r="K262" s="48"/>
      <c r="L262" s="48"/>
      <c r="M262" s="48"/>
      <c r="N262" s="48"/>
      <c r="O262" s="48"/>
      <c r="P262" s="48"/>
      <c r="Q262" s="48"/>
      <c r="R262" s="48"/>
      <c r="S262" s="48"/>
      <c r="T262" s="48"/>
      <c r="U262" s="48"/>
      <c r="V262" s="48"/>
      <c r="W262" s="48"/>
      <c r="X262" s="48"/>
      <c r="Y262" s="48"/>
      <c r="Z262" s="48"/>
      <c r="AA262" s="48"/>
    </row>
    <row r="263" spans="2:27" ht="12.75" customHeight="1" x14ac:dyDescent="0.25">
      <c r="B263" s="48"/>
      <c r="C263" s="48"/>
      <c r="D263" s="48"/>
      <c r="E263" s="48"/>
      <c r="F263" s="48"/>
      <c r="G263" s="48"/>
      <c r="H263" s="48"/>
      <c r="I263" s="48"/>
      <c r="J263" s="48"/>
      <c r="K263" s="48"/>
      <c r="L263" s="48"/>
      <c r="M263" s="48"/>
      <c r="N263" s="48"/>
      <c r="O263" s="48"/>
      <c r="P263" s="48"/>
      <c r="Q263" s="48"/>
      <c r="R263" s="48"/>
      <c r="S263" s="48"/>
      <c r="T263" s="48"/>
      <c r="U263" s="48"/>
      <c r="V263" s="48"/>
      <c r="W263" s="48"/>
      <c r="X263" s="48"/>
      <c r="Y263" s="48"/>
      <c r="Z263" s="48"/>
      <c r="AA263" s="48"/>
    </row>
    <row r="264" spans="2:27" ht="12.75" customHeight="1" x14ac:dyDescent="0.25">
      <c r="B264" s="48"/>
      <c r="C264" s="48"/>
      <c r="D264" s="48"/>
      <c r="E264" s="48"/>
      <c r="F264" s="48"/>
      <c r="G264" s="48"/>
      <c r="H264" s="48"/>
      <c r="I264" s="48"/>
      <c r="J264" s="48"/>
      <c r="K264" s="48"/>
      <c r="L264" s="48"/>
      <c r="M264" s="48"/>
      <c r="N264" s="48"/>
      <c r="O264" s="48"/>
      <c r="P264" s="48"/>
      <c r="Q264" s="48"/>
      <c r="R264" s="48"/>
      <c r="S264" s="48"/>
      <c r="T264" s="48"/>
      <c r="U264" s="48"/>
      <c r="V264" s="48"/>
      <c r="W264" s="48"/>
      <c r="X264" s="48"/>
      <c r="Y264" s="48"/>
      <c r="Z264" s="48"/>
      <c r="AA264" s="48"/>
    </row>
    <row r="265" spans="2:27" ht="12.75" customHeight="1" x14ac:dyDescent="0.25">
      <c r="B265" s="48"/>
      <c r="C265" s="48"/>
      <c r="D265" s="48"/>
      <c r="E265" s="48"/>
      <c r="F265" s="48"/>
      <c r="G265" s="48"/>
      <c r="H265" s="48"/>
      <c r="I265" s="48"/>
      <c r="J265" s="48"/>
      <c r="K265" s="48"/>
      <c r="L265" s="48"/>
      <c r="M265" s="48"/>
      <c r="N265" s="48"/>
      <c r="O265" s="48"/>
      <c r="P265" s="48"/>
      <c r="Q265" s="48"/>
      <c r="R265" s="48"/>
      <c r="S265" s="48"/>
      <c r="T265" s="48"/>
      <c r="U265" s="48"/>
      <c r="V265" s="48"/>
      <c r="W265" s="48"/>
      <c r="X265" s="48"/>
      <c r="Y265" s="48"/>
      <c r="Z265" s="48"/>
      <c r="AA265" s="48"/>
    </row>
    <row r="266" spans="2:27" ht="12.75" customHeight="1" x14ac:dyDescent="0.25">
      <c r="B266" s="48"/>
      <c r="C266" s="48"/>
      <c r="D266" s="48"/>
      <c r="E266" s="48"/>
      <c r="F266" s="48"/>
      <c r="G266" s="48"/>
      <c r="H266" s="48"/>
      <c r="I266" s="48"/>
      <c r="J266" s="48"/>
      <c r="K266" s="48"/>
      <c r="L266" s="48"/>
      <c r="M266" s="48"/>
      <c r="N266" s="48"/>
      <c r="O266" s="48"/>
      <c r="P266" s="48"/>
      <c r="Q266" s="48"/>
      <c r="R266" s="48"/>
      <c r="S266" s="48"/>
      <c r="T266" s="48"/>
      <c r="U266" s="48"/>
      <c r="V266" s="48"/>
      <c r="W266" s="48"/>
      <c r="X266" s="48"/>
      <c r="Y266" s="48"/>
      <c r="Z266" s="48"/>
      <c r="AA266" s="48"/>
    </row>
    <row r="267" spans="2:27" ht="12.75" customHeight="1" x14ac:dyDescent="0.25">
      <c r="B267" s="48"/>
      <c r="C267" s="48"/>
      <c r="D267" s="48"/>
      <c r="E267" s="48"/>
      <c r="F267" s="48"/>
      <c r="G267" s="48"/>
      <c r="H267" s="48"/>
      <c r="I267" s="48"/>
      <c r="J267" s="48"/>
      <c r="K267" s="48"/>
      <c r="L267" s="48"/>
      <c r="M267" s="48"/>
      <c r="N267" s="48"/>
      <c r="O267" s="48"/>
      <c r="P267" s="48"/>
      <c r="Q267" s="48"/>
      <c r="R267" s="48"/>
      <c r="S267" s="48"/>
      <c r="T267" s="48"/>
      <c r="U267" s="48"/>
      <c r="V267" s="48"/>
      <c r="W267" s="48"/>
      <c r="X267" s="48"/>
      <c r="Y267" s="48"/>
      <c r="Z267" s="48"/>
      <c r="AA267" s="48"/>
    </row>
    <row r="268" spans="2:27" ht="12.75" customHeight="1" x14ac:dyDescent="0.25">
      <c r="B268" s="48"/>
      <c r="C268" s="48"/>
      <c r="D268" s="48"/>
      <c r="E268" s="48"/>
      <c r="F268" s="48"/>
      <c r="G268" s="48"/>
      <c r="H268" s="48"/>
      <c r="I268" s="48"/>
      <c r="J268" s="48"/>
      <c r="K268" s="48"/>
      <c r="L268" s="48"/>
      <c r="M268" s="48"/>
      <c r="N268" s="48"/>
      <c r="O268" s="48"/>
      <c r="P268" s="48"/>
      <c r="Q268" s="48"/>
      <c r="R268" s="48"/>
      <c r="S268" s="48"/>
      <c r="T268" s="48"/>
      <c r="U268" s="48"/>
      <c r="V268" s="48"/>
      <c r="W268" s="48"/>
      <c r="X268" s="48"/>
      <c r="Y268" s="48"/>
      <c r="Z268" s="48"/>
      <c r="AA268" s="48"/>
    </row>
    <row r="269" spans="2:27" ht="12.75" customHeight="1" x14ac:dyDescent="0.25">
      <c r="B269" s="48"/>
      <c r="C269" s="48"/>
      <c r="D269" s="48"/>
      <c r="E269" s="48"/>
      <c r="F269" s="48"/>
      <c r="G269" s="48"/>
      <c r="H269" s="48"/>
      <c r="I269" s="48"/>
      <c r="J269" s="48"/>
      <c r="K269" s="48"/>
      <c r="L269" s="48"/>
      <c r="M269" s="48"/>
      <c r="N269" s="48"/>
      <c r="O269" s="48"/>
      <c r="P269" s="48"/>
      <c r="Q269" s="48"/>
      <c r="R269" s="48"/>
      <c r="S269" s="48"/>
      <c r="T269" s="48"/>
      <c r="U269" s="48"/>
      <c r="V269" s="48"/>
      <c r="W269" s="48"/>
      <c r="X269" s="48"/>
      <c r="Y269" s="48"/>
      <c r="Z269" s="48"/>
      <c r="AA269" s="48"/>
    </row>
    <row r="270" spans="2:27" ht="12.75" customHeight="1" x14ac:dyDescent="0.25">
      <c r="B270" s="48"/>
      <c r="C270" s="48"/>
      <c r="D270" s="48"/>
      <c r="E270" s="48"/>
      <c r="F270" s="48"/>
      <c r="G270" s="48"/>
      <c r="H270" s="48"/>
      <c r="I270" s="48"/>
      <c r="J270" s="48"/>
      <c r="K270" s="48"/>
      <c r="L270" s="48"/>
      <c r="M270" s="48"/>
      <c r="N270" s="48"/>
      <c r="O270" s="48"/>
      <c r="P270" s="48"/>
      <c r="Q270" s="48"/>
      <c r="R270" s="48"/>
      <c r="S270" s="48"/>
      <c r="T270" s="48"/>
      <c r="U270" s="48"/>
      <c r="V270" s="48"/>
      <c r="W270" s="48"/>
      <c r="X270" s="48"/>
      <c r="Y270" s="48"/>
      <c r="Z270" s="48"/>
      <c r="AA270" s="48"/>
    </row>
    <row r="271" spans="2:27" ht="12.75" customHeight="1" x14ac:dyDescent="0.25">
      <c r="B271" s="48"/>
      <c r="C271" s="48"/>
      <c r="D271" s="48"/>
      <c r="E271" s="48"/>
      <c r="F271" s="48"/>
      <c r="G271" s="48"/>
      <c r="H271" s="48"/>
      <c r="I271" s="48"/>
      <c r="J271" s="48"/>
      <c r="K271" s="48"/>
      <c r="L271" s="48"/>
      <c r="M271" s="48"/>
      <c r="N271" s="48"/>
      <c r="O271" s="48"/>
      <c r="P271" s="48"/>
      <c r="Q271" s="48"/>
      <c r="R271" s="48"/>
      <c r="S271" s="48"/>
      <c r="T271" s="48"/>
      <c r="U271" s="48"/>
      <c r="V271" s="48"/>
      <c r="W271" s="48"/>
      <c r="X271" s="48"/>
      <c r="Y271" s="48"/>
      <c r="Z271" s="48"/>
      <c r="AA271" s="48"/>
    </row>
    <row r="272" spans="2:27" ht="12.75" customHeight="1" x14ac:dyDescent="0.25">
      <c r="B272" s="48"/>
      <c r="C272" s="48"/>
      <c r="D272" s="48"/>
      <c r="E272" s="48"/>
      <c r="F272" s="48"/>
      <c r="G272" s="48"/>
      <c r="H272" s="48"/>
      <c r="I272" s="48"/>
      <c r="J272" s="48"/>
      <c r="K272" s="48"/>
      <c r="L272" s="48"/>
      <c r="M272" s="48"/>
      <c r="N272" s="48"/>
      <c r="O272" s="48"/>
      <c r="P272" s="48"/>
      <c r="Q272" s="48"/>
      <c r="R272" s="48"/>
      <c r="S272" s="48"/>
      <c r="T272" s="48"/>
      <c r="U272" s="48"/>
      <c r="V272" s="48"/>
      <c r="W272" s="48"/>
      <c r="X272" s="48"/>
      <c r="Y272" s="48"/>
      <c r="Z272" s="48"/>
      <c r="AA272" s="48"/>
    </row>
    <row r="273" spans="2:27" ht="12.75" customHeight="1" x14ac:dyDescent="0.25">
      <c r="B273" s="48"/>
      <c r="C273" s="48"/>
      <c r="D273" s="48"/>
      <c r="E273" s="48"/>
      <c r="F273" s="48"/>
      <c r="G273" s="48"/>
      <c r="H273" s="48"/>
      <c r="I273" s="48"/>
      <c r="J273" s="48"/>
      <c r="K273" s="48"/>
      <c r="L273" s="48"/>
      <c r="M273" s="48"/>
      <c r="N273" s="48"/>
      <c r="O273" s="48"/>
      <c r="P273" s="48"/>
      <c r="Q273" s="48"/>
      <c r="R273" s="48"/>
      <c r="S273" s="48"/>
      <c r="T273" s="48"/>
      <c r="U273" s="48"/>
      <c r="V273" s="48"/>
      <c r="W273" s="48"/>
      <c r="X273" s="48"/>
      <c r="Y273" s="48"/>
      <c r="Z273" s="48"/>
      <c r="AA273" s="48"/>
    </row>
    <row r="274" spans="2:27" ht="12.75" customHeight="1" x14ac:dyDescent="0.25">
      <c r="B274" s="48"/>
      <c r="C274" s="48"/>
      <c r="D274" s="48"/>
      <c r="E274" s="48"/>
      <c r="F274" s="48"/>
      <c r="G274" s="48"/>
      <c r="H274" s="48"/>
      <c r="I274" s="48"/>
      <c r="J274" s="48"/>
      <c r="K274" s="48"/>
      <c r="L274" s="48"/>
      <c r="M274" s="48"/>
      <c r="N274" s="48"/>
      <c r="O274" s="48"/>
      <c r="P274" s="48"/>
      <c r="Q274" s="48"/>
      <c r="R274" s="48"/>
      <c r="S274" s="48"/>
      <c r="T274" s="48"/>
      <c r="U274" s="48"/>
      <c r="V274" s="48"/>
      <c r="W274" s="48"/>
      <c r="X274" s="48"/>
      <c r="Y274" s="48"/>
      <c r="Z274" s="48"/>
      <c r="AA274" s="48"/>
    </row>
    <row r="275" spans="2:27" ht="12.75" customHeight="1" x14ac:dyDescent="0.25">
      <c r="B275" s="48"/>
      <c r="C275" s="48"/>
      <c r="D275" s="48"/>
      <c r="E275" s="48"/>
      <c r="F275" s="48"/>
      <c r="G275" s="48"/>
      <c r="H275" s="48"/>
      <c r="I275" s="48"/>
      <c r="J275" s="48"/>
      <c r="K275" s="48"/>
      <c r="L275" s="48"/>
      <c r="M275" s="48"/>
      <c r="N275" s="48"/>
      <c r="O275" s="48"/>
      <c r="P275" s="48"/>
      <c r="Q275" s="48"/>
      <c r="R275" s="48"/>
      <c r="S275" s="48"/>
      <c r="T275" s="48"/>
      <c r="U275" s="48"/>
      <c r="V275" s="48"/>
      <c r="W275" s="48"/>
      <c r="X275" s="48"/>
      <c r="Y275" s="48"/>
      <c r="Z275" s="48"/>
      <c r="AA275" s="48"/>
    </row>
    <row r="276" spans="2:27" ht="12.75" customHeight="1" x14ac:dyDescent="0.25">
      <c r="B276" s="48"/>
      <c r="C276" s="48"/>
      <c r="D276" s="48"/>
      <c r="E276" s="48"/>
      <c r="F276" s="48"/>
      <c r="G276" s="48"/>
      <c r="H276" s="48"/>
      <c r="I276" s="48"/>
      <c r="J276" s="48"/>
      <c r="K276" s="48"/>
      <c r="L276" s="48"/>
      <c r="M276" s="48"/>
      <c r="N276" s="48"/>
      <c r="O276" s="48"/>
      <c r="P276" s="48"/>
      <c r="Q276" s="48"/>
      <c r="R276" s="48"/>
      <c r="S276" s="48"/>
      <c r="T276" s="48"/>
      <c r="U276" s="48"/>
      <c r="V276" s="48"/>
      <c r="W276" s="48"/>
      <c r="X276" s="48"/>
      <c r="Y276" s="48"/>
      <c r="Z276" s="48"/>
      <c r="AA276" s="48"/>
    </row>
    <row r="277" spans="2:27" ht="12.75" customHeight="1" x14ac:dyDescent="0.25">
      <c r="B277" s="48"/>
      <c r="C277" s="48"/>
      <c r="D277" s="48"/>
      <c r="E277" s="48"/>
      <c r="F277" s="48"/>
      <c r="G277" s="48"/>
      <c r="H277" s="48"/>
      <c r="I277" s="48"/>
      <c r="J277" s="48"/>
      <c r="K277" s="48"/>
      <c r="L277" s="48"/>
      <c r="M277" s="48"/>
      <c r="N277" s="48"/>
      <c r="O277" s="48"/>
      <c r="P277" s="48"/>
      <c r="Q277" s="48"/>
      <c r="R277" s="48"/>
      <c r="S277" s="48"/>
      <c r="T277" s="48"/>
      <c r="U277" s="48"/>
      <c r="V277" s="48"/>
      <c r="W277" s="48"/>
      <c r="X277" s="48"/>
      <c r="Y277" s="48"/>
      <c r="Z277" s="48"/>
      <c r="AA277" s="48"/>
    </row>
    <row r="278" spans="2:27" ht="12.75" customHeight="1" x14ac:dyDescent="0.25">
      <c r="B278" s="48"/>
      <c r="C278" s="48"/>
      <c r="D278" s="48"/>
      <c r="E278" s="48"/>
      <c r="F278" s="48"/>
      <c r="G278" s="48"/>
      <c r="H278" s="48"/>
      <c r="I278" s="48"/>
      <c r="J278" s="48"/>
      <c r="K278" s="48"/>
      <c r="L278" s="48"/>
      <c r="M278" s="48"/>
      <c r="N278" s="48"/>
      <c r="O278" s="48"/>
      <c r="P278" s="48"/>
      <c r="Q278" s="48"/>
      <c r="R278" s="48"/>
      <c r="S278" s="48"/>
      <c r="T278" s="48"/>
      <c r="U278" s="48"/>
      <c r="V278" s="48"/>
      <c r="W278" s="48"/>
      <c r="X278" s="48"/>
      <c r="Y278" s="48"/>
      <c r="Z278" s="48"/>
      <c r="AA278" s="48"/>
    </row>
    <row r="279" spans="2:27" ht="12.75" customHeight="1" x14ac:dyDescent="0.25">
      <c r="B279" s="48"/>
      <c r="C279" s="48"/>
      <c r="D279" s="48"/>
      <c r="E279" s="48"/>
      <c r="F279" s="48"/>
      <c r="G279" s="48"/>
      <c r="H279" s="48"/>
      <c r="I279" s="48"/>
      <c r="J279" s="48"/>
      <c r="K279" s="48"/>
      <c r="L279" s="48"/>
      <c r="M279" s="48"/>
      <c r="N279" s="48"/>
      <c r="O279" s="48"/>
      <c r="P279" s="48"/>
      <c r="Q279" s="48"/>
      <c r="R279" s="48"/>
      <c r="S279" s="48"/>
      <c r="T279" s="48"/>
      <c r="U279" s="48"/>
      <c r="V279" s="48"/>
      <c r="W279" s="48"/>
      <c r="X279" s="48"/>
      <c r="Y279" s="48"/>
      <c r="Z279" s="48"/>
      <c r="AA279" s="48"/>
    </row>
    <row r="280" spans="2:27" ht="12.75" customHeight="1" x14ac:dyDescent="0.25">
      <c r="B280" s="48"/>
      <c r="C280" s="48"/>
      <c r="D280" s="48"/>
      <c r="E280" s="48"/>
      <c r="F280" s="48"/>
      <c r="G280" s="48"/>
      <c r="H280" s="48"/>
      <c r="I280" s="48"/>
      <c r="J280" s="48"/>
      <c r="K280" s="48"/>
      <c r="L280" s="48"/>
      <c r="M280" s="48"/>
      <c r="N280" s="48"/>
      <c r="O280" s="48"/>
      <c r="P280" s="48"/>
      <c r="Q280" s="48"/>
      <c r="R280" s="48"/>
      <c r="S280" s="48"/>
      <c r="T280" s="48"/>
      <c r="U280" s="48"/>
      <c r="V280" s="48"/>
      <c r="W280" s="48"/>
      <c r="X280" s="48"/>
      <c r="Y280" s="48"/>
      <c r="Z280" s="48"/>
      <c r="AA280" s="48"/>
    </row>
    <row r="281" spans="2:27" ht="12.75" customHeight="1" x14ac:dyDescent="0.25">
      <c r="B281" s="48"/>
      <c r="C281" s="48"/>
      <c r="D281" s="48"/>
      <c r="E281" s="48"/>
      <c r="F281" s="48"/>
      <c r="G281" s="48"/>
      <c r="H281" s="48"/>
      <c r="I281" s="48"/>
      <c r="J281" s="48"/>
      <c r="K281" s="48"/>
      <c r="L281" s="48"/>
      <c r="M281" s="48"/>
      <c r="N281" s="48"/>
      <c r="O281" s="48"/>
      <c r="P281" s="48"/>
      <c r="Q281" s="48"/>
      <c r="R281" s="48"/>
      <c r="S281" s="48"/>
      <c r="T281" s="48"/>
      <c r="U281" s="48"/>
      <c r="V281" s="48"/>
      <c r="W281" s="48"/>
      <c r="X281" s="48"/>
      <c r="Y281" s="48"/>
      <c r="Z281" s="48"/>
      <c r="AA281" s="48"/>
    </row>
    <row r="282" spans="2:27" ht="12.75" customHeight="1" x14ac:dyDescent="0.25">
      <c r="B282" s="48"/>
      <c r="C282" s="48"/>
      <c r="D282" s="48"/>
      <c r="E282" s="48"/>
      <c r="F282" s="48"/>
      <c r="G282" s="48"/>
      <c r="H282" s="48"/>
      <c r="I282" s="48"/>
      <c r="J282" s="48"/>
      <c r="K282" s="48"/>
      <c r="L282" s="48"/>
      <c r="M282" s="48"/>
      <c r="N282" s="48"/>
      <c r="O282" s="48"/>
      <c r="P282" s="48"/>
      <c r="Q282" s="48"/>
      <c r="R282" s="48"/>
      <c r="S282" s="48"/>
      <c r="T282" s="48"/>
      <c r="U282" s="48"/>
      <c r="V282" s="48"/>
      <c r="W282" s="48"/>
      <c r="X282" s="48"/>
      <c r="Y282" s="48"/>
      <c r="Z282" s="48"/>
      <c r="AA282" s="48"/>
    </row>
    <row r="283" spans="2:27" ht="12.75" customHeight="1" x14ac:dyDescent="0.25">
      <c r="B283" s="48"/>
      <c r="C283" s="48"/>
      <c r="D283" s="48"/>
      <c r="E283" s="48"/>
      <c r="F283" s="48"/>
      <c r="G283" s="48"/>
      <c r="H283" s="48"/>
      <c r="I283" s="48"/>
      <c r="J283" s="48"/>
      <c r="K283" s="48"/>
      <c r="L283" s="48"/>
      <c r="M283" s="48"/>
      <c r="N283" s="48"/>
      <c r="O283" s="48"/>
      <c r="P283" s="48"/>
      <c r="Q283" s="48"/>
      <c r="R283" s="48"/>
      <c r="S283" s="48"/>
      <c r="T283" s="48"/>
      <c r="U283" s="48"/>
      <c r="V283" s="48"/>
      <c r="W283" s="48"/>
      <c r="X283" s="48"/>
      <c r="Y283" s="48"/>
      <c r="Z283" s="48"/>
      <c r="AA283" s="48"/>
    </row>
    <row r="284" spans="2:27" ht="12.75" customHeight="1" x14ac:dyDescent="0.25">
      <c r="B284" s="48"/>
      <c r="C284" s="48"/>
      <c r="D284" s="48"/>
      <c r="E284" s="48"/>
      <c r="F284" s="48"/>
      <c r="G284" s="48"/>
      <c r="H284" s="48"/>
      <c r="I284" s="48"/>
      <c r="J284" s="48"/>
      <c r="K284" s="48"/>
      <c r="L284" s="48"/>
      <c r="M284" s="48"/>
      <c r="N284" s="48"/>
      <c r="O284" s="48"/>
      <c r="P284" s="48"/>
      <c r="Q284" s="48"/>
      <c r="R284" s="48"/>
      <c r="S284" s="48"/>
      <c r="T284" s="48"/>
      <c r="U284" s="48"/>
      <c r="V284" s="48"/>
      <c r="W284" s="48"/>
      <c r="X284" s="48"/>
      <c r="Y284" s="48"/>
      <c r="Z284" s="48"/>
      <c r="AA284" s="48"/>
    </row>
    <row r="285" spans="2:27" ht="12.75" customHeight="1" x14ac:dyDescent="0.25">
      <c r="B285" s="48"/>
      <c r="C285" s="48"/>
      <c r="D285" s="48"/>
      <c r="E285" s="48"/>
      <c r="F285" s="48"/>
      <c r="G285" s="48"/>
      <c r="H285" s="48"/>
      <c r="I285" s="48"/>
      <c r="J285" s="48"/>
      <c r="K285" s="48"/>
      <c r="L285" s="48"/>
      <c r="M285" s="48"/>
      <c r="N285" s="48"/>
      <c r="O285" s="48"/>
      <c r="P285" s="48"/>
      <c r="Q285" s="48"/>
      <c r="R285" s="48"/>
      <c r="S285" s="48"/>
      <c r="T285" s="48"/>
      <c r="U285" s="48"/>
      <c r="V285" s="48"/>
      <c r="W285" s="48"/>
      <c r="X285" s="48"/>
      <c r="Y285" s="48"/>
      <c r="Z285" s="48"/>
      <c r="AA285" s="48"/>
    </row>
    <row r="286" spans="2:27" ht="12.75" customHeight="1" x14ac:dyDescent="0.25">
      <c r="B286" s="48"/>
      <c r="C286" s="48"/>
      <c r="D286" s="48"/>
      <c r="E286" s="48"/>
      <c r="F286" s="48"/>
      <c r="G286" s="48"/>
      <c r="H286" s="48"/>
      <c r="I286" s="48"/>
      <c r="J286" s="48"/>
      <c r="K286" s="48"/>
      <c r="L286" s="48"/>
      <c r="M286" s="48"/>
      <c r="N286" s="48"/>
      <c r="O286" s="48"/>
      <c r="P286" s="48"/>
      <c r="Q286" s="48"/>
      <c r="R286" s="48"/>
      <c r="S286" s="48"/>
      <c r="T286" s="48"/>
      <c r="U286" s="48"/>
      <c r="V286" s="48"/>
      <c r="W286" s="48"/>
      <c r="X286" s="48"/>
      <c r="Y286" s="48"/>
      <c r="Z286" s="48"/>
      <c r="AA286" s="48"/>
    </row>
    <row r="287" spans="2:27" ht="12.75" customHeight="1" x14ac:dyDescent="0.25">
      <c r="B287" s="48"/>
      <c r="C287" s="48"/>
      <c r="D287" s="48"/>
      <c r="E287" s="48"/>
      <c r="F287" s="48"/>
      <c r="G287" s="48"/>
      <c r="H287" s="48"/>
      <c r="I287" s="48"/>
      <c r="J287" s="48"/>
      <c r="K287" s="48"/>
      <c r="L287" s="48"/>
      <c r="M287" s="48"/>
      <c r="N287" s="48"/>
      <c r="O287" s="48"/>
      <c r="P287" s="48"/>
      <c r="Q287" s="48"/>
      <c r="R287" s="48"/>
      <c r="S287" s="48"/>
      <c r="T287" s="48"/>
      <c r="U287" s="48"/>
      <c r="V287" s="48"/>
      <c r="W287" s="48"/>
      <c r="X287" s="48"/>
      <c r="Y287" s="48"/>
      <c r="Z287" s="48"/>
      <c r="AA287" s="48"/>
    </row>
    <row r="288" spans="2:27" ht="12.75" customHeight="1" x14ac:dyDescent="0.25">
      <c r="B288" s="48"/>
      <c r="C288" s="48"/>
      <c r="D288" s="48"/>
      <c r="E288" s="48"/>
      <c r="F288" s="48"/>
      <c r="G288" s="48"/>
      <c r="H288" s="48"/>
      <c r="I288" s="48"/>
      <c r="J288" s="48"/>
      <c r="K288" s="48"/>
      <c r="L288" s="48"/>
      <c r="M288" s="48"/>
      <c r="N288" s="48"/>
      <c r="O288" s="48"/>
      <c r="P288" s="48"/>
      <c r="Q288" s="48"/>
      <c r="R288" s="48"/>
      <c r="S288" s="48"/>
      <c r="T288" s="48"/>
      <c r="U288" s="48"/>
      <c r="V288" s="48"/>
      <c r="W288" s="48"/>
      <c r="X288" s="48"/>
      <c r="Y288" s="48"/>
      <c r="Z288" s="48"/>
      <c r="AA288" s="48"/>
    </row>
    <row r="289" spans="2:27" ht="12.75" customHeight="1" x14ac:dyDescent="0.25">
      <c r="B289" s="48"/>
      <c r="C289" s="48"/>
      <c r="D289" s="48"/>
      <c r="E289" s="48"/>
      <c r="F289" s="48"/>
      <c r="G289" s="48"/>
      <c r="H289" s="48"/>
      <c r="I289" s="48"/>
      <c r="J289" s="48"/>
      <c r="K289" s="48"/>
      <c r="L289" s="48"/>
      <c r="M289" s="48"/>
      <c r="N289" s="48"/>
      <c r="O289" s="48"/>
      <c r="P289" s="48"/>
      <c r="Q289" s="48"/>
      <c r="R289" s="48"/>
      <c r="S289" s="48"/>
      <c r="T289" s="48"/>
      <c r="U289" s="48"/>
      <c r="V289" s="48"/>
      <c r="W289" s="48"/>
      <c r="X289" s="48"/>
      <c r="Y289" s="48"/>
      <c r="Z289" s="48"/>
      <c r="AA289" s="48"/>
    </row>
    <row r="290" spans="2:27" ht="12.75" customHeight="1" x14ac:dyDescent="0.25">
      <c r="B290" s="48"/>
      <c r="C290" s="48"/>
      <c r="D290" s="48"/>
      <c r="E290" s="48"/>
      <c r="F290" s="48"/>
      <c r="G290" s="48"/>
      <c r="H290" s="48"/>
      <c r="I290" s="48"/>
      <c r="J290" s="48"/>
      <c r="K290" s="48"/>
      <c r="L290" s="48"/>
      <c r="M290" s="48"/>
      <c r="N290" s="48"/>
      <c r="O290" s="48"/>
      <c r="P290" s="48"/>
      <c r="Q290" s="48"/>
      <c r="R290" s="48"/>
      <c r="S290" s="48"/>
      <c r="T290" s="48"/>
      <c r="U290" s="48"/>
      <c r="V290" s="48"/>
      <c r="W290" s="48"/>
      <c r="X290" s="48"/>
      <c r="Y290" s="48"/>
      <c r="Z290" s="48"/>
      <c r="AA290" s="48"/>
    </row>
    <row r="291" spans="2:27" ht="12.75" customHeight="1" x14ac:dyDescent="0.25">
      <c r="B291" s="48"/>
      <c r="C291" s="48"/>
      <c r="D291" s="48"/>
      <c r="E291" s="48"/>
      <c r="F291" s="48"/>
      <c r="G291" s="48"/>
      <c r="H291" s="48"/>
      <c r="I291" s="48"/>
      <c r="J291" s="48"/>
      <c r="K291" s="48"/>
      <c r="L291" s="48"/>
      <c r="M291" s="48"/>
      <c r="N291" s="48"/>
      <c r="O291" s="48"/>
      <c r="P291" s="48"/>
      <c r="Q291" s="48"/>
      <c r="R291" s="48"/>
      <c r="S291" s="48"/>
      <c r="T291" s="48"/>
      <c r="U291" s="48"/>
      <c r="V291" s="48"/>
      <c r="W291" s="48"/>
      <c r="X291" s="48"/>
      <c r="Y291" s="48"/>
      <c r="Z291" s="48"/>
      <c r="AA291" s="48"/>
    </row>
    <row r="292" spans="2:27" ht="12.75" customHeight="1" x14ac:dyDescent="0.25">
      <c r="B292" s="48"/>
      <c r="C292" s="48"/>
      <c r="D292" s="48"/>
      <c r="E292" s="48"/>
      <c r="F292" s="48"/>
      <c r="G292" s="48"/>
      <c r="H292" s="48"/>
      <c r="I292" s="48"/>
      <c r="J292" s="48"/>
      <c r="K292" s="48"/>
      <c r="L292" s="48"/>
      <c r="M292" s="48"/>
      <c r="N292" s="48"/>
      <c r="O292" s="48"/>
      <c r="P292" s="48"/>
      <c r="Q292" s="48"/>
      <c r="R292" s="48"/>
      <c r="S292" s="48"/>
      <c r="T292" s="48"/>
      <c r="U292" s="48"/>
      <c r="V292" s="48"/>
      <c r="W292" s="48"/>
      <c r="X292" s="48"/>
      <c r="Y292" s="48"/>
      <c r="Z292" s="48"/>
      <c r="AA292" s="48"/>
    </row>
    <row r="293" spans="2:27" ht="12.75" customHeight="1" x14ac:dyDescent="0.25">
      <c r="B293" s="48"/>
      <c r="C293" s="48"/>
      <c r="D293" s="48"/>
      <c r="E293" s="48"/>
      <c r="F293" s="48"/>
      <c r="G293" s="48"/>
      <c r="H293" s="48"/>
      <c r="I293" s="48"/>
      <c r="J293" s="48"/>
      <c r="K293" s="48"/>
      <c r="L293" s="48"/>
      <c r="M293" s="48"/>
      <c r="N293" s="48"/>
      <c r="O293" s="48"/>
      <c r="P293" s="48"/>
      <c r="Q293" s="48"/>
      <c r="R293" s="48"/>
      <c r="S293" s="48"/>
      <c r="T293" s="48"/>
      <c r="U293" s="48"/>
      <c r="V293" s="48"/>
      <c r="W293" s="48"/>
      <c r="X293" s="48"/>
      <c r="Y293" s="48"/>
      <c r="Z293" s="48"/>
      <c r="AA293" s="48"/>
    </row>
    <row r="294" spans="2:27" ht="12.75" customHeight="1" x14ac:dyDescent="0.25">
      <c r="B294" s="48"/>
      <c r="C294" s="48"/>
      <c r="D294" s="48"/>
      <c r="E294" s="48"/>
      <c r="F294" s="48"/>
      <c r="G294" s="48"/>
      <c r="H294" s="48"/>
      <c r="I294" s="48"/>
      <c r="J294" s="48"/>
      <c r="K294" s="48"/>
      <c r="L294" s="48"/>
      <c r="M294" s="48"/>
      <c r="N294" s="48"/>
      <c r="O294" s="48"/>
      <c r="P294" s="48"/>
      <c r="Q294" s="48"/>
      <c r="R294" s="48"/>
      <c r="S294" s="48"/>
      <c r="T294" s="48"/>
      <c r="U294" s="48"/>
      <c r="V294" s="48"/>
      <c r="W294" s="48"/>
      <c r="X294" s="48"/>
      <c r="Y294" s="48"/>
      <c r="Z294" s="48"/>
      <c r="AA294" s="48"/>
    </row>
    <row r="295" spans="2:27" ht="12.75" customHeight="1" x14ac:dyDescent="0.25">
      <c r="B295" s="48"/>
      <c r="C295" s="48"/>
      <c r="D295" s="48"/>
      <c r="E295" s="48"/>
      <c r="F295" s="48"/>
      <c r="G295" s="48"/>
      <c r="H295" s="48"/>
      <c r="I295" s="48"/>
      <c r="J295" s="48"/>
      <c r="K295" s="48"/>
      <c r="L295" s="48"/>
      <c r="M295" s="48"/>
      <c r="N295" s="48"/>
      <c r="O295" s="48"/>
      <c r="P295" s="48"/>
      <c r="Q295" s="48"/>
      <c r="R295" s="48"/>
      <c r="S295" s="48"/>
      <c r="T295" s="48"/>
      <c r="U295" s="48"/>
      <c r="V295" s="48"/>
      <c r="W295" s="48"/>
      <c r="X295" s="48"/>
      <c r="Y295" s="48"/>
      <c r="Z295" s="48"/>
      <c r="AA295" s="48"/>
    </row>
    <row r="296" spans="2:27" ht="12.75" customHeight="1" x14ac:dyDescent="0.25">
      <c r="B296" s="48"/>
      <c r="C296" s="48"/>
      <c r="D296" s="48"/>
      <c r="E296" s="48"/>
      <c r="F296" s="48"/>
      <c r="G296" s="48"/>
      <c r="H296" s="48"/>
      <c r="I296" s="48"/>
      <c r="J296" s="48"/>
      <c r="K296" s="48"/>
      <c r="L296" s="48"/>
      <c r="M296" s="48"/>
      <c r="N296" s="48"/>
      <c r="O296" s="48"/>
      <c r="P296" s="48"/>
      <c r="Q296" s="48"/>
      <c r="R296" s="48"/>
      <c r="S296" s="48"/>
      <c r="T296" s="48"/>
      <c r="U296" s="48"/>
      <c r="V296" s="48"/>
      <c r="W296" s="48"/>
      <c r="X296" s="48"/>
      <c r="Y296" s="48"/>
      <c r="Z296" s="48"/>
      <c r="AA296" s="48"/>
    </row>
    <row r="297" spans="2:27" ht="12.75" customHeight="1" x14ac:dyDescent="0.25">
      <c r="B297" s="48"/>
      <c r="C297" s="48"/>
      <c r="D297" s="48"/>
      <c r="E297" s="48"/>
      <c r="F297" s="48"/>
      <c r="G297" s="48"/>
      <c r="H297" s="48"/>
      <c r="I297" s="48"/>
      <c r="J297" s="48"/>
      <c r="K297" s="48"/>
      <c r="L297" s="48"/>
      <c r="M297" s="48"/>
      <c r="N297" s="48"/>
      <c r="O297" s="48"/>
      <c r="P297" s="48"/>
      <c r="Q297" s="48"/>
      <c r="R297" s="48"/>
      <c r="S297" s="48"/>
      <c r="T297" s="48"/>
      <c r="U297" s="48"/>
      <c r="V297" s="48"/>
      <c r="W297" s="48"/>
      <c r="X297" s="48"/>
      <c r="Y297" s="48"/>
      <c r="Z297" s="48"/>
      <c r="AA297" s="48"/>
    </row>
    <row r="298" spans="2:27" ht="12.75" customHeight="1" x14ac:dyDescent="0.25">
      <c r="B298" s="48"/>
      <c r="C298" s="48"/>
      <c r="D298" s="48"/>
      <c r="E298" s="48"/>
      <c r="F298" s="48"/>
      <c r="G298" s="48"/>
      <c r="H298" s="48"/>
      <c r="I298" s="48"/>
      <c r="J298" s="48"/>
      <c r="K298" s="48"/>
      <c r="L298" s="48"/>
      <c r="M298" s="48"/>
      <c r="N298" s="48"/>
      <c r="O298" s="48"/>
      <c r="P298" s="48"/>
      <c r="Q298" s="48"/>
      <c r="R298" s="48"/>
      <c r="S298" s="48"/>
      <c r="T298" s="48"/>
      <c r="U298" s="48"/>
      <c r="V298" s="48"/>
      <c r="W298" s="48"/>
      <c r="X298" s="48"/>
      <c r="Y298" s="48"/>
      <c r="Z298" s="48"/>
      <c r="AA298" s="48"/>
    </row>
    <row r="299" spans="2:27" ht="12.75" customHeight="1" x14ac:dyDescent="0.25">
      <c r="B299" s="48"/>
      <c r="C299" s="48"/>
      <c r="D299" s="48"/>
      <c r="E299" s="48"/>
      <c r="F299" s="48"/>
      <c r="G299" s="48"/>
      <c r="H299" s="48"/>
      <c r="I299" s="48"/>
      <c r="J299" s="48"/>
      <c r="K299" s="48"/>
      <c r="L299" s="48"/>
      <c r="M299" s="48"/>
      <c r="N299" s="48"/>
      <c r="O299" s="48"/>
      <c r="P299" s="48"/>
      <c r="Q299" s="48"/>
      <c r="R299" s="48"/>
      <c r="S299" s="48"/>
      <c r="T299" s="48"/>
      <c r="U299" s="48"/>
      <c r="V299" s="48"/>
      <c r="W299" s="48"/>
      <c r="X299" s="48"/>
      <c r="Y299" s="48"/>
      <c r="Z299" s="48"/>
      <c r="AA299" s="48"/>
    </row>
    <row r="300" spans="2:27" ht="12.75" customHeight="1" x14ac:dyDescent="0.25">
      <c r="B300" s="48"/>
      <c r="C300" s="48"/>
      <c r="D300" s="48"/>
      <c r="E300" s="48"/>
      <c r="F300" s="48"/>
      <c r="G300" s="48"/>
      <c r="H300" s="48"/>
      <c r="I300" s="48"/>
      <c r="J300" s="48"/>
      <c r="K300" s="48"/>
      <c r="L300" s="48"/>
      <c r="M300" s="48"/>
      <c r="N300" s="48"/>
      <c r="O300" s="48"/>
      <c r="P300" s="48"/>
      <c r="Q300" s="48"/>
      <c r="R300" s="48"/>
      <c r="S300" s="48"/>
      <c r="T300" s="48"/>
      <c r="U300" s="48"/>
      <c r="V300" s="48"/>
      <c r="W300" s="48"/>
      <c r="X300" s="48"/>
      <c r="Y300" s="48"/>
      <c r="Z300" s="48"/>
      <c r="AA300" s="48"/>
    </row>
    <row r="301" spans="2:27" ht="12.75" customHeight="1" x14ac:dyDescent="0.25">
      <c r="B301" s="48"/>
      <c r="C301" s="48"/>
      <c r="D301" s="48"/>
      <c r="E301" s="48"/>
      <c r="F301" s="48"/>
      <c r="G301" s="48"/>
      <c r="H301" s="48"/>
      <c r="I301" s="48"/>
      <c r="J301" s="48"/>
      <c r="K301" s="48"/>
      <c r="L301" s="48"/>
      <c r="M301" s="48"/>
      <c r="N301" s="48"/>
      <c r="O301" s="48"/>
      <c r="P301" s="48"/>
      <c r="Q301" s="48"/>
      <c r="R301" s="48"/>
      <c r="S301" s="48"/>
      <c r="T301" s="48"/>
      <c r="U301" s="48"/>
      <c r="V301" s="48"/>
      <c r="W301" s="48"/>
      <c r="X301" s="48"/>
      <c r="Y301" s="48"/>
      <c r="Z301" s="48"/>
      <c r="AA301" s="48"/>
    </row>
    <row r="302" spans="2:27" ht="12.75" customHeight="1" x14ac:dyDescent="0.25">
      <c r="B302" s="48"/>
      <c r="C302" s="48"/>
      <c r="D302" s="48"/>
      <c r="E302" s="48"/>
      <c r="F302" s="48"/>
      <c r="G302" s="48"/>
      <c r="H302" s="48"/>
      <c r="I302" s="48"/>
      <c r="J302" s="48"/>
      <c r="K302" s="48"/>
      <c r="L302" s="48"/>
      <c r="M302" s="48"/>
      <c r="N302" s="48"/>
      <c r="O302" s="48"/>
      <c r="P302" s="48"/>
      <c r="Q302" s="48"/>
      <c r="R302" s="48"/>
      <c r="S302" s="48"/>
      <c r="T302" s="48"/>
      <c r="U302" s="48"/>
      <c r="V302" s="48"/>
      <c r="W302" s="48"/>
      <c r="X302" s="48"/>
      <c r="Y302" s="48"/>
      <c r="Z302" s="48"/>
      <c r="AA302" s="48"/>
    </row>
    <row r="303" spans="2:27" ht="12.75" customHeight="1" x14ac:dyDescent="0.25">
      <c r="B303" s="48"/>
      <c r="C303" s="48"/>
      <c r="D303" s="48"/>
      <c r="E303" s="48"/>
      <c r="F303" s="48"/>
      <c r="G303" s="48"/>
      <c r="H303" s="48"/>
      <c r="I303" s="48"/>
      <c r="J303" s="48"/>
      <c r="K303" s="48"/>
      <c r="L303" s="48"/>
      <c r="M303" s="48"/>
      <c r="N303" s="48"/>
      <c r="O303" s="48"/>
      <c r="P303" s="48"/>
      <c r="Q303" s="48"/>
      <c r="R303" s="48"/>
      <c r="S303" s="48"/>
      <c r="T303" s="48"/>
      <c r="U303" s="48"/>
      <c r="V303" s="48"/>
      <c r="W303" s="48"/>
      <c r="X303" s="48"/>
      <c r="Y303" s="48"/>
      <c r="Z303" s="48"/>
      <c r="AA303" s="48"/>
    </row>
    <row r="304" spans="2:27" ht="12.75" customHeight="1" x14ac:dyDescent="0.25">
      <c r="B304" s="48"/>
      <c r="C304" s="48"/>
      <c r="D304" s="48"/>
      <c r="E304" s="48"/>
      <c r="F304" s="48"/>
      <c r="G304" s="48"/>
      <c r="H304" s="48"/>
      <c r="I304" s="48"/>
      <c r="J304" s="48"/>
      <c r="K304" s="48"/>
      <c r="L304" s="48"/>
      <c r="M304" s="48"/>
      <c r="N304" s="48"/>
      <c r="O304" s="48"/>
      <c r="P304" s="48"/>
      <c r="Q304" s="48"/>
      <c r="R304" s="48"/>
      <c r="S304" s="48"/>
      <c r="T304" s="48"/>
      <c r="U304" s="48"/>
      <c r="V304" s="48"/>
      <c r="W304" s="48"/>
      <c r="X304" s="48"/>
      <c r="Y304" s="48"/>
      <c r="Z304" s="48"/>
      <c r="AA304" s="48"/>
    </row>
    <row r="305" spans="2:27" ht="12.75" customHeight="1" x14ac:dyDescent="0.25">
      <c r="B305" s="48"/>
      <c r="C305" s="48"/>
      <c r="D305" s="48"/>
      <c r="E305" s="48"/>
      <c r="F305" s="48"/>
      <c r="G305" s="48"/>
      <c r="H305" s="48"/>
      <c r="I305" s="48"/>
      <c r="J305" s="48"/>
      <c r="K305" s="48"/>
      <c r="L305" s="48"/>
      <c r="M305" s="48"/>
      <c r="N305" s="48"/>
      <c r="O305" s="48"/>
      <c r="P305" s="48"/>
      <c r="Q305" s="48"/>
      <c r="R305" s="48"/>
      <c r="S305" s="48"/>
      <c r="T305" s="48"/>
      <c r="U305" s="48"/>
      <c r="V305" s="48"/>
      <c r="W305" s="48"/>
      <c r="X305" s="48"/>
      <c r="Y305" s="48"/>
      <c r="Z305" s="48"/>
      <c r="AA305" s="48"/>
    </row>
    <row r="306" spans="2:27" ht="12.75" customHeight="1" x14ac:dyDescent="0.25">
      <c r="B306" s="48"/>
      <c r="C306" s="48"/>
      <c r="D306" s="48"/>
      <c r="E306" s="48"/>
      <c r="F306" s="48"/>
      <c r="G306" s="48"/>
      <c r="H306" s="48"/>
      <c r="I306" s="48"/>
      <c r="J306" s="48"/>
      <c r="K306" s="48"/>
      <c r="L306" s="48"/>
      <c r="M306" s="48"/>
      <c r="N306" s="48"/>
      <c r="O306" s="48"/>
      <c r="P306" s="48"/>
      <c r="Q306" s="48"/>
      <c r="R306" s="48"/>
      <c r="S306" s="48"/>
      <c r="T306" s="48"/>
      <c r="U306" s="48"/>
      <c r="V306" s="48"/>
      <c r="W306" s="48"/>
      <c r="X306" s="48"/>
      <c r="Y306" s="48"/>
      <c r="Z306" s="48"/>
      <c r="AA306" s="48"/>
    </row>
    <row r="307" spans="2:27" ht="12.75" customHeight="1" x14ac:dyDescent="0.25">
      <c r="B307" s="48"/>
      <c r="C307" s="48"/>
      <c r="D307" s="48"/>
      <c r="E307" s="48"/>
      <c r="F307" s="48"/>
      <c r="G307" s="48"/>
      <c r="H307" s="48"/>
      <c r="I307" s="48"/>
      <c r="J307" s="48"/>
      <c r="K307" s="48"/>
      <c r="L307" s="48"/>
      <c r="M307" s="48"/>
      <c r="N307" s="48"/>
      <c r="O307" s="48"/>
      <c r="P307" s="48"/>
      <c r="Q307" s="48"/>
      <c r="R307" s="48"/>
      <c r="S307" s="48"/>
      <c r="T307" s="48"/>
      <c r="U307" s="48"/>
      <c r="V307" s="48"/>
      <c r="W307" s="48"/>
      <c r="X307" s="48"/>
      <c r="Y307" s="48"/>
      <c r="Z307" s="48"/>
      <c r="AA307" s="48"/>
    </row>
    <row r="308" spans="2:27" ht="12.75" customHeight="1" x14ac:dyDescent="0.25">
      <c r="B308" s="48"/>
      <c r="C308" s="48"/>
      <c r="D308" s="48"/>
      <c r="E308" s="48"/>
      <c r="F308" s="48"/>
      <c r="G308" s="48"/>
      <c r="H308" s="48"/>
      <c r="I308" s="48"/>
      <c r="J308" s="48"/>
      <c r="K308" s="48"/>
      <c r="L308" s="48"/>
      <c r="M308" s="48"/>
      <c r="N308" s="48"/>
      <c r="O308" s="48"/>
      <c r="P308" s="48"/>
      <c r="Q308" s="48"/>
      <c r="R308" s="48"/>
      <c r="S308" s="48"/>
      <c r="T308" s="48"/>
      <c r="U308" s="48"/>
      <c r="V308" s="48"/>
      <c r="W308" s="48"/>
      <c r="X308" s="48"/>
      <c r="Y308" s="48"/>
      <c r="Z308" s="48"/>
      <c r="AA308" s="48"/>
    </row>
    <row r="309" spans="2:27" ht="12.75" customHeight="1" x14ac:dyDescent="0.25">
      <c r="B309" s="48"/>
      <c r="C309" s="48"/>
      <c r="D309" s="48"/>
      <c r="E309" s="48"/>
      <c r="F309" s="48"/>
      <c r="G309" s="48"/>
      <c r="H309" s="48"/>
      <c r="I309" s="48"/>
      <c r="J309" s="48"/>
      <c r="K309" s="48"/>
      <c r="L309" s="48"/>
      <c r="M309" s="48"/>
      <c r="N309" s="48"/>
      <c r="O309" s="48"/>
      <c r="P309" s="48"/>
      <c r="Q309" s="48"/>
      <c r="R309" s="48"/>
      <c r="S309" s="48"/>
      <c r="T309" s="48"/>
      <c r="U309" s="48"/>
      <c r="V309" s="48"/>
      <c r="W309" s="48"/>
      <c r="X309" s="48"/>
      <c r="Y309" s="48"/>
      <c r="Z309" s="48"/>
      <c r="AA309" s="48"/>
    </row>
    <row r="310" spans="2:27" ht="12.75" customHeight="1" x14ac:dyDescent="0.25">
      <c r="B310" s="48"/>
      <c r="C310" s="48"/>
      <c r="D310" s="48"/>
      <c r="E310" s="48"/>
      <c r="F310" s="48"/>
      <c r="G310" s="48"/>
      <c r="H310" s="48"/>
      <c r="I310" s="48"/>
      <c r="J310" s="48"/>
      <c r="K310" s="48"/>
      <c r="L310" s="48"/>
      <c r="M310" s="48"/>
      <c r="N310" s="48"/>
      <c r="O310" s="48"/>
      <c r="P310" s="48"/>
      <c r="Q310" s="48"/>
      <c r="R310" s="48"/>
      <c r="S310" s="48"/>
      <c r="T310" s="48"/>
      <c r="U310" s="48"/>
      <c r="V310" s="48"/>
      <c r="W310" s="48"/>
      <c r="X310" s="48"/>
      <c r="Y310" s="48"/>
      <c r="Z310" s="48"/>
      <c r="AA310" s="48"/>
    </row>
    <row r="311" spans="2:27" ht="12.75" customHeight="1" x14ac:dyDescent="0.25">
      <c r="B311" s="48"/>
      <c r="C311" s="48"/>
      <c r="D311" s="48"/>
      <c r="E311" s="48"/>
      <c r="F311" s="48"/>
      <c r="G311" s="48"/>
      <c r="H311" s="48"/>
      <c r="I311" s="48"/>
      <c r="J311" s="48"/>
      <c r="K311" s="48"/>
      <c r="L311" s="48"/>
      <c r="M311" s="48"/>
      <c r="N311" s="48"/>
      <c r="O311" s="48"/>
      <c r="P311" s="48"/>
      <c r="Q311" s="48"/>
      <c r="R311" s="48"/>
      <c r="S311" s="48"/>
      <c r="T311" s="48"/>
      <c r="U311" s="48"/>
      <c r="V311" s="48"/>
      <c r="W311" s="48"/>
      <c r="X311" s="48"/>
      <c r="Y311" s="48"/>
      <c r="Z311" s="48"/>
      <c r="AA311" s="48"/>
    </row>
    <row r="312" spans="2:27" ht="12.75" customHeight="1" x14ac:dyDescent="0.25">
      <c r="B312" s="48"/>
      <c r="C312" s="48"/>
      <c r="D312" s="48"/>
      <c r="E312" s="48"/>
      <c r="F312" s="48"/>
      <c r="G312" s="48"/>
      <c r="H312" s="48"/>
      <c r="I312" s="48"/>
      <c r="J312" s="48"/>
      <c r="K312" s="48"/>
      <c r="L312" s="48"/>
      <c r="M312" s="48"/>
      <c r="N312" s="48"/>
      <c r="O312" s="48"/>
      <c r="P312" s="48"/>
      <c r="Q312" s="48"/>
      <c r="R312" s="48"/>
      <c r="S312" s="48"/>
      <c r="T312" s="48"/>
      <c r="U312" s="48"/>
      <c r="V312" s="48"/>
      <c r="W312" s="48"/>
      <c r="X312" s="48"/>
      <c r="Y312" s="48"/>
      <c r="Z312" s="48"/>
      <c r="AA312" s="48"/>
    </row>
    <row r="313" spans="2:27" ht="12.75" customHeight="1" x14ac:dyDescent="0.25">
      <c r="B313" s="48"/>
      <c r="C313" s="48"/>
      <c r="D313" s="48"/>
      <c r="E313" s="48"/>
      <c r="F313" s="48"/>
      <c r="G313" s="48"/>
      <c r="H313" s="48"/>
      <c r="I313" s="48"/>
      <c r="J313" s="48"/>
      <c r="K313" s="48"/>
      <c r="L313" s="48"/>
      <c r="M313" s="48"/>
      <c r="N313" s="48"/>
      <c r="O313" s="48"/>
      <c r="P313" s="48"/>
      <c r="Q313" s="48"/>
      <c r="R313" s="48"/>
      <c r="S313" s="48"/>
      <c r="T313" s="48"/>
      <c r="U313" s="48"/>
      <c r="V313" s="48"/>
      <c r="W313" s="48"/>
      <c r="X313" s="48"/>
      <c r="Y313" s="48"/>
      <c r="Z313" s="48"/>
      <c r="AA313" s="48"/>
    </row>
    <row r="314" spans="2:27" ht="12.75" customHeight="1" x14ac:dyDescent="0.25">
      <c r="B314" s="48"/>
      <c r="C314" s="48"/>
      <c r="D314" s="48"/>
      <c r="E314" s="48"/>
      <c r="F314" s="48"/>
      <c r="G314" s="48"/>
      <c r="H314" s="48"/>
      <c r="I314" s="48"/>
      <c r="J314" s="48"/>
      <c r="K314" s="48"/>
      <c r="L314" s="48"/>
      <c r="M314" s="48"/>
      <c r="N314" s="48"/>
      <c r="O314" s="48"/>
      <c r="P314" s="48"/>
      <c r="Q314" s="48"/>
      <c r="R314" s="48"/>
      <c r="S314" s="48"/>
      <c r="T314" s="48"/>
      <c r="U314" s="48"/>
      <c r="V314" s="48"/>
      <c r="W314" s="48"/>
      <c r="X314" s="48"/>
      <c r="Y314" s="48"/>
      <c r="Z314" s="48"/>
      <c r="AA314" s="48"/>
    </row>
    <row r="315" spans="2:27" ht="12.75" customHeight="1" x14ac:dyDescent="0.25">
      <c r="B315" s="48"/>
      <c r="C315" s="48"/>
      <c r="D315" s="48"/>
      <c r="E315" s="48"/>
      <c r="F315" s="48"/>
      <c r="G315" s="48"/>
      <c r="H315" s="48"/>
      <c r="I315" s="48"/>
      <c r="J315" s="48"/>
      <c r="K315" s="48"/>
      <c r="L315" s="48"/>
      <c r="M315" s="48"/>
      <c r="N315" s="48"/>
      <c r="O315" s="48"/>
      <c r="P315" s="48"/>
      <c r="Q315" s="48"/>
      <c r="R315" s="48"/>
      <c r="S315" s="48"/>
      <c r="T315" s="48"/>
      <c r="U315" s="48"/>
      <c r="V315" s="48"/>
      <c r="W315" s="48"/>
      <c r="X315" s="48"/>
      <c r="Y315" s="48"/>
      <c r="Z315" s="48"/>
      <c r="AA315" s="48"/>
    </row>
    <row r="316" spans="2:27" ht="12.75" customHeight="1" x14ac:dyDescent="0.25">
      <c r="B316" s="48"/>
      <c r="C316" s="48"/>
      <c r="D316" s="48"/>
      <c r="E316" s="48"/>
      <c r="F316" s="48"/>
      <c r="G316" s="48"/>
      <c r="H316" s="48"/>
      <c r="I316" s="48"/>
      <c r="J316" s="48"/>
      <c r="K316" s="48"/>
      <c r="L316" s="48"/>
      <c r="M316" s="48"/>
      <c r="N316" s="48"/>
      <c r="O316" s="48"/>
      <c r="P316" s="48"/>
      <c r="Q316" s="48"/>
      <c r="R316" s="48"/>
      <c r="S316" s="48"/>
      <c r="T316" s="48"/>
      <c r="U316" s="48"/>
      <c r="V316" s="48"/>
      <c r="W316" s="48"/>
      <c r="X316" s="48"/>
      <c r="Y316" s="48"/>
      <c r="Z316" s="48"/>
      <c r="AA316" s="48"/>
    </row>
    <row r="317" spans="2:27" ht="12.75" customHeight="1" x14ac:dyDescent="0.25">
      <c r="B317" s="48"/>
      <c r="C317" s="48"/>
      <c r="D317" s="48"/>
      <c r="E317" s="48"/>
      <c r="F317" s="48"/>
      <c r="G317" s="48"/>
      <c r="H317" s="48"/>
      <c r="I317" s="48"/>
      <c r="J317" s="48"/>
      <c r="K317" s="48"/>
      <c r="L317" s="48"/>
      <c r="M317" s="48"/>
      <c r="N317" s="48"/>
      <c r="O317" s="48"/>
      <c r="P317" s="48"/>
      <c r="Q317" s="48"/>
      <c r="R317" s="48"/>
      <c r="S317" s="48"/>
      <c r="T317" s="48"/>
      <c r="U317" s="48"/>
      <c r="V317" s="48"/>
      <c r="W317" s="48"/>
      <c r="X317" s="48"/>
      <c r="Y317" s="48"/>
      <c r="Z317" s="48"/>
      <c r="AA317" s="48"/>
    </row>
    <row r="318" spans="2:27" ht="12.75" customHeight="1" x14ac:dyDescent="0.25">
      <c r="B318" s="48"/>
      <c r="C318" s="48"/>
      <c r="D318" s="48"/>
      <c r="E318" s="48"/>
      <c r="F318" s="48"/>
      <c r="G318" s="48"/>
      <c r="H318" s="48"/>
      <c r="I318" s="48"/>
      <c r="J318" s="48"/>
      <c r="K318" s="48"/>
      <c r="L318" s="48"/>
      <c r="M318" s="48"/>
      <c r="N318" s="48"/>
      <c r="O318" s="48"/>
      <c r="P318" s="48"/>
      <c r="Q318" s="48"/>
      <c r="R318" s="48"/>
      <c r="S318" s="48"/>
      <c r="T318" s="48"/>
      <c r="U318" s="48"/>
      <c r="V318" s="48"/>
      <c r="W318" s="48"/>
      <c r="X318" s="48"/>
      <c r="Y318" s="48"/>
      <c r="Z318" s="48"/>
      <c r="AA318" s="48"/>
    </row>
    <row r="319" spans="2:27" ht="12.75" customHeight="1" x14ac:dyDescent="0.25">
      <c r="B319" s="48"/>
      <c r="C319" s="48"/>
      <c r="D319" s="48"/>
      <c r="E319" s="48"/>
      <c r="F319" s="48"/>
      <c r="G319" s="48"/>
      <c r="H319" s="48"/>
      <c r="I319" s="48"/>
      <c r="J319" s="48"/>
      <c r="K319" s="48"/>
      <c r="L319" s="48"/>
      <c r="M319" s="48"/>
      <c r="N319" s="48"/>
      <c r="O319" s="48"/>
      <c r="P319" s="48"/>
      <c r="Q319" s="48"/>
      <c r="R319" s="48"/>
      <c r="S319" s="48"/>
      <c r="T319" s="48"/>
      <c r="U319" s="48"/>
      <c r="V319" s="48"/>
      <c r="W319" s="48"/>
      <c r="X319" s="48"/>
      <c r="Y319" s="48"/>
      <c r="Z319" s="48"/>
      <c r="AA319" s="48"/>
    </row>
    <row r="320" spans="2:27" ht="12.75" customHeight="1" x14ac:dyDescent="0.25">
      <c r="B320" s="48"/>
      <c r="C320" s="48"/>
      <c r="D320" s="48"/>
      <c r="E320" s="48"/>
      <c r="F320" s="48"/>
      <c r="G320" s="48"/>
      <c r="H320" s="48"/>
      <c r="I320" s="48"/>
      <c r="J320" s="48"/>
      <c r="K320" s="48"/>
      <c r="L320" s="48"/>
      <c r="M320" s="48"/>
      <c r="N320" s="48"/>
      <c r="O320" s="48"/>
      <c r="P320" s="48"/>
      <c r="Q320" s="48"/>
      <c r="R320" s="48"/>
      <c r="S320" s="48"/>
      <c r="T320" s="48"/>
      <c r="U320" s="48"/>
      <c r="V320" s="48"/>
      <c r="W320" s="48"/>
      <c r="X320" s="48"/>
      <c r="Y320" s="48"/>
      <c r="Z320" s="48"/>
      <c r="AA320" s="48"/>
    </row>
    <row r="321" spans="2:27" ht="12.75" customHeight="1" x14ac:dyDescent="0.25">
      <c r="B321" s="48"/>
      <c r="C321" s="48"/>
      <c r="D321" s="48"/>
      <c r="E321" s="48"/>
      <c r="F321" s="48"/>
      <c r="G321" s="48"/>
      <c r="H321" s="48"/>
      <c r="I321" s="48"/>
      <c r="J321" s="48"/>
      <c r="K321" s="48"/>
      <c r="L321" s="48"/>
      <c r="M321" s="48"/>
      <c r="N321" s="48"/>
      <c r="O321" s="48"/>
      <c r="P321" s="48"/>
      <c r="Q321" s="48"/>
      <c r="R321" s="48"/>
      <c r="S321" s="48"/>
      <c r="T321" s="48"/>
      <c r="U321" s="48"/>
      <c r="V321" s="48"/>
      <c r="W321" s="48"/>
      <c r="X321" s="48"/>
      <c r="Y321" s="48"/>
      <c r="Z321" s="48"/>
      <c r="AA321" s="48"/>
    </row>
    <row r="322" spans="2:27" ht="12.75" customHeight="1" x14ac:dyDescent="0.25">
      <c r="B322" s="48"/>
      <c r="C322" s="48"/>
      <c r="D322" s="48"/>
      <c r="E322" s="48"/>
      <c r="F322" s="48"/>
      <c r="G322" s="48"/>
      <c r="H322" s="48"/>
      <c r="I322" s="48"/>
      <c r="J322" s="48"/>
      <c r="K322" s="48"/>
      <c r="L322" s="48"/>
      <c r="M322" s="48"/>
      <c r="N322" s="48"/>
      <c r="O322" s="48"/>
      <c r="P322" s="48"/>
      <c r="Q322" s="48"/>
      <c r="R322" s="48"/>
      <c r="S322" s="48"/>
      <c r="T322" s="48"/>
      <c r="U322" s="48"/>
      <c r="V322" s="48"/>
      <c r="W322" s="48"/>
      <c r="X322" s="48"/>
      <c r="Y322" s="48"/>
      <c r="Z322" s="48"/>
      <c r="AA322" s="48"/>
    </row>
    <row r="323" spans="2:27" ht="12.75" customHeight="1" x14ac:dyDescent="0.25">
      <c r="B323" s="48"/>
      <c r="C323" s="48"/>
      <c r="D323" s="48"/>
      <c r="E323" s="48"/>
      <c r="F323" s="48"/>
      <c r="G323" s="48"/>
      <c r="H323" s="48"/>
      <c r="I323" s="48"/>
      <c r="J323" s="48"/>
      <c r="K323" s="48"/>
      <c r="L323" s="48"/>
      <c r="M323" s="48"/>
      <c r="N323" s="48"/>
      <c r="O323" s="48"/>
      <c r="P323" s="48"/>
      <c r="Q323" s="48"/>
      <c r="R323" s="48"/>
      <c r="S323" s="48"/>
      <c r="T323" s="48"/>
      <c r="U323" s="48"/>
      <c r="V323" s="48"/>
      <c r="W323" s="48"/>
      <c r="X323" s="48"/>
      <c r="Y323" s="48"/>
      <c r="Z323" s="48"/>
      <c r="AA323" s="48"/>
    </row>
    <row r="324" spans="2:27" ht="12.75" customHeight="1" x14ac:dyDescent="0.25">
      <c r="B324" s="48"/>
      <c r="C324" s="48"/>
      <c r="D324" s="48"/>
      <c r="E324" s="48"/>
      <c r="F324" s="48"/>
      <c r="G324" s="48"/>
      <c r="H324" s="48"/>
      <c r="I324" s="48"/>
      <c r="J324" s="48"/>
      <c r="K324" s="48"/>
      <c r="L324" s="48"/>
      <c r="M324" s="48"/>
      <c r="N324" s="48"/>
      <c r="O324" s="48"/>
      <c r="P324" s="48"/>
      <c r="Q324" s="48"/>
      <c r="R324" s="48"/>
      <c r="S324" s="48"/>
      <c r="T324" s="48"/>
      <c r="U324" s="48"/>
      <c r="V324" s="48"/>
      <c r="W324" s="48"/>
      <c r="X324" s="48"/>
      <c r="Y324" s="48"/>
      <c r="Z324" s="48"/>
      <c r="AA324" s="48"/>
    </row>
    <row r="325" spans="2:27" ht="12.75" customHeight="1" x14ac:dyDescent="0.25">
      <c r="B325" s="48"/>
      <c r="C325" s="48"/>
      <c r="D325" s="48"/>
      <c r="E325" s="48"/>
      <c r="F325" s="48"/>
      <c r="G325" s="48"/>
      <c r="H325" s="48"/>
      <c r="I325" s="48"/>
      <c r="J325" s="48"/>
      <c r="K325" s="48"/>
      <c r="L325" s="48"/>
      <c r="M325" s="48"/>
      <c r="N325" s="48"/>
      <c r="O325" s="48"/>
      <c r="P325" s="48"/>
      <c r="Q325" s="48"/>
      <c r="R325" s="48"/>
      <c r="S325" s="48"/>
      <c r="T325" s="48"/>
      <c r="U325" s="48"/>
      <c r="V325" s="48"/>
      <c r="W325" s="48"/>
      <c r="X325" s="48"/>
      <c r="Y325" s="48"/>
      <c r="Z325" s="48"/>
      <c r="AA325" s="48"/>
    </row>
    <row r="326" spans="2:27" ht="12.75" customHeight="1" x14ac:dyDescent="0.25">
      <c r="B326" s="48"/>
      <c r="C326" s="48"/>
      <c r="D326" s="48"/>
      <c r="E326" s="48"/>
      <c r="F326" s="48"/>
      <c r="G326" s="48"/>
      <c r="H326" s="48"/>
      <c r="I326" s="48"/>
      <c r="J326" s="48"/>
      <c r="K326" s="48"/>
      <c r="L326" s="48"/>
      <c r="M326" s="48"/>
      <c r="N326" s="48"/>
      <c r="O326" s="48"/>
      <c r="P326" s="48"/>
      <c r="Q326" s="48"/>
      <c r="R326" s="48"/>
      <c r="S326" s="48"/>
      <c r="T326" s="48"/>
      <c r="U326" s="48"/>
      <c r="V326" s="48"/>
      <c r="W326" s="48"/>
      <c r="X326" s="48"/>
      <c r="Y326" s="48"/>
      <c r="Z326" s="48"/>
      <c r="AA326" s="48"/>
    </row>
    <row r="327" spans="2:27" ht="12.75" customHeight="1" x14ac:dyDescent="0.25">
      <c r="B327" s="48"/>
      <c r="C327" s="48"/>
      <c r="D327" s="48"/>
      <c r="E327" s="48"/>
      <c r="F327" s="48"/>
      <c r="G327" s="48"/>
      <c r="H327" s="48"/>
      <c r="I327" s="48"/>
      <c r="J327" s="48"/>
      <c r="K327" s="48"/>
      <c r="L327" s="48"/>
      <c r="M327" s="48"/>
      <c r="N327" s="48"/>
      <c r="O327" s="48"/>
      <c r="P327" s="48"/>
      <c r="Q327" s="48"/>
      <c r="R327" s="48"/>
      <c r="S327" s="48"/>
      <c r="T327" s="48"/>
      <c r="U327" s="48"/>
      <c r="V327" s="48"/>
      <c r="W327" s="48"/>
      <c r="X327" s="48"/>
      <c r="Y327" s="48"/>
      <c r="Z327" s="48"/>
      <c r="AA327" s="48"/>
    </row>
    <row r="328" spans="2:27" ht="12.75" customHeight="1" x14ac:dyDescent="0.25">
      <c r="B328" s="48"/>
      <c r="C328" s="48"/>
      <c r="D328" s="48"/>
      <c r="E328" s="48"/>
      <c r="F328" s="48"/>
      <c r="G328" s="48"/>
      <c r="H328" s="48"/>
      <c r="I328" s="48"/>
      <c r="J328" s="48"/>
      <c r="K328" s="48"/>
      <c r="L328" s="48"/>
      <c r="M328" s="48"/>
      <c r="N328" s="48"/>
      <c r="O328" s="48"/>
      <c r="P328" s="48"/>
      <c r="Q328" s="48"/>
      <c r="R328" s="48"/>
      <c r="S328" s="48"/>
      <c r="T328" s="48"/>
      <c r="U328" s="48"/>
      <c r="V328" s="48"/>
      <c r="W328" s="48"/>
      <c r="X328" s="48"/>
      <c r="Y328" s="48"/>
      <c r="Z328" s="48"/>
      <c r="AA328" s="48"/>
    </row>
    <row r="329" spans="2:27" ht="12.75" customHeight="1" x14ac:dyDescent="0.25">
      <c r="B329" s="48"/>
      <c r="C329" s="48"/>
      <c r="D329" s="48"/>
      <c r="E329" s="48"/>
      <c r="F329" s="48"/>
      <c r="G329" s="48"/>
      <c r="H329" s="48"/>
      <c r="I329" s="48"/>
      <c r="J329" s="48"/>
      <c r="K329" s="48"/>
      <c r="L329" s="48"/>
      <c r="M329" s="48"/>
      <c r="N329" s="48"/>
      <c r="O329" s="48"/>
      <c r="P329" s="48"/>
      <c r="Q329" s="48"/>
      <c r="R329" s="48"/>
      <c r="S329" s="48"/>
      <c r="T329" s="48"/>
      <c r="U329" s="48"/>
      <c r="V329" s="48"/>
      <c r="W329" s="48"/>
      <c r="X329" s="48"/>
      <c r="Y329" s="48"/>
      <c r="Z329" s="48"/>
      <c r="AA329" s="48"/>
    </row>
    <row r="330" spans="2:27" ht="12.75" customHeight="1" x14ac:dyDescent="0.25">
      <c r="B330" s="48"/>
      <c r="C330" s="48"/>
      <c r="D330" s="48"/>
      <c r="E330" s="48"/>
      <c r="F330" s="48"/>
      <c r="G330" s="48"/>
      <c r="H330" s="48"/>
      <c r="I330" s="48"/>
      <c r="J330" s="48"/>
      <c r="K330" s="48"/>
      <c r="L330" s="48"/>
      <c r="M330" s="48"/>
      <c r="N330" s="48"/>
      <c r="O330" s="48"/>
      <c r="P330" s="48"/>
      <c r="Q330" s="48"/>
      <c r="R330" s="48"/>
      <c r="S330" s="48"/>
      <c r="T330" s="48"/>
      <c r="U330" s="48"/>
      <c r="V330" s="48"/>
      <c r="W330" s="48"/>
      <c r="X330" s="48"/>
      <c r="Y330" s="48"/>
      <c r="Z330" s="48"/>
      <c r="AA330" s="48"/>
    </row>
    <row r="331" spans="2:27" ht="12.75" customHeight="1" x14ac:dyDescent="0.25">
      <c r="B331" s="48"/>
      <c r="C331" s="48"/>
      <c r="D331" s="48"/>
      <c r="E331" s="48"/>
      <c r="F331" s="48"/>
      <c r="G331" s="48"/>
      <c r="H331" s="48"/>
      <c r="I331" s="48"/>
      <c r="J331" s="48"/>
      <c r="K331" s="48"/>
      <c r="L331" s="48"/>
      <c r="M331" s="48"/>
      <c r="N331" s="48"/>
      <c r="O331" s="48"/>
      <c r="P331" s="48"/>
      <c r="Q331" s="48"/>
      <c r="R331" s="48"/>
      <c r="S331" s="48"/>
      <c r="T331" s="48"/>
      <c r="U331" s="48"/>
      <c r="V331" s="48"/>
      <c r="W331" s="48"/>
      <c r="X331" s="48"/>
      <c r="Y331" s="48"/>
      <c r="Z331" s="48"/>
      <c r="AA331" s="48"/>
    </row>
    <row r="332" spans="2:27" ht="12.75" customHeight="1" x14ac:dyDescent="0.25">
      <c r="B332" s="48"/>
      <c r="C332" s="48"/>
      <c r="D332" s="48"/>
      <c r="E332" s="48"/>
      <c r="F332" s="48"/>
      <c r="G332" s="48"/>
      <c r="H332" s="48"/>
      <c r="I332" s="48"/>
      <c r="J332" s="48"/>
      <c r="K332" s="48"/>
      <c r="L332" s="48"/>
      <c r="M332" s="48"/>
      <c r="N332" s="48"/>
      <c r="O332" s="48"/>
      <c r="P332" s="48"/>
      <c r="Q332" s="48"/>
      <c r="R332" s="48"/>
      <c r="S332" s="48"/>
      <c r="T332" s="48"/>
      <c r="U332" s="48"/>
      <c r="V332" s="48"/>
      <c r="W332" s="48"/>
      <c r="X332" s="48"/>
      <c r="Y332" s="48"/>
      <c r="Z332" s="48"/>
      <c r="AA332" s="48"/>
    </row>
    <row r="333" spans="2:27" ht="12.75" customHeight="1" x14ac:dyDescent="0.25">
      <c r="B333" s="48"/>
      <c r="C333" s="48"/>
      <c r="D333" s="48"/>
      <c r="E333" s="48"/>
      <c r="F333" s="48"/>
      <c r="G333" s="48"/>
      <c r="H333" s="48"/>
      <c r="I333" s="48"/>
      <c r="J333" s="48"/>
      <c r="K333" s="48"/>
      <c r="L333" s="48"/>
      <c r="M333" s="48"/>
      <c r="N333" s="48"/>
      <c r="O333" s="48"/>
      <c r="P333" s="48"/>
      <c r="Q333" s="48"/>
      <c r="R333" s="48"/>
      <c r="S333" s="48"/>
      <c r="T333" s="48"/>
      <c r="U333" s="48"/>
      <c r="V333" s="48"/>
      <c r="W333" s="48"/>
      <c r="X333" s="48"/>
      <c r="Y333" s="48"/>
      <c r="Z333" s="48"/>
      <c r="AA333" s="48"/>
    </row>
    <row r="334" spans="2:27" ht="12.75" customHeight="1" x14ac:dyDescent="0.25">
      <c r="B334" s="48"/>
      <c r="C334" s="48"/>
      <c r="D334" s="48"/>
      <c r="E334" s="48"/>
      <c r="F334" s="48"/>
      <c r="G334" s="48"/>
      <c r="H334" s="48"/>
      <c r="I334" s="48"/>
      <c r="J334" s="48"/>
      <c r="K334" s="48"/>
      <c r="L334" s="48"/>
      <c r="M334" s="48"/>
      <c r="N334" s="48"/>
      <c r="O334" s="48"/>
      <c r="P334" s="48"/>
      <c r="Q334" s="48"/>
      <c r="R334" s="48"/>
      <c r="S334" s="48"/>
      <c r="T334" s="48"/>
      <c r="U334" s="48"/>
      <c r="V334" s="48"/>
      <c r="W334" s="48"/>
      <c r="X334" s="48"/>
      <c r="Y334" s="48"/>
      <c r="Z334" s="48"/>
      <c r="AA334" s="48"/>
    </row>
    <row r="335" spans="2:27" ht="12.75" customHeight="1" x14ac:dyDescent="0.25">
      <c r="B335" s="48"/>
      <c r="C335" s="48"/>
      <c r="D335" s="48"/>
      <c r="E335" s="48"/>
      <c r="F335" s="48"/>
      <c r="G335" s="48"/>
      <c r="H335" s="48"/>
      <c r="I335" s="48"/>
      <c r="J335" s="48"/>
      <c r="K335" s="48"/>
      <c r="L335" s="48"/>
      <c r="M335" s="48"/>
      <c r="N335" s="48"/>
      <c r="O335" s="48"/>
      <c r="P335" s="48"/>
      <c r="Q335" s="48"/>
      <c r="R335" s="48"/>
      <c r="S335" s="48"/>
      <c r="T335" s="48"/>
      <c r="U335" s="48"/>
      <c r="V335" s="48"/>
      <c r="W335" s="48"/>
      <c r="X335" s="48"/>
      <c r="Y335" s="48"/>
      <c r="Z335" s="48"/>
      <c r="AA335" s="48"/>
    </row>
    <row r="336" spans="2:27" ht="12.75" customHeight="1" x14ac:dyDescent="0.25">
      <c r="B336" s="48"/>
      <c r="C336" s="48"/>
      <c r="D336" s="48"/>
      <c r="E336" s="48"/>
      <c r="F336" s="48"/>
      <c r="G336" s="48"/>
      <c r="H336" s="48"/>
      <c r="I336" s="48"/>
      <c r="J336" s="48"/>
      <c r="K336" s="48"/>
      <c r="L336" s="48"/>
      <c r="M336" s="48"/>
      <c r="N336" s="48"/>
      <c r="O336" s="48"/>
      <c r="P336" s="48"/>
      <c r="Q336" s="48"/>
      <c r="R336" s="48"/>
      <c r="S336" s="48"/>
      <c r="T336" s="48"/>
      <c r="U336" s="48"/>
      <c r="V336" s="48"/>
      <c r="W336" s="48"/>
      <c r="X336" s="48"/>
      <c r="Y336" s="48"/>
      <c r="Z336" s="48"/>
      <c r="AA336" s="48"/>
    </row>
    <row r="337" spans="2:27" ht="12.75" customHeight="1" x14ac:dyDescent="0.25">
      <c r="B337" s="48"/>
      <c r="C337" s="48"/>
      <c r="D337" s="48"/>
      <c r="E337" s="48"/>
      <c r="F337" s="48"/>
      <c r="G337" s="48"/>
      <c r="H337" s="48"/>
      <c r="I337" s="48"/>
      <c r="J337" s="48"/>
      <c r="K337" s="48"/>
      <c r="L337" s="48"/>
      <c r="M337" s="48"/>
      <c r="N337" s="48"/>
      <c r="O337" s="48"/>
      <c r="P337" s="48"/>
      <c r="Q337" s="48"/>
      <c r="R337" s="48"/>
      <c r="S337" s="48"/>
      <c r="T337" s="48"/>
      <c r="U337" s="48"/>
      <c r="V337" s="48"/>
      <c r="W337" s="48"/>
      <c r="X337" s="48"/>
      <c r="Y337" s="48"/>
      <c r="Z337" s="48"/>
      <c r="AA337" s="48"/>
    </row>
    <row r="338" spans="2:27" ht="12.75" customHeight="1" x14ac:dyDescent="0.25">
      <c r="B338" s="48"/>
      <c r="C338" s="48"/>
      <c r="D338" s="48"/>
      <c r="E338" s="48"/>
      <c r="F338" s="48"/>
      <c r="G338" s="48"/>
      <c r="H338" s="48"/>
      <c r="I338" s="48"/>
      <c r="J338" s="48"/>
      <c r="K338" s="48"/>
      <c r="L338" s="48"/>
      <c r="M338" s="48"/>
      <c r="N338" s="48"/>
      <c r="O338" s="48"/>
      <c r="P338" s="48"/>
      <c r="Q338" s="48"/>
      <c r="R338" s="48"/>
      <c r="S338" s="48"/>
      <c r="T338" s="48"/>
      <c r="U338" s="48"/>
      <c r="V338" s="48"/>
      <c r="W338" s="48"/>
      <c r="X338" s="48"/>
      <c r="Y338" s="48"/>
      <c r="Z338" s="48"/>
      <c r="AA338" s="48"/>
    </row>
    <row r="339" spans="2:27" ht="12.75" customHeight="1" x14ac:dyDescent="0.25">
      <c r="B339" s="48"/>
      <c r="C339" s="48"/>
      <c r="D339" s="48"/>
      <c r="E339" s="48"/>
      <c r="F339" s="48"/>
      <c r="G339" s="48"/>
      <c r="H339" s="48"/>
      <c r="I339" s="48"/>
      <c r="J339" s="48"/>
      <c r="K339" s="48"/>
      <c r="L339" s="48"/>
      <c r="M339" s="48"/>
      <c r="N339" s="48"/>
      <c r="O339" s="48"/>
      <c r="P339" s="48"/>
      <c r="Q339" s="48"/>
      <c r="R339" s="48"/>
      <c r="S339" s="48"/>
      <c r="T339" s="48"/>
      <c r="U339" s="48"/>
      <c r="V339" s="48"/>
      <c r="W339" s="48"/>
      <c r="X339" s="48"/>
      <c r="Y339" s="48"/>
      <c r="Z339" s="48"/>
      <c r="AA339" s="48"/>
    </row>
    <row r="340" spans="2:27" ht="12.75" customHeight="1" x14ac:dyDescent="0.25">
      <c r="B340" s="48"/>
      <c r="C340" s="48"/>
      <c r="D340" s="48"/>
      <c r="E340" s="48"/>
      <c r="F340" s="48"/>
      <c r="G340" s="48"/>
      <c r="H340" s="48"/>
      <c r="I340" s="48"/>
      <c r="J340" s="48"/>
      <c r="K340" s="48"/>
      <c r="L340" s="48"/>
      <c r="M340" s="48"/>
      <c r="N340" s="48"/>
      <c r="O340" s="48"/>
      <c r="P340" s="48"/>
      <c r="Q340" s="48"/>
      <c r="R340" s="48"/>
      <c r="S340" s="48"/>
      <c r="T340" s="48"/>
      <c r="U340" s="48"/>
      <c r="V340" s="48"/>
      <c r="W340" s="48"/>
      <c r="X340" s="48"/>
      <c r="Y340" s="48"/>
      <c r="Z340" s="48"/>
      <c r="AA340" s="48"/>
    </row>
    <row r="341" spans="2:27" ht="12.75" customHeight="1" x14ac:dyDescent="0.25">
      <c r="B341" s="48"/>
      <c r="C341" s="48"/>
      <c r="D341" s="48"/>
      <c r="E341" s="48"/>
      <c r="F341" s="48"/>
      <c r="G341" s="48"/>
      <c r="H341" s="48"/>
      <c r="I341" s="48"/>
      <c r="J341" s="48"/>
      <c r="K341" s="48"/>
      <c r="L341" s="48"/>
      <c r="M341" s="48"/>
      <c r="N341" s="48"/>
      <c r="O341" s="48"/>
      <c r="P341" s="48"/>
      <c r="Q341" s="48"/>
      <c r="R341" s="48"/>
      <c r="S341" s="48"/>
      <c r="T341" s="48"/>
      <c r="U341" s="48"/>
      <c r="V341" s="48"/>
      <c r="W341" s="48"/>
      <c r="X341" s="48"/>
      <c r="Y341" s="48"/>
      <c r="Z341" s="48"/>
      <c r="AA341" s="48"/>
    </row>
    <row r="342" spans="2:27" ht="12.75" customHeight="1" x14ac:dyDescent="0.25">
      <c r="B342" s="48"/>
      <c r="C342" s="48"/>
      <c r="D342" s="48"/>
      <c r="E342" s="48"/>
      <c r="F342" s="48"/>
      <c r="G342" s="48"/>
      <c r="H342" s="48"/>
      <c r="I342" s="48"/>
      <c r="J342" s="48"/>
      <c r="K342" s="48"/>
      <c r="L342" s="48"/>
      <c r="M342" s="48"/>
      <c r="N342" s="48"/>
      <c r="O342" s="48"/>
      <c r="P342" s="48"/>
      <c r="Q342" s="48"/>
      <c r="R342" s="48"/>
      <c r="S342" s="48"/>
      <c r="T342" s="48"/>
      <c r="U342" s="48"/>
      <c r="V342" s="48"/>
      <c r="W342" s="48"/>
      <c r="X342" s="48"/>
      <c r="Y342" s="48"/>
      <c r="Z342" s="48"/>
      <c r="AA342" s="48"/>
    </row>
    <row r="343" spans="2:27" ht="12.75" customHeight="1" x14ac:dyDescent="0.25">
      <c r="B343" s="48"/>
      <c r="C343" s="48"/>
      <c r="D343" s="48"/>
      <c r="E343" s="48"/>
      <c r="F343" s="48"/>
      <c r="G343" s="48"/>
      <c r="H343" s="48"/>
      <c r="I343" s="48"/>
      <c r="J343" s="48"/>
      <c r="K343" s="48"/>
      <c r="L343" s="48"/>
      <c r="M343" s="48"/>
      <c r="N343" s="48"/>
      <c r="O343" s="48"/>
      <c r="P343" s="48"/>
      <c r="Q343" s="48"/>
      <c r="R343" s="48"/>
      <c r="S343" s="48"/>
      <c r="T343" s="48"/>
      <c r="U343" s="48"/>
      <c r="V343" s="48"/>
      <c r="W343" s="48"/>
      <c r="X343" s="48"/>
      <c r="Y343" s="48"/>
      <c r="Z343" s="48"/>
      <c r="AA343" s="48"/>
    </row>
    <row r="344" spans="2:27" ht="12.75" customHeight="1" x14ac:dyDescent="0.25">
      <c r="B344" s="48"/>
      <c r="C344" s="48"/>
      <c r="D344" s="48"/>
      <c r="E344" s="48"/>
      <c r="F344" s="48"/>
      <c r="G344" s="48"/>
      <c r="H344" s="48"/>
      <c r="I344" s="48"/>
      <c r="J344" s="48"/>
      <c r="K344" s="48"/>
      <c r="L344" s="48"/>
      <c r="M344" s="48"/>
      <c r="N344" s="48"/>
      <c r="O344" s="48"/>
      <c r="P344" s="48"/>
      <c r="Q344" s="48"/>
      <c r="R344" s="48"/>
      <c r="S344" s="48"/>
      <c r="T344" s="48"/>
      <c r="U344" s="48"/>
      <c r="V344" s="48"/>
      <c r="W344" s="48"/>
      <c r="X344" s="48"/>
      <c r="Y344" s="48"/>
      <c r="Z344" s="48"/>
      <c r="AA344" s="48"/>
    </row>
    <row r="345" spans="2:27" ht="12.75" customHeight="1" x14ac:dyDescent="0.25">
      <c r="B345" s="48"/>
      <c r="C345" s="48"/>
      <c r="D345" s="48"/>
      <c r="E345" s="48"/>
      <c r="F345" s="48"/>
      <c r="G345" s="48"/>
      <c r="H345" s="48"/>
      <c r="I345" s="48"/>
      <c r="J345" s="48"/>
      <c r="K345" s="48"/>
      <c r="L345" s="48"/>
      <c r="M345" s="48"/>
      <c r="N345" s="48"/>
      <c r="O345" s="48"/>
      <c r="P345" s="48"/>
      <c r="Q345" s="48"/>
      <c r="R345" s="48"/>
      <c r="S345" s="48"/>
      <c r="T345" s="48"/>
      <c r="U345" s="48"/>
      <c r="V345" s="48"/>
      <c r="W345" s="48"/>
      <c r="X345" s="48"/>
      <c r="Y345" s="48"/>
      <c r="Z345" s="48"/>
      <c r="AA345" s="48"/>
    </row>
    <row r="346" spans="2:27" ht="12.75" customHeight="1" x14ac:dyDescent="0.25">
      <c r="B346" s="48"/>
      <c r="C346" s="48"/>
      <c r="D346" s="48"/>
      <c r="E346" s="48"/>
      <c r="F346" s="48"/>
      <c r="G346" s="48"/>
      <c r="H346" s="48"/>
      <c r="I346" s="48"/>
      <c r="J346" s="48"/>
      <c r="K346" s="48"/>
      <c r="L346" s="48"/>
      <c r="M346" s="48"/>
      <c r="N346" s="48"/>
      <c r="O346" s="48"/>
      <c r="P346" s="48"/>
      <c r="Q346" s="48"/>
      <c r="R346" s="48"/>
      <c r="S346" s="48"/>
      <c r="T346" s="48"/>
      <c r="U346" s="48"/>
      <c r="V346" s="48"/>
      <c r="W346" s="48"/>
      <c r="X346" s="48"/>
      <c r="Y346" s="48"/>
      <c r="Z346" s="48"/>
      <c r="AA346" s="48"/>
    </row>
    <row r="347" spans="2:27" ht="12.75" customHeight="1" x14ac:dyDescent="0.25">
      <c r="B347" s="48"/>
      <c r="C347" s="48"/>
      <c r="D347" s="48"/>
      <c r="E347" s="48"/>
      <c r="F347" s="48"/>
      <c r="G347" s="48"/>
      <c r="H347" s="48"/>
      <c r="I347" s="48"/>
      <c r="J347" s="48"/>
      <c r="K347" s="48"/>
      <c r="L347" s="48"/>
      <c r="M347" s="48"/>
      <c r="N347" s="48"/>
      <c r="O347" s="48"/>
      <c r="P347" s="48"/>
      <c r="Q347" s="48"/>
      <c r="R347" s="48"/>
      <c r="S347" s="48"/>
      <c r="T347" s="48"/>
      <c r="U347" s="48"/>
      <c r="V347" s="48"/>
      <c r="W347" s="48"/>
      <c r="X347" s="48"/>
      <c r="Y347" s="48"/>
      <c r="Z347" s="48"/>
      <c r="AA347" s="48"/>
    </row>
    <row r="348" spans="2:27" ht="12.75" customHeight="1" x14ac:dyDescent="0.25">
      <c r="B348" s="48"/>
      <c r="C348" s="48"/>
      <c r="D348" s="48"/>
      <c r="E348" s="48"/>
      <c r="F348" s="48"/>
      <c r="G348" s="48"/>
      <c r="H348" s="48"/>
      <c r="I348" s="48"/>
      <c r="J348" s="48"/>
      <c r="K348" s="48"/>
      <c r="L348" s="48"/>
      <c r="M348" s="48"/>
      <c r="N348" s="48"/>
      <c r="O348" s="48"/>
      <c r="P348" s="48"/>
      <c r="Q348" s="48"/>
      <c r="R348" s="48"/>
      <c r="S348" s="48"/>
      <c r="T348" s="48"/>
      <c r="U348" s="48"/>
      <c r="V348" s="48"/>
      <c r="W348" s="48"/>
      <c r="X348" s="48"/>
      <c r="Y348" s="48"/>
      <c r="Z348" s="48"/>
      <c r="AA348" s="48"/>
    </row>
    <row r="349" spans="2:27" ht="12.75" customHeight="1" x14ac:dyDescent="0.25">
      <c r="B349" s="48"/>
      <c r="C349" s="48"/>
      <c r="D349" s="48"/>
      <c r="E349" s="48"/>
      <c r="F349" s="48"/>
      <c r="G349" s="48"/>
      <c r="H349" s="48"/>
      <c r="I349" s="48"/>
      <c r="J349" s="48"/>
      <c r="K349" s="48"/>
      <c r="L349" s="48"/>
      <c r="M349" s="48"/>
      <c r="N349" s="48"/>
      <c r="O349" s="48"/>
      <c r="P349" s="48"/>
      <c r="Q349" s="48"/>
      <c r="R349" s="48"/>
      <c r="S349" s="48"/>
      <c r="T349" s="48"/>
      <c r="U349" s="48"/>
      <c r="V349" s="48"/>
      <c r="W349" s="48"/>
      <c r="X349" s="48"/>
      <c r="Y349" s="48"/>
      <c r="Z349" s="48"/>
      <c r="AA349" s="48"/>
    </row>
    <row r="350" spans="2:27" ht="12.75" customHeight="1" x14ac:dyDescent="0.25">
      <c r="B350" s="48"/>
      <c r="C350" s="48"/>
      <c r="D350" s="48"/>
      <c r="E350" s="48"/>
      <c r="F350" s="48"/>
      <c r="G350" s="48"/>
      <c r="H350" s="48"/>
      <c r="I350" s="48"/>
      <c r="J350" s="48"/>
      <c r="K350" s="48"/>
      <c r="L350" s="48"/>
      <c r="M350" s="48"/>
      <c r="N350" s="48"/>
      <c r="O350" s="48"/>
      <c r="P350" s="48"/>
      <c r="Q350" s="48"/>
      <c r="R350" s="48"/>
      <c r="S350" s="48"/>
      <c r="T350" s="48"/>
      <c r="U350" s="48"/>
      <c r="V350" s="48"/>
      <c r="W350" s="48"/>
      <c r="X350" s="48"/>
      <c r="Y350" s="48"/>
      <c r="Z350" s="48"/>
      <c r="AA350" s="48"/>
    </row>
    <row r="351" spans="2:27" ht="12.75" customHeight="1" x14ac:dyDescent="0.25">
      <c r="B351" s="48"/>
      <c r="C351" s="48"/>
      <c r="D351" s="48"/>
      <c r="E351" s="48"/>
      <c r="F351" s="48"/>
      <c r="G351" s="48"/>
      <c r="H351" s="48"/>
      <c r="I351" s="48"/>
      <c r="J351" s="48"/>
      <c r="K351" s="48"/>
      <c r="L351" s="48"/>
      <c r="M351" s="48"/>
      <c r="N351" s="48"/>
      <c r="O351" s="48"/>
      <c r="P351" s="48"/>
      <c r="Q351" s="48"/>
      <c r="R351" s="48"/>
      <c r="S351" s="48"/>
      <c r="T351" s="48"/>
      <c r="U351" s="48"/>
      <c r="V351" s="48"/>
      <c r="W351" s="48"/>
      <c r="X351" s="48"/>
      <c r="Y351" s="48"/>
      <c r="Z351" s="48"/>
      <c r="AA351" s="48"/>
    </row>
    <row r="352" spans="2:27" ht="12.75" customHeight="1" x14ac:dyDescent="0.25">
      <c r="B352" s="48"/>
      <c r="C352" s="48"/>
      <c r="D352" s="48"/>
      <c r="E352" s="48"/>
      <c r="F352" s="48"/>
      <c r="G352" s="48"/>
      <c r="H352" s="48"/>
      <c r="I352" s="48"/>
      <c r="J352" s="48"/>
      <c r="K352" s="48"/>
      <c r="L352" s="48"/>
      <c r="M352" s="48"/>
      <c r="N352" s="48"/>
      <c r="O352" s="48"/>
      <c r="P352" s="48"/>
      <c r="Q352" s="48"/>
      <c r="R352" s="48"/>
      <c r="S352" s="48"/>
      <c r="T352" s="48"/>
      <c r="U352" s="48"/>
      <c r="V352" s="48"/>
      <c r="W352" s="48"/>
      <c r="X352" s="48"/>
      <c r="Y352" s="48"/>
      <c r="Z352" s="48"/>
      <c r="AA352" s="48"/>
    </row>
    <row r="353" spans="2:27" ht="12.75" customHeight="1" x14ac:dyDescent="0.25">
      <c r="B353" s="48"/>
      <c r="C353" s="48"/>
      <c r="D353" s="48"/>
      <c r="E353" s="48"/>
      <c r="F353" s="48"/>
      <c r="G353" s="48"/>
      <c r="H353" s="48"/>
      <c r="I353" s="48"/>
      <c r="J353" s="48"/>
      <c r="K353" s="48"/>
      <c r="L353" s="48"/>
      <c r="M353" s="48"/>
      <c r="N353" s="48"/>
      <c r="O353" s="48"/>
      <c r="P353" s="48"/>
      <c r="Q353" s="48"/>
      <c r="R353" s="48"/>
      <c r="S353" s="48"/>
      <c r="T353" s="48"/>
      <c r="U353" s="48"/>
      <c r="V353" s="48"/>
      <c r="W353" s="48"/>
      <c r="X353" s="48"/>
      <c r="Y353" s="48"/>
      <c r="Z353" s="48"/>
      <c r="AA353" s="48"/>
    </row>
    <row r="354" spans="2:27" ht="12.75" customHeight="1" x14ac:dyDescent="0.25">
      <c r="B354" s="48"/>
      <c r="C354" s="48"/>
      <c r="D354" s="48"/>
      <c r="E354" s="48"/>
      <c r="F354" s="48"/>
      <c r="G354" s="48"/>
      <c r="H354" s="48"/>
      <c r="I354" s="48"/>
      <c r="J354" s="48"/>
      <c r="K354" s="48"/>
      <c r="L354" s="48"/>
      <c r="M354" s="48"/>
      <c r="N354" s="48"/>
      <c r="O354" s="48"/>
      <c r="P354" s="48"/>
      <c r="Q354" s="48"/>
      <c r="R354" s="48"/>
      <c r="S354" s="48"/>
      <c r="T354" s="48"/>
      <c r="U354" s="48"/>
      <c r="V354" s="48"/>
      <c r="W354" s="48"/>
      <c r="X354" s="48"/>
      <c r="Y354" s="48"/>
      <c r="Z354" s="48"/>
      <c r="AA354" s="48"/>
    </row>
    <row r="355" spans="2:27" ht="12.75" customHeight="1" x14ac:dyDescent="0.25">
      <c r="B355" s="48"/>
      <c r="C355" s="48"/>
      <c r="D355" s="48"/>
      <c r="E355" s="48"/>
      <c r="F355" s="48"/>
      <c r="G355" s="48"/>
      <c r="H355" s="48"/>
      <c r="I355" s="48"/>
      <c r="J355" s="48"/>
      <c r="K355" s="48"/>
      <c r="L355" s="48"/>
      <c r="M355" s="48"/>
      <c r="N355" s="48"/>
      <c r="O355" s="48"/>
      <c r="P355" s="48"/>
      <c r="Q355" s="48"/>
      <c r="R355" s="48"/>
      <c r="S355" s="48"/>
      <c r="T355" s="48"/>
      <c r="U355" s="48"/>
      <c r="V355" s="48"/>
      <c r="W355" s="48"/>
      <c r="X355" s="48"/>
      <c r="Y355" s="48"/>
      <c r="Z355" s="48"/>
      <c r="AA355" s="48"/>
    </row>
    <row r="356" spans="2:27" ht="12.75" customHeight="1" x14ac:dyDescent="0.25">
      <c r="B356" s="48"/>
      <c r="C356" s="48"/>
      <c r="D356" s="48"/>
      <c r="E356" s="48"/>
      <c r="F356" s="48"/>
      <c r="G356" s="48"/>
      <c r="H356" s="48"/>
      <c r="I356" s="48"/>
      <c r="J356" s="48"/>
      <c r="K356" s="48"/>
      <c r="L356" s="48"/>
      <c r="M356" s="48"/>
      <c r="N356" s="48"/>
      <c r="O356" s="48"/>
      <c r="P356" s="48"/>
      <c r="Q356" s="48"/>
      <c r="R356" s="48"/>
      <c r="S356" s="48"/>
      <c r="T356" s="48"/>
      <c r="U356" s="48"/>
      <c r="V356" s="48"/>
      <c r="W356" s="48"/>
      <c r="X356" s="48"/>
      <c r="Y356" s="48"/>
      <c r="Z356" s="48"/>
      <c r="AA356" s="48"/>
    </row>
    <row r="357" spans="2:27" ht="12.75" customHeight="1" x14ac:dyDescent="0.25">
      <c r="B357" s="48"/>
      <c r="C357" s="48"/>
      <c r="D357" s="48"/>
      <c r="E357" s="48"/>
      <c r="F357" s="48"/>
      <c r="G357" s="48"/>
      <c r="H357" s="48"/>
      <c r="I357" s="48"/>
      <c r="J357" s="48"/>
      <c r="K357" s="48"/>
      <c r="L357" s="48"/>
      <c r="M357" s="48"/>
      <c r="N357" s="48"/>
      <c r="O357" s="48"/>
      <c r="P357" s="48"/>
      <c r="Q357" s="48"/>
      <c r="R357" s="48"/>
      <c r="S357" s="48"/>
      <c r="T357" s="48"/>
      <c r="U357" s="48"/>
      <c r="V357" s="48"/>
      <c r="W357" s="48"/>
      <c r="X357" s="48"/>
      <c r="Y357" s="48"/>
      <c r="Z357" s="48"/>
      <c r="AA357" s="48"/>
    </row>
    <row r="358" spans="2:27" ht="12.75" customHeight="1" x14ac:dyDescent="0.25">
      <c r="B358" s="48"/>
      <c r="C358" s="48"/>
      <c r="D358" s="48"/>
      <c r="E358" s="48"/>
      <c r="F358" s="48"/>
      <c r="G358" s="48"/>
      <c r="H358" s="48"/>
      <c r="I358" s="48"/>
      <c r="J358" s="48"/>
      <c r="K358" s="48"/>
      <c r="L358" s="48"/>
      <c r="M358" s="48"/>
      <c r="N358" s="48"/>
      <c r="O358" s="48"/>
      <c r="P358" s="48"/>
      <c r="Q358" s="48"/>
      <c r="R358" s="48"/>
      <c r="S358" s="48"/>
      <c r="T358" s="48"/>
      <c r="U358" s="48"/>
      <c r="V358" s="48"/>
      <c r="W358" s="48"/>
      <c r="X358" s="48"/>
      <c r="Y358" s="48"/>
      <c r="Z358" s="48"/>
      <c r="AA358" s="48"/>
    </row>
    <row r="359" spans="2:27" ht="12.75" customHeight="1" x14ac:dyDescent="0.25">
      <c r="B359" s="48"/>
      <c r="C359" s="48"/>
      <c r="D359" s="48"/>
      <c r="E359" s="48"/>
      <c r="F359" s="48"/>
      <c r="G359" s="48"/>
      <c r="H359" s="48"/>
      <c r="I359" s="48"/>
      <c r="J359" s="48"/>
      <c r="K359" s="48"/>
      <c r="L359" s="48"/>
      <c r="M359" s="48"/>
      <c r="N359" s="48"/>
      <c r="O359" s="48"/>
      <c r="P359" s="48"/>
      <c r="Q359" s="48"/>
      <c r="R359" s="48"/>
      <c r="S359" s="48"/>
      <c r="T359" s="48"/>
      <c r="U359" s="48"/>
      <c r="V359" s="48"/>
      <c r="W359" s="48"/>
      <c r="X359" s="48"/>
      <c r="Y359" s="48"/>
      <c r="Z359" s="48"/>
      <c r="AA359" s="48"/>
    </row>
    <row r="360" spans="2:27" ht="12.75" customHeight="1" x14ac:dyDescent="0.25">
      <c r="B360" s="48"/>
      <c r="C360" s="48"/>
      <c r="D360" s="48"/>
      <c r="E360" s="48"/>
      <c r="F360" s="48"/>
      <c r="G360" s="48"/>
      <c r="H360" s="48"/>
      <c r="I360" s="48"/>
      <c r="J360" s="48"/>
      <c r="K360" s="48"/>
      <c r="L360" s="48"/>
      <c r="M360" s="48"/>
      <c r="N360" s="48"/>
      <c r="O360" s="48"/>
      <c r="P360" s="48"/>
      <c r="Q360" s="48"/>
      <c r="R360" s="48"/>
      <c r="S360" s="48"/>
      <c r="T360" s="48"/>
      <c r="U360" s="48"/>
      <c r="V360" s="48"/>
      <c r="W360" s="48"/>
      <c r="X360" s="48"/>
      <c r="Y360" s="48"/>
      <c r="Z360" s="48"/>
      <c r="AA360" s="48"/>
    </row>
    <row r="361" spans="2:27" ht="12.75" customHeight="1" x14ac:dyDescent="0.25">
      <c r="B361" s="48"/>
      <c r="C361" s="48"/>
      <c r="D361" s="48"/>
      <c r="E361" s="48"/>
      <c r="F361" s="48"/>
      <c r="G361" s="48"/>
      <c r="H361" s="48"/>
      <c r="I361" s="48"/>
      <c r="J361" s="48"/>
      <c r="K361" s="48"/>
      <c r="L361" s="48"/>
      <c r="M361" s="48"/>
      <c r="N361" s="48"/>
      <c r="O361" s="48"/>
      <c r="P361" s="48"/>
      <c r="Q361" s="48"/>
      <c r="R361" s="48"/>
      <c r="S361" s="48"/>
      <c r="T361" s="48"/>
      <c r="U361" s="48"/>
      <c r="V361" s="48"/>
      <c r="W361" s="48"/>
      <c r="X361" s="48"/>
      <c r="Y361" s="48"/>
      <c r="Z361" s="48"/>
      <c r="AA361" s="48"/>
    </row>
    <row r="362" spans="2:27" ht="12.75" customHeight="1" x14ac:dyDescent="0.25">
      <c r="B362" s="48"/>
      <c r="C362" s="48"/>
      <c r="D362" s="48"/>
      <c r="E362" s="48"/>
      <c r="F362" s="48"/>
      <c r="G362" s="48"/>
      <c r="H362" s="48"/>
      <c r="I362" s="48"/>
      <c r="J362" s="48"/>
      <c r="K362" s="48"/>
      <c r="L362" s="48"/>
      <c r="M362" s="48"/>
      <c r="N362" s="48"/>
      <c r="O362" s="48"/>
      <c r="P362" s="48"/>
      <c r="Q362" s="48"/>
      <c r="R362" s="48"/>
      <c r="S362" s="48"/>
      <c r="T362" s="48"/>
      <c r="U362" s="48"/>
      <c r="V362" s="48"/>
      <c r="W362" s="48"/>
      <c r="X362" s="48"/>
      <c r="Y362" s="48"/>
      <c r="Z362" s="48"/>
      <c r="AA362" s="48"/>
    </row>
    <row r="363" spans="2:27" ht="12.75" customHeight="1" x14ac:dyDescent="0.25">
      <c r="B363" s="48"/>
      <c r="C363" s="48"/>
      <c r="D363" s="48"/>
      <c r="E363" s="48"/>
      <c r="F363" s="48"/>
      <c r="G363" s="48"/>
      <c r="H363" s="48"/>
      <c r="I363" s="48"/>
      <c r="J363" s="48"/>
      <c r="K363" s="48"/>
      <c r="L363" s="48"/>
      <c r="M363" s="48"/>
      <c r="N363" s="48"/>
      <c r="O363" s="48"/>
      <c r="P363" s="48"/>
      <c r="Q363" s="48"/>
      <c r="R363" s="48"/>
      <c r="S363" s="48"/>
      <c r="T363" s="48"/>
      <c r="U363" s="48"/>
      <c r="V363" s="48"/>
      <c r="W363" s="48"/>
      <c r="X363" s="48"/>
      <c r="Y363" s="48"/>
      <c r="Z363" s="48"/>
      <c r="AA363" s="48"/>
    </row>
    <row r="364" spans="2:27" ht="12.75" customHeight="1" x14ac:dyDescent="0.25">
      <c r="B364" s="48"/>
      <c r="C364" s="48"/>
      <c r="D364" s="48"/>
      <c r="E364" s="48"/>
      <c r="F364" s="48"/>
      <c r="G364" s="48"/>
      <c r="H364" s="48"/>
      <c r="I364" s="48"/>
      <c r="J364" s="48"/>
      <c r="K364" s="48"/>
      <c r="L364" s="48"/>
      <c r="M364" s="48"/>
      <c r="N364" s="48"/>
      <c r="O364" s="48"/>
      <c r="P364" s="48"/>
      <c r="Q364" s="48"/>
      <c r="R364" s="48"/>
      <c r="S364" s="48"/>
      <c r="T364" s="48"/>
      <c r="U364" s="48"/>
      <c r="V364" s="48"/>
      <c r="W364" s="48"/>
      <c r="X364" s="48"/>
      <c r="Y364" s="48"/>
      <c r="Z364" s="48"/>
      <c r="AA364" s="48"/>
    </row>
    <row r="365" spans="2:27" ht="12.75" customHeight="1" x14ac:dyDescent="0.25">
      <c r="B365" s="48"/>
      <c r="C365" s="48"/>
      <c r="D365" s="48"/>
      <c r="E365" s="48"/>
      <c r="F365" s="48"/>
      <c r="G365" s="48"/>
      <c r="H365" s="48"/>
      <c r="I365" s="48"/>
      <c r="J365" s="48"/>
      <c r="K365" s="48"/>
      <c r="L365" s="48"/>
      <c r="M365" s="48"/>
      <c r="N365" s="48"/>
      <c r="O365" s="48"/>
      <c r="P365" s="48"/>
      <c r="Q365" s="48"/>
      <c r="R365" s="48"/>
      <c r="S365" s="48"/>
      <c r="T365" s="48"/>
      <c r="U365" s="48"/>
      <c r="V365" s="48"/>
      <c r="W365" s="48"/>
      <c r="X365" s="48"/>
      <c r="Y365" s="48"/>
      <c r="Z365" s="48"/>
      <c r="AA365" s="48"/>
    </row>
    <row r="366" spans="2:27" ht="12.75" customHeight="1" x14ac:dyDescent="0.25">
      <c r="B366" s="48"/>
      <c r="C366" s="48"/>
      <c r="D366" s="48"/>
      <c r="E366" s="48"/>
      <c r="F366" s="48"/>
      <c r="G366" s="48"/>
      <c r="H366" s="48"/>
      <c r="I366" s="48"/>
      <c r="J366" s="48"/>
      <c r="K366" s="48"/>
      <c r="L366" s="48"/>
      <c r="M366" s="48"/>
      <c r="N366" s="48"/>
      <c r="O366" s="48"/>
      <c r="P366" s="48"/>
      <c r="Q366" s="48"/>
      <c r="R366" s="48"/>
      <c r="S366" s="48"/>
      <c r="T366" s="48"/>
      <c r="U366" s="48"/>
      <c r="V366" s="48"/>
      <c r="W366" s="48"/>
      <c r="X366" s="48"/>
      <c r="Y366" s="48"/>
      <c r="Z366" s="48"/>
      <c r="AA366" s="48"/>
    </row>
    <row r="367" spans="2:27" ht="12.75" customHeight="1" x14ac:dyDescent="0.25">
      <c r="B367" s="48"/>
      <c r="C367" s="48"/>
      <c r="D367" s="48"/>
      <c r="E367" s="48"/>
      <c r="F367" s="48"/>
      <c r="G367" s="48"/>
      <c r="H367" s="48"/>
      <c r="I367" s="48"/>
      <c r="J367" s="48"/>
      <c r="K367" s="48"/>
      <c r="L367" s="48"/>
      <c r="M367" s="48"/>
      <c r="N367" s="48"/>
      <c r="O367" s="48"/>
      <c r="P367" s="48"/>
      <c r="Q367" s="48"/>
      <c r="R367" s="48"/>
      <c r="S367" s="48"/>
      <c r="T367" s="48"/>
      <c r="U367" s="48"/>
      <c r="V367" s="48"/>
      <c r="W367" s="48"/>
      <c r="X367" s="48"/>
      <c r="Y367" s="48"/>
      <c r="Z367" s="48"/>
      <c r="AA367" s="48"/>
    </row>
    <row r="368" spans="2:27" ht="12.75" customHeight="1" x14ac:dyDescent="0.25">
      <c r="B368" s="48"/>
      <c r="C368" s="48"/>
      <c r="D368" s="48"/>
      <c r="E368" s="48"/>
      <c r="F368" s="48"/>
      <c r="G368" s="48"/>
      <c r="H368" s="48"/>
      <c r="I368" s="48"/>
      <c r="J368" s="48"/>
      <c r="K368" s="48"/>
      <c r="L368" s="48"/>
      <c r="M368" s="48"/>
      <c r="N368" s="48"/>
      <c r="O368" s="48"/>
      <c r="P368" s="48"/>
      <c r="Q368" s="48"/>
      <c r="R368" s="48"/>
      <c r="S368" s="48"/>
      <c r="T368" s="48"/>
      <c r="U368" s="48"/>
      <c r="V368" s="48"/>
      <c r="W368" s="48"/>
      <c r="X368" s="48"/>
      <c r="Y368" s="48"/>
      <c r="Z368" s="48"/>
      <c r="AA368" s="48"/>
    </row>
    <row r="369" spans="2:27" ht="12.75" customHeight="1" x14ac:dyDescent="0.25">
      <c r="B369" s="48"/>
      <c r="C369" s="48"/>
      <c r="D369" s="48"/>
      <c r="E369" s="48"/>
      <c r="F369" s="48"/>
      <c r="G369" s="48"/>
      <c r="H369" s="48"/>
      <c r="I369" s="48"/>
      <c r="J369" s="48"/>
      <c r="K369" s="48"/>
      <c r="L369" s="48"/>
      <c r="M369" s="48"/>
      <c r="N369" s="48"/>
      <c r="O369" s="48"/>
      <c r="P369" s="48"/>
      <c r="Q369" s="48"/>
      <c r="R369" s="48"/>
      <c r="S369" s="48"/>
      <c r="T369" s="48"/>
      <c r="U369" s="48"/>
      <c r="V369" s="48"/>
      <c r="W369" s="48"/>
      <c r="X369" s="48"/>
      <c r="Y369" s="48"/>
      <c r="Z369" s="48"/>
      <c r="AA369" s="48"/>
    </row>
    <row r="370" spans="2:27" ht="12.75" customHeight="1" x14ac:dyDescent="0.25">
      <c r="B370" s="48"/>
      <c r="C370" s="48"/>
      <c r="D370" s="48"/>
      <c r="E370" s="48"/>
      <c r="F370" s="48"/>
      <c r="G370" s="48"/>
      <c r="H370" s="48"/>
      <c r="I370" s="48"/>
      <c r="J370" s="48"/>
      <c r="K370" s="48"/>
      <c r="L370" s="48"/>
      <c r="M370" s="48"/>
      <c r="N370" s="48"/>
      <c r="O370" s="48"/>
      <c r="P370" s="48"/>
      <c r="Q370" s="48"/>
      <c r="R370" s="48"/>
      <c r="S370" s="48"/>
      <c r="T370" s="48"/>
      <c r="U370" s="48"/>
      <c r="V370" s="48"/>
      <c r="W370" s="48"/>
      <c r="X370" s="48"/>
      <c r="Y370" s="48"/>
      <c r="Z370" s="48"/>
      <c r="AA370" s="48"/>
    </row>
    <row r="371" spans="2:27" ht="12.75" customHeight="1" x14ac:dyDescent="0.25">
      <c r="B371" s="48"/>
      <c r="C371" s="48"/>
      <c r="D371" s="48"/>
      <c r="E371" s="48"/>
      <c r="F371" s="48"/>
      <c r="G371" s="48"/>
      <c r="H371" s="48"/>
      <c r="I371" s="48"/>
      <c r="J371" s="48"/>
      <c r="K371" s="48"/>
      <c r="L371" s="48"/>
      <c r="M371" s="48"/>
      <c r="N371" s="48"/>
      <c r="O371" s="48"/>
      <c r="P371" s="48"/>
      <c r="Q371" s="48"/>
      <c r="R371" s="48"/>
      <c r="S371" s="48"/>
      <c r="T371" s="48"/>
      <c r="U371" s="48"/>
      <c r="V371" s="48"/>
      <c r="W371" s="48"/>
      <c r="X371" s="48"/>
      <c r="Y371" s="48"/>
      <c r="Z371" s="48"/>
      <c r="AA371" s="48"/>
    </row>
    <row r="372" spans="2:27" ht="12.75" customHeight="1" x14ac:dyDescent="0.25">
      <c r="B372" s="48"/>
      <c r="C372" s="48"/>
      <c r="D372" s="48"/>
      <c r="E372" s="48"/>
      <c r="F372" s="48"/>
      <c r="G372" s="48"/>
      <c r="H372" s="48"/>
      <c r="I372" s="48"/>
      <c r="J372" s="48"/>
      <c r="K372" s="48"/>
      <c r="L372" s="48"/>
      <c r="M372" s="48"/>
      <c r="N372" s="48"/>
      <c r="O372" s="48"/>
      <c r="P372" s="48"/>
      <c r="Q372" s="48"/>
      <c r="R372" s="48"/>
      <c r="S372" s="48"/>
      <c r="T372" s="48"/>
      <c r="U372" s="48"/>
      <c r="V372" s="48"/>
      <c r="W372" s="48"/>
      <c r="X372" s="48"/>
      <c r="Y372" s="48"/>
      <c r="Z372" s="48"/>
      <c r="AA372" s="48"/>
    </row>
    <row r="373" spans="2:27" ht="12.75" customHeight="1" x14ac:dyDescent="0.25">
      <c r="B373" s="48"/>
      <c r="C373" s="48"/>
      <c r="D373" s="48"/>
      <c r="E373" s="48"/>
      <c r="F373" s="48"/>
      <c r="G373" s="48"/>
      <c r="H373" s="48"/>
      <c r="I373" s="48"/>
      <c r="J373" s="48"/>
      <c r="K373" s="48"/>
      <c r="L373" s="48"/>
      <c r="M373" s="48"/>
      <c r="N373" s="48"/>
      <c r="O373" s="48"/>
      <c r="P373" s="48"/>
      <c r="Q373" s="48"/>
      <c r="R373" s="48"/>
      <c r="S373" s="48"/>
      <c r="T373" s="48"/>
      <c r="U373" s="48"/>
      <c r="V373" s="48"/>
      <c r="W373" s="48"/>
      <c r="X373" s="48"/>
      <c r="Y373" s="48"/>
      <c r="Z373" s="48"/>
      <c r="AA373" s="48"/>
    </row>
    <row r="374" spans="2:27" ht="12.75" customHeight="1" x14ac:dyDescent="0.25">
      <c r="B374" s="48"/>
      <c r="C374" s="48"/>
      <c r="D374" s="48"/>
      <c r="E374" s="48"/>
      <c r="F374" s="48"/>
      <c r="G374" s="48"/>
      <c r="H374" s="48"/>
      <c r="I374" s="48"/>
      <c r="J374" s="48"/>
      <c r="K374" s="48"/>
      <c r="L374" s="48"/>
      <c r="M374" s="48"/>
      <c r="N374" s="48"/>
      <c r="O374" s="48"/>
      <c r="P374" s="48"/>
      <c r="Q374" s="48"/>
      <c r="R374" s="48"/>
      <c r="S374" s="48"/>
      <c r="T374" s="48"/>
      <c r="U374" s="48"/>
      <c r="V374" s="48"/>
      <c r="W374" s="48"/>
      <c r="X374" s="48"/>
      <c r="Y374" s="48"/>
      <c r="Z374" s="48"/>
      <c r="AA374" s="48"/>
    </row>
    <row r="375" spans="2:27" ht="12.75" customHeight="1" x14ac:dyDescent="0.25">
      <c r="B375" s="48"/>
      <c r="C375" s="48"/>
      <c r="D375" s="48"/>
      <c r="E375" s="48"/>
      <c r="F375" s="48"/>
      <c r="G375" s="48"/>
      <c r="H375" s="48"/>
      <c r="I375" s="48"/>
      <c r="J375" s="48"/>
      <c r="K375" s="48"/>
      <c r="L375" s="48"/>
      <c r="M375" s="48"/>
      <c r="N375" s="48"/>
      <c r="O375" s="48"/>
      <c r="P375" s="48"/>
      <c r="Q375" s="48"/>
      <c r="R375" s="48"/>
      <c r="S375" s="48"/>
      <c r="T375" s="48"/>
      <c r="U375" s="48"/>
      <c r="V375" s="48"/>
      <c r="W375" s="48"/>
      <c r="X375" s="48"/>
      <c r="Y375" s="48"/>
      <c r="Z375" s="48"/>
      <c r="AA375" s="48"/>
    </row>
    <row r="376" spans="2:27" ht="12.75" customHeight="1" x14ac:dyDescent="0.25">
      <c r="B376" s="48"/>
      <c r="C376" s="48"/>
      <c r="D376" s="48"/>
      <c r="E376" s="48"/>
      <c r="F376" s="48"/>
      <c r="G376" s="48"/>
      <c r="H376" s="48"/>
      <c r="I376" s="48"/>
      <c r="J376" s="48"/>
      <c r="K376" s="48"/>
      <c r="L376" s="48"/>
      <c r="M376" s="48"/>
      <c r="N376" s="48"/>
      <c r="O376" s="48"/>
      <c r="P376" s="48"/>
      <c r="Q376" s="48"/>
      <c r="R376" s="48"/>
      <c r="S376" s="48"/>
      <c r="T376" s="48"/>
      <c r="U376" s="48"/>
      <c r="V376" s="48"/>
      <c r="W376" s="48"/>
      <c r="X376" s="48"/>
      <c r="Y376" s="48"/>
      <c r="Z376" s="48"/>
      <c r="AA376" s="48"/>
    </row>
    <row r="377" spans="2:27" ht="12.75" customHeight="1" x14ac:dyDescent="0.25">
      <c r="B377" s="48"/>
      <c r="C377" s="48"/>
      <c r="D377" s="48"/>
      <c r="E377" s="48"/>
      <c r="F377" s="48"/>
      <c r="G377" s="48"/>
      <c r="H377" s="48"/>
      <c r="I377" s="48"/>
      <c r="J377" s="48"/>
      <c r="K377" s="48"/>
      <c r="L377" s="48"/>
      <c r="M377" s="48"/>
      <c r="N377" s="48"/>
      <c r="O377" s="48"/>
      <c r="P377" s="48"/>
      <c r="Q377" s="48"/>
      <c r="R377" s="48"/>
      <c r="S377" s="48"/>
      <c r="T377" s="48"/>
      <c r="U377" s="48"/>
      <c r="V377" s="48"/>
      <c r="W377" s="48"/>
      <c r="X377" s="48"/>
      <c r="Y377" s="48"/>
      <c r="Z377" s="48"/>
      <c r="AA377" s="48"/>
    </row>
    <row r="378" spans="2:27" ht="12.75" customHeight="1" x14ac:dyDescent="0.25">
      <c r="B378" s="48"/>
      <c r="C378" s="48"/>
      <c r="D378" s="48"/>
      <c r="E378" s="48"/>
      <c r="F378" s="48"/>
      <c r="G378" s="48"/>
      <c r="H378" s="48"/>
      <c r="I378" s="48"/>
      <c r="J378" s="48"/>
      <c r="K378" s="48"/>
      <c r="L378" s="48"/>
      <c r="M378" s="48"/>
      <c r="N378" s="48"/>
      <c r="O378" s="48"/>
      <c r="P378" s="48"/>
      <c r="Q378" s="48"/>
      <c r="R378" s="48"/>
      <c r="S378" s="48"/>
      <c r="T378" s="48"/>
      <c r="U378" s="48"/>
      <c r="V378" s="48"/>
      <c r="W378" s="48"/>
      <c r="X378" s="48"/>
      <c r="Y378" s="48"/>
      <c r="Z378" s="48"/>
      <c r="AA378" s="48"/>
    </row>
    <row r="379" spans="2:27" ht="12.75" customHeight="1" x14ac:dyDescent="0.25">
      <c r="B379" s="48"/>
      <c r="C379" s="48"/>
      <c r="D379" s="48"/>
      <c r="E379" s="48"/>
      <c r="F379" s="48"/>
      <c r="G379" s="48"/>
      <c r="H379" s="48"/>
      <c r="I379" s="48"/>
      <c r="J379" s="48"/>
      <c r="K379" s="48"/>
      <c r="L379" s="48"/>
      <c r="M379" s="48"/>
      <c r="N379" s="48"/>
      <c r="O379" s="48"/>
      <c r="P379" s="48"/>
      <c r="Q379" s="48"/>
      <c r="R379" s="48"/>
      <c r="S379" s="48"/>
      <c r="T379" s="48"/>
      <c r="U379" s="48"/>
      <c r="V379" s="48"/>
      <c r="W379" s="48"/>
      <c r="X379" s="48"/>
      <c r="Y379" s="48"/>
      <c r="Z379" s="48"/>
      <c r="AA379" s="48"/>
    </row>
    <row r="380" spans="2:27" ht="12.75" customHeight="1" x14ac:dyDescent="0.25">
      <c r="B380" s="48"/>
      <c r="C380" s="48"/>
      <c r="D380" s="48"/>
      <c r="E380" s="48"/>
      <c r="F380" s="48"/>
      <c r="G380" s="48"/>
      <c r="H380" s="48"/>
      <c r="I380" s="48"/>
      <c r="J380" s="48"/>
      <c r="K380" s="48"/>
      <c r="L380" s="48"/>
      <c r="M380" s="48"/>
      <c r="N380" s="48"/>
      <c r="O380" s="48"/>
      <c r="P380" s="48"/>
      <c r="Q380" s="48"/>
      <c r="R380" s="48"/>
      <c r="S380" s="48"/>
      <c r="T380" s="48"/>
      <c r="U380" s="48"/>
      <c r="V380" s="48"/>
      <c r="W380" s="48"/>
      <c r="X380" s="48"/>
      <c r="Y380" s="48"/>
      <c r="Z380" s="48"/>
      <c r="AA380" s="48"/>
    </row>
    <row r="381" spans="2:27" ht="12.75" customHeight="1" x14ac:dyDescent="0.25">
      <c r="B381" s="48"/>
      <c r="C381" s="48"/>
      <c r="D381" s="48"/>
      <c r="E381" s="48"/>
      <c r="F381" s="48"/>
      <c r="G381" s="48"/>
      <c r="H381" s="48"/>
      <c r="I381" s="48"/>
      <c r="J381" s="48"/>
      <c r="K381" s="48"/>
      <c r="L381" s="48"/>
      <c r="M381" s="48"/>
      <c r="N381" s="48"/>
      <c r="O381" s="48"/>
      <c r="P381" s="48"/>
      <c r="Q381" s="48"/>
      <c r="R381" s="48"/>
      <c r="S381" s="48"/>
      <c r="T381" s="48"/>
      <c r="U381" s="48"/>
      <c r="V381" s="48"/>
      <c r="W381" s="48"/>
      <c r="X381" s="48"/>
      <c r="Y381" s="48"/>
      <c r="Z381" s="48"/>
      <c r="AA381" s="48"/>
    </row>
    <row r="382" spans="2:27" ht="12.75" customHeight="1" x14ac:dyDescent="0.25">
      <c r="B382" s="48"/>
      <c r="C382" s="48"/>
      <c r="D382" s="48"/>
      <c r="E382" s="48"/>
      <c r="F382" s="48"/>
      <c r="G382" s="48"/>
      <c r="H382" s="48"/>
      <c r="I382" s="48"/>
      <c r="J382" s="48"/>
      <c r="K382" s="48"/>
      <c r="L382" s="48"/>
      <c r="M382" s="48"/>
      <c r="N382" s="48"/>
      <c r="O382" s="48"/>
      <c r="P382" s="48"/>
      <c r="Q382" s="48"/>
      <c r="R382" s="48"/>
      <c r="S382" s="48"/>
      <c r="T382" s="48"/>
      <c r="U382" s="48"/>
      <c r="V382" s="48"/>
      <c r="W382" s="48"/>
      <c r="X382" s="48"/>
      <c r="Y382" s="48"/>
      <c r="Z382" s="48"/>
      <c r="AA382" s="48"/>
    </row>
    <row r="383" spans="2:27" ht="12.75" customHeight="1" x14ac:dyDescent="0.25">
      <c r="B383" s="48"/>
      <c r="C383" s="48"/>
      <c r="D383" s="48"/>
      <c r="E383" s="48"/>
      <c r="F383" s="48"/>
      <c r="G383" s="48"/>
      <c r="H383" s="48"/>
      <c r="I383" s="48"/>
      <c r="J383" s="48"/>
      <c r="K383" s="48"/>
      <c r="L383" s="48"/>
      <c r="M383" s="48"/>
      <c r="N383" s="48"/>
      <c r="O383" s="48"/>
      <c r="P383" s="48"/>
      <c r="Q383" s="48"/>
      <c r="R383" s="48"/>
      <c r="S383" s="48"/>
      <c r="T383" s="48"/>
      <c r="U383" s="48"/>
      <c r="V383" s="48"/>
      <c r="W383" s="48"/>
      <c r="X383" s="48"/>
      <c r="Y383" s="48"/>
      <c r="Z383" s="48"/>
      <c r="AA383" s="48"/>
    </row>
    <row r="384" spans="2:27" ht="12.75" customHeight="1" x14ac:dyDescent="0.25">
      <c r="B384" s="48"/>
      <c r="C384" s="48"/>
      <c r="D384" s="48"/>
      <c r="E384" s="48"/>
      <c r="F384" s="48"/>
      <c r="G384" s="48"/>
      <c r="H384" s="48"/>
      <c r="I384" s="48"/>
      <c r="J384" s="48"/>
      <c r="K384" s="48"/>
      <c r="L384" s="48"/>
      <c r="M384" s="48"/>
      <c r="N384" s="48"/>
      <c r="O384" s="48"/>
      <c r="P384" s="48"/>
      <c r="Q384" s="48"/>
      <c r="R384" s="48"/>
      <c r="S384" s="48"/>
      <c r="T384" s="48"/>
      <c r="U384" s="48"/>
      <c r="V384" s="48"/>
      <c r="W384" s="48"/>
      <c r="X384" s="48"/>
      <c r="Y384" s="48"/>
      <c r="Z384" s="48"/>
      <c r="AA384" s="48"/>
    </row>
    <row r="385" spans="2:27" ht="12.75" customHeight="1" x14ac:dyDescent="0.25">
      <c r="B385" s="48"/>
      <c r="C385" s="48"/>
      <c r="D385" s="48"/>
      <c r="E385" s="48"/>
      <c r="F385" s="48"/>
      <c r="G385" s="48"/>
      <c r="H385" s="48"/>
      <c r="I385" s="48"/>
      <c r="J385" s="48"/>
      <c r="K385" s="48"/>
      <c r="L385" s="48"/>
      <c r="M385" s="48"/>
      <c r="N385" s="48"/>
      <c r="O385" s="48"/>
      <c r="P385" s="48"/>
      <c r="Q385" s="48"/>
      <c r="R385" s="48"/>
      <c r="S385" s="48"/>
      <c r="T385" s="48"/>
      <c r="U385" s="48"/>
      <c r="V385" s="48"/>
      <c r="W385" s="48"/>
      <c r="X385" s="48"/>
      <c r="Y385" s="48"/>
      <c r="Z385" s="48"/>
      <c r="AA385" s="48"/>
    </row>
    <row r="386" spans="2:27" ht="12.75" customHeight="1" x14ac:dyDescent="0.25">
      <c r="B386" s="48"/>
      <c r="C386" s="48"/>
      <c r="D386" s="48"/>
      <c r="E386" s="48"/>
      <c r="F386" s="48"/>
      <c r="G386" s="48"/>
      <c r="H386" s="48"/>
      <c r="I386" s="48"/>
      <c r="J386" s="48"/>
      <c r="K386" s="48"/>
      <c r="L386" s="48"/>
      <c r="M386" s="48"/>
      <c r="N386" s="48"/>
      <c r="O386" s="48"/>
      <c r="P386" s="48"/>
      <c r="Q386" s="48"/>
      <c r="R386" s="48"/>
      <c r="S386" s="48"/>
      <c r="T386" s="48"/>
      <c r="U386" s="48"/>
      <c r="V386" s="48"/>
      <c r="W386" s="48"/>
      <c r="X386" s="48"/>
      <c r="Y386" s="48"/>
      <c r="Z386" s="48"/>
      <c r="AA386" s="48"/>
    </row>
    <row r="387" spans="2:27" ht="12.75" customHeight="1" x14ac:dyDescent="0.25">
      <c r="B387" s="48"/>
      <c r="C387" s="48"/>
      <c r="D387" s="48"/>
      <c r="E387" s="48"/>
      <c r="F387" s="48"/>
      <c r="G387" s="48"/>
      <c r="H387" s="48"/>
      <c r="I387" s="48"/>
      <c r="J387" s="48"/>
      <c r="K387" s="48"/>
      <c r="L387" s="48"/>
      <c r="M387" s="48"/>
      <c r="N387" s="48"/>
      <c r="O387" s="48"/>
      <c r="P387" s="48"/>
      <c r="Q387" s="48"/>
      <c r="R387" s="48"/>
      <c r="S387" s="48"/>
      <c r="T387" s="48"/>
      <c r="U387" s="48"/>
      <c r="V387" s="48"/>
      <c r="W387" s="48"/>
      <c r="X387" s="48"/>
      <c r="Y387" s="48"/>
      <c r="Z387" s="48"/>
      <c r="AA387" s="48"/>
    </row>
    <row r="388" spans="2:27" ht="12.75" customHeight="1" x14ac:dyDescent="0.25">
      <c r="B388" s="48"/>
      <c r="C388" s="48"/>
      <c r="D388" s="48"/>
      <c r="E388" s="48"/>
      <c r="F388" s="48"/>
      <c r="G388" s="48"/>
      <c r="H388" s="48"/>
      <c r="I388" s="48"/>
      <c r="J388" s="48"/>
      <c r="K388" s="48"/>
      <c r="L388" s="48"/>
      <c r="M388" s="48"/>
      <c r="N388" s="48"/>
      <c r="O388" s="48"/>
      <c r="P388" s="48"/>
      <c r="Q388" s="48"/>
      <c r="R388" s="48"/>
      <c r="S388" s="48"/>
      <c r="T388" s="48"/>
      <c r="U388" s="48"/>
      <c r="V388" s="48"/>
      <c r="W388" s="48"/>
      <c r="X388" s="48"/>
      <c r="Y388" s="48"/>
      <c r="Z388" s="48"/>
      <c r="AA388" s="48"/>
    </row>
    <row r="389" spans="2:27" ht="12.75" customHeight="1" x14ac:dyDescent="0.25">
      <c r="B389" s="48"/>
      <c r="C389" s="48"/>
      <c r="D389" s="48"/>
      <c r="E389" s="48"/>
      <c r="F389" s="48"/>
      <c r="G389" s="48"/>
      <c r="H389" s="48"/>
      <c r="I389" s="48"/>
      <c r="J389" s="48"/>
      <c r="K389" s="48"/>
      <c r="L389" s="48"/>
      <c r="M389" s="48"/>
      <c r="N389" s="48"/>
      <c r="O389" s="48"/>
      <c r="P389" s="48"/>
      <c r="Q389" s="48"/>
      <c r="R389" s="48"/>
      <c r="S389" s="48"/>
      <c r="T389" s="48"/>
      <c r="U389" s="48"/>
      <c r="V389" s="48"/>
      <c r="W389" s="48"/>
      <c r="X389" s="48"/>
      <c r="Y389" s="48"/>
      <c r="Z389" s="48"/>
      <c r="AA389" s="48"/>
    </row>
    <row r="390" spans="2:27" ht="12.75" customHeight="1" x14ac:dyDescent="0.25">
      <c r="B390" s="48"/>
      <c r="C390" s="48"/>
      <c r="D390" s="48"/>
      <c r="E390" s="48"/>
      <c r="F390" s="48"/>
      <c r="G390" s="48"/>
      <c r="H390" s="48"/>
      <c r="I390" s="48"/>
      <c r="J390" s="48"/>
      <c r="K390" s="48"/>
      <c r="L390" s="48"/>
      <c r="M390" s="48"/>
      <c r="N390" s="48"/>
      <c r="O390" s="48"/>
      <c r="P390" s="48"/>
      <c r="Q390" s="48"/>
      <c r="R390" s="48"/>
      <c r="S390" s="48"/>
      <c r="T390" s="48"/>
      <c r="U390" s="48"/>
      <c r="V390" s="48"/>
      <c r="W390" s="48"/>
      <c r="X390" s="48"/>
      <c r="Y390" s="48"/>
      <c r="Z390" s="48"/>
      <c r="AA390" s="48"/>
    </row>
    <row r="391" spans="2:27" ht="12.75" customHeight="1" x14ac:dyDescent="0.25">
      <c r="B391" s="48"/>
      <c r="C391" s="48"/>
      <c r="D391" s="48"/>
      <c r="E391" s="48"/>
      <c r="F391" s="48"/>
      <c r="G391" s="48"/>
      <c r="H391" s="48"/>
      <c r="I391" s="48"/>
      <c r="J391" s="48"/>
      <c r="K391" s="48"/>
      <c r="L391" s="48"/>
      <c r="M391" s="48"/>
      <c r="N391" s="48"/>
      <c r="O391" s="48"/>
      <c r="P391" s="48"/>
      <c r="Q391" s="48"/>
      <c r="R391" s="48"/>
      <c r="S391" s="48"/>
      <c r="T391" s="48"/>
      <c r="U391" s="48"/>
      <c r="V391" s="48"/>
      <c r="W391" s="48"/>
      <c r="X391" s="48"/>
      <c r="Y391" s="48"/>
      <c r="Z391" s="48"/>
      <c r="AA391" s="48"/>
    </row>
    <row r="392" spans="2:27" ht="12.75" customHeight="1" x14ac:dyDescent="0.25">
      <c r="B392" s="48"/>
      <c r="C392" s="48"/>
      <c r="D392" s="48"/>
      <c r="E392" s="48"/>
      <c r="F392" s="48"/>
      <c r="G392" s="48"/>
      <c r="H392" s="48"/>
      <c r="I392" s="48"/>
      <c r="J392" s="48"/>
      <c r="K392" s="48"/>
      <c r="L392" s="48"/>
      <c r="M392" s="48"/>
      <c r="N392" s="48"/>
      <c r="O392" s="48"/>
      <c r="P392" s="48"/>
      <c r="Q392" s="48"/>
      <c r="R392" s="48"/>
      <c r="S392" s="48"/>
      <c r="T392" s="48"/>
      <c r="U392" s="48"/>
      <c r="V392" s="48"/>
      <c r="W392" s="48"/>
      <c r="X392" s="48"/>
      <c r="Y392" s="48"/>
      <c r="Z392" s="48"/>
      <c r="AA392" s="48"/>
    </row>
    <row r="393" spans="2:27" ht="12.75" customHeight="1" x14ac:dyDescent="0.25">
      <c r="B393" s="48"/>
      <c r="C393" s="48"/>
      <c r="D393" s="48"/>
      <c r="E393" s="48"/>
      <c r="F393" s="48"/>
      <c r="G393" s="48"/>
      <c r="H393" s="48"/>
      <c r="I393" s="48"/>
      <c r="J393" s="48"/>
      <c r="K393" s="48"/>
      <c r="L393" s="48"/>
      <c r="M393" s="48"/>
      <c r="N393" s="48"/>
      <c r="O393" s="48"/>
      <c r="P393" s="48"/>
      <c r="Q393" s="48"/>
      <c r="R393" s="48"/>
      <c r="S393" s="48"/>
      <c r="T393" s="48"/>
      <c r="U393" s="48"/>
      <c r="V393" s="48"/>
      <c r="W393" s="48"/>
      <c r="X393" s="48"/>
      <c r="Y393" s="48"/>
      <c r="Z393" s="48"/>
      <c r="AA393" s="48"/>
    </row>
    <row r="394" spans="2:27" ht="12.75" customHeight="1" x14ac:dyDescent="0.25">
      <c r="B394" s="48"/>
      <c r="C394" s="48"/>
      <c r="D394" s="48"/>
      <c r="E394" s="48"/>
      <c r="F394" s="48"/>
      <c r="G394" s="48"/>
      <c r="H394" s="48"/>
      <c r="I394" s="48"/>
      <c r="J394" s="48"/>
      <c r="K394" s="48"/>
      <c r="L394" s="48"/>
      <c r="M394" s="48"/>
      <c r="N394" s="48"/>
      <c r="O394" s="48"/>
      <c r="P394" s="48"/>
      <c r="Q394" s="48"/>
      <c r="R394" s="48"/>
      <c r="S394" s="48"/>
      <c r="T394" s="48"/>
      <c r="U394" s="48"/>
      <c r="V394" s="48"/>
      <c r="W394" s="48"/>
      <c r="X394" s="48"/>
      <c r="Y394" s="48"/>
      <c r="Z394" s="48"/>
      <c r="AA394" s="48"/>
    </row>
    <row r="395" spans="2:27" ht="12.75" customHeight="1" x14ac:dyDescent="0.25">
      <c r="B395" s="48"/>
      <c r="C395" s="48"/>
      <c r="D395" s="48"/>
      <c r="E395" s="48"/>
      <c r="F395" s="48"/>
      <c r="G395" s="48"/>
      <c r="H395" s="48"/>
      <c r="I395" s="48"/>
      <c r="J395" s="48"/>
      <c r="K395" s="48"/>
      <c r="L395" s="48"/>
      <c r="M395" s="48"/>
      <c r="N395" s="48"/>
      <c r="O395" s="48"/>
      <c r="P395" s="48"/>
      <c r="Q395" s="48"/>
      <c r="R395" s="48"/>
      <c r="S395" s="48"/>
      <c r="T395" s="48"/>
      <c r="U395" s="48"/>
      <c r="V395" s="48"/>
      <c r="W395" s="48"/>
      <c r="X395" s="48"/>
      <c r="Y395" s="48"/>
      <c r="Z395" s="48"/>
      <c r="AA395" s="48"/>
    </row>
    <row r="396" spans="2:27" ht="12.75" customHeight="1" x14ac:dyDescent="0.25">
      <c r="B396" s="48"/>
      <c r="C396" s="48"/>
      <c r="D396" s="48"/>
      <c r="E396" s="48"/>
      <c r="F396" s="48"/>
      <c r="G396" s="48"/>
      <c r="H396" s="48"/>
      <c r="I396" s="48"/>
      <c r="J396" s="48"/>
      <c r="K396" s="48"/>
      <c r="L396" s="48"/>
      <c r="M396" s="48"/>
      <c r="N396" s="48"/>
      <c r="O396" s="48"/>
      <c r="P396" s="48"/>
      <c r="Q396" s="48"/>
      <c r="R396" s="48"/>
      <c r="S396" s="48"/>
      <c r="T396" s="48"/>
      <c r="U396" s="48"/>
      <c r="V396" s="48"/>
      <c r="W396" s="48"/>
      <c r="X396" s="48"/>
      <c r="Y396" s="48"/>
      <c r="Z396" s="48"/>
      <c r="AA396" s="48"/>
    </row>
    <row r="397" spans="2:27" ht="12.75" customHeight="1" x14ac:dyDescent="0.25">
      <c r="B397" s="48"/>
      <c r="C397" s="48"/>
      <c r="D397" s="48"/>
      <c r="E397" s="48"/>
      <c r="F397" s="48"/>
      <c r="G397" s="48"/>
      <c r="H397" s="48"/>
      <c r="I397" s="48"/>
      <c r="J397" s="48"/>
      <c r="K397" s="48"/>
      <c r="L397" s="48"/>
      <c r="M397" s="48"/>
      <c r="N397" s="48"/>
      <c r="O397" s="48"/>
      <c r="P397" s="48"/>
      <c r="Q397" s="48"/>
      <c r="R397" s="48"/>
      <c r="S397" s="48"/>
      <c r="T397" s="48"/>
      <c r="U397" s="48"/>
      <c r="V397" s="48"/>
      <c r="W397" s="48"/>
      <c r="X397" s="48"/>
      <c r="Y397" s="48"/>
      <c r="Z397" s="48"/>
      <c r="AA397" s="48"/>
    </row>
    <row r="398" spans="2:27" ht="12.75" customHeight="1" x14ac:dyDescent="0.25">
      <c r="B398" s="48"/>
      <c r="C398" s="48"/>
      <c r="D398" s="48"/>
      <c r="E398" s="48"/>
      <c r="F398" s="48"/>
      <c r="G398" s="48"/>
      <c r="H398" s="48"/>
      <c r="I398" s="48"/>
      <c r="J398" s="48"/>
      <c r="K398" s="48"/>
      <c r="L398" s="48"/>
      <c r="M398" s="48"/>
      <c r="N398" s="48"/>
      <c r="O398" s="48"/>
      <c r="P398" s="48"/>
      <c r="Q398" s="48"/>
      <c r="R398" s="48"/>
      <c r="S398" s="48"/>
      <c r="T398" s="48"/>
      <c r="U398" s="48"/>
      <c r="V398" s="48"/>
      <c r="W398" s="48"/>
      <c r="X398" s="48"/>
      <c r="Y398" s="48"/>
      <c r="Z398" s="48"/>
      <c r="AA398" s="48"/>
    </row>
    <row r="399" spans="2:27" ht="12.75" customHeight="1" x14ac:dyDescent="0.25">
      <c r="B399" s="48"/>
      <c r="C399" s="48"/>
      <c r="D399" s="48"/>
      <c r="E399" s="48"/>
      <c r="F399" s="48"/>
      <c r="G399" s="48"/>
      <c r="H399" s="48"/>
      <c r="I399" s="48"/>
      <c r="J399" s="48"/>
      <c r="K399" s="48"/>
      <c r="L399" s="48"/>
      <c r="M399" s="48"/>
      <c r="N399" s="48"/>
      <c r="O399" s="48"/>
      <c r="P399" s="48"/>
      <c r="Q399" s="48"/>
      <c r="R399" s="48"/>
      <c r="S399" s="48"/>
      <c r="T399" s="48"/>
      <c r="U399" s="48"/>
      <c r="V399" s="48"/>
      <c r="W399" s="48"/>
      <c r="X399" s="48"/>
      <c r="Y399" s="48"/>
      <c r="Z399" s="48"/>
      <c r="AA399" s="48"/>
    </row>
    <row r="400" spans="2:27" ht="12.75" customHeight="1" x14ac:dyDescent="0.25">
      <c r="B400" s="48"/>
      <c r="C400" s="48"/>
      <c r="D400" s="48"/>
      <c r="E400" s="48"/>
      <c r="F400" s="48"/>
      <c r="G400" s="48"/>
      <c r="H400" s="48"/>
      <c r="I400" s="48"/>
      <c r="J400" s="48"/>
      <c r="K400" s="48"/>
      <c r="L400" s="48"/>
      <c r="M400" s="48"/>
      <c r="N400" s="48"/>
      <c r="O400" s="48"/>
      <c r="P400" s="48"/>
      <c r="Q400" s="48"/>
      <c r="R400" s="48"/>
      <c r="S400" s="48"/>
      <c r="T400" s="48"/>
      <c r="U400" s="48"/>
      <c r="V400" s="48"/>
      <c r="W400" s="48"/>
      <c r="X400" s="48"/>
      <c r="Y400" s="48"/>
      <c r="Z400" s="48"/>
      <c r="AA400" s="48"/>
    </row>
    <row r="401" spans="2:27" ht="12.75" customHeight="1" x14ac:dyDescent="0.25">
      <c r="B401" s="48"/>
      <c r="C401" s="48"/>
      <c r="D401" s="48"/>
      <c r="E401" s="48"/>
      <c r="F401" s="48"/>
      <c r="G401" s="48"/>
      <c r="H401" s="48"/>
      <c r="I401" s="48"/>
      <c r="J401" s="48"/>
      <c r="K401" s="48"/>
      <c r="L401" s="48"/>
      <c r="M401" s="48"/>
      <c r="N401" s="48"/>
      <c r="O401" s="48"/>
      <c r="P401" s="48"/>
      <c r="Q401" s="48"/>
      <c r="R401" s="48"/>
      <c r="S401" s="48"/>
      <c r="T401" s="48"/>
      <c r="U401" s="48"/>
      <c r="V401" s="48"/>
      <c r="W401" s="48"/>
      <c r="X401" s="48"/>
      <c r="Y401" s="48"/>
      <c r="Z401" s="48"/>
      <c r="AA401" s="48"/>
    </row>
    <row r="402" spans="2:27" ht="12.75" customHeight="1" x14ac:dyDescent="0.25">
      <c r="B402" s="48"/>
      <c r="C402" s="48"/>
      <c r="D402" s="48"/>
      <c r="E402" s="48"/>
      <c r="F402" s="48"/>
      <c r="G402" s="48"/>
      <c r="H402" s="48"/>
      <c r="I402" s="48"/>
      <c r="J402" s="48"/>
      <c r="K402" s="48"/>
      <c r="L402" s="48"/>
      <c r="M402" s="48"/>
      <c r="N402" s="48"/>
      <c r="O402" s="48"/>
      <c r="P402" s="48"/>
      <c r="Q402" s="48"/>
      <c r="R402" s="48"/>
      <c r="S402" s="48"/>
      <c r="T402" s="48"/>
      <c r="U402" s="48"/>
      <c r="V402" s="48"/>
      <c r="W402" s="48"/>
      <c r="X402" s="48"/>
      <c r="Y402" s="48"/>
      <c r="Z402" s="48"/>
      <c r="AA402" s="48"/>
    </row>
    <row r="403" spans="2:27" ht="12.75" customHeight="1" x14ac:dyDescent="0.25">
      <c r="B403" s="48"/>
      <c r="C403" s="48"/>
      <c r="D403" s="48"/>
      <c r="E403" s="48"/>
      <c r="F403" s="48"/>
      <c r="G403" s="48"/>
      <c r="H403" s="48"/>
      <c r="I403" s="48"/>
      <c r="J403" s="48"/>
      <c r="K403" s="48"/>
      <c r="L403" s="48"/>
      <c r="M403" s="48"/>
      <c r="N403" s="48"/>
      <c r="O403" s="48"/>
      <c r="P403" s="48"/>
      <c r="Q403" s="48"/>
      <c r="R403" s="48"/>
      <c r="S403" s="48"/>
      <c r="T403" s="48"/>
      <c r="U403" s="48"/>
      <c r="V403" s="48"/>
      <c r="W403" s="48"/>
      <c r="X403" s="48"/>
      <c r="Y403" s="48"/>
      <c r="Z403" s="48"/>
      <c r="AA403" s="48"/>
    </row>
    <row r="404" spans="2:27" ht="12.75" customHeight="1" x14ac:dyDescent="0.25">
      <c r="B404" s="48"/>
      <c r="C404" s="48"/>
      <c r="D404" s="48"/>
      <c r="E404" s="48"/>
      <c r="F404" s="48"/>
      <c r="G404" s="48"/>
      <c r="H404" s="48"/>
      <c r="I404" s="48"/>
      <c r="J404" s="48"/>
      <c r="K404" s="48"/>
      <c r="L404" s="48"/>
      <c r="M404" s="48"/>
      <c r="N404" s="48"/>
      <c r="O404" s="48"/>
      <c r="P404" s="48"/>
      <c r="Q404" s="48"/>
      <c r="R404" s="48"/>
      <c r="S404" s="48"/>
      <c r="T404" s="48"/>
      <c r="U404" s="48"/>
      <c r="V404" s="48"/>
      <c r="W404" s="48"/>
      <c r="X404" s="48"/>
      <c r="Y404" s="48"/>
      <c r="Z404" s="48"/>
      <c r="AA404" s="48"/>
    </row>
    <row r="405" spans="2:27" ht="12.75" customHeight="1" x14ac:dyDescent="0.25">
      <c r="B405" s="48"/>
      <c r="C405" s="48"/>
      <c r="D405" s="48"/>
      <c r="E405" s="48"/>
      <c r="F405" s="48"/>
      <c r="G405" s="48"/>
      <c r="H405" s="48"/>
      <c r="I405" s="48"/>
      <c r="J405" s="48"/>
      <c r="K405" s="48"/>
      <c r="L405" s="48"/>
      <c r="M405" s="48"/>
      <c r="N405" s="48"/>
      <c r="O405" s="48"/>
      <c r="P405" s="48"/>
      <c r="Q405" s="48"/>
      <c r="R405" s="48"/>
      <c r="S405" s="48"/>
      <c r="T405" s="48"/>
      <c r="U405" s="48"/>
      <c r="V405" s="48"/>
      <c r="W405" s="48"/>
      <c r="X405" s="48"/>
      <c r="Y405" s="48"/>
      <c r="Z405" s="48"/>
      <c r="AA405" s="48"/>
    </row>
    <row r="406" spans="2:27" ht="12.75" customHeight="1" x14ac:dyDescent="0.25">
      <c r="B406" s="48"/>
      <c r="C406" s="48"/>
      <c r="D406" s="48"/>
      <c r="E406" s="48"/>
      <c r="F406" s="48"/>
      <c r="G406" s="48"/>
      <c r="H406" s="48"/>
      <c r="I406" s="48"/>
      <c r="J406" s="48"/>
      <c r="K406" s="48"/>
      <c r="L406" s="48"/>
      <c r="M406" s="48"/>
      <c r="N406" s="48"/>
      <c r="O406" s="48"/>
      <c r="P406" s="48"/>
      <c r="Q406" s="48"/>
      <c r="R406" s="48"/>
      <c r="S406" s="48"/>
      <c r="T406" s="48"/>
      <c r="U406" s="48"/>
      <c r="V406" s="48"/>
      <c r="W406" s="48"/>
      <c r="X406" s="48"/>
      <c r="Y406" s="48"/>
      <c r="Z406" s="48"/>
      <c r="AA406" s="48"/>
    </row>
    <row r="407" spans="2:27" ht="12.75" customHeight="1" x14ac:dyDescent="0.25">
      <c r="B407" s="48"/>
      <c r="C407" s="48"/>
      <c r="D407" s="48"/>
      <c r="E407" s="48"/>
      <c r="F407" s="48"/>
      <c r="G407" s="48"/>
      <c r="H407" s="48"/>
      <c r="I407" s="48"/>
      <c r="J407" s="48"/>
      <c r="K407" s="48"/>
      <c r="L407" s="48"/>
      <c r="M407" s="48"/>
      <c r="N407" s="48"/>
      <c r="O407" s="48"/>
      <c r="P407" s="48"/>
      <c r="Q407" s="48"/>
      <c r="R407" s="48"/>
      <c r="S407" s="48"/>
      <c r="T407" s="48"/>
      <c r="U407" s="48"/>
      <c r="V407" s="48"/>
      <c r="W407" s="48"/>
      <c r="X407" s="48"/>
      <c r="Y407" s="48"/>
      <c r="Z407" s="48"/>
      <c r="AA407" s="48"/>
    </row>
    <row r="408" spans="2:27" ht="12.75" customHeight="1" x14ac:dyDescent="0.25">
      <c r="B408" s="48"/>
      <c r="C408" s="48"/>
      <c r="D408" s="48"/>
      <c r="E408" s="48"/>
      <c r="F408" s="48"/>
      <c r="G408" s="48"/>
      <c r="H408" s="48"/>
      <c r="I408" s="48"/>
      <c r="J408" s="48"/>
      <c r="K408" s="48"/>
      <c r="L408" s="48"/>
      <c r="M408" s="48"/>
      <c r="N408" s="48"/>
      <c r="O408" s="48"/>
      <c r="P408" s="48"/>
      <c r="Q408" s="48"/>
      <c r="R408" s="48"/>
      <c r="S408" s="48"/>
      <c r="T408" s="48"/>
      <c r="U408" s="48"/>
      <c r="V408" s="48"/>
      <c r="W408" s="48"/>
      <c r="X408" s="48"/>
      <c r="Y408" s="48"/>
      <c r="Z408" s="48"/>
      <c r="AA408" s="48"/>
    </row>
    <row r="409" spans="2:27" ht="12.75" customHeight="1" x14ac:dyDescent="0.25">
      <c r="B409" s="48"/>
      <c r="C409" s="48"/>
      <c r="D409" s="48"/>
      <c r="E409" s="48"/>
      <c r="F409" s="48"/>
      <c r="G409" s="48"/>
      <c r="H409" s="48"/>
      <c r="I409" s="48"/>
      <c r="J409" s="48"/>
      <c r="K409" s="48"/>
      <c r="L409" s="48"/>
      <c r="M409" s="48"/>
      <c r="N409" s="48"/>
      <c r="O409" s="48"/>
      <c r="P409" s="48"/>
      <c r="Q409" s="48"/>
      <c r="R409" s="48"/>
      <c r="S409" s="48"/>
      <c r="T409" s="48"/>
      <c r="U409" s="48"/>
      <c r="V409" s="48"/>
      <c r="W409" s="48"/>
      <c r="X409" s="48"/>
      <c r="Y409" s="48"/>
      <c r="Z409" s="48"/>
      <c r="AA409" s="48"/>
    </row>
    <row r="410" spans="2:27" ht="12.75" customHeight="1" x14ac:dyDescent="0.25">
      <c r="B410" s="48"/>
      <c r="C410" s="48"/>
      <c r="D410" s="48"/>
      <c r="E410" s="48"/>
      <c r="F410" s="48"/>
      <c r="G410" s="48"/>
      <c r="H410" s="48"/>
      <c r="I410" s="48"/>
      <c r="J410" s="48"/>
      <c r="K410" s="48"/>
      <c r="L410" s="48"/>
      <c r="M410" s="48"/>
      <c r="N410" s="48"/>
      <c r="O410" s="48"/>
      <c r="P410" s="48"/>
      <c r="Q410" s="48"/>
      <c r="R410" s="48"/>
      <c r="S410" s="48"/>
      <c r="T410" s="48"/>
      <c r="U410" s="48"/>
      <c r="V410" s="48"/>
      <c r="W410" s="48"/>
      <c r="X410" s="48"/>
      <c r="Y410" s="48"/>
      <c r="Z410" s="48"/>
      <c r="AA410" s="48"/>
    </row>
    <row r="411" spans="2:27" ht="12.75" customHeight="1" x14ac:dyDescent="0.25">
      <c r="B411" s="48"/>
      <c r="C411" s="48"/>
      <c r="D411" s="48"/>
      <c r="E411" s="48"/>
      <c r="F411" s="48"/>
      <c r="G411" s="48"/>
      <c r="H411" s="48"/>
      <c r="I411" s="48"/>
      <c r="J411" s="48"/>
      <c r="K411" s="48"/>
      <c r="L411" s="48"/>
      <c r="M411" s="48"/>
      <c r="N411" s="48"/>
      <c r="O411" s="48"/>
      <c r="P411" s="48"/>
      <c r="Q411" s="48"/>
      <c r="R411" s="48"/>
      <c r="S411" s="48"/>
      <c r="T411" s="48"/>
      <c r="U411" s="48"/>
      <c r="V411" s="48"/>
      <c r="W411" s="48"/>
      <c r="X411" s="48"/>
      <c r="Y411" s="48"/>
      <c r="Z411" s="48"/>
      <c r="AA411" s="48"/>
    </row>
    <row r="412" spans="2:27" ht="12.75" customHeight="1" x14ac:dyDescent="0.25">
      <c r="B412" s="48"/>
      <c r="C412" s="48"/>
      <c r="D412" s="48"/>
      <c r="E412" s="48"/>
      <c r="F412" s="48"/>
      <c r="G412" s="48"/>
      <c r="H412" s="48"/>
      <c r="I412" s="48"/>
      <c r="J412" s="48"/>
      <c r="K412" s="48"/>
      <c r="L412" s="48"/>
      <c r="M412" s="48"/>
      <c r="N412" s="48"/>
      <c r="O412" s="48"/>
      <c r="P412" s="48"/>
      <c r="Q412" s="48"/>
      <c r="R412" s="48"/>
      <c r="S412" s="48"/>
      <c r="T412" s="48"/>
      <c r="U412" s="48"/>
      <c r="V412" s="48"/>
      <c r="W412" s="48"/>
      <c r="X412" s="48"/>
      <c r="Y412" s="48"/>
      <c r="Z412" s="48"/>
      <c r="AA412" s="48"/>
    </row>
    <row r="413" spans="2:27" ht="12.75" customHeight="1" x14ac:dyDescent="0.25">
      <c r="B413" s="48"/>
      <c r="C413" s="48"/>
      <c r="D413" s="48"/>
      <c r="E413" s="48"/>
      <c r="F413" s="48"/>
      <c r="G413" s="48"/>
      <c r="H413" s="48"/>
      <c r="I413" s="48"/>
      <c r="J413" s="48"/>
      <c r="K413" s="48"/>
      <c r="L413" s="48"/>
      <c r="M413" s="48"/>
      <c r="N413" s="48"/>
      <c r="O413" s="48"/>
      <c r="P413" s="48"/>
      <c r="Q413" s="48"/>
      <c r="R413" s="48"/>
      <c r="S413" s="48"/>
      <c r="T413" s="48"/>
      <c r="U413" s="48"/>
      <c r="V413" s="48"/>
      <c r="W413" s="48"/>
      <c r="X413" s="48"/>
      <c r="Y413" s="48"/>
      <c r="Z413" s="48"/>
      <c r="AA413" s="48"/>
    </row>
    <row r="414" spans="2:27" ht="12.75" customHeight="1" x14ac:dyDescent="0.25">
      <c r="B414" s="48"/>
      <c r="C414" s="48"/>
      <c r="D414" s="48"/>
      <c r="E414" s="48"/>
      <c r="F414" s="48"/>
      <c r="G414" s="48"/>
      <c r="H414" s="48"/>
      <c r="I414" s="48"/>
      <c r="J414" s="48"/>
      <c r="K414" s="48"/>
      <c r="L414" s="48"/>
      <c r="M414" s="48"/>
      <c r="N414" s="48"/>
      <c r="O414" s="48"/>
      <c r="P414" s="48"/>
      <c r="Q414" s="48"/>
      <c r="R414" s="48"/>
      <c r="S414" s="48"/>
      <c r="T414" s="48"/>
      <c r="U414" s="48"/>
      <c r="V414" s="48"/>
      <c r="W414" s="48"/>
      <c r="X414" s="48"/>
      <c r="Y414" s="48"/>
      <c r="Z414" s="48"/>
      <c r="AA414" s="48"/>
    </row>
    <row r="415" spans="2:27" ht="12.75" customHeight="1" x14ac:dyDescent="0.25">
      <c r="B415" s="48"/>
      <c r="C415" s="48"/>
      <c r="D415" s="48"/>
      <c r="E415" s="48"/>
      <c r="F415" s="48"/>
      <c r="G415" s="48"/>
      <c r="H415" s="48"/>
      <c r="I415" s="48"/>
      <c r="J415" s="48"/>
      <c r="K415" s="48"/>
      <c r="L415" s="48"/>
      <c r="M415" s="48"/>
      <c r="N415" s="48"/>
      <c r="O415" s="48"/>
      <c r="P415" s="48"/>
      <c r="Q415" s="48"/>
      <c r="R415" s="48"/>
      <c r="S415" s="48"/>
      <c r="T415" s="48"/>
      <c r="U415" s="48"/>
      <c r="V415" s="48"/>
      <c r="W415" s="48"/>
      <c r="X415" s="48"/>
      <c r="Y415" s="48"/>
      <c r="Z415" s="48"/>
      <c r="AA415" s="48"/>
    </row>
    <row r="416" spans="2:27" ht="12.75" customHeight="1" x14ac:dyDescent="0.25">
      <c r="B416" s="48"/>
      <c r="C416" s="48"/>
      <c r="D416" s="48"/>
      <c r="E416" s="48"/>
      <c r="F416" s="48"/>
      <c r="G416" s="48"/>
      <c r="H416" s="48"/>
      <c r="I416" s="48"/>
      <c r="J416" s="48"/>
      <c r="K416" s="48"/>
      <c r="L416" s="48"/>
      <c r="M416" s="48"/>
      <c r="N416" s="48"/>
      <c r="O416" s="48"/>
      <c r="P416" s="48"/>
      <c r="Q416" s="48"/>
      <c r="R416" s="48"/>
      <c r="S416" s="48"/>
      <c r="T416" s="48"/>
      <c r="U416" s="48"/>
      <c r="V416" s="48"/>
      <c r="W416" s="48"/>
      <c r="X416" s="48"/>
      <c r="Y416" s="48"/>
      <c r="Z416" s="48"/>
      <c r="AA416" s="48"/>
    </row>
    <row r="417" spans="2:27" ht="12.75" customHeight="1" x14ac:dyDescent="0.25">
      <c r="B417" s="48"/>
      <c r="C417" s="48"/>
      <c r="D417" s="48"/>
      <c r="E417" s="48"/>
      <c r="F417" s="48"/>
      <c r="G417" s="48"/>
      <c r="H417" s="48"/>
      <c r="I417" s="48"/>
      <c r="J417" s="48"/>
      <c r="K417" s="48"/>
      <c r="L417" s="48"/>
      <c r="M417" s="48"/>
      <c r="N417" s="48"/>
      <c r="O417" s="48"/>
      <c r="P417" s="48"/>
      <c r="Q417" s="48"/>
      <c r="R417" s="48"/>
      <c r="S417" s="48"/>
      <c r="T417" s="48"/>
      <c r="U417" s="48"/>
      <c r="V417" s="48"/>
      <c r="W417" s="48"/>
      <c r="X417" s="48"/>
      <c r="Y417" s="48"/>
      <c r="Z417" s="48"/>
      <c r="AA417" s="48"/>
    </row>
    <row r="418" spans="2:27" ht="12.75" customHeight="1" x14ac:dyDescent="0.25">
      <c r="B418" s="48"/>
      <c r="C418" s="48"/>
      <c r="D418" s="48"/>
      <c r="E418" s="48"/>
      <c r="F418" s="48"/>
      <c r="G418" s="48"/>
      <c r="H418" s="48"/>
      <c r="I418" s="48"/>
      <c r="J418" s="48"/>
      <c r="K418" s="48"/>
      <c r="L418" s="48"/>
      <c r="M418" s="48"/>
      <c r="N418" s="48"/>
      <c r="O418" s="48"/>
      <c r="P418" s="48"/>
      <c r="Q418" s="48"/>
      <c r="R418" s="48"/>
      <c r="S418" s="48"/>
      <c r="T418" s="48"/>
      <c r="U418" s="48"/>
      <c r="V418" s="48"/>
      <c r="W418" s="48"/>
      <c r="X418" s="48"/>
      <c r="Y418" s="48"/>
      <c r="Z418" s="48"/>
      <c r="AA418" s="48"/>
    </row>
    <row r="419" spans="2:27" ht="12.75" customHeight="1" x14ac:dyDescent="0.25">
      <c r="B419" s="48"/>
      <c r="C419" s="48"/>
      <c r="D419" s="48"/>
      <c r="E419" s="48"/>
      <c r="F419" s="48"/>
      <c r="G419" s="48"/>
      <c r="H419" s="48"/>
      <c r="I419" s="48"/>
      <c r="J419" s="48"/>
      <c r="K419" s="48"/>
      <c r="L419" s="48"/>
      <c r="M419" s="48"/>
      <c r="N419" s="48"/>
      <c r="O419" s="48"/>
      <c r="P419" s="48"/>
      <c r="Q419" s="48"/>
      <c r="R419" s="48"/>
      <c r="S419" s="48"/>
      <c r="T419" s="48"/>
      <c r="U419" s="48"/>
      <c r="V419" s="48"/>
      <c r="W419" s="48"/>
      <c r="X419" s="48"/>
      <c r="Y419" s="48"/>
      <c r="Z419" s="48"/>
      <c r="AA419" s="48"/>
    </row>
    <row r="420" spans="2:27" ht="12.75" customHeight="1" x14ac:dyDescent="0.25">
      <c r="B420" s="48"/>
      <c r="C420" s="48"/>
      <c r="D420" s="48"/>
      <c r="E420" s="48"/>
      <c r="F420" s="48"/>
      <c r="G420" s="48"/>
      <c r="H420" s="48"/>
      <c r="I420" s="48"/>
      <c r="J420" s="48"/>
      <c r="K420" s="48"/>
      <c r="L420" s="48"/>
      <c r="M420" s="48"/>
      <c r="N420" s="48"/>
      <c r="O420" s="48"/>
      <c r="P420" s="48"/>
      <c r="Q420" s="48"/>
      <c r="R420" s="48"/>
      <c r="S420" s="48"/>
      <c r="T420" s="48"/>
      <c r="U420" s="48"/>
      <c r="V420" s="48"/>
      <c r="W420" s="48"/>
      <c r="X420" s="48"/>
      <c r="Y420" s="48"/>
      <c r="Z420" s="48"/>
      <c r="AA420" s="48"/>
    </row>
    <row r="421" spans="2:27" ht="12.75" customHeight="1" x14ac:dyDescent="0.25">
      <c r="B421" s="48"/>
      <c r="C421" s="48"/>
      <c r="D421" s="48"/>
      <c r="E421" s="48"/>
      <c r="F421" s="48"/>
      <c r="G421" s="48"/>
      <c r="H421" s="48"/>
      <c r="I421" s="48"/>
      <c r="J421" s="48"/>
      <c r="K421" s="48"/>
      <c r="L421" s="48"/>
      <c r="M421" s="48"/>
      <c r="N421" s="48"/>
      <c r="O421" s="48"/>
      <c r="P421" s="48"/>
      <c r="Q421" s="48"/>
      <c r="R421" s="48"/>
      <c r="S421" s="48"/>
      <c r="T421" s="48"/>
      <c r="U421" s="48"/>
      <c r="V421" s="48"/>
      <c r="W421" s="48"/>
      <c r="X421" s="48"/>
      <c r="Y421" s="48"/>
      <c r="Z421" s="48"/>
      <c r="AA421" s="48"/>
    </row>
    <row r="422" spans="2:27" ht="12.75" customHeight="1" x14ac:dyDescent="0.25">
      <c r="B422" s="48"/>
      <c r="C422" s="48"/>
      <c r="D422" s="48"/>
      <c r="E422" s="48"/>
      <c r="F422" s="48"/>
      <c r="G422" s="48"/>
      <c r="H422" s="48"/>
      <c r="I422" s="48"/>
      <c r="J422" s="48"/>
      <c r="K422" s="48"/>
      <c r="L422" s="48"/>
      <c r="M422" s="48"/>
      <c r="N422" s="48"/>
      <c r="O422" s="48"/>
      <c r="P422" s="48"/>
      <c r="Q422" s="48"/>
      <c r="R422" s="48"/>
      <c r="S422" s="48"/>
      <c r="T422" s="48"/>
      <c r="U422" s="48"/>
      <c r="V422" s="48"/>
      <c r="W422" s="48"/>
      <c r="X422" s="48"/>
      <c r="Y422" s="48"/>
      <c r="Z422" s="48"/>
      <c r="AA422" s="48"/>
    </row>
    <row r="423" spans="2:27" ht="12.75" customHeight="1" x14ac:dyDescent="0.25">
      <c r="B423" s="48"/>
      <c r="C423" s="48"/>
      <c r="D423" s="48"/>
      <c r="E423" s="48"/>
      <c r="F423" s="48"/>
      <c r="G423" s="48"/>
      <c r="H423" s="48"/>
      <c r="I423" s="48"/>
      <c r="J423" s="48"/>
      <c r="K423" s="48"/>
      <c r="L423" s="48"/>
      <c r="M423" s="48"/>
      <c r="N423" s="48"/>
      <c r="O423" s="48"/>
      <c r="P423" s="48"/>
      <c r="Q423" s="48"/>
      <c r="R423" s="48"/>
      <c r="S423" s="48"/>
      <c r="T423" s="48"/>
      <c r="U423" s="48"/>
      <c r="V423" s="48"/>
      <c r="W423" s="48"/>
      <c r="X423" s="48"/>
      <c r="Y423" s="48"/>
      <c r="Z423" s="48"/>
      <c r="AA423" s="48"/>
    </row>
    <row r="424" spans="2:27" ht="12.75" customHeight="1" x14ac:dyDescent="0.25">
      <c r="B424" s="48"/>
      <c r="C424" s="48"/>
      <c r="D424" s="48"/>
      <c r="E424" s="48"/>
      <c r="F424" s="48"/>
      <c r="G424" s="48"/>
      <c r="H424" s="48"/>
      <c r="I424" s="48"/>
      <c r="J424" s="48"/>
      <c r="K424" s="48"/>
      <c r="L424" s="48"/>
      <c r="M424" s="48"/>
      <c r="N424" s="48"/>
      <c r="O424" s="48"/>
      <c r="P424" s="48"/>
      <c r="Q424" s="48"/>
      <c r="R424" s="48"/>
      <c r="S424" s="48"/>
      <c r="T424" s="48"/>
      <c r="U424" s="48"/>
      <c r="V424" s="48"/>
      <c r="W424" s="48"/>
      <c r="X424" s="48"/>
      <c r="Y424" s="48"/>
      <c r="Z424" s="48"/>
      <c r="AA424" s="48"/>
    </row>
    <row r="425" spans="2:27" ht="12.75" customHeight="1" x14ac:dyDescent="0.25">
      <c r="B425" s="48"/>
      <c r="C425" s="48"/>
      <c r="D425" s="48"/>
      <c r="E425" s="48"/>
      <c r="F425" s="48"/>
      <c r="G425" s="48"/>
      <c r="H425" s="48"/>
      <c r="I425" s="48"/>
      <c r="J425" s="48"/>
      <c r="K425" s="48"/>
      <c r="L425" s="48"/>
      <c r="M425" s="48"/>
      <c r="N425" s="48"/>
      <c r="O425" s="48"/>
      <c r="P425" s="48"/>
      <c r="Q425" s="48"/>
      <c r="R425" s="48"/>
      <c r="S425" s="48"/>
      <c r="T425" s="48"/>
      <c r="U425" s="48"/>
      <c r="V425" s="48"/>
      <c r="W425" s="48"/>
      <c r="X425" s="48"/>
      <c r="Y425" s="48"/>
      <c r="Z425" s="48"/>
      <c r="AA425" s="48"/>
    </row>
    <row r="426" spans="2:27" ht="12.75" customHeight="1" x14ac:dyDescent="0.25">
      <c r="B426" s="48"/>
      <c r="C426" s="48"/>
      <c r="D426" s="48"/>
      <c r="E426" s="48"/>
      <c r="F426" s="48"/>
      <c r="G426" s="48"/>
      <c r="H426" s="48"/>
      <c r="I426" s="48"/>
      <c r="J426" s="48"/>
      <c r="K426" s="48"/>
      <c r="L426" s="48"/>
      <c r="M426" s="48"/>
      <c r="N426" s="48"/>
      <c r="O426" s="48"/>
      <c r="P426" s="48"/>
      <c r="Q426" s="48"/>
      <c r="R426" s="48"/>
      <c r="S426" s="48"/>
      <c r="T426" s="48"/>
      <c r="U426" s="48"/>
      <c r="V426" s="48"/>
      <c r="W426" s="48"/>
      <c r="X426" s="48"/>
      <c r="Y426" s="48"/>
      <c r="Z426" s="48"/>
      <c r="AA426" s="48"/>
    </row>
    <row r="427" spans="2:27" ht="12.75" customHeight="1" x14ac:dyDescent="0.25">
      <c r="B427" s="48"/>
      <c r="C427" s="48"/>
      <c r="D427" s="48"/>
      <c r="E427" s="48"/>
      <c r="F427" s="48"/>
      <c r="G427" s="48"/>
      <c r="H427" s="48"/>
      <c r="I427" s="48"/>
      <c r="J427" s="48"/>
      <c r="K427" s="48"/>
      <c r="L427" s="48"/>
      <c r="M427" s="48"/>
      <c r="N427" s="48"/>
      <c r="O427" s="48"/>
      <c r="P427" s="48"/>
      <c r="Q427" s="48"/>
      <c r="R427" s="48"/>
      <c r="S427" s="48"/>
      <c r="T427" s="48"/>
      <c r="U427" s="48"/>
      <c r="V427" s="48"/>
      <c r="W427" s="48"/>
      <c r="X427" s="48"/>
      <c r="Y427" s="48"/>
      <c r="Z427" s="48"/>
      <c r="AA427" s="48"/>
    </row>
    <row r="428" spans="2:27" ht="12.75" customHeight="1" x14ac:dyDescent="0.25">
      <c r="B428" s="48"/>
      <c r="C428" s="48"/>
      <c r="D428" s="48"/>
      <c r="E428" s="48"/>
      <c r="F428" s="48"/>
      <c r="G428" s="48"/>
      <c r="H428" s="48"/>
      <c r="I428" s="48"/>
      <c r="J428" s="48"/>
      <c r="K428" s="48"/>
      <c r="L428" s="48"/>
      <c r="M428" s="48"/>
      <c r="N428" s="48"/>
      <c r="O428" s="48"/>
      <c r="P428" s="48"/>
      <c r="Q428" s="48"/>
      <c r="R428" s="48"/>
      <c r="S428" s="48"/>
      <c r="T428" s="48"/>
      <c r="U428" s="48"/>
      <c r="V428" s="48"/>
      <c r="W428" s="48"/>
      <c r="X428" s="48"/>
      <c r="Y428" s="48"/>
      <c r="Z428" s="48"/>
      <c r="AA428" s="48"/>
    </row>
    <row r="429" spans="2:27" ht="12.75" customHeight="1" x14ac:dyDescent="0.25">
      <c r="B429" s="48"/>
      <c r="C429" s="48"/>
      <c r="D429" s="48"/>
      <c r="E429" s="48"/>
      <c r="F429" s="48"/>
      <c r="G429" s="48"/>
      <c r="H429" s="48"/>
      <c r="I429" s="48"/>
      <c r="J429" s="48"/>
      <c r="K429" s="48"/>
      <c r="L429" s="48"/>
      <c r="M429" s="48"/>
      <c r="N429" s="48"/>
      <c r="O429" s="48"/>
      <c r="P429" s="48"/>
      <c r="Q429" s="48"/>
      <c r="R429" s="48"/>
      <c r="S429" s="48"/>
      <c r="T429" s="48"/>
      <c r="U429" s="48"/>
      <c r="V429" s="48"/>
      <c r="W429" s="48"/>
      <c r="X429" s="48"/>
      <c r="Y429" s="48"/>
      <c r="Z429" s="48"/>
      <c r="AA429" s="48"/>
    </row>
    <row r="430" spans="2:27" ht="12.75" customHeight="1" x14ac:dyDescent="0.25">
      <c r="B430" s="48"/>
      <c r="C430" s="48"/>
      <c r="D430" s="48"/>
      <c r="E430" s="48"/>
      <c r="F430" s="48"/>
      <c r="G430" s="48"/>
      <c r="H430" s="48"/>
      <c r="I430" s="48"/>
      <c r="J430" s="48"/>
      <c r="K430" s="48"/>
      <c r="L430" s="48"/>
      <c r="M430" s="48"/>
      <c r="N430" s="48"/>
      <c r="O430" s="48"/>
      <c r="P430" s="48"/>
      <c r="Q430" s="48"/>
      <c r="R430" s="48"/>
      <c r="S430" s="48"/>
      <c r="T430" s="48"/>
      <c r="U430" s="48"/>
      <c r="V430" s="48"/>
      <c r="W430" s="48"/>
      <c r="X430" s="48"/>
      <c r="Y430" s="48"/>
      <c r="Z430" s="48"/>
      <c r="AA430" s="48"/>
    </row>
    <row r="431" spans="2:27" ht="12.75" customHeight="1" x14ac:dyDescent="0.25">
      <c r="B431" s="48"/>
      <c r="C431" s="48"/>
      <c r="D431" s="48"/>
      <c r="E431" s="48"/>
      <c r="F431" s="48"/>
      <c r="G431" s="48"/>
      <c r="H431" s="48"/>
      <c r="I431" s="48"/>
      <c r="J431" s="48"/>
      <c r="K431" s="48"/>
      <c r="L431" s="48"/>
      <c r="M431" s="48"/>
      <c r="N431" s="48"/>
      <c r="O431" s="48"/>
      <c r="P431" s="48"/>
      <c r="Q431" s="48"/>
      <c r="R431" s="48"/>
      <c r="S431" s="48"/>
      <c r="T431" s="48"/>
      <c r="U431" s="48"/>
      <c r="V431" s="48"/>
      <c r="W431" s="48"/>
      <c r="X431" s="48"/>
      <c r="Y431" s="48"/>
      <c r="Z431" s="48"/>
      <c r="AA431" s="48"/>
    </row>
    <row r="432" spans="2:27" ht="12.75" customHeight="1" x14ac:dyDescent="0.25">
      <c r="B432" s="48"/>
      <c r="C432" s="48"/>
      <c r="D432" s="48"/>
      <c r="E432" s="48"/>
      <c r="F432" s="48"/>
      <c r="G432" s="48"/>
      <c r="H432" s="48"/>
      <c r="I432" s="48"/>
      <c r="J432" s="48"/>
      <c r="K432" s="48"/>
      <c r="L432" s="48"/>
      <c r="M432" s="48"/>
      <c r="N432" s="48"/>
      <c r="O432" s="48"/>
      <c r="P432" s="48"/>
      <c r="Q432" s="48"/>
      <c r="R432" s="48"/>
      <c r="S432" s="48"/>
      <c r="T432" s="48"/>
      <c r="U432" s="48"/>
      <c r="V432" s="48"/>
      <c r="W432" s="48"/>
      <c r="X432" s="48"/>
      <c r="Y432" s="48"/>
      <c r="Z432" s="48"/>
      <c r="AA432" s="48"/>
    </row>
    <row r="433" spans="2:27" ht="12.75" customHeight="1" x14ac:dyDescent="0.25">
      <c r="B433" s="48"/>
      <c r="C433" s="48"/>
      <c r="D433" s="48"/>
      <c r="E433" s="48"/>
      <c r="F433" s="48"/>
      <c r="G433" s="48"/>
      <c r="H433" s="48"/>
      <c r="I433" s="48"/>
      <c r="J433" s="48"/>
      <c r="K433" s="48"/>
      <c r="L433" s="48"/>
      <c r="M433" s="48"/>
      <c r="N433" s="48"/>
      <c r="O433" s="48"/>
      <c r="P433" s="48"/>
      <c r="Q433" s="48"/>
      <c r="R433" s="48"/>
      <c r="S433" s="48"/>
      <c r="T433" s="48"/>
      <c r="U433" s="48"/>
      <c r="V433" s="48"/>
      <c r="W433" s="48"/>
      <c r="X433" s="48"/>
      <c r="Y433" s="48"/>
      <c r="Z433" s="48"/>
      <c r="AA433" s="48"/>
    </row>
    <row r="434" spans="2:27" ht="12.75" customHeight="1" x14ac:dyDescent="0.25">
      <c r="B434" s="48"/>
      <c r="C434" s="48"/>
      <c r="D434" s="48"/>
      <c r="E434" s="48"/>
      <c r="F434" s="48"/>
      <c r="G434" s="48"/>
      <c r="H434" s="48"/>
      <c r="I434" s="48"/>
      <c r="J434" s="48"/>
      <c r="K434" s="48"/>
      <c r="L434" s="48"/>
      <c r="M434" s="48"/>
      <c r="N434" s="48"/>
      <c r="O434" s="48"/>
      <c r="P434" s="48"/>
      <c r="Q434" s="48"/>
      <c r="R434" s="48"/>
      <c r="S434" s="48"/>
      <c r="T434" s="48"/>
      <c r="U434" s="48"/>
      <c r="V434" s="48"/>
      <c r="W434" s="48"/>
      <c r="X434" s="48"/>
      <c r="Y434" s="48"/>
      <c r="Z434" s="48"/>
      <c r="AA434" s="48"/>
    </row>
    <row r="435" spans="2:27" ht="12.75" customHeight="1" x14ac:dyDescent="0.25">
      <c r="B435" s="48"/>
      <c r="C435" s="48"/>
      <c r="D435" s="48"/>
      <c r="E435" s="48"/>
      <c r="F435" s="48"/>
      <c r="G435" s="48"/>
      <c r="H435" s="48"/>
      <c r="I435" s="48"/>
      <c r="J435" s="48"/>
      <c r="K435" s="48"/>
      <c r="L435" s="48"/>
      <c r="M435" s="48"/>
      <c r="N435" s="48"/>
      <c r="O435" s="48"/>
      <c r="P435" s="48"/>
      <c r="Q435" s="48"/>
      <c r="R435" s="48"/>
      <c r="S435" s="48"/>
      <c r="T435" s="48"/>
      <c r="U435" s="48"/>
      <c r="V435" s="48"/>
      <c r="W435" s="48"/>
      <c r="X435" s="48"/>
      <c r="Y435" s="48"/>
      <c r="Z435" s="48"/>
      <c r="AA435" s="48"/>
    </row>
    <row r="436" spans="2:27" ht="12.75" customHeight="1" x14ac:dyDescent="0.25">
      <c r="B436" s="48"/>
      <c r="C436" s="48"/>
      <c r="D436" s="48"/>
      <c r="E436" s="48"/>
      <c r="F436" s="48"/>
      <c r="G436" s="48"/>
      <c r="H436" s="48"/>
      <c r="I436" s="48"/>
      <c r="J436" s="48"/>
      <c r="K436" s="48"/>
      <c r="L436" s="48"/>
      <c r="M436" s="48"/>
      <c r="N436" s="48"/>
      <c r="O436" s="48"/>
      <c r="P436" s="48"/>
      <c r="Q436" s="48"/>
      <c r="R436" s="48"/>
      <c r="S436" s="48"/>
      <c r="T436" s="48"/>
      <c r="U436" s="48"/>
      <c r="V436" s="48"/>
      <c r="W436" s="48"/>
      <c r="X436" s="48"/>
      <c r="Y436" s="48"/>
      <c r="Z436" s="48"/>
      <c r="AA436" s="48"/>
    </row>
    <row r="437" spans="2:27" ht="12.75" customHeight="1" x14ac:dyDescent="0.25">
      <c r="B437" s="48"/>
      <c r="C437" s="48"/>
      <c r="D437" s="48"/>
      <c r="E437" s="48"/>
      <c r="F437" s="48"/>
      <c r="G437" s="48"/>
      <c r="H437" s="48"/>
      <c r="I437" s="48"/>
      <c r="J437" s="48"/>
      <c r="K437" s="48"/>
      <c r="L437" s="48"/>
      <c r="M437" s="48"/>
      <c r="N437" s="48"/>
      <c r="O437" s="48"/>
      <c r="P437" s="48"/>
      <c r="Q437" s="48"/>
      <c r="R437" s="48"/>
      <c r="S437" s="48"/>
      <c r="T437" s="48"/>
      <c r="U437" s="48"/>
      <c r="V437" s="48"/>
      <c r="W437" s="48"/>
      <c r="X437" s="48"/>
      <c r="Y437" s="48"/>
      <c r="Z437" s="48"/>
      <c r="AA437" s="48"/>
    </row>
    <row r="438" spans="2:27" ht="12.75" customHeight="1" x14ac:dyDescent="0.25">
      <c r="B438" s="48"/>
      <c r="C438" s="48"/>
      <c r="D438" s="48"/>
      <c r="E438" s="48"/>
      <c r="F438" s="48"/>
      <c r="G438" s="48"/>
      <c r="H438" s="48"/>
      <c r="I438" s="48"/>
      <c r="J438" s="48"/>
      <c r="K438" s="48"/>
      <c r="L438" s="48"/>
      <c r="M438" s="48"/>
      <c r="N438" s="48"/>
      <c r="O438" s="48"/>
      <c r="P438" s="48"/>
      <c r="Q438" s="48"/>
      <c r="R438" s="48"/>
      <c r="S438" s="48"/>
      <c r="T438" s="48"/>
      <c r="U438" s="48"/>
      <c r="V438" s="48"/>
      <c r="W438" s="48"/>
      <c r="X438" s="48"/>
      <c r="Y438" s="48"/>
      <c r="Z438" s="48"/>
      <c r="AA438" s="48"/>
    </row>
    <row r="439" spans="2:27" ht="12.75" customHeight="1" x14ac:dyDescent="0.25">
      <c r="B439" s="48"/>
      <c r="C439" s="48"/>
      <c r="D439" s="48"/>
      <c r="E439" s="48"/>
      <c r="F439" s="48"/>
      <c r="G439" s="48"/>
      <c r="H439" s="48"/>
      <c r="I439" s="48"/>
      <c r="J439" s="48"/>
      <c r="K439" s="48"/>
      <c r="L439" s="48"/>
      <c r="M439" s="48"/>
      <c r="N439" s="48"/>
      <c r="O439" s="48"/>
      <c r="P439" s="48"/>
      <c r="Q439" s="48"/>
      <c r="R439" s="48"/>
      <c r="S439" s="48"/>
      <c r="T439" s="48"/>
      <c r="U439" s="48"/>
      <c r="V439" s="48"/>
      <c r="W439" s="48"/>
      <c r="X439" s="48"/>
      <c r="Y439" s="48"/>
      <c r="Z439" s="48"/>
      <c r="AA439" s="48"/>
    </row>
    <row r="440" spans="2:27" ht="12.75" customHeight="1" x14ac:dyDescent="0.25">
      <c r="B440" s="48"/>
      <c r="C440" s="48"/>
      <c r="D440" s="48"/>
      <c r="E440" s="48"/>
      <c r="F440" s="48"/>
      <c r="G440" s="48"/>
      <c r="H440" s="48"/>
      <c r="I440" s="48"/>
      <c r="J440" s="48"/>
      <c r="K440" s="48"/>
      <c r="L440" s="48"/>
      <c r="M440" s="48"/>
      <c r="N440" s="48"/>
      <c r="O440" s="48"/>
      <c r="P440" s="48"/>
      <c r="Q440" s="48"/>
      <c r="R440" s="48"/>
      <c r="S440" s="48"/>
      <c r="T440" s="48"/>
      <c r="U440" s="48"/>
      <c r="V440" s="48"/>
      <c r="W440" s="48"/>
      <c r="X440" s="48"/>
      <c r="Y440" s="48"/>
      <c r="Z440" s="48"/>
      <c r="AA440" s="48"/>
    </row>
    <row r="441" spans="2:27" ht="12.75" customHeight="1" x14ac:dyDescent="0.25">
      <c r="B441" s="48"/>
      <c r="C441" s="48"/>
      <c r="D441" s="48"/>
      <c r="E441" s="48"/>
      <c r="F441" s="48"/>
      <c r="G441" s="48"/>
      <c r="H441" s="48"/>
      <c r="I441" s="48"/>
      <c r="J441" s="48"/>
      <c r="K441" s="48"/>
      <c r="L441" s="48"/>
      <c r="M441" s="48"/>
      <c r="N441" s="48"/>
      <c r="O441" s="48"/>
      <c r="P441" s="48"/>
      <c r="Q441" s="48"/>
      <c r="R441" s="48"/>
      <c r="S441" s="48"/>
      <c r="T441" s="48"/>
      <c r="U441" s="48"/>
      <c r="V441" s="48"/>
      <c r="W441" s="48"/>
      <c r="X441" s="48"/>
      <c r="Y441" s="48"/>
      <c r="Z441" s="48"/>
      <c r="AA441" s="48"/>
    </row>
    <row r="442" spans="2:27" ht="12.75" customHeight="1" x14ac:dyDescent="0.25">
      <c r="B442" s="48"/>
      <c r="C442" s="48"/>
      <c r="D442" s="48"/>
      <c r="E442" s="48"/>
      <c r="F442" s="48"/>
      <c r="G442" s="48"/>
      <c r="H442" s="48"/>
      <c r="I442" s="48"/>
      <c r="J442" s="48"/>
      <c r="K442" s="48"/>
      <c r="L442" s="48"/>
      <c r="M442" s="48"/>
      <c r="N442" s="48"/>
      <c r="O442" s="48"/>
      <c r="P442" s="48"/>
      <c r="Q442" s="48"/>
      <c r="R442" s="48"/>
      <c r="S442" s="48"/>
      <c r="T442" s="48"/>
      <c r="U442" s="48"/>
      <c r="V442" s="48"/>
      <c r="W442" s="48"/>
      <c r="X442" s="48"/>
      <c r="Y442" s="48"/>
      <c r="Z442" s="48"/>
      <c r="AA442" s="48"/>
    </row>
    <row r="443" spans="2:27" ht="12.75" customHeight="1" x14ac:dyDescent="0.25">
      <c r="B443" s="48"/>
      <c r="C443" s="48"/>
      <c r="D443" s="48"/>
      <c r="E443" s="48"/>
      <c r="F443" s="48"/>
      <c r="G443" s="48"/>
      <c r="H443" s="48"/>
      <c r="I443" s="48"/>
      <c r="J443" s="48"/>
      <c r="K443" s="48"/>
      <c r="L443" s="48"/>
      <c r="M443" s="48"/>
      <c r="N443" s="48"/>
      <c r="O443" s="48"/>
      <c r="P443" s="48"/>
      <c r="Q443" s="48"/>
      <c r="R443" s="48"/>
      <c r="S443" s="48"/>
      <c r="T443" s="48"/>
      <c r="U443" s="48"/>
      <c r="V443" s="48"/>
      <c r="W443" s="48"/>
      <c r="X443" s="48"/>
      <c r="Y443" s="48"/>
      <c r="Z443" s="48"/>
      <c r="AA443" s="48"/>
    </row>
    <row r="444" spans="2:27" ht="12.75" customHeight="1" x14ac:dyDescent="0.25">
      <c r="B444" s="48"/>
      <c r="C444" s="48"/>
      <c r="D444" s="48"/>
      <c r="E444" s="48"/>
      <c r="F444" s="48"/>
      <c r="G444" s="48"/>
      <c r="H444" s="48"/>
      <c r="I444" s="48"/>
      <c r="J444" s="48"/>
      <c r="K444" s="48"/>
      <c r="L444" s="48"/>
      <c r="M444" s="48"/>
      <c r="N444" s="48"/>
      <c r="O444" s="48"/>
      <c r="P444" s="48"/>
      <c r="Q444" s="48"/>
      <c r="R444" s="48"/>
      <c r="S444" s="48"/>
      <c r="T444" s="48"/>
      <c r="U444" s="48"/>
      <c r="V444" s="48"/>
      <c r="W444" s="48"/>
      <c r="X444" s="48"/>
      <c r="Y444" s="48"/>
      <c r="Z444" s="48"/>
      <c r="AA444" s="48"/>
    </row>
    <row r="445" spans="2:27" ht="12.75" customHeight="1" x14ac:dyDescent="0.25">
      <c r="B445" s="48"/>
      <c r="C445" s="48"/>
      <c r="D445" s="48"/>
      <c r="E445" s="48"/>
      <c r="F445" s="48"/>
      <c r="G445" s="48"/>
      <c r="H445" s="48"/>
      <c r="I445" s="48"/>
      <c r="J445" s="48"/>
      <c r="K445" s="48"/>
      <c r="L445" s="48"/>
      <c r="M445" s="48"/>
      <c r="N445" s="48"/>
      <c r="O445" s="48"/>
      <c r="P445" s="48"/>
      <c r="Q445" s="48"/>
      <c r="R445" s="48"/>
      <c r="S445" s="48"/>
      <c r="T445" s="48"/>
      <c r="U445" s="48"/>
      <c r="V445" s="48"/>
      <c r="W445" s="48"/>
      <c r="X445" s="48"/>
      <c r="Y445" s="48"/>
      <c r="Z445" s="48"/>
      <c r="AA445" s="48"/>
    </row>
    <row r="446" spans="2:27" ht="12.75" customHeight="1" x14ac:dyDescent="0.25">
      <c r="B446" s="48"/>
      <c r="C446" s="48"/>
      <c r="D446" s="48"/>
      <c r="E446" s="48"/>
      <c r="F446" s="48"/>
      <c r="G446" s="48"/>
      <c r="H446" s="48"/>
      <c r="I446" s="48"/>
      <c r="J446" s="48"/>
      <c r="K446" s="48"/>
      <c r="L446" s="48"/>
      <c r="M446" s="48"/>
      <c r="N446" s="48"/>
      <c r="O446" s="48"/>
      <c r="P446" s="48"/>
      <c r="Q446" s="48"/>
      <c r="R446" s="48"/>
      <c r="S446" s="48"/>
      <c r="T446" s="48"/>
      <c r="U446" s="48"/>
      <c r="V446" s="48"/>
      <c r="W446" s="48"/>
      <c r="X446" s="48"/>
      <c r="Y446" s="48"/>
      <c r="Z446" s="48"/>
      <c r="AA446" s="48"/>
    </row>
    <row r="447" spans="2:27" ht="12.75" customHeight="1" x14ac:dyDescent="0.25">
      <c r="B447" s="48"/>
      <c r="C447" s="48"/>
      <c r="D447" s="48"/>
      <c r="E447" s="48"/>
      <c r="F447" s="48"/>
      <c r="G447" s="48"/>
      <c r="H447" s="48"/>
      <c r="I447" s="48"/>
      <c r="J447" s="48"/>
      <c r="K447" s="48"/>
      <c r="L447" s="48"/>
      <c r="M447" s="48"/>
      <c r="N447" s="48"/>
      <c r="O447" s="48"/>
      <c r="P447" s="48"/>
      <c r="Q447" s="48"/>
      <c r="R447" s="48"/>
      <c r="S447" s="48"/>
      <c r="T447" s="48"/>
      <c r="U447" s="48"/>
      <c r="V447" s="48"/>
      <c r="W447" s="48"/>
      <c r="X447" s="48"/>
      <c r="Y447" s="48"/>
      <c r="Z447" s="48"/>
      <c r="AA447" s="48"/>
    </row>
    <row r="448" spans="2:27" ht="12.75" customHeight="1" x14ac:dyDescent="0.25">
      <c r="B448" s="48"/>
      <c r="C448" s="48"/>
      <c r="D448" s="48"/>
      <c r="E448" s="48"/>
      <c r="F448" s="48"/>
      <c r="G448" s="48"/>
      <c r="H448" s="48"/>
      <c r="I448" s="48"/>
      <c r="J448" s="48"/>
      <c r="K448" s="48"/>
      <c r="L448" s="48"/>
      <c r="M448" s="48"/>
      <c r="N448" s="48"/>
      <c r="O448" s="48"/>
      <c r="P448" s="48"/>
      <c r="Q448" s="48"/>
      <c r="R448" s="48"/>
      <c r="S448" s="48"/>
      <c r="T448" s="48"/>
      <c r="U448" s="48"/>
      <c r="V448" s="48"/>
      <c r="W448" s="48"/>
      <c r="X448" s="48"/>
      <c r="Y448" s="48"/>
      <c r="Z448" s="48"/>
      <c r="AA448" s="48"/>
    </row>
    <row r="449" spans="2:27" ht="12.75" customHeight="1" x14ac:dyDescent="0.25">
      <c r="B449" s="48"/>
      <c r="C449" s="48"/>
      <c r="D449" s="48"/>
      <c r="E449" s="48"/>
      <c r="F449" s="48"/>
      <c r="G449" s="48"/>
      <c r="H449" s="48"/>
      <c r="I449" s="48"/>
      <c r="J449" s="48"/>
      <c r="K449" s="48"/>
      <c r="L449" s="48"/>
      <c r="M449" s="48"/>
      <c r="N449" s="48"/>
      <c r="O449" s="48"/>
      <c r="P449" s="48"/>
      <c r="Q449" s="48"/>
      <c r="R449" s="48"/>
      <c r="S449" s="48"/>
      <c r="T449" s="48"/>
      <c r="U449" s="48"/>
      <c r="V449" s="48"/>
      <c r="W449" s="48"/>
      <c r="X449" s="48"/>
      <c r="Y449" s="48"/>
      <c r="Z449" s="48"/>
      <c r="AA449" s="48"/>
    </row>
    <row r="450" spans="2:27" ht="12.75" customHeight="1" x14ac:dyDescent="0.25">
      <c r="B450" s="48"/>
      <c r="C450" s="48"/>
      <c r="D450" s="48"/>
      <c r="E450" s="48"/>
      <c r="F450" s="48"/>
      <c r="G450" s="48"/>
      <c r="H450" s="48"/>
      <c r="I450" s="48"/>
      <c r="J450" s="48"/>
      <c r="K450" s="48"/>
      <c r="L450" s="48"/>
      <c r="M450" s="48"/>
      <c r="N450" s="48"/>
      <c r="O450" s="48"/>
      <c r="P450" s="48"/>
      <c r="Q450" s="48"/>
      <c r="R450" s="48"/>
      <c r="S450" s="48"/>
      <c r="T450" s="48"/>
      <c r="U450" s="48"/>
      <c r="V450" s="48"/>
      <c r="W450" s="48"/>
      <c r="X450" s="48"/>
      <c r="Y450" s="48"/>
      <c r="Z450" s="48"/>
      <c r="AA450" s="48"/>
    </row>
    <row r="451" spans="2:27" ht="12.75" customHeight="1" x14ac:dyDescent="0.25">
      <c r="B451" s="48"/>
      <c r="C451" s="48"/>
      <c r="D451" s="48"/>
      <c r="E451" s="48"/>
      <c r="F451" s="48"/>
      <c r="G451" s="48"/>
      <c r="H451" s="48"/>
      <c r="I451" s="48"/>
      <c r="J451" s="48"/>
      <c r="K451" s="48"/>
      <c r="L451" s="48"/>
      <c r="M451" s="48"/>
      <c r="N451" s="48"/>
      <c r="O451" s="48"/>
      <c r="P451" s="48"/>
      <c r="Q451" s="48"/>
      <c r="R451" s="48"/>
      <c r="S451" s="48"/>
      <c r="T451" s="48"/>
      <c r="U451" s="48"/>
      <c r="V451" s="48"/>
      <c r="W451" s="48"/>
      <c r="X451" s="48"/>
      <c r="Y451" s="48"/>
      <c r="Z451" s="48"/>
      <c r="AA451" s="48"/>
    </row>
    <row r="452" spans="2:27" ht="12.75" customHeight="1" x14ac:dyDescent="0.25">
      <c r="B452" s="48"/>
      <c r="C452" s="48"/>
      <c r="D452" s="48"/>
      <c r="E452" s="48"/>
      <c r="F452" s="48"/>
      <c r="G452" s="48"/>
      <c r="H452" s="48"/>
      <c r="I452" s="48"/>
      <c r="J452" s="48"/>
      <c r="K452" s="48"/>
      <c r="L452" s="48"/>
      <c r="M452" s="48"/>
      <c r="N452" s="48"/>
      <c r="O452" s="48"/>
      <c r="P452" s="48"/>
      <c r="Q452" s="48"/>
      <c r="R452" s="48"/>
      <c r="S452" s="48"/>
      <c r="T452" s="48"/>
      <c r="U452" s="48"/>
      <c r="V452" s="48"/>
      <c r="W452" s="48"/>
      <c r="X452" s="48"/>
      <c r="Y452" s="48"/>
      <c r="Z452" s="48"/>
      <c r="AA452" s="48"/>
    </row>
    <row r="453" spans="2:27" ht="12.75" customHeight="1" x14ac:dyDescent="0.25">
      <c r="B453" s="48"/>
      <c r="C453" s="48"/>
      <c r="D453" s="48"/>
      <c r="E453" s="48"/>
      <c r="F453" s="48"/>
      <c r="G453" s="48"/>
      <c r="H453" s="48"/>
      <c r="I453" s="48"/>
      <c r="J453" s="48"/>
      <c r="K453" s="48"/>
      <c r="L453" s="48"/>
      <c r="M453" s="48"/>
      <c r="N453" s="48"/>
      <c r="O453" s="48"/>
      <c r="P453" s="48"/>
      <c r="Q453" s="48"/>
      <c r="R453" s="48"/>
      <c r="S453" s="48"/>
      <c r="T453" s="48"/>
      <c r="U453" s="48"/>
      <c r="V453" s="48"/>
      <c r="W453" s="48"/>
      <c r="X453" s="48"/>
      <c r="Y453" s="48"/>
      <c r="Z453" s="48"/>
      <c r="AA453" s="48"/>
    </row>
    <row r="454" spans="2:27" ht="12.75" customHeight="1" x14ac:dyDescent="0.25">
      <c r="B454" s="48"/>
      <c r="C454" s="48"/>
      <c r="D454" s="48"/>
      <c r="E454" s="48"/>
      <c r="F454" s="48"/>
      <c r="G454" s="48"/>
      <c r="H454" s="48"/>
      <c r="I454" s="48"/>
      <c r="J454" s="48"/>
      <c r="K454" s="48"/>
      <c r="L454" s="48"/>
      <c r="M454" s="48"/>
      <c r="N454" s="48"/>
      <c r="O454" s="48"/>
      <c r="P454" s="48"/>
      <c r="Q454" s="48"/>
      <c r="R454" s="48"/>
      <c r="S454" s="48"/>
      <c r="T454" s="48"/>
      <c r="U454" s="48"/>
      <c r="V454" s="48"/>
      <c r="W454" s="48"/>
      <c r="X454" s="48"/>
      <c r="Y454" s="48"/>
      <c r="Z454" s="48"/>
      <c r="AA454" s="48"/>
    </row>
    <row r="455" spans="2:27" ht="12.75" customHeight="1" x14ac:dyDescent="0.25">
      <c r="B455" s="48"/>
      <c r="C455" s="48"/>
      <c r="D455" s="48"/>
      <c r="E455" s="48"/>
      <c r="F455" s="48"/>
      <c r="G455" s="48"/>
      <c r="H455" s="48"/>
      <c r="I455" s="48"/>
      <c r="J455" s="48"/>
      <c r="K455" s="48"/>
      <c r="L455" s="48"/>
      <c r="M455" s="48"/>
      <c r="N455" s="48"/>
      <c r="O455" s="48"/>
      <c r="P455" s="48"/>
      <c r="Q455" s="48"/>
      <c r="R455" s="48"/>
      <c r="S455" s="48"/>
      <c r="T455" s="48"/>
      <c r="U455" s="48"/>
      <c r="V455" s="48"/>
      <c r="W455" s="48"/>
      <c r="X455" s="48"/>
      <c r="Y455" s="48"/>
      <c r="Z455" s="48"/>
      <c r="AA455" s="48"/>
    </row>
    <row r="456" spans="2:27" ht="12.75" customHeight="1" x14ac:dyDescent="0.25">
      <c r="B456" s="48"/>
      <c r="C456" s="48"/>
      <c r="D456" s="48"/>
      <c r="E456" s="48"/>
      <c r="F456" s="48"/>
      <c r="G456" s="48"/>
      <c r="H456" s="48"/>
      <c r="I456" s="48"/>
      <c r="J456" s="48"/>
      <c r="K456" s="48"/>
      <c r="L456" s="48"/>
      <c r="M456" s="48"/>
      <c r="N456" s="48"/>
      <c r="O456" s="48"/>
      <c r="P456" s="48"/>
      <c r="Q456" s="48"/>
      <c r="R456" s="48"/>
      <c r="S456" s="48"/>
      <c r="T456" s="48"/>
      <c r="U456" s="48"/>
      <c r="V456" s="48"/>
      <c r="W456" s="48"/>
      <c r="X456" s="48"/>
      <c r="Y456" s="48"/>
      <c r="Z456" s="48"/>
      <c r="AA456" s="48"/>
    </row>
    <row r="457" spans="2:27" ht="12.75" customHeight="1" x14ac:dyDescent="0.25">
      <c r="B457" s="48"/>
      <c r="C457" s="48"/>
      <c r="D457" s="48"/>
      <c r="E457" s="48"/>
      <c r="F457" s="48"/>
      <c r="G457" s="48"/>
      <c r="H457" s="48"/>
      <c r="I457" s="48"/>
      <c r="J457" s="48"/>
      <c r="K457" s="48"/>
      <c r="L457" s="48"/>
      <c r="M457" s="48"/>
      <c r="N457" s="48"/>
      <c r="O457" s="48"/>
      <c r="P457" s="48"/>
      <c r="Q457" s="48"/>
      <c r="R457" s="48"/>
      <c r="S457" s="48"/>
      <c r="T457" s="48"/>
      <c r="U457" s="48"/>
      <c r="V457" s="48"/>
      <c r="W457" s="48"/>
      <c r="X457" s="48"/>
      <c r="Y457" s="48"/>
      <c r="Z457" s="48"/>
      <c r="AA457" s="48"/>
    </row>
    <row r="458" spans="2:27" ht="12.75" customHeight="1" x14ac:dyDescent="0.25">
      <c r="B458" s="48"/>
      <c r="C458" s="48"/>
      <c r="D458" s="48"/>
      <c r="E458" s="48"/>
      <c r="F458" s="48"/>
      <c r="G458" s="48"/>
      <c r="H458" s="48"/>
      <c r="I458" s="48"/>
      <c r="J458" s="48"/>
      <c r="K458" s="48"/>
      <c r="L458" s="48"/>
      <c r="M458" s="48"/>
      <c r="N458" s="48"/>
      <c r="O458" s="48"/>
      <c r="P458" s="48"/>
      <c r="Q458" s="48"/>
      <c r="R458" s="48"/>
      <c r="S458" s="48"/>
      <c r="T458" s="48"/>
      <c r="U458" s="48"/>
      <c r="V458" s="48"/>
      <c r="W458" s="48"/>
      <c r="X458" s="48"/>
      <c r="Y458" s="48"/>
      <c r="Z458" s="48"/>
      <c r="AA458" s="48"/>
    </row>
    <row r="459" spans="2:27" ht="12.75" customHeight="1" x14ac:dyDescent="0.25">
      <c r="B459" s="48"/>
      <c r="C459" s="48"/>
      <c r="D459" s="48"/>
      <c r="E459" s="48"/>
      <c r="F459" s="48"/>
      <c r="G459" s="48"/>
      <c r="H459" s="48"/>
      <c r="I459" s="48"/>
      <c r="J459" s="48"/>
      <c r="K459" s="48"/>
      <c r="L459" s="48"/>
      <c r="M459" s="48"/>
      <c r="N459" s="48"/>
      <c r="O459" s="48"/>
      <c r="P459" s="48"/>
      <c r="Q459" s="48"/>
      <c r="R459" s="48"/>
      <c r="S459" s="48"/>
      <c r="T459" s="48"/>
      <c r="U459" s="48"/>
      <c r="V459" s="48"/>
      <c r="W459" s="48"/>
      <c r="X459" s="48"/>
      <c r="Y459" s="48"/>
      <c r="Z459" s="48"/>
      <c r="AA459" s="48"/>
    </row>
    <row r="460" spans="2:27" ht="12.75" customHeight="1" x14ac:dyDescent="0.25">
      <c r="B460" s="48"/>
      <c r="C460" s="48"/>
      <c r="D460" s="48"/>
      <c r="E460" s="48"/>
      <c r="F460" s="48"/>
      <c r="G460" s="48"/>
      <c r="H460" s="48"/>
      <c r="I460" s="48"/>
      <c r="J460" s="48"/>
      <c r="K460" s="48"/>
      <c r="L460" s="48"/>
      <c r="M460" s="48"/>
      <c r="N460" s="48"/>
      <c r="O460" s="48"/>
      <c r="P460" s="48"/>
      <c r="Q460" s="48"/>
      <c r="R460" s="48"/>
      <c r="S460" s="48"/>
      <c r="T460" s="48"/>
      <c r="U460" s="48"/>
      <c r="V460" s="48"/>
      <c r="W460" s="48"/>
      <c r="X460" s="48"/>
      <c r="Y460" s="48"/>
      <c r="Z460" s="48"/>
      <c r="AA460" s="48"/>
    </row>
    <row r="461" spans="2:27" ht="12.75" customHeight="1" x14ac:dyDescent="0.25">
      <c r="B461" s="48"/>
      <c r="C461" s="48"/>
      <c r="D461" s="48"/>
      <c r="E461" s="48"/>
      <c r="F461" s="48"/>
      <c r="G461" s="48"/>
      <c r="H461" s="48"/>
      <c r="I461" s="48"/>
      <c r="J461" s="48"/>
      <c r="K461" s="48"/>
      <c r="L461" s="48"/>
      <c r="M461" s="48"/>
      <c r="N461" s="48"/>
      <c r="O461" s="48"/>
      <c r="P461" s="48"/>
      <c r="Q461" s="48"/>
      <c r="R461" s="48"/>
      <c r="S461" s="48"/>
      <c r="T461" s="48"/>
      <c r="U461" s="48"/>
      <c r="V461" s="48"/>
      <c r="W461" s="48"/>
      <c r="X461" s="48"/>
      <c r="Y461" s="48"/>
      <c r="Z461" s="48"/>
      <c r="AA461" s="48"/>
    </row>
    <row r="462" spans="2:27" ht="12.75" customHeight="1" x14ac:dyDescent="0.25">
      <c r="B462" s="48"/>
      <c r="C462" s="48"/>
      <c r="D462" s="48"/>
      <c r="E462" s="48"/>
      <c r="F462" s="48"/>
      <c r="G462" s="48"/>
      <c r="H462" s="48"/>
      <c r="I462" s="48"/>
      <c r="J462" s="48"/>
      <c r="K462" s="48"/>
      <c r="L462" s="48"/>
      <c r="M462" s="48"/>
      <c r="N462" s="48"/>
      <c r="O462" s="48"/>
      <c r="P462" s="48"/>
      <c r="Q462" s="48"/>
      <c r="R462" s="48"/>
      <c r="S462" s="48"/>
      <c r="T462" s="48"/>
      <c r="U462" s="48"/>
      <c r="V462" s="48"/>
      <c r="W462" s="48"/>
      <c r="X462" s="48"/>
      <c r="Y462" s="48"/>
      <c r="Z462" s="48"/>
      <c r="AA462" s="48"/>
    </row>
    <row r="463" spans="2:27" ht="12.75" customHeight="1" x14ac:dyDescent="0.25">
      <c r="B463" s="48"/>
      <c r="C463" s="48"/>
      <c r="D463" s="48"/>
      <c r="E463" s="48"/>
      <c r="F463" s="48"/>
      <c r="G463" s="48"/>
      <c r="H463" s="48"/>
      <c r="I463" s="48"/>
      <c r="J463" s="48"/>
      <c r="K463" s="48"/>
      <c r="L463" s="48"/>
      <c r="M463" s="48"/>
      <c r="N463" s="48"/>
      <c r="O463" s="48"/>
      <c r="P463" s="48"/>
      <c r="Q463" s="48"/>
      <c r="R463" s="48"/>
      <c r="S463" s="48"/>
      <c r="T463" s="48"/>
      <c r="U463" s="48"/>
      <c r="V463" s="48"/>
      <c r="W463" s="48"/>
      <c r="X463" s="48"/>
      <c r="Y463" s="48"/>
      <c r="Z463" s="48"/>
      <c r="AA463" s="48"/>
    </row>
    <row r="464" spans="2:27" ht="12.75" customHeight="1" x14ac:dyDescent="0.25">
      <c r="B464" s="48"/>
      <c r="C464" s="48"/>
      <c r="D464" s="48"/>
      <c r="E464" s="48"/>
      <c r="F464" s="48"/>
      <c r="G464" s="48"/>
      <c r="H464" s="48"/>
      <c r="I464" s="48"/>
      <c r="J464" s="48"/>
      <c r="K464" s="48"/>
      <c r="L464" s="48"/>
      <c r="M464" s="48"/>
      <c r="N464" s="48"/>
      <c r="O464" s="48"/>
      <c r="P464" s="48"/>
      <c r="Q464" s="48"/>
      <c r="R464" s="48"/>
      <c r="S464" s="48"/>
      <c r="T464" s="48"/>
      <c r="U464" s="48"/>
      <c r="V464" s="48"/>
      <c r="W464" s="48"/>
      <c r="X464" s="48"/>
      <c r="Y464" s="48"/>
      <c r="Z464" s="48"/>
      <c r="AA464" s="48"/>
    </row>
    <row r="465" spans="2:27" ht="12.75" customHeight="1" x14ac:dyDescent="0.25">
      <c r="B465" s="48"/>
      <c r="C465" s="48"/>
      <c r="D465" s="48"/>
      <c r="E465" s="48"/>
      <c r="F465" s="48"/>
      <c r="G465" s="48"/>
      <c r="H465" s="48"/>
      <c r="I465" s="48"/>
      <c r="J465" s="48"/>
      <c r="K465" s="48"/>
      <c r="L465" s="48"/>
      <c r="M465" s="48"/>
      <c r="N465" s="48"/>
      <c r="O465" s="48"/>
      <c r="P465" s="48"/>
      <c r="Q465" s="48"/>
      <c r="R465" s="48"/>
      <c r="S465" s="48"/>
      <c r="T465" s="48"/>
      <c r="U465" s="48"/>
      <c r="V465" s="48"/>
      <c r="W465" s="48"/>
      <c r="X465" s="48"/>
      <c r="Y465" s="48"/>
      <c r="Z465" s="48"/>
      <c r="AA465" s="48"/>
    </row>
    <row r="466" spans="2:27" ht="12.75" customHeight="1" x14ac:dyDescent="0.25">
      <c r="B466" s="48"/>
      <c r="C466" s="48"/>
      <c r="D466" s="48"/>
      <c r="E466" s="48"/>
      <c r="F466" s="48"/>
      <c r="G466" s="48"/>
      <c r="H466" s="48"/>
      <c r="I466" s="48"/>
      <c r="J466" s="48"/>
      <c r="K466" s="48"/>
      <c r="L466" s="48"/>
      <c r="M466" s="48"/>
      <c r="N466" s="48"/>
      <c r="O466" s="48"/>
      <c r="P466" s="48"/>
      <c r="Q466" s="48"/>
      <c r="R466" s="48"/>
      <c r="S466" s="48"/>
      <c r="T466" s="48"/>
      <c r="U466" s="48"/>
      <c r="V466" s="48"/>
      <c r="W466" s="48"/>
      <c r="X466" s="48"/>
      <c r="Y466" s="48"/>
      <c r="Z466" s="48"/>
      <c r="AA466" s="48"/>
    </row>
    <row r="467" spans="2:27" ht="12.75" customHeight="1" x14ac:dyDescent="0.25">
      <c r="B467" s="48"/>
      <c r="C467" s="48"/>
      <c r="D467" s="48"/>
      <c r="E467" s="48"/>
      <c r="F467" s="48"/>
      <c r="G467" s="48"/>
      <c r="H467" s="48"/>
      <c r="I467" s="48"/>
      <c r="J467" s="48"/>
      <c r="K467" s="48"/>
      <c r="L467" s="48"/>
      <c r="M467" s="48"/>
      <c r="N467" s="48"/>
      <c r="O467" s="48"/>
      <c r="P467" s="48"/>
      <c r="Q467" s="48"/>
      <c r="R467" s="48"/>
      <c r="S467" s="48"/>
      <c r="T467" s="48"/>
      <c r="U467" s="48"/>
      <c r="V467" s="48"/>
      <c r="W467" s="48"/>
      <c r="X467" s="48"/>
      <c r="Y467" s="48"/>
      <c r="Z467" s="48"/>
      <c r="AA467" s="48"/>
    </row>
    <row r="468" spans="2:27" ht="12.75" customHeight="1" x14ac:dyDescent="0.25">
      <c r="B468" s="48"/>
      <c r="C468" s="48"/>
      <c r="D468" s="48"/>
      <c r="E468" s="48"/>
      <c r="F468" s="48"/>
      <c r="G468" s="48"/>
      <c r="H468" s="48"/>
      <c r="I468" s="48"/>
      <c r="J468" s="48"/>
      <c r="K468" s="48"/>
      <c r="L468" s="48"/>
      <c r="M468" s="48"/>
      <c r="N468" s="48"/>
      <c r="O468" s="48"/>
      <c r="P468" s="48"/>
      <c r="Q468" s="48"/>
      <c r="R468" s="48"/>
      <c r="S468" s="48"/>
      <c r="T468" s="48"/>
      <c r="U468" s="48"/>
      <c r="V468" s="48"/>
      <c r="W468" s="48"/>
      <c r="X468" s="48"/>
      <c r="Y468" s="48"/>
      <c r="Z468" s="48"/>
      <c r="AA468" s="48"/>
    </row>
    <row r="469" spans="2:27" ht="12.75" customHeight="1" x14ac:dyDescent="0.25">
      <c r="B469" s="48"/>
      <c r="C469" s="48"/>
      <c r="D469" s="48"/>
      <c r="E469" s="48"/>
      <c r="F469" s="48"/>
      <c r="G469" s="48"/>
      <c r="H469" s="48"/>
      <c r="I469" s="48"/>
      <c r="J469" s="48"/>
      <c r="K469" s="48"/>
      <c r="L469" s="48"/>
      <c r="M469" s="48"/>
      <c r="N469" s="48"/>
      <c r="O469" s="48"/>
      <c r="P469" s="48"/>
      <c r="Q469" s="48"/>
      <c r="R469" s="48"/>
      <c r="S469" s="48"/>
      <c r="T469" s="48"/>
      <c r="U469" s="48"/>
      <c r="V469" s="48"/>
      <c r="W469" s="48"/>
      <c r="X469" s="48"/>
      <c r="Y469" s="48"/>
      <c r="Z469" s="48"/>
      <c r="AA469" s="48"/>
    </row>
    <row r="470" spans="2:27" ht="12.75" customHeight="1" x14ac:dyDescent="0.25">
      <c r="B470" s="48"/>
      <c r="C470" s="48"/>
      <c r="D470" s="48"/>
      <c r="E470" s="48"/>
      <c r="F470" s="48"/>
      <c r="G470" s="48"/>
      <c r="H470" s="48"/>
      <c r="I470" s="48"/>
      <c r="J470" s="48"/>
      <c r="K470" s="48"/>
      <c r="L470" s="48"/>
      <c r="M470" s="48"/>
      <c r="N470" s="48"/>
      <c r="O470" s="48"/>
      <c r="P470" s="48"/>
      <c r="Q470" s="48"/>
      <c r="R470" s="48"/>
      <c r="S470" s="48"/>
      <c r="T470" s="48"/>
      <c r="U470" s="48"/>
      <c r="V470" s="48"/>
      <c r="W470" s="48"/>
      <c r="X470" s="48"/>
      <c r="Y470" s="48"/>
      <c r="Z470" s="48"/>
      <c r="AA470" s="48"/>
    </row>
    <row r="471" spans="2:27" ht="12.75" customHeight="1" x14ac:dyDescent="0.25">
      <c r="B471" s="48"/>
      <c r="C471" s="48"/>
      <c r="D471" s="48"/>
      <c r="E471" s="48"/>
      <c r="F471" s="48"/>
      <c r="G471" s="48"/>
      <c r="H471" s="48"/>
      <c r="I471" s="48"/>
      <c r="J471" s="48"/>
      <c r="K471" s="48"/>
      <c r="L471" s="48"/>
      <c r="M471" s="48"/>
      <c r="N471" s="48"/>
      <c r="O471" s="48"/>
      <c r="P471" s="48"/>
      <c r="Q471" s="48"/>
      <c r="R471" s="48"/>
      <c r="S471" s="48"/>
      <c r="T471" s="48"/>
      <c r="U471" s="48"/>
      <c r="V471" s="48"/>
      <c r="W471" s="48"/>
      <c r="X471" s="48"/>
      <c r="Y471" s="48"/>
      <c r="Z471" s="48"/>
      <c r="AA471" s="48"/>
    </row>
    <row r="472" spans="2:27" ht="12.75" customHeight="1" x14ac:dyDescent="0.25">
      <c r="B472" s="48"/>
      <c r="C472" s="48"/>
      <c r="D472" s="48"/>
      <c r="E472" s="48"/>
      <c r="F472" s="48"/>
      <c r="G472" s="48"/>
      <c r="H472" s="48"/>
      <c r="I472" s="48"/>
      <c r="J472" s="48"/>
      <c r="K472" s="48"/>
      <c r="L472" s="48"/>
      <c r="M472" s="48"/>
      <c r="N472" s="48"/>
      <c r="O472" s="48"/>
      <c r="P472" s="48"/>
      <c r="Q472" s="48"/>
      <c r="R472" s="48"/>
      <c r="S472" s="48"/>
      <c r="T472" s="48"/>
      <c r="U472" s="48"/>
      <c r="V472" s="48"/>
      <c r="W472" s="48"/>
      <c r="X472" s="48"/>
      <c r="Y472" s="48"/>
      <c r="Z472" s="48"/>
      <c r="AA472" s="48"/>
    </row>
    <row r="473" spans="2:27" ht="12.75" customHeight="1" x14ac:dyDescent="0.25">
      <c r="B473" s="48"/>
      <c r="C473" s="48"/>
      <c r="D473" s="48"/>
      <c r="E473" s="48"/>
      <c r="F473" s="48"/>
      <c r="G473" s="48"/>
      <c r="H473" s="48"/>
      <c r="I473" s="48"/>
      <c r="J473" s="48"/>
      <c r="K473" s="48"/>
      <c r="L473" s="48"/>
      <c r="M473" s="48"/>
      <c r="N473" s="48"/>
      <c r="O473" s="48"/>
      <c r="P473" s="48"/>
      <c r="Q473" s="48"/>
      <c r="R473" s="48"/>
      <c r="S473" s="48"/>
      <c r="T473" s="48"/>
      <c r="U473" s="48"/>
      <c r="V473" s="48"/>
      <c r="W473" s="48"/>
      <c r="X473" s="48"/>
      <c r="Y473" s="48"/>
      <c r="Z473" s="48"/>
      <c r="AA473" s="48"/>
    </row>
    <row r="474" spans="2:27" ht="12.75" customHeight="1" x14ac:dyDescent="0.25">
      <c r="B474" s="48"/>
      <c r="C474" s="48"/>
      <c r="D474" s="48"/>
      <c r="E474" s="48"/>
      <c r="F474" s="48"/>
      <c r="G474" s="48"/>
      <c r="H474" s="48"/>
      <c r="I474" s="48"/>
      <c r="J474" s="48"/>
      <c r="K474" s="48"/>
      <c r="L474" s="48"/>
      <c r="M474" s="48"/>
      <c r="N474" s="48"/>
      <c r="O474" s="48"/>
      <c r="P474" s="48"/>
      <c r="Q474" s="48"/>
      <c r="R474" s="48"/>
      <c r="S474" s="48"/>
      <c r="T474" s="48"/>
      <c r="U474" s="48"/>
      <c r="V474" s="48"/>
      <c r="W474" s="48"/>
      <c r="X474" s="48"/>
      <c r="Y474" s="48"/>
      <c r="Z474" s="48"/>
      <c r="AA474" s="48"/>
    </row>
    <row r="475" spans="2:27" ht="12.75" customHeight="1" x14ac:dyDescent="0.25">
      <c r="B475" s="48"/>
      <c r="C475" s="48"/>
      <c r="D475" s="48"/>
      <c r="E475" s="48"/>
      <c r="F475" s="48"/>
      <c r="G475" s="48"/>
      <c r="H475" s="48"/>
      <c r="I475" s="48"/>
      <c r="J475" s="48"/>
      <c r="K475" s="48"/>
      <c r="L475" s="48"/>
      <c r="M475" s="48"/>
      <c r="N475" s="48"/>
      <c r="O475" s="48"/>
      <c r="P475" s="48"/>
      <c r="Q475" s="48"/>
      <c r="R475" s="48"/>
      <c r="S475" s="48"/>
      <c r="T475" s="48"/>
      <c r="U475" s="48"/>
      <c r="V475" s="48"/>
      <c r="W475" s="48"/>
      <c r="X475" s="48"/>
      <c r="Y475" s="48"/>
      <c r="Z475" s="48"/>
      <c r="AA475" s="48"/>
    </row>
    <row r="476" spans="2:27" ht="12.75" customHeight="1" x14ac:dyDescent="0.25">
      <c r="B476" s="48"/>
      <c r="C476" s="48"/>
      <c r="D476" s="48"/>
      <c r="E476" s="48"/>
      <c r="F476" s="48"/>
      <c r="G476" s="48"/>
      <c r="H476" s="48"/>
      <c r="I476" s="48"/>
      <c r="J476" s="48"/>
      <c r="K476" s="48"/>
      <c r="L476" s="48"/>
      <c r="M476" s="48"/>
      <c r="N476" s="48"/>
      <c r="O476" s="48"/>
      <c r="P476" s="48"/>
      <c r="Q476" s="48"/>
      <c r="R476" s="48"/>
      <c r="S476" s="48"/>
      <c r="T476" s="48"/>
      <c r="U476" s="48"/>
      <c r="V476" s="48"/>
      <c r="W476" s="48"/>
      <c r="X476" s="48"/>
      <c r="Y476" s="48"/>
      <c r="Z476" s="48"/>
      <c r="AA476" s="48"/>
    </row>
    <row r="477" spans="2:27" ht="12.75" customHeight="1" x14ac:dyDescent="0.25">
      <c r="B477" s="48"/>
      <c r="C477" s="48"/>
      <c r="D477" s="48"/>
      <c r="E477" s="48"/>
      <c r="F477" s="48"/>
      <c r="G477" s="48"/>
      <c r="H477" s="48"/>
      <c r="I477" s="48"/>
      <c r="J477" s="48"/>
      <c r="K477" s="48"/>
      <c r="L477" s="48"/>
      <c r="M477" s="48"/>
      <c r="N477" s="48"/>
      <c r="O477" s="48"/>
      <c r="P477" s="48"/>
      <c r="Q477" s="48"/>
      <c r="R477" s="48"/>
      <c r="S477" s="48"/>
      <c r="T477" s="48"/>
      <c r="U477" s="48"/>
      <c r="V477" s="48"/>
      <c r="W477" s="48"/>
      <c r="X477" s="48"/>
      <c r="Y477" s="48"/>
      <c r="Z477" s="48"/>
      <c r="AA477" s="48"/>
    </row>
    <row r="478" spans="2:27" ht="12.75" customHeight="1" x14ac:dyDescent="0.25">
      <c r="B478" s="48"/>
      <c r="C478" s="48"/>
      <c r="D478" s="48"/>
      <c r="E478" s="48"/>
      <c r="F478" s="48"/>
      <c r="G478" s="48"/>
      <c r="H478" s="48"/>
      <c r="I478" s="48"/>
      <c r="J478" s="48"/>
      <c r="K478" s="48"/>
      <c r="L478" s="48"/>
      <c r="M478" s="48"/>
      <c r="N478" s="48"/>
      <c r="O478" s="48"/>
      <c r="P478" s="48"/>
      <c r="Q478" s="48"/>
      <c r="R478" s="48"/>
      <c r="S478" s="48"/>
      <c r="T478" s="48"/>
      <c r="U478" s="48"/>
      <c r="V478" s="48"/>
      <c r="W478" s="48"/>
      <c r="X478" s="48"/>
      <c r="Y478" s="48"/>
      <c r="Z478" s="48"/>
      <c r="AA478" s="48"/>
    </row>
    <row r="479" spans="2:27" ht="12.75" customHeight="1" x14ac:dyDescent="0.25">
      <c r="B479" s="48"/>
      <c r="C479" s="48"/>
      <c r="D479" s="48"/>
      <c r="E479" s="48"/>
      <c r="F479" s="48"/>
      <c r="G479" s="48"/>
      <c r="H479" s="48"/>
      <c r="I479" s="48"/>
      <c r="J479" s="48"/>
      <c r="K479" s="48"/>
      <c r="L479" s="48"/>
      <c r="M479" s="48"/>
      <c r="N479" s="48"/>
      <c r="O479" s="48"/>
      <c r="P479" s="48"/>
      <c r="Q479" s="48"/>
      <c r="R479" s="48"/>
      <c r="S479" s="48"/>
      <c r="T479" s="48"/>
      <c r="U479" s="48"/>
      <c r="V479" s="48"/>
      <c r="W479" s="48"/>
      <c r="X479" s="48"/>
      <c r="Y479" s="48"/>
      <c r="Z479" s="48"/>
      <c r="AA479" s="48"/>
    </row>
    <row r="480" spans="2:27" ht="12.75" customHeight="1" x14ac:dyDescent="0.25">
      <c r="B480" s="48"/>
      <c r="C480" s="48"/>
      <c r="D480" s="48"/>
      <c r="E480" s="48"/>
      <c r="F480" s="48"/>
      <c r="G480" s="48"/>
      <c r="H480" s="48"/>
      <c r="I480" s="48"/>
      <c r="J480" s="48"/>
      <c r="K480" s="48"/>
      <c r="L480" s="48"/>
      <c r="M480" s="48"/>
      <c r="N480" s="48"/>
      <c r="O480" s="48"/>
      <c r="P480" s="48"/>
      <c r="Q480" s="48"/>
      <c r="R480" s="48"/>
      <c r="S480" s="48"/>
      <c r="T480" s="48"/>
      <c r="U480" s="48"/>
      <c r="V480" s="48"/>
      <c r="W480" s="48"/>
      <c r="X480" s="48"/>
      <c r="Y480" s="48"/>
      <c r="Z480" s="48"/>
      <c r="AA480" s="48"/>
    </row>
    <row r="481" spans="2:27" ht="12.75" customHeight="1" x14ac:dyDescent="0.25">
      <c r="B481" s="48"/>
      <c r="C481" s="48"/>
      <c r="D481" s="48"/>
      <c r="E481" s="48"/>
      <c r="F481" s="48"/>
      <c r="G481" s="48"/>
      <c r="H481" s="48"/>
      <c r="I481" s="48"/>
      <c r="J481" s="48"/>
      <c r="K481" s="48"/>
      <c r="L481" s="48"/>
      <c r="M481" s="48"/>
      <c r="N481" s="48"/>
      <c r="O481" s="48"/>
      <c r="P481" s="48"/>
      <c r="Q481" s="48"/>
      <c r="R481" s="48"/>
      <c r="S481" s="48"/>
      <c r="T481" s="48"/>
      <c r="U481" s="48"/>
      <c r="V481" s="48"/>
      <c r="W481" s="48"/>
      <c r="X481" s="48"/>
      <c r="Y481" s="48"/>
      <c r="Z481" s="48"/>
      <c r="AA481" s="48"/>
    </row>
    <row r="482" spans="2:27" ht="12.75" customHeight="1" x14ac:dyDescent="0.25">
      <c r="B482" s="48"/>
      <c r="C482" s="48"/>
      <c r="D482" s="48"/>
      <c r="E482" s="48"/>
      <c r="F482" s="48"/>
      <c r="G482" s="48"/>
      <c r="H482" s="48"/>
      <c r="I482" s="48"/>
      <c r="J482" s="48"/>
      <c r="K482" s="48"/>
      <c r="L482" s="48"/>
      <c r="M482" s="48"/>
      <c r="N482" s="48"/>
      <c r="O482" s="48"/>
      <c r="P482" s="48"/>
      <c r="Q482" s="48"/>
      <c r="R482" s="48"/>
      <c r="S482" s="48"/>
      <c r="T482" s="48"/>
      <c r="U482" s="48"/>
      <c r="V482" s="48"/>
      <c r="W482" s="48"/>
      <c r="X482" s="48"/>
      <c r="Y482" s="48"/>
      <c r="Z482" s="48"/>
      <c r="AA482" s="48"/>
    </row>
    <row r="483" spans="2:27" ht="12.75" customHeight="1" x14ac:dyDescent="0.25">
      <c r="B483" s="48"/>
      <c r="C483" s="48"/>
      <c r="D483" s="48"/>
      <c r="E483" s="48"/>
      <c r="F483" s="48"/>
      <c r="G483" s="48"/>
      <c r="H483" s="48"/>
      <c r="I483" s="48"/>
      <c r="J483" s="48"/>
      <c r="K483" s="48"/>
      <c r="L483" s="48"/>
      <c r="M483" s="48"/>
      <c r="N483" s="48"/>
      <c r="O483" s="48"/>
      <c r="P483" s="48"/>
      <c r="Q483" s="48"/>
      <c r="R483" s="48"/>
      <c r="S483" s="48"/>
      <c r="T483" s="48"/>
      <c r="U483" s="48"/>
      <c r="V483" s="48"/>
      <c r="W483" s="48"/>
      <c r="X483" s="48"/>
      <c r="Y483" s="48"/>
      <c r="Z483" s="48"/>
      <c r="AA483" s="48"/>
    </row>
    <row r="484" spans="2:27" ht="12.75" customHeight="1" x14ac:dyDescent="0.25">
      <c r="B484" s="48"/>
      <c r="C484" s="48"/>
      <c r="D484" s="48"/>
      <c r="E484" s="48"/>
      <c r="F484" s="48"/>
      <c r="G484" s="48"/>
      <c r="H484" s="48"/>
      <c r="I484" s="48"/>
      <c r="J484" s="48"/>
      <c r="K484" s="48"/>
      <c r="L484" s="48"/>
      <c r="M484" s="48"/>
      <c r="N484" s="48"/>
      <c r="O484" s="48"/>
      <c r="P484" s="48"/>
      <c r="Q484" s="48"/>
      <c r="R484" s="48"/>
      <c r="S484" s="48"/>
      <c r="T484" s="48"/>
      <c r="U484" s="48"/>
      <c r="V484" s="48"/>
      <c r="W484" s="48"/>
      <c r="X484" s="48"/>
      <c r="Y484" s="48"/>
      <c r="Z484" s="48"/>
      <c r="AA484" s="48"/>
    </row>
    <row r="485" spans="2:27" ht="12.75" customHeight="1" x14ac:dyDescent="0.25">
      <c r="B485" s="48"/>
      <c r="C485" s="48"/>
      <c r="D485" s="48"/>
      <c r="E485" s="48"/>
      <c r="F485" s="48"/>
      <c r="G485" s="48"/>
      <c r="H485" s="48"/>
      <c r="I485" s="48"/>
      <c r="J485" s="48"/>
      <c r="K485" s="48"/>
      <c r="L485" s="48"/>
      <c r="M485" s="48"/>
      <c r="N485" s="48"/>
      <c r="O485" s="48"/>
      <c r="P485" s="48"/>
      <c r="Q485" s="48"/>
      <c r="R485" s="48"/>
      <c r="S485" s="48"/>
      <c r="T485" s="48"/>
      <c r="U485" s="48"/>
      <c r="V485" s="48"/>
      <c r="W485" s="48"/>
      <c r="X485" s="48"/>
      <c r="Y485" s="48"/>
      <c r="Z485" s="48"/>
      <c r="AA485" s="48"/>
    </row>
    <row r="486" spans="2:27" ht="12.75" customHeight="1" x14ac:dyDescent="0.25">
      <c r="B486" s="48"/>
      <c r="C486" s="48"/>
      <c r="D486" s="48"/>
      <c r="E486" s="48"/>
      <c r="F486" s="48"/>
      <c r="G486" s="48"/>
      <c r="H486" s="48"/>
      <c r="I486" s="48"/>
      <c r="J486" s="48"/>
      <c r="K486" s="48"/>
      <c r="L486" s="48"/>
      <c r="M486" s="48"/>
      <c r="N486" s="48"/>
      <c r="O486" s="48"/>
      <c r="P486" s="48"/>
      <c r="Q486" s="48"/>
      <c r="R486" s="48"/>
      <c r="S486" s="48"/>
      <c r="T486" s="48"/>
      <c r="U486" s="48"/>
      <c r="V486" s="48"/>
      <c r="W486" s="48"/>
      <c r="X486" s="48"/>
      <c r="Y486" s="48"/>
      <c r="Z486" s="48"/>
      <c r="AA486" s="48"/>
    </row>
    <row r="487" spans="2:27" ht="12.75" customHeight="1" x14ac:dyDescent="0.25">
      <c r="B487" s="48"/>
      <c r="C487" s="48"/>
      <c r="D487" s="48"/>
      <c r="E487" s="48"/>
      <c r="F487" s="48"/>
      <c r="G487" s="48"/>
      <c r="H487" s="48"/>
      <c r="I487" s="48"/>
      <c r="J487" s="48"/>
      <c r="K487" s="48"/>
      <c r="L487" s="48"/>
      <c r="M487" s="48"/>
      <c r="N487" s="48"/>
      <c r="O487" s="48"/>
      <c r="P487" s="48"/>
      <c r="Q487" s="48"/>
      <c r="R487" s="48"/>
      <c r="S487" s="48"/>
      <c r="T487" s="48"/>
      <c r="U487" s="48"/>
      <c r="V487" s="48"/>
      <c r="W487" s="48"/>
      <c r="X487" s="48"/>
      <c r="Y487" s="48"/>
      <c r="Z487" s="48"/>
      <c r="AA487" s="48"/>
    </row>
    <row r="488" spans="2:27" ht="12.75" customHeight="1" x14ac:dyDescent="0.25">
      <c r="B488" s="48"/>
      <c r="C488" s="48"/>
      <c r="D488" s="48"/>
      <c r="E488" s="48"/>
      <c r="F488" s="48"/>
      <c r="G488" s="48"/>
      <c r="H488" s="48"/>
      <c r="I488" s="48"/>
      <c r="J488" s="48"/>
      <c r="K488" s="48"/>
      <c r="L488" s="48"/>
      <c r="M488" s="48"/>
      <c r="N488" s="48"/>
      <c r="O488" s="48"/>
      <c r="P488" s="48"/>
      <c r="Q488" s="48"/>
      <c r="R488" s="48"/>
      <c r="S488" s="48"/>
      <c r="T488" s="48"/>
      <c r="U488" s="48"/>
      <c r="V488" s="48"/>
      <c r="W488" s="48"/>
      <c r="X488" s="48"/>
      <c r="Y488" s="48"/>
      <c r="Z488" s="48"/>
      <c r="AA488" s="48"/>
    </row>
    <row r="489" spans="2:27" ht="12.75" customHeight="1" x14ac:dyDescent="0.25">
      <c r="B489" s="48"/>
      <c r="C489" s="48"/>
      <c r="D489" s="48"/>
      <c r="E489" s="48"/>
      <c r="F489" s="48"/>
      <c r="G489" s="48"/>
      <c r="H489" s="48"/>
      <c r="I489" s="48"/>
      <c r="J489" s="48"/>
      <c r="K489" s="48"/>
      <c r="L489" s="48"/>
      <c r="M489" s="48"/>
      <c r="N489" s="48"/>
      <c r="O489" s="48"/>
      <c r="P489" s="48"/>
      <c r="Q489" s="48"/>
      <c r="R489" s="48"/>
      <c r="S489" s="48"/>
      <c r="T489" s="48"/>
      <c r="U489" s="48"/>
      <c r="V489" s="48"/>
      <c r="W489" s="48"/>
      <c r="X489" s="48"/>
      <c r="Y489" s="48"/>
      <c r="Z489" s="48"/>
      <c r="AA489" s="48"/>
    </row>
    <row r="490" spans="2:27" ht="12.75" customHeight="1" x14ac:dyDescent="0.25">
      <c r="B490" s="48"/>
      <c r="C490" s="48"/>
      <c r="D490" s="48"/>
      <c r="E490" s="48"/>
      <c r="F490" s="48"/>
      <c r="G490" s="48"/>
      <c r="H490" s="48"/>
      <c r="I490" s="48"/>
      <c r="J490" s="48"/>
      <c r="K490" s="48"/>
      <c r="L490" s="48"/>
      <c r="M490" s="48"/>
      <c r="N490" s="48"/>
      <c r="O490" s="48"/>
      <c r="P490" s="48"/>
      <c r="Q490" s="48"/>
      <c r="R490" s="48"/>
      <c r="S490" s="48"/>
      <c r="T490" s="48"/>
      <c r="U490" s="48"/>
      <c r="V490" s="48"/>
      <c r="W490" s="48"/>
      <c r="X490" s="48"/>
      <c r="Y490" s="48"/>
      <c r="Z490" s="48"/>
      <c r="AA490" s="48"/>
    </row>
    <row r="491" spans="2:27" ht="12.75" customHeight="1" x14ac:dyDescent="0.25">
      <c r="B491" s="48"/>
      <c r="C491" s="48"/>
      <c r="D491" s="48"/>
      <c r="E491" s="48"/>
      <c r="F491" s="48"/>
      <c r="G491" s="48"/>
      <c r="H491" s="48"/>
      <c r="I491" s="48"/>
      <c r="J491" s="48"/>
      <c r="K491" s="48"/>
      <c r="L491" s="48"/>
      <c r="M491" s="48"/>
      <c r="N491" s="48"/>
      <c r="O491" s="48"/>
      <c r="P491" s="48"/>
      <c r="Q491" s="48"/>
      <c r="R491" s="48"/>
      <c r="S491" s="48"/>
      <c r="T491" s="48"/>
      <c r="U491" s="48"/>
      <c r="V491" s="48"/>
      <c r="W491" s="48"/>
      <c r="X491" s="48"/>
      <c r="Y491" s="48"/>
      <c r="Z491" s="48"/>
      <c r="AA491" s="48"/>
    </row>
    <row r="492" spans="2:27" ht="12.75" customHeight="1" x14ac:dyDescent="0.25">
      <c r="B492" s="48"/>
      <c r="C492" s="48"/>
      <c r="D492" s="48"/>
      <c r="E492" s="48"/>
      <c r="F492" s="48"/>
      <c r="G492" s="48"/>
      <c r="H492" s="48"/>
      <c r="I492" s="48"/>
      <c r="J492" s="48"/>
      <c r="K492" s="48"/>
      <c r="L492" s="48"/>
      <c r="M492" s="48"/>
      <c r="N492" s="48"/>
      <c r="O492" s="48"/>
      <c r="P492" s="48"/>
      <c r="Q492" s="48"/>
      <c r="R492" s="48"/>
      <c r="S492" s="48"/>
      <c r="T492" s="48"/>
      <c r="U492" s="48"/>
      <c r="V492" s="48"/>
      <c r="W492" s="48"/>
      <c r="X492" s="48"/>
      <c r="Y492" s="48"/>
      <c r="Z492" s="48"/>
      <c r="AA492" s="48"/>
    </row>
    <row r="493" spans="2:27" ht="12.75" customHeight="1" x14ac:dyDescent="0.25">
      <c r="B493" s="48"/>
      <c r="C493" s="48"/>
      <c r="D493" s="48"/>
      <c r="E493" s="48"/>
      <c r="F493" s="48"/>
      <c r="G493" s="48"/>
      <c r="H493" s="48"/>
      <c r="I493" s="48"/>
      <c r="J493" s="48"/>
      <c r="K493" s="48"/>
      <c r="L493" s="48"/>
      <c r="M493" s="48"/>
      <c r="N493" s="48"/>
      <c r="O493" s="48"/>
      <c r="P493" s="48"/>
      <c r="Q493" s="48"/>
      <c r="R493" s="48"/>
      <c r="S493" s="48"/>
      <c r="T493" s="48"/>
      <c r="U493" s="48"/>
      <c r="V493" s="48"/>
      <c r="W493" s="48"/>
      <c r="X493" s="48"/>
      <c r="Y493" s="48"/>
      <c r="Z493" s="48"/>
      <c r="AA493" s="48"/>
    </row>
    <row r="494" spans="2:27" ht="12.75" customHeight="1" x14ac:dyDescent="0.25">
      <c r="B494" s="48"/>
      <c r="C494" s="48"/>
      <c r="D494" s="48"/>
      <c r="E494" s="48"/>
      <c r="F494" s="48"/>
      <c r="G494" s="48"/>
      <c r="H494" s="48"/>
      <c r="I494" s="48"/>
      <c r="J494" s="48"/>
      <c r="K494" s="48"/>
      <c r="L494" s="48"/>
      <c r="M494" s="48"/>
      <c r="N494" s="48"/>
      <c r="O494" s="48"/>
      <c r="P494" s="48"/>
      <c r="Q494" s="48"/>
      <c r="R494" s="48"/>
      <c r="S494" s="48"/>
      <c r="T494" s="48"/>
      <c r="U494" s="48"/>
      <c r="V494" s="48"/>
      <c r="W494" s="48"/>
      <c r="X494" s="48"/>
      <c r="Y494" s="48"/>
      <c r="Z494" s="48"/>
      <c r="AA494" s="48"/>
    </row>
    <row r="495" spans="2:27" ht="12.75" customHeight="1" x14ac:dyDescent="0.25">
      <c r="B495" s="48"/>
      <c r="C495" s="48"/>
      <c r="D495" s="48"/>
      <c r="E495" s="48"/>
      <c r="F495" s="48"/>
      <c r="G495" s="48"/>
      <c r="H495" s="48"/>
      <c r="I495" s="48"/>
      <c r="J495" s="48"/>
      <c r="K495" s="48"/>
      <c r="L495" s="48"/>
      <c r="M495" s="48"/>
      <c r="N495" s="48"/>
      <c r="O495" s="48"/>
      <c r="P495" s="48"/>
      <c r="Q495" s="48"/>
      <c r="R495" s="48"/>
      <c r="S495" s="48"/>
      <c r="T495" s="48"/>
      <c r="U495" s="48"/>
      <c r="V495" s="48"/>
      <c r="W495" s="48"/>
      <c r="X495" s="48"/>
      <c r="Y495" s="48"/>
      <c r="Z495" s="48"/>
      <c r="AA495" s="48"/>
    </row>
    <row r="496" spans="2:27" ht="12.75" customHeight="1" x14ac:dyDescent="0.25">
      <c r="B496" s="48"/>
      <c r="C496" s="48"/>
      <c r="D496" s="48"/>
      <c r="E496" s="48"/>
      <c r="F496" s="48"/>
      <c r="G496" s="48"/>
      <c r="H496" s="48"/>
      <c r="I496" s="48"/>
      <c r="J496" s="48"/>
      <c r="K496" s="48"/>
      <c r="L496" s="48"/>
      <c r="M496" s="48"/>
      <c r="N496" s="48"/>
      <c r="O496" s="48"/>
      <c r="P496" s="48"/>
      <c r="Q496" s="48"/>
      <c r="R496" s="48"/>
      <c r="S496" s="48"/>
      <c r="T496" s="48"/>
      <c r="U496" s="48"/>
      <c r="V496" s="48"/>
      <c r="W496" s="48"/>
      <c r="X496" s="48"/>
      <c r="Y496" s="48"/>
      <c r="Z496" s="48"/>
      <c r="AA496" s="48"/>
    </row>
    <row r="497" spans="2:27" ht="12.75" customHeight="1" x14ac:dyDescent="0.25">
      <c r="B497" s="48"/>
      <c r="C497" s="48"/>
      <c r="D497" s="48"/>
      <c r="E497" s="48"/>
      <c r="F497" s="48"/>
      <c r="G497" s="48"/>
      <c r="H497" s="48"/>
      <c r="I497" s="48"/>
      <c r="J497" s="48"/>
      <c r="K497" s="48"/>
      <c r="L497" s="48"/>
      <c r="M497" s="48"/>
      <c r="N497" s="48"/>
      <c r="O497" s="48"/>
      <c r="P497" s="48"/>
      <c r="Q497" s="48"/>
      <c r="R497" s="48"/>
      <c r="S497" s="48"/>
      <c r="T497" s="48"/>
      <c r="U497" s="48"/>
      <c r="V497" s="48"/>
      <c r="W497" s="48"/>
      <c r="X497" s="48"/>
      <c r="Y497" s="48"/>
      <c r="Z497" s="48"/>
      <c r="AA497" s="48"/>
    </row>
    <row r="498" spans="2:27" ht="12.75" customHeight="1" x14ac:dyDescent="0.25">
      <c r="B498" s="48"/>
      <c r="C498" s="48"/>
      <c r="D498" s="48"/>
      <c r="E498" s="48"/>
      <c r="F498" s="48"/>
      <c r="G498" s="48"/>
      <c r="H498" s="48"/>
      <c r="I498" s="48"/>
      <c r="J498" s="48"/>
      <c r="K498" s="48"/>
      <c r="L498" s="48"/>
      <c r="M498" s="48"/>
      <c r="N498" s="48"/>
      <c r="O498" s="48"/>
      <c r="P498" s="48"/>
      <c r="Q498" s="48"/>
      <c r="R498" s="48"/>
      <c r="S498" s="48"/>
      <c r="T498" s="48"/>
      <c r="U498" s="48"/>
      <c r="V498" s="48"/>
      <c r="W498" s="48"/>
      <c r="X498" s="48"/>
      <c r="Y498" s="48"/>
      <c r="Z498" s="48"/>
      <c r="AA498" s="48"/>
    </row>
    <row r="499" spans="2:27" ht="12.75" customHeight="1" x14ac:dyDescent="0.25">
      <c r="B499" s="48"/>
      <c r="C499" s="48"/>
      <c r="D499" s="48"/>
      <c r="E499" s="48"/>
      <c r="F499" s="48"/>
      <c r="G499" s="48"/>
      <c r="H499" s="48"/>
      <c r="I499" s="48"/>
      <c r="J499" s="48"/>
      <c r="K499" s="48"/>
      <c r="L499" s="48"/>
      <c r="M499" s="48"/>
      <c r="N499" s="48"/>
      <c r="O499" s="48"/>
      <c r="P499" s="48"/>
      <c r="Q499" s="48"/>
      <c r="R499" s="48"/>
      <c r="S499" s="48"/>
      <c r="T499" s="48"/>
      <c r="U499" s="48"/>
      <c r="V499" s="48"/>
      <c r="W499" s="48"/>
      <c r="X499" s="48"/>
      <c r="Y499" s="48"/>
      <c r="Z499" s="48"/>
      <c r="AA499" s="48"/>
    </row>
    <row r="500" spans="2:27" ht="12.75" customHeight="1" x14ac:dyDescent="0.25">
      <c r="B500" s="48"/>
      <c r="C500" s="48"/>
      <c r="D500" s="48"/>
      <c r="E500" s="48"/>
      <c r="F500" s="48"/>
      <c r="G500" s="48"/>
      <c r="H500" s="48"/>
      <c r="I500" s="48"/>
      <c r="J500" s="48"/>
      <c r="K500" s="48"/>
      <c r="L500" s="48"/>
      <c r="M500" s="48"/>
      <c r="N500" s="48"/>
      <c r="O500" s="48"/>
      <c r="P500" s="48"/>
      <c r="Q500" s="48"/>
      <c r="R500" s="48"/>
      <c r="S500" s="48"/>
      <c r="T500" s="48"/>
      <c r="U500" s="48"/>
      <c r="V500" s="48"/>
      <c r="W500" s="48"/>
      <c r="X500" s="48"/>
      <c r="Y500" s="48"/>
      <c r="Z500" s="48"/>
      <c r="AA500" s="48"/>
    </row>
    <row r="501" spans="2:27" ht="12.75" customHeight="1" x14ac:dyDescent="0.25">
      <c r="B501" s="48"/>
      <c r="C501" s="48"/>
      <c r="D501" s="48"/>
      <c r="E501" s="48"/>
      <c r="F501" s="48"/>
      <c r="G501" s="48"/>
      <c r="H501" s="48"/>
      <c r="I501" s="48"/>
      <c r="J501" s="48"/>
      <c r="K501" s="48"/>
      <c r="L501" s="48"/>
      <c r="M501" s="48"/>
      <c r="N501" s="48"/>
      <c r="O501" s="48"/>
      <c r="P501" s="48"/>
      <c r="Q501" s="48"/>
      <c r="R501" s="48"/>
      <c r="S501" s="48"/>
      <c r="T501" s="48"/>
      <c r="U501" s="48"/>
      <c r="V501" s="48"/>
      <c r="W501" s="48"/>
      <c r="X501" s="48"/>
      <c r="Y501" s="48"/>
      <c r="Z501" s="48"/>
      <c r="AA501" s="48"/>
    </row>
    <row r="502" spans="2:27" ht="12.75" customHeight="1" x14ac:dyDescent="0.25">
      <c r="B502" s="48"/>
      <c r="C502" s="48"/>
      <c r="D502" s="48"/>
      <c r="E502" s="48"/>
      <c r="F502" s="48"/>
      <c r="G502" s="48"/>
      <c r="H502" s="48"/>
      <c r="I502" s="48"/>
      <c r="J502" s="48"/>
      <c r="K502" s="48"/>
      <c r="L502" s="48"/>
      <c r="M502" s="48"/>
      <c r="N502" s="48"/>
      <c r="O502" s="48"/>
      <c r="P502" s="48"/>
      <c r="Q502" s="48"/>
      <c r="R502" s="48"/>
      <c r="S502" s="48"/>
      <c r="T502" s="48"/>
      <c r="U502" s="48"/>
      <c r="V502" s="48"/>
      <c r="W502" s="48"/>
      <c r="X502" s="48"/>
      <c r="Y502" s="48"/>
      <c r="Z502" s="48"/>
      <c r="AA502" s="48"/>
    </row>
    <row r="503" spans="2:27" ht="12.75" customHeight="1" x14ac:dyDescent="0.25">
      <c r="B503" s="48"/>
      <c r="C503" s="48"/>
      <c r="D503" s="48"/>
      <c r="E503" s="48"/>
      <c r="F503" s="48"/>
      <c r="G503" s="48"/>
      <c r="H503" s="48"/>
      <c r="I503" s="48"/>
      <c r="J503" s="48"/>
      <c r="K503" s="48"/>
      <c r="L503" s="48"/>
      <c r="M503" s="48"/>
      <c r="N503" s="48"/>
      <c r="O503" s="48"/>
      <c r="P503" s="48"/>
      <c r="Q503" s="48"/>
      <c r="R503" s="48"/>
      <c r="S503" s="48"/>
      <c r="T503" s="48"/>
      <c r="U503" s="48"/>
      <c r="V503" s="48"/>
      <c r="W503" s="48"/>
      <c r="X503" s="48"/>
      <c r="Y503" s="48"/>
      <c r="Z503" s="48"/>
      <c r="AA503" s="48"/>
    </row>
    <row r="504" spans="2:27" ht="12.75" customHeight="1" x14ac:dyDescent="0.25">
      <c r="B504" s="48"/>
      <c r="C504" s="48"/>
      <c r="D504" s="48"/>
      <c r="E504" s="48"/>
      <c r="F504" s="48"/>
      <c r="G504" s="48"/>
      <c r="H504" s="48"/>
      <c r="I504" s="48"/>
      <c r="J504" s="48"/>
      <c r="K504" s="48"/>
      <c r="L504" s="48"/>
      <c r="M504" s="48"/>
      <c r="N504" s="48"/>
      <c r="O504" s="48"/>
      <c r="P504" s="48"/>
      <c r="Q504" s="48"/>
      <c r="R504" s="48"/>
      <c r="S504" s="48"/>
      <c r="T504" s="48"/>
      <c r="U504" s="48"/>
      <c r="V504" s="48"/>
      <c r="W504" s="48"/>
      <c r="X504" s="48"/>
      <c r="Y504" s="48"/>
      <c r="Z504" s="48"/>
      <c r="AA504" s="48"/>
    </row>
    <row r="505" spans="2:27" ht="12.75" customHeight="1" x14ac:dyDescent="0.25">
      <c r="B505" s="48"/>
      <c r="C505" s="48"/>
      <c r="D505" s="48"/>
      <c r="E505" s="48"/>
      <c r="F505" s="48"/>
      <c r="G505" s="48"/>
      <c r="H505" s="48"/>
      <c r="I505" s="48"/>
      <c r="J505" s="48"/>
      <c r="K505" s="48"/>
      <c r="L505" s="48"/>
      <c r="M505" s="48"/>
      <c r="N505" s="48"/>
      <c r="O505" s="48"/>
      <c r="P505" s="48"/>
      <c r="Q505" s="48"/>
      <c r="R505" s="48"/>
      <c r="S505" s="48"/>
      <c r="T505" s="48"/>
      <c r="U505" s="48"/>
      <c r="V505" s="48"/>
      <c r="W505" s="48"/>
      <c r="X505" s="48"/>
      <c r="Y505" s="48"/>
      <c r="Z505" s="48"/>
      <c r="AA505" s="48"/>
    </row>
    <row r="506" spans="2:27" ht="12.75" customHeight="1" x14ac:dyDescent="0.25">
      <c r="B506" s="48"/>
      <c r="C506" s="48"/>
      <c r="D506" s="48"/>
      <c r="E506" s="48"/>
      <c r="F506" s="48"/>
      <c r="G506" s="48"/>
      <c r="H506" s="48"/>
      <c r="I506" s="48"/>
      <c r="J506" s="48"/>
      <c r="K506" s="48"/>
      <c r="L506" s="48"/>
      <c r="M506" s="48"/>
      <c r="N506" s="48"/>
      <c r="O506" s="48"/>
      <c r="P506" s="48"/>
      <c r="Q506" s="48"/>
      <c r="R506" s="48"/>
      <c r="S506" s="48"/>
      <c r="T506" s="48"/>
      <c r="U506" s="48"/>
      <c r="V506" s="48"/>
      <c r="W506" s="48"/>
      <c r="X506" s="48"/>
      <c r="Y506" s="48"/>
      <c r="Z506" s="48"/>
      <c r="AA506" s="48"/>
    </row>
    <row r="507" spans="2:27" ht="12.75" customHeight="1" x14ac:dyDescent="0.25">
      <c r="B507" s="48"/>
      <c r="C507" s="48"/>
      <c r="D507" s="48"/>
      <c r="E507" s="48"/>
      <c r="F507" s="48"/>
      <c r="G507" s="48"/>
      <c r="H507" s="48"/>
      <c r="I507" s="48"/>
      <c r="J507" s="48"/>
      <c r="K507" s="48"/>
      <c r="L507" s="48"/>
      <c r="M507" s="48"/>
      <c r="N507" s="48"/>
      <c r="O507" s="48"/>
      <c r="P507" s="48"/>
      <c r="Q507" s="48"/>
      <c r="R507" s="48"/>
      <c r="S507" s="48"/>
      <c r="T507" s="48"/>
      <c r="U507" s="48"/>
      <c r="V507" s="48"/>
      <c r="W507" s="48"/>
      <c r="X507" s="48"/>
      <c r="Y507" s="48"/>
      <c r="Z507" s="48"/>
      <c r="AA507" s="48"/>
    </row>
    <row r="508" spans="2:27" ht="12.75" customHeight="1" x14ac:dyDescent="0.25">
      <c r="B508" s="48"/>
      <c r="C508" s="48"/>
      <c r="D508" s="48"/>
      <c r="E508" s="48"/>
      <c r="F508" s="48"/>
      <c r="G508" s="48"/>
      <c r="H508" s="48"/>
      <c r="I508" s="48"/>
      <c r="J508" s="48"/>
      <c r="K508" s="48"/>
      <c r="L508" s="48"/>
      <c r="M508" s="48"/>
      <c r="N508" s="48"/>
      <c r="O508" s="48"/>
      <c r="P508" s="48"/>
      <c r="Q508" s="48"/>
      <c r="R508" s="48"/>
      <c r="S508" s="48"/>
      <c r="T508" s="48"/>
      <c r="U508" s="48"/>
      <c r="V508" s="48"/>
      <c r="W508" s="48"/>
      <c r="X508" s="48"/>
      <c r="Y508" s="48"/>
      <c r="Z508" s="48"/>
      <c r="AA508" s="48"/>
    </row>
    <row r="509" spans="2:27" ht="12.75" customHeight="1" x14ac:dyDescent="0.25">
      <c r="B509" s="48"/>
      <c r="C509" s="48"/>
      <c r="D509" s="48"/>
      <c r="E509" s="48"/>
      <c r="F509" s="48"/>
      <c r="G509" s="48"/>
      <c r="H509" s="48"/>
      <c r="I509" s="48"/>
      <c r="J509" s="48"/>
      <c r="K509" s="48"/>
      <c r="L509" s="48"/>
      <c r="M509" s="48"/>
      <c r="N509" s="48"/>
      <c r="O509" s="48"/>
      <c r="P509" s="48"/>
      <c r="Q509" s="48"/>
      <c r="R509" s="48"/>
      <c r="S509" s="48"/>
      <c r="T509" s="48"/>
      <c r="U509" s="48"/>
      <c r="V509" s="48"/>
      <c r="W509" s="48"/>
      <c r="X509" s="48"/>
      <c r="Y509" s="48"/>
      <c r="Z509" s="48"/>
      <c r="AA509" s="48"/>
    </row>
    <row r="510" spans="2:27" ht="12.75" customHeight="1" x14ac:dyDescent="0.25">
      <c r="B510" s="48"/>
      <c r="C510" s="48"/>
      <c r="D510" s="48"/>
      <c r="E510" s="48"/>
      <c r="F510" s="48"/>
      <c r="G510" s="48"/>
      <c r="H510" s="48"/>
      <c r="I510" s="48"/>
      <c r="J510" s="48"/>
      <c r="K510" s="48"/>
      <c r="L510" s="48"/>
      <c r="M510" s="48"/>
      <c r="N510" s="48"/>
      <c r="O510" s="48"/>
      <c r="P510" s="48"/>
      <c r="Q510" s="48"/>
      <c r="R510" s="48"/>
      <c r="S510" s="48"/>
      <c r="T510" s="48"/>
      <c r="U510" s="48"/>
      <c r="V510" s="48"/>
      <c r="W510" s="48"/>
      <c r="X510" s="48"/>
      <c r="Y510" s="48"/>
      <c r="Z510" s="48"/>
      <c r="AA510" s="48"/>
    </row>
    <row r="511" spans="2:27" ht="12.75" customHeight="1" x14ac:dyDescent="0.25">
      <c r="B511" s="48"/>
      <c r="C511" s="48"/>
      <c r="D511" s="48"/>
      <c r="E511" s="48"/>
      <c r="F511" s="48"/>
      <c r="G511" s="48"/>
      <c r="H511" s="48"/>
      <c r="I511" s="48"/>
      <c r="J511" s="48"/>
      <c r="K511" s="48"/>
      <c r="L511" s="48"/>
      <c r="M511" s="48"/>
      <c r="N511" s="48"/>
      <c r="O511" s="48"/>
      <c r="P511" s="48"/>
      <c r="Q511" s="48"/>
      <c r="R511" s="48"/>
      <c r="S511" s="48"/>
      <c r="T511" s="48"/>
      <c r="U511" s="48"/>
      <c r="V511" s="48"/>
      <c r="W511" s="48"/>
      <c r="X511" s="48"/>
      <c r="Y511" s="48"/>
      <c r="Z511" s="48"/>
      <c r="AA511" s="48"/>
    </row>
    <row r="512" spans="2:27" ht="12.75" customHeight="1" x14ac:dyDescent="0.25">
      <c r="B512" s="48"/>
      <c r="C512" s="48"/>
      <c r="D512" s="48"/>
      <c r="E512" s="48"/>
      <c r="F512" s="48"/>
      <c r="G512" s="48"/>
      <c r="H512" s="48"/>
      <c r="I512" s="48"/>
      <c r="J512" s="48"/>
      <c r="K512" s="48"/>
      <c r="L512" s="48"/>
      <c r="M512" s="48"/>
      <c r="N512" s="48"/>
      <c r="O512" s="48"/>
      <c r="P512" s="48"/>
      <c r="Q512" s="48"/>
      <c r="R512" s="48"/>
      <c r="S512" s="48"/>
      <c r="T512" s="48"/>
      <c r="U512" s="48"/>
      <c r="V512" s="48"/>
      <c r="W512" s="48"/>
      <c r="X512" s="48"/>
      <c r="Y512" s="48"/>
      <c r="Z512" s="48"/>
      <c r="AA512" s="48"/>
    </row>
    <row r="513" spans="2:27" ht="12.75" customHeight="1" x14ac:dyDescent="0.25">
      <c r="B513" s="48"/>
      <c r="C513" s="48"/>
      <c r="D513" s="48"/>
      <c r="E513" s="48"/>
      <c r="F513" s="48"/>
      <c r="G513" s="48"/>
      <c r="H513" s="48"/>
      <c r="I513" s="48"/>
      <c r="J513" s="48"/>
      <c r="K513" s="48"/>
      <c r="L513" s="48"/>
      <c r="M513" s="48"/>
      <c r="N513" s="48"/>
      <c r="O513" s="48"/>
      <c r="P513" s="48"/>
      <c r="Q513" s="48"/>
      <c r="R513" s="48"/>
      <c r="S513" s="48"/>
      <c r="T513" s="48"/>
      <c r="U513" s="48"/>
      <c r="V513" s="48"/>
      <c r="W513" s="48"/>
      <c r="X513" s="48"/>
      <c r="Y513" s="48"/>
      <c r="Z513" s="48"/>
      <c r="AA513" s="48"/>
    </row>
    <row r="514" spans="2:27" ht="12.75" customHeight="1" x14ac:dyDescent="0.25">
      <c r="B514" s="48"/>
      <c r="C514" s="48"/>
      <c r="D514" s="48"/>
      <c r="E514" s="48"/>
      <c r="F514" s="48"/>
      <c r="G514" s="48"/>
      <c r="H514" s="48"/>
      <c r="I514" s="48"/>
      <c r="J514" s="48"/>
      <c r="K514" s="48"/>
      <c r="L514" s="48"/>
      <c r="M514" s="48"/>
      <c r="N514" s="48"/>
      <c r="O514" s="48"/>
      <c r="P514" s="48"/>
      <c r="Q514" s="48"/>
      <c r="R514" s="48"/>
      <c r="S514" s="48"/>
      <c r="T514" s="48"/>
      <c r="U514" s="48"/>
      <c r="V514" s="48"/>
      <c r="W514" s="48"/>
      <c r="X514" s="48"/>
      <c r="Y514" s="48"/>
      <c r="Z514" s="48"/>
      <c r="AA514" s="48"/>
    </row>
    <row r="515" spans="2:27" ht="12.75" customHeight="1" x14ac:dyDescent="0.25">
      <c r="B515" s="48"/>
      <c r="C515" s="48"/>
      <c r="D515" s="48"/>
      <c r="E515" s="48"/>
      <c r="F515" s="48"/>
      <c r="G515" s="48"/>
      <c r="H515" s="48"/>
      <c r="I515" s="48"/>
      <c r="J515" s="48"/>
      <c r="K515" s="48"/>
      <c r="L515" s="48"/>
      <c r="M515" s="48"/>
      <c r="N515" s="48"/>
      <c r="O515" s="48"/>
      <c r="P515" s="48"/>
      <c r="Q515" s="48"/>
      <c r="R515" s="48"/>
      <c r="S515" s="48"/>
      <c r="T515" s="48"/>
      <c r="U515" s="48"/>
      <c r="V515" s="48"/>
      <c r="W515" s="48"/>
      <c r="X515" s="48"/>
      <c r="Y515" s="48"/>
      <c r="Z515" s="48"/>
      <c r="AA515" s="48"/>
    </row>
    <row r="516" spans="2:27" ht="12.75" customHeight="1" x14ac:dyDescent="0.25">
      <c r="B516" s="48"/>
      <c r="C516" s="48"/>
      <c r="D516" s="48"/>
      <c r="E516" s="48"/>
      <c r="F516" s="48"/>
      <c r="G516" s="48"/>
      <c r="H516" s="48"/>
      <c r="I516" s="48"/>
      <c r="J516" s="48"/>
      <c r="K516" s="48"/>
      <c r="L516" s="48"/>
      <c r="M516" s="48"/>
      <c r="N516" s="48"/>
      <c r="O516" s="48"/>
      <c r="P516" s="48"/>
      <c r="Q516" s="48"/>
      <c r="R516" s="48"/>
      <c r="S516" s="48"/>
      <c r="T516" s="48"/>
      <c r="U516" s="48"/>
      <c r="V516" s="48"/>
      <c r="W516" s="48"/>
      <c r="X516" s="48"/>
      <c r="Y516" s="48"/>
      <c r="Z516" s="48"/>
      <c r="AA516" s="48"/>
    </row>
    <row r="517" spans="2:27" ht="12.75" customHeight="1" x14ac:dyDescent="0.25">
      <c r="B517" s="48"/>
      <c r="C517" s="48"/>
      <c r="D517" s="48"/>
      <c r="E517" s="48"/>
      <c r="F517" s="48"/>
      <c r="G517" s="48"/>
      <c r="H517" s="48"/>
      <c r="I517" s="48"/>
      <c r="J517" s="48"/>
      <c r="K517" s="48"/>
      <c r="L517" s="48"/>
      <c r="M517" s="48"/>
      <c r="N517" s="48"/>
      <c r="O517" s="48"/>
      <c r="P517" s="48"/>
      <c r="Q517" s="48"/>
      <c r="R517" s="48"/>
      <c r="S517" s="48"/>
      <c r="T517" s="48"/>
      <c r="U517" s="48"/>
      <c r="V517" s="48"/>
      <c r="W517" s="48"/>
      <c r="X517" s="48"/>
      <c r="Y517" s="48"/>
      <c r="Z517" s="48"/>
      <c r="AA517" s="48"/>
    </row>
    <row r="518" spans="2:27" ht="12.75" customHeight="1" x14ac:dyDescent="0.25">
      <c r="B518" s="48"/>
      <c r="C518" s="48"/>
      <c r="D518" s="48"/>
      <c r="E518" s="48"/>
      <c r="F518" s="48"/>
      <c r="G518" s="48"/>
      <c r="H518" s="48"/>
      <c r="I518" s="48"/>
      <c r="J518" s="48"/>
      <c r="K518" s="48"/>
      <c r="L518" s="48"/>
      <c r="M518" s="48"/>
      <c r="N518" s="48"/>
      <c r="O518" s="48"/>
      <c r="P518" s="48"/>
      <c r="Q518" s="48"/>
      <c r="R518" s="48"/>
      <c r="S518" s="48"/>
      <c r="T518" s="48"/>
      <c r="U518" s="48"/>
      <c r="V518" s="48"/>
      <c r="W518" s="48"/>
      <c r="X518" s="48"/>
      <c r="Y518" s="48"/>
      <c r="Z518" s="48"/>
      <c r="AA518" s="48"/>
    </row>
    <row r="519" spans="2:27" ht="12.75" customHeight="1" x14ac:dyDescent="0.25">
      <c r="B519" s="48"/>
      <c r="C519" s="48"/>
      <c r="D519" s="48"/>
      <c r="E519" s="48"/>
      <c r="F519" s="48"/>
      <c r="G519" s="48"/>
      <c r="H519" s="48"/>
      <c r="I519" s="48"/>
      <c r="J519" s="48"/>
      <c r="K519" s="48"/>
      <c r="L519" s="48"/>
      <c r="M519" s="48"/>
      <c r="N519" s="48"/>
      <c r="O519" s="48"/>
      <c r="P519" s="48"/>
      <c r="Q519" s="48"/>
      <c r="R519" s="48"/>
      <c r="S519" s="48"/>
      <c r="T519" s="48"/>
      <c r="U519" s="48"/>
      <c r="V519" s="48"/>
      <c r="W519" s="48"/>
      <c r="X519" s="48"/>
      <c r="Y519" s="48"/>
      <c r="Z519" s="48"/>
      <c r="AA519" s="48"/>
    </row>
    <row r="520" spans="2:27" ht="12.75" customHeight="1" x14ac:dyDescent="0.25">
      <c r="B520" s="48"/>
      <c r="C520" s="48"/>
      <c r="D520" s="48"/>
      <c r="E520" s="48"/>
      <c r="F520" s="48"/>
      <c r="G520" s="48"/>
      <c r="H520" s="48"/>
      <c r="I520" s="48"/>
      <c r="J520" s="48"/>
      <c r="K520" s="48"/>
      <c r="L520" s="48"/>
      <c r="M520" s="48"/>
      <c r="N520" s="48"/>
      <c r="O520" s="48"/>
      <c r="P520" s="48"/>
      <c r="Q520" s="48"/>
      <c r="R520" s="48"/>
      <c r="S520" s="48"/>
      <c r="T520" s="48"/>
      <c r="U520" s="48"/>
      <c r="V520" s="48"/>
      <c r="W520" s="48"/>
      <c r="X520" s="48"/>
      <c r="Y520" s="48"/>
      <c r="Z520" s="48"/>
      <c r="AA520" s="48"/>
    </row>
    <row r="521" spans="2:27" ht="12.75" customHeight="1" x14ac:dyDescent="0.25">
      <c r="B521" s="48"/>
      <c r="C521" s="48"/>
      <c r="D521" s="48"/>
      <c r="E521" s="48"/>
      <c r="F521" s="48"/>
      <c r="G521" s="48"/>
      <c r="H521" s="48"/>
      <c r="I521" s="48"/>
      <c r="J521" s="48"/>
      <c r="K521" s="48"/>
      <c r="L521" s="48"/>
      <c r="M521" s="48"/>
      <c r="N521" s="48"/>
      <c r="O521" s="48"/>
      <c r="P521" s="48"/>
      <c r="Q521" s="48"/>
      <c r="R521" s="48"/>
      <c r="S521" s="48"/>
      <c r="T521" s="48"/>
      <c r="U521" s="48"/>
      <c r="V521" s="48"/>
      <c r="W521" s="48"/>
      <c r="X521" s="48"/>
      <c r="Y521" s="48"/>
      <c r="Z521" s="48"/>
      <c r="AA521" s="48"/>
    </row>
    <row r="522" spans="2:27" ht="12.75" customHeight="1" x14ac:dyDescent="0.25">
      <c r="B522" s="48"/>
      <c r="C522" s="48"/>
      <c r="D522" s="48"/>
      <c r="E522" s="48"/>
      <c r="F522" s="48"/>
      <c r="G522" s="48"/>
      <c r="H522" s="48"/>
      <c r="I522" s="48"/>
      <c r="J522" s="48"/>
      <c r="K522" s="48"/>
      <c r="L522" s="48"/>
      <c r="M522" s="48"/>
      <c r="N522" s="48"/>
      <c r="O522" s="48"/>
      <c r="P522" s="48"/>
      <c r="Q522" s="48"/>
      <c r="R522" s="48"/>
      <c r="S522" s="48"/>
      <c r="T522" s="48"/>
      <c r="U522" s="48"/>
      <c r="V522" s="48"/>
      <c r="W522" s="48"/>
      <c r="X522" s="48"/>
      <c r="Y522" s="48"/>
      <c r="Z522" s="48"/>
      <c r="AA522" s="48"/>
    </row>
    <row r="523" spans="2:27" ht="12.75" customHeight="1" x14ac:dyDescent="0.25">
      <c r="B523" s="48"/>
      <c r="C523" s="48"/>
      <c r="D523" s="48"/>
      <c r="E523" s="48"/>
      <c r="F523" s="48"/>
      <c r="G523" s="48"/>
      <c r="H523" s="48"/>
      <c r="I523" s="48"/>
      <c r="J523" s="48"/>
      <c r="K523" s="48"/>
      <c r="L523" s="48"/>
      <c r="M523" s="48"/>
      <c r="N523" s="48"/>
      <c r="O523" s="48"/>
      <c r="P523" s="48"/>
      <c r="Q523" s="48"/>
      <c r="R523" s="48"/>
      <c r="S523" s="48"/>
      <c r="T523" s="48"/>
      <c r="U523" s="48"/>
      <c r="V523" s="48"/>
      <c r="W523" s="48"/>
      <c r="X523" s="48"/>
      <c r="Y523" s="48"/>
      <c r="Z523" s="48"/>
      <c r="AA523" s="48"/>
    </row>
    <row r="524" spans="2:27" ht="12.75" customHeight="1" x14ac:dyDescent="0.25">
      <c r="B524" s="48"/>
      <c r="C524" s="48"/>
      <c r="D524" s="48"/>
      <c r="E524" s="48"/>
      <c r="F524" s="48"/>
      <c r="G524" s="48"/>
      <c r="H524" s="48"/>
      <c r="I524" s="48"/>
      <c r="J524" s="48"/>
      <c r="K524" s="48"/>
      <c r="L524" s="48"/>
      <c r="M524" s="48"/>
      <c r="N524" s="48"/>
      <c r="O524" s="48"/>
      <c r="P524" s="48"/>
      <c r="Q524" s="48"/>
      <c r="R524" s="48"/>
      <c r="S524" s="48"/>
      <c r="T524" s="48"/>
      <c r="U524" s="48"/>
      <c r="V524" s="48"/>
      <c r="W524" s="48"/>
      <c r="X524" s="48"/>
      <c r="Y524" s="48"/>
      <c r="Z524" s="48"/>
      <c r="AA524" s="48"/>
    </row>
    <row r="525" spans="2:27" ht="12.75" customHeight="1" x14ac:dyDescent="0.25">
      <c r="B525" s="48"/>
      <c r="C525" s="48"/>
      <c r="D525" s="48"/>
      <c r="E525" s="48"/>
      <c r="F525" s="48"/>
      <c r="G525" s="48"/>
      <c r="H525" s="48"/>
      <c r="I525" s="48"/>
      <c r="J525" s="48"/>
      <c r="K525" s="48"/>
      <c r="L525" s="48"/>
      <c r="M525" s="48"/>
      <c r="N525" s="48"/>
      <c r="O525" s="48"/>
      <c r="P525" s="48"/>
      <c r="Q525" s="48"/>
      <c r="R525" s="48"/>
      <c r="S525" s="48"/>
      <c r="T525" s="48"/>
      <c r="U525" s="48"/>
      <c r="V525" s="48"/>
      <c r="W525" s="48"/>
      <c r="X525" s="48"/>
      <c r="Y525" s="48"/>
      <c r="Z525" s="48"/>
      <c r="AA525" s="48"/>
    </row>
    <row r="526" spans="2:27" ht="12.75" customHeight="1" x14ac:dyDescent="0.25">
      <c r="B526" s="48"/>
      <c r="C526" s="48"/>
      <c r="D526" s="48"/>
      <c r="E526" s="48"/>
      <c r="F526" s="48"/>
      <c r="G526" s="48"/>
      <c r="H526" s="48"/>
      <c r="I526" s="48"/>
      <c r="J526" s="48"/>
      <c r="K526" s="48"/>
      <c r="L526" s="48"/>
      <c r="M526" s="48"/>
      <c r="N526" s="48"/>
      <c r="O526" s="48"/>
      <c r="P526" s="48"/>
      <c r="Q526" s="48"/>
      <c r="R526" s="48"/>
      <c r="S526" s="48"/>
      <c r="T526" s="48"/>
      <c r="U526" s="48"/>
      <c r="V526" s="48"/>
      <c r="W526" s="48"/>
      <c r="X526" s="48"/>
      <c r="Y526" s="48"/>
      <c r="Z526" s="48"/>
      <c r="AA526" s="48"/>
    </row>
    <row r="527" spans="2:27" ht="12.75" customHeight="1" x14ac:dyDescent="0.25">
      <c r="B527" s="48"/>
      <c r="C527" s="48"/>
      <c r="D527" s="48"/>
      <c r="E527" s="48"/>
      <c r="F527" s="48"/>
      <c r="G527" s="48"/>
      <c r="H527" s="48"/>
      <c r="I527" s="48"/>
      <c r="J527" s="48"/>
      <c r="K527" s="48"/>
      <c r="L527" s="48"/>
      <c r="M527" s="48"/>
      <c r="N527" s="48"/>
      <c r="O527" s="48"/>
      <c r="P527" s="48"/>
      <c r="Q527" s="48"/>
      <c r="R527" s="48"/>
      <c r="S527" s="48"/>
      <c r="T527" s="48"/>
      <c r="U527" s="48"/>
      <c r="V527" s="48"/>
      <c r="W527" s="48"/>
      <c r="X527" s="48"/>
      <c r="Y527" s="48"/>
      <c r="Z527" s="48"/>
      <c r="AA527" s="48"/>
    </row>
    <row r="528" spans="2:27" ht="12.75" customHeight="1" x14ac:dyDescent="0.25">
      <c r="B528" s="48"/>
      <c r="C528" s="48"/>
      <c r="D528" s="48"/>
      <c r="E528" s="48"/>
      <c r="F528" s="48"/>
      <c r="G528" s="48"/>
      <c r="H528" s="48"/>
      <c r="I528" s="48"/>
      <c r="J528" s="48"/>
      <c r="K528" s="48"/>
      <c r="L528" s="48"/>
      <c r="M528" s="48"/>
      <c r="N528" s="48"/>
      <c r="O528" s="48"/>
      <c r="P528" s="48"/>
      <c r="Q528" s="48"/>
      <c r="R528" s="48"/>
      <c r="S528" s="48"/>
      <c r="T528" s="48"/>
      <c r="U528" s="48"/>
      <c r="V528" s="48"/>
      <c r="W528" s="48"/>
      <c r="X528" s="48"/>
      <c r="Y528" s="48"/>
      <c r="Z528" s="48"/>
      <c r="AA528" s="48"/>
    </row>
    <row r="529" spans="2:27" ht="12.75" customHeight="1" x14ac:dyDescent="0.25">
      <c r="B529" s="48"/>
      <c r="C529" s="48"/>
      <c r="D529" s="48"/>
      <c r="E529" s="48"/>
      <c r="F529" s="48"/>
      <c r="G529" s="48"/>
      <c r="H529" s="48"/>
      <c r="I529" s="48"/>
      <c r="J529" s="48"/>
      <c r="K529" s="48"/>
      <c r="L529" s="48"/>
      <c r="M529" s="48"/>
      <c r="N529" s="48"/>
      <c r="O529" s="48"/>
      <c r="P529" s="48"/>
      <c r="Q529" s="48"/>
      <c r="R529" s="48"/>
      <c r="S529" s="48"/>
      <c r="T529" s="48"/>
      <c r="U529" s="48"/>
      <c r="V529" s="48"/>
      <c r="W529" s="48"/>
      <c r="X529" s="48"/>
      <c r="Y529" s="48"/>
      <c r="Z529" s="48"/>
      <c r="AA529" s="48"/>
    </row>
    <row r="530" spans="2:27" ht="12.75" customHeight="1" x14ac:dyDescent="0.25">
      <c r="B530" s="48"/>
      <c r="C530" s="48"/>
      <c r="D530" s="48"/>
      <c r="E530" s="48"/>
      <c r="F530" s="48"/>
      <c r="G530" s="48"/>
      <c r="H530" s="48"/>
      <c r="I530" s="48"/>
      <c r="J530" s="48"/>
      <c r="K530" s="48"/>
      <c r="L530" s="48"/>
      <c r="M530" s="48"/>
      <c r="N530" s="48"/>
      <c r="O530" s="48"/>
      <c r="P530" s="48"/>
      <c r="Q530" s="48"/>
      <c r="R530" s="48"/>
      <c r="S530" s="48"/>
      <c r="T530" s="48"/>
      <c r="U530" s="48"/>
      <c r="V530" s="48"/>
      <c r="W530" s="48"/>
      <c r="X530" s="48"/>
      <c r="Y530" s="48"/>
      <c r="Z530" s="48"/>
      <c r="AA530" s="48"/>
    </row>
    <row r="531" spans="2:27" ht="12.75" customHeight="1" x14ac:dyDescent="0.25">
      <c r="B531" s="48"/>
      <c r="C531" s="48"/>
      <c r="D531" s="48"/>
      <c r="E531" s="48"/>
      <c r="F531" s="48"/>
      <c r="G531" s="48"/>
      <c r="H531" s="48"/>
      <c r="I531" s="48"/>
      <c r="J531" s="48"/>
      <c r="K531" s="48"/>
      <c r="L531" s="48"/>
      <c r="M531" s="48"/>
      <c r="N531" s="48"/>
      <c r="O531" s="48"/>
      <c r="P531" s="48"/>
      <c r="Q531" s="48"/>
      <c r="R531" s="48"/>
      <c r="S531" s="48"/>
      <c r="T531" s="48"/>
      <c r="U531" s="48"/>
      <c r="V531" s="48"/>
      <c r="W531" s="48"/>
      <c r="X531" s="48"/>
      <c r="Y531" s="48"/>
      <c r="Z531" s="48"/>
      <c r="AA531" s="48"/>
    </row>
    <row r="532" spans="2:27" ht="12.75" customHeight="1" x14ac:dyDescent="0.25">
      <c r="B532" s="48"/>
      <c r="C532" s="48"/>
      <c r="D532" s="48"/>
      <c r="E532" s="48"/>
      <c r="F532" s="48"/>
      <c r="G532" s="48"/>
      <c r="H532" s="48"/>
      <c r="I532" s="48"/>
      <c r="J532" s="48"/>
      <c r="K532" s="48"/>
      <c r="L532" s="48"/>
      <c r="M532" s="48"/>
      <c r="N532" s="48"/>
      <c r="O532" s="48"/>
      <c r="P532" s="48"/>
      <c r="Q532" s="48"/>
      <c r="R532" s="48"/>
      <c r="S532" s="48"/>
      <c r="T532" s="48"/>
      <c r="U532" s="48"/>
      <c r="V532" s="48"/>
      <c r="W532" s="48"/>
      <c r="X532" s="48"/>
      <c r="Y532" s="48"/>
      <c r="Z532" s="48"/>
      <c r="AA532" s="48"/>
    </row>
    <row r="533" spans="2:27" ht="12.75" customHeight="1" x14ac:dyDescent="0.25">
      <c r="B533" s="48"/>
      <c r="C533" s="48"/>
      <c r="D533" s="48"/>
      <c r="E533" s="48"/>
      <c r="F533" s="48"/>
      <c r="G533" s="48"/>
      <c r="H533" s="48"/>
      <c r="I533" s="48"/>
      <c r="J533" s="48"/>
      <c r="K533" s="48"/>
      <c r="L533" s="48"/>
      <c r="M533" s="48"/>
      <c r="N533" s="48"/>
      <c r="O533" s="48"/>
      <c r="P533" s="48"/>
      <c r="Q533" s="48"/>
      <c r="R533" s="48"/>
      <c r="S533" s="48"/>
      <c r="T533" s="48"/>
      <c r="U533" s="48"/>
      <c r="V533" s="48"/>
      <c r="W533" s="48"/>
      <c r="X533" s="48"/>
      <c r="Y533" s="48"/>
      <c r="Z533" s="48"/>
      <c r="AA533" s="48"/>
    </row>
    <row r="534" spans="2:27" ht="12.75" customHeight="1" x14ac:dyDescent="0.25">
      <c r="B534" s="48"/>
      <c r="C534" s="48"/>
      <c r="D534" s="48"/>
      <c r="E534" s="48"/>
      <c r="F534" s="48"/>
      <c r="G534" s="48"/>
      <c r="H534" s="48"/>
      <c r="I534" s="48"/>
      <c r="J534" s="48"/>
      <c r="K534" s="48"/>
      <c r="L534" s="48"/>
      <c r="M534" s="48"/>
      <c r="N534" s="48"/>
      <c r="O534" s="48"/>
      <c r="P534" s="48"/>
      <c r="Q534" s="48"/>
      <c r="R534" s="48"/>
      <c r="S534" s="48"/>
      <c r="T534" s="48"/>
      <c r="U534" s="48"/>
      <c r="V534" s="48"/>
      <c r="W534" s="48"/>
      <c r="X534" s="48"/>
      <c r="Y534" s="48"/>
      <c r="Z534" s="48"/>
      <c r="AA534" s="48"/>
    </row>
    <row r="535" spans="2:27" ht="12.75" customHeight="1" x14ac:dyDescent="0.25">
      <c r="B535" s="48"/>
      <c r="C535" s="48"/>
      <c r="D535" s="48"/>
      <c r="E535" s="48"/>
      <c r="F535" s="48"/>
      <c r="G535" s="48"/>
      <c r="H535" s="48"/>
      <c r="I535" s="48"/>
      <c r="J535" s="48"/>
      <c r="K535" s="48"/>
      <c r="L535" s="48"/>
      <c r="M535" s="48"/>
      <c r="N535" s="48"/>
      <c r="O535" s="48"/>
      <c r="P535" s="48"/>
      <c r="Q535" s="48"/>
      <c r="R535" s="48"/>
      <c r="S535" s="48"/>
      <c r="T535" s="48"/>
      <c r="U535" s="48"/>
      <c r="V535" s="48"/>
      <c r="W535" s="48"/>
      <c r="X535" s="48"/>
      <c r="Y535" s="48"/>
      <c r="Z535" s="48"/>
      <c r="AA535" s="48"/>
    </row>
    <row r="536" spans="2:27" ht="12.75" customHeight="1" x14ac:dyDescent="0.25">
      <c r="B536" s="48"/>
      <c r="C536" s="48"/>
      <c r="D536" s="48"/>
      <c r="E536" s="48"/>
      <c r="F536" s="48"/>
      <c r="G536" s="48"/>
      <c r="H536" s="48"/>
      <c r="I536" s="48"/>
      <c r="J536" s="48"/>
      <c r="K536" s="48"/>
      <c r="L536" s="48"/>
      <c r="M536" s="48"/>
      <c r="N536" s="48"/>
      <c r="O536" s="48"/>
      <c r="P536" s="48"/>
      <c r="Q536" s="48"/>
      <c r="R536" s="48"/>
      <c r="S536" s="48"/>
      <c r="T536" s="48"/>
      <c r="U536" s="48"/>
      <c r="V536" s="48"/>
      <c r="W536" s="48"/>
      <c r="X536" s="48"/>
      <c r="Y536" s="48"/>
      <c r="Z536" s="48"/>
      <c r="AA536" s="48"/>
    </row>
    <row r="537" spans="2:27" ht="12.75" customHeight="1" x14ac:dyDescent="0.25">
      <c r="B537" s="48"/>
      <c r="C537" s="48"/>
      <c r="D537" s="48"/>
      <c r="E537" s="48"/>
      <c r="F537" s="48"/>
      <c r="G537" s="48"/>
      <c r="H537" s="48"/>
      <c r="I537" s="48"/>
      <c r="J537" s="48"/>
      <c r="K537" s="48"/>
      <c r="L537" s="48"/>
      <c r="M537" s="48"/>
      <c r="N537" s="48"/>
      <c r="O537" s="48"/>
      <c r="P537" s="48"/>
      <c r="Q537" s="48"/>
      <c r="R537" s="48"/>
      <c r="S537" s="48"/>
      <c r="T537" s="48"/>
      <c r="U537" s="48"/>
      <c r="V537" s="48"/>
      <c r="W537" s="48"/>
      <c r="X537" s="48"/>
      <c r="Y537" s="48"/>
      <c r="Z537" s="48"/>
      <c r="AA537" s="48"/>
    </row>
    <row r="538" spans="2:27" ht="12.75" customHeight="1" x14ac:dyDescent="0.25">
      <c r="B538" s="48"/>
      <c r="C538" s="48"/>
      <c r="D538" s="48"/>
      <c r="E538" s="48"/>
      <c r="F538" s="48"/>
      <c r="G538" s="48"/>
      <c r="H538" s="48"/>
      <c r="I538" s="48"/>
      <c r="J538" s="48"/>
      <c r="K538" s="48"/>
      <c r="L538" s="48"/>
      <c r="M538" s="48"/>
      <c r="N538" s="48"/>
      <c r="O538" s="48"/>
      <c r="P538" s="48"/>
      <c r="Q538" s="48"/>
      <c r="R538" s="48"/>
      <c r="S538" s="48"/>
      <c r="T538" s="48"/>
      <c r="U538" s="48"/>
      <c r="V538" s="48"/>
      <c r="W538" s="48"/>
      <c r="X538" s="48"/>
      <c r="Y538" s="48"/>
      <c r="Z538" s="48"/>
      <c r="AA538" s="48"/>
    </row>
    <row r="539" spans="2:27" ht="12.75" customHeight="1" x14ac:dyDescent="0.25">
      <c r="B539" s="48"/>
      <c r="C539" s="48"/>
      <c r="D539" s="48"/>
      <c r="E539" s="48"/>
      <c r="F539" s="48"/>
      <c r="G539" s="48"/>
      <c r="H539" s="48"/>
      <c r="I539" s="48"/>
      <c r="J539" s="48"/>
      <c r="K539" s="48"/>
      <c r="L539" s="48"/>
      <c r="M539" s="48"/>
      <c r="N539" s="48"/>
      <c r="O539" s="48"/>
      <c r="P539" s="48"/>
      <c r="Q539" s="48"/>
      <c r="R539" s="48"/>
      <c r="S539" s="48"/>
      <c r="T539" s="48"/>
      <c r="U539" s="48"/>
      <c r="V539" s="48"/>
      <c r="W539" s="48"/>
      <c r="X539" s="48"/>
      <c r="Y539" s="48"/>
      <c r="Z539" s="48"/>
      <c r="AA539" s="48"/>
    </row>
    <row r="540" spans="2:27" ht="12.75" customHeight="1" x14ac:dyDescent="0.25">
      <c r="B540" s="48"/>
      <c r="C540" s="48"/>
      <c r="D540" s="48"/>
      <c r="E540" s="48"/>
      <c r="F540" s="48"/>
      <c r="G540" s="48"/>
      <c r="H540" s="48"/>
      <c r="I540" s="48"/>
      <c r="J540" s="48"/>
      <c r="K540" s="48"/>
      <c r="L540" s="48"/>
      <c r="M540" s="48"/>
      <c r="N540" s="48"/>
      <c r="O540" s="48"/>
      <c r="P540" s="48"/>
      <c r="Q540" s="48"/>
      <c r="R540" s="48"/>
      <c r="S540" s="48"/>
      <c r="T540" s="48"/>
      <c r="U540" s="48"/>
      <c r="V540" s="48"/>
      <c r="W540" s="48"/>
      <c r="X540" s="48"/>
      <c r="Y540" s="48"/>
      <c r="Z540" s="48"/>
      <c r="AA540" s="48"/>
    </row>
    <row r="541" spans="2:27" ht="12.75" customHeight="1" x14ac:dyDescent="0.25">
      <c r="B541" s="48"/>
      <c r="C541" s="48"/>
      <c r="D541" s="48"/>
      <c r="E541" s="48"/>
      <c r="F541" s="48"/>
      <c r="G541" s="48"/>
      <c r="H541" s="48"/>
      <c r="I541" s="48"/>
      <c r="J541" s="48"/>
      <c r="K541" s="48"/>
      <c r="L541" s="48"/>
      <c r="M541" s="48"/>
      <c r="N541" s="48"/>
      <c r="O541" s="48"/>
      <c r="P541" s="48"/>
      <c r="Q541" s="48"/>
      <c r="R541" s="48"/>
      <c r="S541" s="48"/>
      <c r="T541" s="48"/>
      <c r="U541" s="48"/>
      <c r="V541" s="48"/>
      <c r="W541" s="48"/>
      <c r="X541" s="48"/>
      <c r="Y541" s="48"/>
      <c r="Z541" s="48"/>
      <c r="AA541" s="48"/>
    </row>
    <row r="542" spans="2:27" ht="12.75" customHeight="1" x14ac:dyDescent="0.25">
      <c r="B542" s="48"/>
      <c r="C542" s="48"/>
      <c r="D542" s="48"/>
      <c r="E542" s="48"/>
      <c r="F542" s="48"/>
      <c r="G542" s="48"/>
      <c r="H542" s="48"/>
      <c r="I542" s="48"/>
      <c r="J542" s="48"/>
      <c r="K542" s="48"/>
      <c r="L542" s="48"/>
      <c r="M542" s="48"/>
      <c r="N542" s="48"/>
      <c r="O542" s="48"/>
      <c r="P542" s="48"/>
      <c r="Q542" s="48"/>
      <c r="R542" s="48"/>
      <c r="S542" s="48"/>
      <c r="T542" s="48"/>
      <c r="U542" s="48"/>
      <c r="V542" s="48"/>
      <c r="W542" s="48"/>
      <c r="X542" s="48"/>
      <c r="Y542" s="48"/>
      <c r="Z542" s="48"/>
      <c r="AA542" s="48"/>
    </row>
    <row r="543" spans="2:27" ht="12.75" customHeight="1" x14ac:dyDescent="0.25">
      <c r="B543" s="48"/>
      <c r="C543" s="48"/>
      <c r="D543" s="48"/>
      <c r="E543" s="48"/>
      <c r="F543" s="48"/>
      <c r="G543" s="48"/>
      <c r="H543" s="48"/>
      <c r="I543" s="48"/>
      <c r="J543" s="48"/>
      <c r="K543" s="48"/>
      <c r="L543" s="48"/>
      <c r="M543" s="48"/>
      <c r="N543" s="48"/>
      <c r="O543" s="48"/>
      <c r="P543" s="48"/>
      <c r="Q543" s="48"/>
      <c r="R543" s="48"/>
      <c r="S543" s="48"/>
      <c r="T543" s="48"/>
      <c r="U543" s="48"/>
      <c r="V543" s="48"/>
      <c r="W543" s="48"/>
      <c r="X543" s="48"/>
      <c r="Y543" s="48"/>
      <c r="Z543" s="48"/>
      <c r="AA543" s="48"/>
    </row>
    <row r="544" spans="2:27" ht="12.75" customHeight="1" x14ac:dyDescent="0.25">
      <c r="B544" s="48"/>
      <c r="C544" s="48"/>
      <c r="D544" s="48"/>
      <c r="E544" s="48"/>
      <c r="F544" s="48"/>
      <c r="G544" s="48"/>
      <c r="H544" s="48"/>
      <c r="I544" s="48"/>
      <c r="J544" s="48"/>
      <c r="K544" s="48"/>
      <c r="L544" s="48"/>
      <c r="M544" s="48"/>
      <c r="N544" s="48"/>
      <c r="O544" s="48"/>
      <c r="P544" s="48"/>
      <c r="Q544" s="48"/>
      <c r="R544" s="48"/>
      <c r="S544" s="48"/>
      <c r="T544" s="48"/>
      <c r="U544" s="48"/>
      <c r="V544" s="48"/>
      <c r="W544" s="48"/>
      <c r="X544" s="48"/>
      <c r="Y544" s="48"/>
      <c r="Z544" s="48"/>
      <c r="AA544" s="48"/>
    </row>
    <row r="545" spans="2:27" ht="12.75" customHeight="1" x14ac:dyDescent="0.25">
      <c r="B545" s="48"/>
      <c r="C545" s="48"/>
      <c r="D545" s="48"/>
      <c r="E545" s="48"/>
      <c r="F545" s="48"/>
      <c r="G545" s="48"/>
      <c r="H545" s="48"/>
      <c r="I545" s="48"/>
      <c r="J545" s="48"/>
      <c r="K545" s="48"/>
      <c r="L545" s="48"/>
      <c r="M545" s="48"/>
      <c r="N545" s="48"/>
      <c r="O545" s="48"/>
      <c r="P545" s="48"/>
      <c r="Q545" s="48"/>
      <c r="R545" s="48"/>
      <c r="S545" s="48"/>
      <c r="T545" s="48"/>
      <c r="U545" s="48"/>
      <c r="V545" s="48"/>
      <c r="W545" s="48"/>
      <c r="X545" s="48"/>
      <c r="Y545" s="48"/>
      <c r="Z545" s="48"/>
      <c r="AA545" s="48"/>
    </row>
    <row r="546" spans="2:27" ht="12.75" customHeight="1" x14ac:dyDescent="0.25">
      <c r="B546" s="48"/>
      <c r="C546" s="48"/>
      <c r="D546" s="48"/>
      <c r="E546" s="48"/>
      <c r="F546" s="48"/>
      <c r="G546" s="48"/>
      <c r="H546" s="48"/>
      <c r="I546" s="48"/>
      <c r="J546" s="48"/>
      <c r="K546" s="48"/>
      <c r="L546" s="48"/>
      <c r="M546" s="48"/>
      <c r="N546" s="48"/>
      <c r="O546" s="48"/>
      <c r="P546" s="48"/>
      <c r="Q546" s="48"/>
      <c r="R546" s="48"/>
      <c r="S546" s="48"/>
      <c r="T546" s="48"/>
      <c r="U546" s="48"/>
      <c r="V546" s="48"/>
      <c r="W546" s="48"/>
      <c r="X546" s="48"/>
      <c r="Y546" s="48"/>
      <c r="Z546" s="48"/>
      <c r="AA546" s="48"/>
    </row>
    <row r="547" spans="2:27" ht="12.75" customHeight="1" x14ac:dyDescent="0.25">
      <c r="B547" s="48"/>
      <c r="C547" s="48"/>
      <c r="D547" s="48"/>
      <c r="E547" s="48"/>
      <c r="F547" s="48"/>
      <c r="G547" s="48"/>
      <c r="H547" s="48"/>
      <c r="I547" s="48"/>
      <c r="J547" s="48"/>
      <c r="K547" s="48"/>
      <c r="L547" s="48"/>
      <c r="M547" s="48"/>
      <c r="N547" s="48"/>
      <c r="O547" s="48"/>
      <c r="P547" s="48"/>
      <c r="Q547" s="48"/>
      <c r="R547" s="48"/>
      <c r="S547" s="48"/>
      <c r="T547" s="48"/>
      <c r="U547" s="48"/>
      <c r="V547" s="48"/>
      <c r="W547" s="48"/>
      <c r="X547" s="48"/>
      <c r="Y547" s="48"/>
      <c r="Z547" s="48"/>
      <c r="AA547" s="48"/>
    </row>
    <row r="548" spans="2:27" ht="12.75" customHeight="1" x14ac:dyDescent="0.25">
      <c r="B548" s="48"/>
      <c r="C548" s="48"/>
      <c r="D548" s="48"/>
      <c r="E548" s="48"/>
      <c r="F548" s="48"/>
      <c r="G548" s="48"/>
      <c r="H548" s="48"/>
      <c r="I548" s="48"/>
      <c r="J548" s="48"/>
      <c r="K548" s="48"/>
      <c r="L548" s="48"/>
      <c r="M548" s="48"/>
      <c r="N548" s="48"/>
      <c r="O548" s="48"/>
      <c r="P548" s="48"/>
      <c r="Q548" s="48"/>
      <c r="R548" s="48"/>
      <c r="S548" s="48"/>
      <c r="T548" s="48"/>
      <c r="U548" s="48"/>
      <c r="V548" s="48"/>
      <c r="W548" s="48"/>
      <c r="X548" s="48"/>
      <c r="Y548" s="48"/>
      <c r="Z548" s="48"/>
      <c r="AA548" s="48"/>
    </row>
    <row r="549" spans="2:27" ht="12.75" customHeight="1" x14ac:dyDescent="0.25">
      <c r="B549" s="48"/>
      <c r="C549" s="48"/>
      <c r="D549" s="48"/>
      <c r="E549" s="48"/>
      <c r="F549" s="48"/>
      <c r="G549" s="48"/>
      <c r="H549" s="48"/>
      <c r="I549" s="48"/>
      <c r="J549" s="48"/>
      <c r="K549" s="48"/>
      <c r="L549" s="48"/>
      <c r="M549" s="48"/>
      <c r="N549" s="48"/>
      <c r="O549" s="48"/>
      <c r="P549" s="48"/>
      <c r="Q549" s="48"/>
      <c r="R549" s="48"/>
      <c r="S549" s="48"/>
      <c r="T549" s="48"/>
      <c r="U549" s="48"/>
      <c r="V549" s="48"/>
      <c r="W549" s="48"/>
      <c r="X549" s="48"/>
      <c r="Y549" s="48"/>
      <c r="Z549" s="48"/>
      <c r="AA549" s="48"/>
    </row>
    <row r="550" spans="2:27" ht="12.75" customHeight="1" x14ac:dyDescent="0.25">
      <c r="B550" s="48"/>
      <c r="C550" s="48"/>
      <c r="D550" s="48"/>
      <c r="E550" s="48"/>
      <c r="F550" s="48"/>
      <c r="G550" s="48"/>
      <c r="H550" s="48"/>
      <c r="I550" s="48"/>
      <c r="J550" s="48"/>
      <c r="K550" s="48"/>
      <c r="L550" s="48"/>
      <c r="M550" s="48"/>
      <c r="N550" s="48"/>
      <c r="O550" s="48"/>
      <c r="P550" s="48"/>
      <c r="Q550" s="48"/>
      <c r="R550" s="48"/>
      <c r="S550" s="48"/>
      <c r="T550" s="48"/>
      <c r="U550" s="48"/>
      <c r="V550" s="48"/>
      <c r="W550" s="48"/>
      <c r="X550" s="48"/>
      <c r="Y550" s="48"/>
      <c r="Z550" s="48"/>
      <c r="AA550" s="48"/>
    </row>
    <row r="551" spans="2:27" ht="12.75" customHeight="1" x14ac:dyDescent="0.25">
      <c r="B551" s="48"/>
      <c r="C551" s="48"/>
      <c r="D551" s="48"/>
      <c r="E551" s="48"/>
      <c r="F551" s="48"/>
      <c r="G551" s="48"/>
      <c r="H551" s="48"/>
      <c r="I551" s="48"/>
      <c r="J551" s="48"/>
      <c r="K551" s="48"/>
      <c r="L551" s="48"/>
      <c r="M551" s="48"/>
      <c r="N551" s="48"/>
      <c r="O551" s="48"/>
      <c r="P551" s="48"/>
      <c r="Q551" s="48"/>
      <c r="R551" s="48"/>
      <c r="S551" s="48"/>
      <c r="T551" s="48"/>
      <c r="U551" s="48"/>
      <c r="V551" s="48"/>
      <c r="W551" s="48"/>
      <c r="X551" s="48"/>
      <c r="Y551" s="48"/>
      <c r="Z551" s="48"/>
      <c r="AA551" s="48"/>
    </row>
    <row r="552" spans="2:27" ht="12.75" customHeight="1" x14ac:dyDescent="0.25">
      <c r="B552" s="48"/>
      <c r="C552" s="48"/>
      <c r="D552" s="48"/>
      <c r="E552" s="48"/>
      <c r="F552" s="48"/>
      <c r="G552" s="48"/>
      <c r="H552" s="48"/>
      <c r="I552" s="48"/>
      <c r="J552" s="48"/>
      <c r="K552" s="48"/>
      <c r="L552" s="48"/>
      <c r="M552" s="48"/>
      <c r="N552" s="48"/>
      <c r="O552" s="48"/>
      <c r="P552" s="48"/>
      <c r="Q552" s="48"/>
      <c r="R552" s="48"/>
      <c r="S552" s="48"/>
      <c r="T552" s="48"/>
      <c r="U552" s="48"/>
      <c r="V552" s="48"/>
      <c r="W552" s="48"/>
      <c r="X552" s="48"/>
      <c r="Y552" s="48"/>
      <c r="Z552" s="48"/>
      <c r="AA552" s="48"/>
    </row>
    <row r="553" spans="2:27" ht="12.75" customHeight="1" x14ac:dyDescent="0.25">
      <c r="B553" s="48"/>
      <c r="C553" s="48"/>
      <c r="D553" s="48"/>
      <c r="E553" s="48"/>
      <c r="F553" s="48"/>
      <c r="G553" s="48"/>
      <c r="H553" s="48"/>
      <c r="I553" s="48"/>
      <c r="J553" s="48"/>
      <c r="K553" s="48"/>
      <c r="L553" s="48"/>
      <c r="M553" s="48"/>
      <c r="N553" s="48"/>
      <c r="O553" s="48"/>
      <c r="P553" s="48"/>
      <c r="Q553" s="48"/>
      <c r="R553" s="48"/>
      <c r="S553" s="48"/>
      <c r="T553" s="48"/>
      <c r="U553" s="48"/>
      <c r="V553" s="48"/>
      <c r="W553" s="48"/>
      <c r="X553" s="48"/>
      <c r="Y553" s="48"/>
      <c r="Z553" s="48"/>
      <c r="AA553" s="48"/>
    </row>
    <row r="554" spans="2:27" ht="12.75" customHeight="1" x14ac:dyDescent="0.25">
      <c r="B554" s="48"/>
      <c r="C554" s="48"/>
      <c r="D554" s="48"/>
      <c r="E554" s="48"/>
      <c r="F554" s="48"/>
      <c r="G554" s="48"/>
      <c r="H554" s="48"/>
      <c r="I554" s="48"/>
      <c r="J554" s="48"/>
      <c r="K554" s="48"/>
      <c r="L554" s="48"/>
      <c r="M554" s="48"/>
      <c r="N554" s="48"/>
      <c r="O554" s="48"/>
      <c r="P554" s="48"/>
      <c r="Q554" s="48"/>
      <c r="R554" s="48"/>
      <c r="S554" s="48"/>
      <c r="T554" s="48"/>
      <c r="U554" s="48"/>
      <c r="V554" s="48"/>
      <c r="W554" s="48"/>
      <c r="X554" s="48"/>
      <c r="Y554" s="48"/>
      <c r="Z554" s="48"/>
      <c r="AA554" s="48"/>
    </row>
    <row r="555" spans="2:27" ht="12.75" customHeight="1" x14ac:dyDescent="0.25">
      <c r="B555" s="48"/>
      <c r="C555" s="48"/>
      <c r="D555" s="48"/>
      <c r="E555" s="48"/>
      <c r="F555" s="48"/>
      <c r="G555" s="48"/>
      <c r="H555" s="48"/>
      <c r="I555" s="48"/>
      <c r="J555" s="48"/>
      <c r="K555" s="48"/>
      <c r="L555" s="48"/>
      <c r="M555" s="48"/>
      <c r="N555" s="48"/>
      <c r="O555" s="48"/>
      <c r="P555" s="48"/>
      <c r="Q555" s="48"/>
      <c r="R555" s="48"/>
      <c r="S555" s="48"/>
      <c r="T555" s="48"/>
      <c r="U555" s="48"/>
      <c r="V555" s="48"/>
      <c r="W555" s="48"/>
      <c r="X555" s="48"/>
      <c r="Y555" s="48"/>
      <c r="Z555" s="48"/>
      <c r="AA555" s="48"/>
    </row>
    <row r="556" spans="2:27" ht="12.75" customHeight="1" x14ac:dyDescent="0.25">
      <c r="B556" s="48"/>
      <c r="C556" s="48"/>
      <c r="D556" s="48"/>
      <c r="E556" s="48"/>
      <c r="F556" s="48"/>
      <c r="G556" s="48"/>
      <c r="H556" s="48"/>
      <c r="I556" s="48"/>
      <c r="J556" s="48"/>
      <c r="K556" s="48"/>
      <c r="L556" s="48"/>
      <c r="M556" s="48"/>
      <c r="N556" s="48"/>
      <c r="O556" s="48"/>
      <c r="P556" s="48"/>
      <c r="Q556" s="48"/>
      <c r="R556" s="48"/>
      <c r="S556" s="48"/>
      <c r="T556" s="48"/>
      <c r="U556" s="48"/>
      <c r="V556" s="48"/>
      <c r="W556" s="48"/>
      <c r="X556" s="48"/>
      <c r="Y556" s="48"/>
      <c r="Z556" s="48"/>
      <c r="AA556" s="48"/>
    </row>
    <row r="557" spans="2:27" ht="12.75" customHeight="1" x14ac:dyDescent="0.25">
      <c r="B557" s="48"/>
      <c r="C557" s="48"/>
      <c r="D557" s="48"/>
      <c r="E557" s="48"/>
      <c r="F557" s="48"/>
      <c r="G557" s="48"/>
      <c r="H557" s="48"/>
      <c r="I557" s="48"/>
      <c r="J557" s="48"/>
      <c r="K557" s="48"/>
      <c r="L557" s="48"/>
      <c r="M557" s="48"/>
      <c r="N557" s="48"/>
      <c r="O557" s="48"/>
      <c r="P557" s="48"/>
      <c r="Q557" s="48"/>
      <c r="R557" s="48"/>
      <c r="S557" s="48"/>
      <c r="T557" s="48"/>
      <c r="U557" s="48"/>
      <c r="V557" s="48"/>
      <c r="W557" s="48"/>
      <c r="X557" s="48"/>
      <c r="Y557" s="48"/>
      <c r="Z557" s="48"/>
      <c r="AA557" s="48"/>
    </row>
    <row r="558" spans="2:27" ht="12.75" customHeight="1" x14ac:dyDescent="0.25">
      <c r="B558" s="48"/>
      <c r="C558" s="48"/>
      <c r="D558" s="48"/>
      <c r="E558" s="48"/>
      <c r="F558" s="48"/>
      <c r="G558" s="48"/>
      <c r="H558" s="48"/>
      <c r="I558" s="48"/>
      <c r="J558" s="48"/>
      <c r="K558" s="48"/>
      <c r="L558" s="48"/>
      <c r="M558" s="48"/>
      <c r="N558" s="48"/>
      <c r="O558" s="48"/>
      <c r="P558" s="48"/>
      <c r="Q558" s="48"/>
      <c r="R558" s="48"/>
      <c r="S558" s="48"/>
      <c r="T558" s="48"/>
      <c r="U558" s="48"/>
      <c r="V558" s="48"/>
      <c r="W558" s="48"/>
      <c r="X558" s="48"/>
      <c r="Y558" s="48"/>
      <c r="Z558" s="48"/>
      <c r="AA558" s="48"/>
    </row>
    <row r="559" spans="2:27" ht="12.75" customHeight="1" x14ac:dyDescent="0.25">
      <c r="B559" s="48"/>
      <c r="C559" s="48"/>
      <c r="D559" s="48"/>
      <c r="E559" s="48"/>
      <c r="F559" s="48"/>
      <c r="G559" s="48"/>
      <c r="H559" s="48"/>
      <c r="I559" s="48"/>
      <c r="J559" s="48"/>
      <c r="K559" s="48"/>
      <c r="L559" s="48"/>
      <c r="M559" s="48"/>
      <c r="N559" s="48"/>
      <c r="O559" s="48"/>
      <c r="P559" s="48"/>
      <c r="Q559" s="48"/>
      <c r="R559" s="48"/>
      <c r="S559" s="48"/>
      <c r="T559" s="48"/>
      <c r="U559" s="48"/>
      <c r="V559" s="48"/>
      <c r="W559" s="48"/>
      <c r="X559" s="48"/>
      <c r="Y559" s="48"/>
      <c r="Z559" s="48"/>
      <c r="AA559" s="48"/>
    </row>
    <row r="560" spans="2:27" ht="12.75" customHeight="1" x14ac:dyDescent="0.25">
      <c r="B560" s="48"/>
      <c r="C560" s="48"/>
      <c r="D560" s="48"/>
      <c r="E560" s="48"/>
      <c r="F560" s="48"/>
      <c r="G560" s="48"/>
      <c r="H560" s="48"/>
      <c r="I560" s="48"/>
      <c r="J560" s="48"/>
      <c r="K560" s="48"/>
      <c r="L560" s="48"/>
      <c r="M560" s="48"/>
      <c r="N560" s="48"/>
      <c r="O560" s="48"/>
      <c r="P560" s="48"/>
      <c r="Q560" s="48"/>
      <c r="R560" s="48"/>
      <c r="S560" s="48"/>
      <c r="T560" s="48"/>
      <c r="U560" s="48"/>
      <c r="V560" s="48"/>
      <c r="W560" s="48"/>
      <c r="X560" s="48"/>
      <c r="Y560" s="48"/>
      <c r="Z560" s="48"/>
      <c r="AA560" s="48"/>
    </row>
    <row r="561" spans="2:27" ht="12.75" customHeight="1" x14ac:dyDescent="0.25">
      <c r="B561" s="48"/>
      <c r="C561" s="48"/>
      <c r="D561" s="48"/>
      <c r="E561" s="48"/>
      <c r="F561" s="48"/>
      <c r="G561" s="48"/>
      <c r="H561" s="48"/>
      <c r="I561" s="48"/>
      <c r="J561" s="48"/>
      <c r="K561" s="48"/>
      <c r="L561" s="48"/>
      <c r="M561" s="48"/>
      <c r="N561" s="48"/>
      <c r="O561" s="48"/>
      <c r="P561" s="48"/>
      <c r="Q561" s="48"/>
      <c r="R561" s="48"/>
      <c r="S561" s="48"/>
      <c r="T561" s="48"/>
      <c r="U561" s="48"/>
      <c r="V561" s="48"/>
      <c r="W561" s="48"/>
      <c r="X561" s="48"/>
      <c r="Y561" s="48"/>
      <c r="Z561" s="48"/>
      <c r="AA561" s="48"/>
    </row>
    <row r="562" spans="2:27" ht="12.75" customHeight="1" x14ac:dyDescent="0.25">
      <c r="B562" s="48"/>
      <c r="C562" s="48"/>
      <c r="D562" s="48"/>
      <c r="E562" s="48"/>
      <c r="F562" s="48"/>
      <c r="G562" s="48"/>
      <c r="H562" s="48"/>
      <c r="I562" s="48"/>
      <c r="J562" s="48"/>
      <c r="K562" s="48"/>
      <c r="L562" s="48"/>
      <c r="M562" s="48"/>
      <c r="N562" s="48"/>
      <c r="O562" s="48"/>
      <c r="P562" s="48"/>
      <c r="Q562" s="48"/>
      <c r="R562" s="48"/>
      <c r="S562" s="48"/>
      <c r="T562" s="48"/>
      <c r="U562" s="48"/>
      <c r="V562" s="48"/>
      <c r="W562" s="48"/>
      <c r="X562" s="48"/>
      <c r="Y562" s="48"/>
      <c r="Z562" s="48"/>
      <c r="AA562" s="48"/>
    </row>
    <row r="563" spans="2:27" ht="12.75" customHeight="1" x14ac:dyDescent="0.25">
      <c r="B563" s="48"/>
      <c r="C563" s="48"/>
      <c r="D563" s="48"/>
      <c r="E563" s="48"/>
      <c r="F563" s="48"/>
      <c r="G563" s="48"/>
      <c r="H563" s="48"/>
      <c r="I563" s="48"/>
      <c r="J563" s="48"/>
      <c r="K563" s="48"/>
      <c r="L563" s="48"/>
      <c r="M563" s="48"/>
      <c r="N563" s="48"/>
      <c r="O563" s="48"/>
      <c r="P563" s="48"/>
      <c r="Q563" s="48"/>
      <c r="R563" s="48"/>
      <c r="S563" s="48"/>
      <c r="T563" s="48"/>
      <c r="U563" s="48"/>
      <c r="V563" s="48"/>
      <c r="W563" s="48"/>
      <c r="X563" s="48"/>
      <c r="Y563" s="48"/>
      <c r="Z563" s="48"/>
      <c r="AA563" s="48"/>
    </row>
    <row r="564" spans="2:27" ht="12.75" customHeight="1" x14ac:dyDescent="0.25">
      <c r="B564" s="48"/>
      <c r="C564" s="48"/>
      <c r="D564" s="48"/>
      <c r="E564" s="48"/>
      <c r="F564" s="48"/>
      <c r="G564" s="48"/>
      <c r="H564" s="48"/>
      <c r="I564" s="48"/>
      <c r="J564" s="48"/>
      <c r="K564" s="48"/>
      <c r="L564" s="48"/>
      <c r="M564" s="48"/>
      <c r="N564" s="48"/>
      <c r="O564" s="48"/>
      <c r="P564" s="48"/>
      <c r="Q564" s="48"/>
      <c r="R564" s="48"/>
      <c r="S564" s="48"/>
      <c r="T564" s="48"/>
      <c r="U564" s="48"/>
      <c r="V564" s="48"/>
      <c r="W564" s="48"/>
      <c r="X564" s="48"/>
      <c r="Y564" s="48"/>
      <c r="Z564" s="48"/>
      <c r="AA564" s="48"/>
    </row>
    <row r="565" spans="2:27" ht="12.75" customHeight="1" x14ac:dyDescent="0.25">
      <c r="B565" s="48"/>
      <c r="C565" s="48"/>
      <c r="D565" s="48"/>
      <c r="E565" s="48"/>
      <c r="F565" s="48"/>
      <c r="G565" s="48"/>
      <c r="H565" s="48"/>
      <c r="I565" s="48"/>
      <c r="J565" s="48"/>
      <c r="K565" s="48"/>
      <c r="L565" s="48"/>
      <c r="M565" s="48"/>
      <c r="N565" s="48"/>
      <c r="O565" s="48"/>
      <c r="P565" s="48"/>
      <c r="Q565" s="48"/>
      <c r="R565" s="48"/>
      <c r="S565" s="48"/>
      <c r="T565" s="48"/>
      <c r="U565" s="48"/>
      <c r="V565" s="48"/>
      <c r="W565" s="48"/>
      <c r="X565" s="48"/>
      <c r="Y565" s="48"/>
      <c r="Z565" s="48"/>
      <c r="AA565" s="48"/>
    </row>
    <row r="566" spans="2:27" ht="12.75" customHeight="1" x14ac:dyDescent="0.25">
      <c r="B566" s="48"/>
      <c r="C566" s="48"/>
      <c r="D566" s="48"/>
      <c r="E566" s="48"/>
      <c r="F566" s="48"/>
      <c r="G566" s="48"/>
      <c r="H566" s="48"/>
      <c r="I566" s="48"/>
      <c r="J566" s="48"/>
      <c r="K566" s="48"/>
      <c r="L566" s="48"/>
      <c r="M566" s="48"/>
      <c r="N566" s="48"/>
      <c r="O566" s="48"/>
      <c r="P566" s="48"/>
      <c r="Q566" s="48"/>
      <c r="R566" s="48"/>
      <c r="S566" s="48"/>
      <c r="T566" s="48"/>
      <c r="U566" s="48"/>
      <c r="V566" s="48"/>
      <c r="W566" s="48"/>
      <c r="X566" s="48"/>
      <c r="Y566" s="48"/>
      <c r="Z566" s="48"/>
      <c r="AA566" s="48"/>
    </row>
    <row r="567" spans="2:27" ht="12.75" customHeight="1" x14ac:dyDescent="0.25">
      <c r="B567" s="48"/>
      <c r="C567" s="48"/>
      <c r="D567" s="48"/>
      <c r="E567" s="48"/>
      <c r="F567" s="48"/>
      <c r="G567" s="48"/>
      <c r="H567" s="48"/>
      <c r="I567" s="48"/>
      <c r="J567" s="48"/>
      <c r="K567" s="48"/>
      <c r="L567" s="48"/>
      <c r="M567" s="48"/>
      <c r="N567" s="48"/>
      <c r="O567" s="48"/>
      <c r="P567" s="48"/>
      <c r="Q567" s="48"/>
      <c r="R567" s="48"/>
      <c r="S567" s="48"/>
      <c r="T567" s="48"/>
      <c r="U567" s="48"/>
      <c r="V567" s="48"/>
      <c r="W567" s="48"/>
      <c r="X567" s="48"/>
      <c r="Y567" s="48"/>
      <c r="Z567" s="48"/>
      <c r="AA567" s="48"/>
    </row>
    <row r="568" spans="2:27" ht="12.75" customHeight="1" x14ac:dyDescent="0.25">
      <c r="B568" s="48"/>
      <c r="C568" s="48"/>
      <c r="D568" s="48"/>
      <c r="E568" s="48"/>
      <c r="F568" s="48"/>
      <c r="G568" s="48"/>
      <c r="H568" s="48"/>
      <c r="I568" s="48"/>
      <c r="J568" s="48"/>
      <c r="K568" s="48"/>
      <c r="L568" s="48"/>
      <c r="M568" s="48"/>
      <c r="N568" s="48"/>
      <c r="O568" s="48"/>
      <c r="P568" s="48"/>
      <c r="Q568" s="48"/>
      <c r="R568" s="48"/>
      <c r="S568" s="48"/>
      <c r="T568" s="48"/>
      <c r="U568" s="48"/>
      <c r="V568" s="48"/>
      <c r="W568" s="48"/>
      <c r="X568" s="48"/>
      <c r="Y568" s="48"/>
      <c r="Z568" s="48"/>
      <c r="AA568" s="48"/>
    </row>
    <row r="569" spans="2:27" ht="12.75" customHeight="1" x14ac:dyDescent="0.25">
      <c r="B569" s="48"/>
      <c r="C569" s="48"/>
      <c r="D569" s="48"/>
      <c r="E569" s="48"/>
      <c r="F569" s="48"/>
      <c r="G569" s="48"/>
      <c r="H569" s="48"/>
      <c r="I569" s="48"/>
      <c r="J569" s="48"/>
      <c r="K569" s="48"/>
      <c r="L569" s="48"/>
      <c r="M569" s="48"/>
      <c r="N569" s="48"/>
      <c r="O569" s="48"/>
      <c r="P569" s="48"/>
      <c r="Q569" s="48"/>
      <c r="R569" s="48"/>
      <c r="S569" s="48"/>
      <c r="T569" s="48"/>
      <c r="U569" s="48"/>
      <c r="V569" s="48"/>
      <c r="W569" s="48"/>
      <c r="X569" s="48"/>
      <c r="Y569" s="48"/>
      <c r="Z569" s="48"/>
      <c r="AA569" s="48"/>
    </row>
    <row r="570" spans="2:27" ht="12.75" customHeight="1" x14ac:dyDescent="0.25">
      <c r="B570" s="48"/>
      <c r="C570" s="48"/>
      <c r="D570" s="48"/>
      <c r="E570" s="48"/>
      <c r="F570" s="48"/>
      <c r="G570" s="48"/>
      <c r="H570" s="48"/>
      <c r="I570" s="48"/>
      <c r="J570" s="48"/>
      <c r="K570" s="48"/>
      <c r="L570" s="48"/>
      <c r="M570" s="48"/>
      <c r="N570" s="48"/>
      <c r="O570" s="48"/>
      <c r="P570" s="48"/>
      <c r="Q570" s="48"/>
      <c r="R570" s="48"/>
      <c r="S570" s="48"/>
      <c r="T570" s="48"/>
      <c r="U570" s="48"/>
      <c r="V570" s="48"/>
      <c r="W570" s="48"/>
      <c r="X570" s="48"/>
      <c r="Y570" s="48"/>
      <c r="Z570" s="48"/>
      <c r="AA570" s="48"/>
    </row>
    <row r="571" spans="2:27" ht="12.75" customHeight="1" x14ac:dyDescent="0.25">
      <c r="B571" s="48"/>
      <c r="C571" s="48"/>
      <c r="D571" s="48"/>
      <c r="E571" s="48"/>
      <c r="F571" s="48"/>
      <c r="G571" s="48"/>
      <c r="H571" s="48"/>
      <c r="I571" s="48"/>
      <c r="J571" s="48"/>
      <c r="K571" s="48"/>
      <c r="L571" s="48"/>
      <c r="M571" s="48"/>
      <c r="N571" s="48"/>
      <c r="O571" s="48"/>
      <c r="P571" s="48"/>
      <c r="Q571" s="48"/>
      <c r="R571" s="48"/>
      <c r="S571" s="48"/>
      <c r="T571" s="48"/>
      <c r="U571" s="48"/>
      <c r="V571" s="48"/>
      <c r="W571" s="48"/>
      <c r="X571" s="48"/>
      <c r="Y571" s="48"/>
      <c r="Z571" s="48"/>
      <c r="AA571" s="48"/>
    </row>
    <row r="572" spans="2:27" ht="12.75" customHeight="1" x14ac:dyDescent="0.25">
      <c r="B572" s="48"/>
      <c r="C572" s="48"/>
      <c r="D572" s="48"/>
      <c r="E572" s="48"/>
      <c r="F572" s="48"/>
      <c r="G572" s="48"/>
      <c r="H572" s="48"/>
      <c r="I572" s="48"/>
      <c r="J572" s="48"/>
      <c r="K572" s="48"/>
      <c r="L572" s="48"/>
      <c r="M572" s="48"/>
      <c r="N572" s="48"/>
      <c r="O572" s="48"/>
      <c r="P572" s="48"/>
      <c r="Q572" s="48"/>
      <c r="R572" s="48"/>
      <c r="S572" s="48"/>
      <c r="T572" s="48"/>
      <c r="U572" s="48"/>
      <c r="V572" s="48"/>
      <c r="W572" s="48"/>
      <c r="X572" s="48"/>
      <c r="Y572" s="48"/>
      <c r="Z572" s="48"/>
      <c r="AA572" s="48"/>
    </row>
    <row r="573" spans="2:27" ht="12.75" customHeight="1" x14ac:dyDescent="0.25">
      <c r="B573" s="48"/>
      <c r="C573" s="48"/>
      <c r="D573" s="48"/>
      <c r="E573" s="48"/>
      <c r="F573" s="48"/>
      <c r="G573" s="48"/>
      <c r="H573" s="48"/>
      <c r="I573" s="48"/>
      <c r="J573" s="48"/>
      <c r="K573" s="48"/>
      <c r="L573" s="48"/>
      <c r="M573" s="48"/>
      <c r="N573" s="48"/>
      <c r="O573" s="48"/>
      <c r="P573" s="48"/>
      <c r="Q573" s="48"/>
      <c r="R573" s="48"/>
      <c r="S573" s="48"/>
      <c r="T573" s="48"/>
      <c r="U573" s="48"/>
      <c r="V573" s="48"/>
      <c r="W573" s="48"/>
      <c r="X573" s="48"/>
      <c r="Y573" s="48"/>
      <c r="Z573" s="48"/>
      <c r="AA573" s="48"/>
    </row>
    <row r="574" spans="2:27" ht="12.75" customHeight="1" x14ac:dyDescent="0.25">
      <c r="B574" s="48"/>
      <c r="C574" s="48"/>
      <c r="D574" s="48"/>
      <c r="E574" s="48"/>
      <c r="F574" s="48"/>
      <c r="G574" s="48"/>
      <c r="H574" s="48"/>
      <c r="I574" s="48"/>
      <c r="J574" s="48"/>
      <c r="K574" s="48"/>
      <c r="L574" s="48"/>
      <c r="M574" s="48"/>
      <c r="N574" s="48"/>
      <c r="O574" s="48"/>
      <c r="P574" s="48"/>
      <c r="Q574" s="48"/>
      <c r="R574" s="48"/>
      <c r="S574" s="48"/>
      <c r="T574" s="48"/>
      <c r="U574" s="48"/>
      <c r="V574" s="48"/>
      <c r="W574" s="48"/>
      <c r="X574" s="48"/>
      <c r="Y574" s="48"/>
      <c r="Z574" s="48"/>
      <c r="AA574" s="48"/>
    </row>
    <row r="575" spans="2:27" ht="12.75" customHeight="1" x14ac:dyDescent="0.25">
      <c r="B575" s="48"/>
      <c r="C575" s="48"/>
      <c r="D575" s="48"/>
      <c r="E575" s="48"/>
      <c r="F575" s="48"/>
      <c r="G575" s="48"/>
      <c r="H575" s="48"/>
      <c r="I575" s="48"/>
      <c r="J575" s="48"/>
      <c r="K575" s="48"/>
      <c r="L575" s="48"/>
      <c r="M575" s="48"/>
      <c r="N575" s="48"/>
      <c r="O575" s="48"/>
      <c r="P575" s="48"/>
      <c r="Q575" s="48"/>
      <c r="R575" s="48"/>
      <c r="S575" s="48"/>
      <c r="T575" s="48"/>
      <c r="U575" s="48"/>
      <c r="V575" s="48"/>
      <c r="W575" s="48"/>
      <c r="X575" s="48"/>
      <c r="Y575" s="48"/>
      <c r="Z575" s="48"/>
      <c r="AA575" s="48"/>
    </row>
    <row r="576" spans="2:27" ht="12.75" customHeight="1" x14ac:dyDescent="0.25">
      <c r="B576" s="48"/>
      <c r="C576" s="48"/>
      <c r="D576" s="48"/>
      <c r="E576" s="48"/>
      <c r="F576" s="48"/>
      <c r="G576" s="48"/>
      <c r="H576" s="48"/>
      <c r="I576" s="48"/>
      <c r="J576" s="48"/>
      <c r="K576" s="48"/>
      <c r="L576" s="48"/>
      <c r="M576" s="48"/>
      <c r="N576" s="48"/>
      <c r="O576" s="48"/>
      <c r="P576" s="48"/>
      <c r="Q576" s="48"/>
      <c r="R576" s="48"/>
      <c r="S576" s="48"/>
      <c r="T576" s="48"/>
      <c r="U576" s="48"/>
      <c r="V576" s="48"/>
      <c r="W576" s="48"/>
      <c r="X576" s="48"/>
      <c r="Y576" s="48"/>
      <c r="Z576" s="48"/>
      <c r="AA576" s="48"/>
    </row>
    <row r="577" spans="2:27" ht="12.75" customHeight="1" x14ac:dyDescent="0.25">
      <c r="B577" s="48"/>
      <c r="C577" s="48"/>
      <c r="D577" s="48"/>
      <c r="E577" s="48"/>
      <c r="F577" s="48"/>
      <c r="G577" s="48"/>
      <c r="H577" s="48"/>
      <c r="I577" s="48"/>
      <c r="J577" s="48"/>
      <c r="K577" s="48"/>
      <c r="L577" s="48"/>
      <c r="M577" s="48"/>
      <c r="N577" s="48"/>
      <c r="O577" s="48"/>
      <c r="P577" s="48"/>
      <c r="Q577" s="48"/>
      <c r="R577" s="48"/>
      <c r="S577" s="48"/>
      <c r="T577" s="48"/>
      <c r="U577" s="48"/>
      <c r="V577" s="48"/>
      <c r="W577" s="48"/>
      <c r="X577" s="48"/>
      <c r="Y577" s="48"/>
      <c r="Z577" s="48"/>
      <c r="AA577" s="48"/>
    </row>
    <row r="578" spans="2:27" ht="12.75" customHeight="1" x14ac:dyDescent="0.25">
      <c r="B578" s="48"/>
      <c r="C578" s="48"/>
      <c r="D578" s="48"/>
      <c r="E578" s="48"/>
      <c r="F578" s="48"/>
      <c r="G578" s="48"/>
      <c r="H578" s="48"/>
      <c r="I578" s="48"/>
      <c r="J578" s="48"/>
      <c r="K578" s="48"/>
      <c r="L578" s="48"/>
      <c r="M578" s="48"/>
      <c r="N578" s="48"/>
      <c r="O578" s="48"/>
      <c r="P578" s="48"/>
      <c r="Q578" s="48"/>
      <c r="R578" s="48"/>
      <c r="S578" s="48"/>
      <c r="T578" s="48"/>
      <c r="U578" s="48"/>
      <c r="V578" s="48"/>
      <c r="W578" s="48"/>
      <c r="X578" s="48"/>
      <c r="Y578" s="48"/>
      <c r="Z578" s="48"/>
      <c r="AA578" s="48"/>
    </row>
    <row r="579" spans="2:27" ht="12.75" customHeight="1" x14ac:dyDescent="0.25">
      <c r="B579" s="48"/>
      <c r="C579" s="48"/>
      <c r="D579" s="48"/>
      <c r="E579" s="48"/>
      <c r="F579" s="48"/>
      <c r="G579" s="48"/>
      <c r="H579" s="48"/>
      <c r="I579" s="48"/>
      <c r="J579" s="48"/>
      <c r="K579" s="48"/>
      <c r="L579" s="48"/>
      <c r="M579" s="48"/>
      <c r="N579" s="48"/>
      <c r="O579" s="48"/>
      <c r="P579" s="48"/>
      <c r="Q579" s="48"/>
      <c r="R579" s="48"/>
      <c r="S579" s="48"/>
      <c r="T579" s="48"/>
      <c r="U579" s="48"/>
      <c r="V579" s="48"/>
      <c r="W579" s="48"/>
      <c r="X579" s="48"/>
      <c r="Y579" s="48"/>
      <c r="Z579" s="48"/>
      <c r="AA579" s="48"/>
    </row>
    <row r="580" spans="2:27" ht="12.75" customHeight="1" x14ac:dyDescent="0.25">
      <c r="B580" s="48"/>
      <c r="C580" s="48"/>
      <c r="D580" s="48"/>
      <c r="E580" s="48"/>
      <c r="F580" s="48"/>
      <c r="G580" s="48"/>
      <c r="H580" s="48"/>
      <c r="I580" s="48"/>
      <c r="J580" s="48"/>
      <c r="K580" s="48"/>
      <c r="L580" s="48"/>
      <c r="M580" s="48"/>
      <c r="N580" s="48"/>
      <c r="O580" s="48"/>
      <c r="P580" s="48"/>
      <c r="Q580" s="48"/>
      <c r="R580" s="48"/>
      <c r="S580" s="48"/>
      <c r="T580" s="48"/>
      <c r="U580" s="48"/>
      <c r="V580" s="48"/>
      <c r="W580" s="48"/>
      <c r="X580" s="48"/>
      <c r="Y580" s="48"/>
      <c r="Z580" s="48"/>
      <c r="AA580" s="48"/>
    </row>
    <row r="581" spans="2:27" ht="12.75" customHeight="1" x14ac:dyDescent="0.25">
      <c r="B581" s="48"/>
      <c r="C581" s="48"/>
      <c r="D581" s="48"/>
      <c r="E581" s="48"/>
      <c r="F581" s="48"/>
      <c r="G581" s="48"/>
      <c r="H581" s="48"/>
      <c r="I581" s="48"/>
      <c r="J581" s="48"/>
      <c r="K581" s="48"/>
      <c r="L581" s="48"/>
      <c r="M581" s="48"/>
      <c r="N581" s="48"/>
      <c r="O581" s="48"/>
      <c r="P581" s="48"/>
      <c r="Q581" s="48"/>
      <c r="R581" s="48"/>
      <c r="S581" s="48"/>
      <c r="T581" s="48"/>
      <c r="U581" s="48"/>
      <c r="V581" s="48"/>
      <c r="W581" s="48"/>
      <c r="X581" s="48"/>
      <c r="Y581" s="48"/>
      <c r="Z581" s="48"/>
      <c r="AA581" s="48"/>
    </row>
    <row r="582" spans="2:27" ht="12.75" customHeight="1" x14ac:dyDescent="0.25">
      <c r="B582" s="48"/>
      <c r="C582" s="48"/>
      <c r="D582" s="48"/>
      <c r="E582" s="48"/>
      <c r="F582" s="48"/>
      <c r="G582" s="48"/>
      <c r="H582" s="48"/>
      <c r="I582" s="48"/>
      <c r="J582" s="48"/>
      <c r="K582" s="48"/>
      <c r="L582" s="48"/>
      <c r="M582" s="48"/>
      <c r="N582" s="48"/>
      <c r="O582" s="48"/>
      <c r="P582" s="48"/>
      <c r="Q582" s="48"/>
      <c r="R582" s="48"/>
      <c r="S582" s="48"/>
      <c r="T582" s="48"/>
      <c r="U582" s="48"/>
      <c r="V582" s="48"/>
      <c r="W582" s="48"/>
      <c r="X582" s="48"/>
      <c r="Y582" s="48"/>
      <c r="Z582" s="48"/>
      <c r="AA582" s="48"/>
    </row>
    <row r="583" spans="2:27" ht="12.75" customHeight="1" x14ac:dyDescent="0.25">
      <c r="B583" s="48"/>
      <c r="C583" s="48"/>
      <c r="D583" s="48"/>
      <c r="E583" s="48"/>
      <c r="F583" s="48"/>
      <c r="G583" s="48"/>
      <c r="H583" s="48"/>
      <c r="I583" s="48"/>
      <c r="J583" s="48"/>
      <c r="K583" s="48"/>
      <c r="L583" s="48"/>
      <c r="M583" s="48"/>
      <c r="N583" s="48"/>
      <c r="O583" s="48"/>
      <c r="P583" s="48"/>
      <c r="Q583" s="48"/>
      <c r="R583" s="48"/>
      <c r="S583" s="48"/>
      <c r="T583" s="48"/>
      <c r="U583" s="48"/>
      <c r="V583" s="48"/>
      <c r="W583" s="48"/>
      <c r="X583" s="48"/>
      <c r="Y583" s="48"/>
      <c r="Z583" s="48"/>
      <c r="AA583" s="48"/>
    </row>
    <row r="584" spans="2:27" ht="12.75" customHeight="1" x14ac:dyDescent="0.25">
      <c r="B584" s="48"/>
      <c r="C584" s="48"/>
      <c r="D584" s="48"/>
      <c r="E584" s="48"/>
      <c r="F584" s="48"/>
      <c r="G584" s="48"/>
      <c r="H584" s="48"/>
      <c r="I584" s="48"/>
      <c r="J584" s="48"/>
      <c r="K584" s="48"/>
      <c r="L584" s="48"/>
      <c r="M584" s="48"/>
      <c r="N584" s="48"/>
      <c r="O584" s="48"/>
      <c r="P584" s="48"/>
      <c r="Q584" s="48"/>
      <c r="R584" s="48"/>
      <c r="S584" s="48"/>
      <c r="T584" s="48"/>
      <c r="U584" s="48"/>
      <c r="V584" s="48"/>
      <c r="W584" s="48"/>
      <c r="X584" s="48"/>
      <c r="Y584" s="48"/>
      <c r="Z584" s="48"/>
      <c r="AA584" s="48"/>
    </row>
    <row r="585" spans="2:27" ht="12.75" customHeight="1" x14ac:dyDescent="0.25">
      <c r="B585" s="48"/>
      <c r="C585" s="48"/>
      <c r="D585" s="48"/>
      <c r="E585" s="48"/>
      <c r="F585" s="48"/>
      <c r="G585" s="48"/>
      <c r="H585" s="48"/>
      <c r="I585" s="48"/>
      <c r="J585" s="48"/>
      <c r="K585" s="48"/>
      <c r="L585" s="48"/>
      <c r="M585" s="48"/>
      <c r="N585" s="48"/>
      <c r="O585" s="48"/>
      <c r="P585" s="48"/>
      <c r="Q585" s="48"/>
      <c r="R585" s="48"/>
      <c r="S585" s="48"/>
      <c r="T585" s="48"/>
      <c r="U585" s="48"/>
      <c r="V585" s="48"/>
      <c r="W585" s="48"/>
      <c r="X585" s="48"/>
      <c r="Y585" s="48"/>
      <c r="Z585" s="48"/>
      <c r="AA585" s="48"/>
    </row>
    <row r="586" spans="2:27" ht="12.75" customHeight="1" x14ac:dyDescent="0.25">
      <c r="B586" s="48"/>
      <c r="C586" s="48"/>
      <c r="D586" s="48"/>
      <c r="E586" s="48"/>
      <c r="F586" s="48"/>
      <c r="G586" s="48"/>
      <c r="H586" s="48"/>
      <c r="I586" s="48"/>
      <c r="J586" s="48"/>
      <c r="K586" s="48"/>
      <c r="L586" s="48"/>
      <c r="M586" s="48"/>
      <c r="N586" s="48"/>
      <c r="O586" s="48"/>
      <c r="P586" s="48"/>
      <c r="Q586" s="48"/>
      <c r="R586" s="48"/>
      <c r="S586" s="48"/>
      <c r="T586" s="48"/>
      <c r="U586" s="48"/>
      <c r="V586" s="48"/>
      <c r="W586" s="48"/>
      <c r="X586" s="48"/>
      <c r="Y586" s="48"/>
      <c r="Z586" s="48"/>
      <c r="AA586" s="48"/>
    </row>
    <row r="587" spans="2:27" ht="12.75" customHeight="1" x14ac:dyDescent="0.25">
      <c r="B587" s="48"/>
      <c r="C587" s="48"/>
      <c r="D587" s="48"/>
      <c r="E587" s="48"/>
      <c r="F587" s="48"/>
      <c r="G587" s="48"/>
      <c r="H587" s="48"/>
      <c r="I587" s="48"/>
      <c r="J587" s="48"/>
      <c r="K587" s="48"/>
      <c r="L587" s="48"/>
      <c r="M587" s="48"/>
      <c r="N587" s="48"/>
      <c r="O587" s="48"/>
      <c r="P587" s="48"/>
      <c r="Q587" s="48"/>
      <c r="R587" s="48"/>
      <c r="S587" s="48"/>
      <c r="T587" s="48"/>
      <c r="U587" s="48"/>
      <c r="V587" s="48"/>
      <c r="W587" s="48"/>
      <c r="X587" s="48"/>
      <c r="Y587" s="48"/>
      <c r="Z587" s="48"/>
      <c r="AA587" s="48"/>
    </row>
    <row r="588" spans="2:27" ht="12.75" customHeight="1" x14ac:dyDescent="0.25">
      <c r="B588" s="48"/>
      <c r="C588" s="48"/>
      <c r="D588" s="48"/>
      <c r="E588" s="48"/>
      <c r="F588" s="48"/>
      <c r="G588" s="48"/>
      <c r="H588" s="48"/>
      <c r="I588" s="48"/>
      <c r="J588" s="48"/>
      <c r="K588" s="48"/>
      <c r="L588" s="48"/>
      <c r="M588" s="48"/>
      <c r="N588" s="48"/>
      <c r="O588" s="48"/>
      <c r="P588" s="48"/>
      <c r="Q588" s="48"/>
      <c r="R588" s="48"/>
      <c r="S588" s="48"/>
      <c r="T588" s="48"/>
      <c r="U588" s="48"/>
      <c r="V588" s="48"/>
      <c r="W588" s="48"/>
      <c r="X588" s="48"/>
      <c r="Y588" s="48"/>
      <c r="Z588" s="48"/>
      <c r="AA588" s="48"/>
    </row>
    <row r="589" spans="2:27" ht="12.75" customHeight="1" x14ac:dyDescent="0.25">
      <c r="B589" s="48"/>
      <c r="C589" s="48"/>
      <c r="D589" s="48"/>
      <c r="E589" s="48"/>
      <c r="F589" s="48"/>
      <c r="G589" s="48"/>
      <c r="H589" s="48"/>
      <c r="I589" s="48"/>
      <c r="J589" s="48"/>
      <c r="K589" s="48"/>
      <c r="L589" s="48"/>
      <c r="M589" s="48"/>
      <c r="N589" s="48"/>
      <c r="O589" s="48"/>
      <c r="P589" s="48"/>
      <c r="Q589" s="48"/>
      <c r="R589" s="48"/>
      <c r="S589" s="48"/>
      <c r="T589" s="48"/>
      <c r="U589" s="48"/>
      <c r="V589" s="48"/>
      <c r="W589" s="48"/>
      <c r="X589" s="48"/>
      <c r="Y589" s="48"/>
      <c r="Z589" s="48"/>
      <c r="AA589" s="48"/>
    </row>
    <row r="590" spans="2:27" ht="12.75" customHeight="1" x14ac:dyDescent="0.25">
      <c r="B590" s="48"/>
      <c r="C590" s="48"/>
      <c r="D590" s="48"/>
      <c r="E590" s="48"/>
      <c r="F590" s="48"/>
      <c r="G590" s="48"/>
      <c r="H590" s="48"/>
      <c r="I590" s="48"/>
      <c r="J590" s="48"/>
      <c r="K590" s="48"/>
      <c r="L590" s="48"/>
      <c r="M590" s="48"/>
      <c r="N590" s="48"/>
      <c r="O590" s="48"/>
      <c r="P590" s="48"/>
      <c r="Q590" s="48"/>
      <c r="R590" s="48"/>
      <c r="S590" s="48"/>
      <c r="T590" s="48"/>
      <c r="U590" s="48"/>
      <c r="V590" s="48"/>
      <c r="W590" s="48"/>
      <c r="X590" s="48"/>
      <c r="Y590" s="48"/>
      <c r="Z590" s="48"/>
      <c r="AA590" s="48"/>
    </row>
    <row r="591" spans="2:27" ht="12.75" customHeight="1" x14ac:dyDescent="0.25">
      <c r="B591" s="48"/>
      <c r="C591" s="48"/>
      <c r="D591" s="48"/>
      <c r="E591" s="48"/>
      <c r="F591" s="48"/>
      <c r="G591" s="48"/>
      <c r="H591" s="48"/>
      <c r="I591" s="48"/>
      <c r="J591" s="48"/>
      <c r="K591" s="48"/>
      <c r="L591" s="48"/>
      <c r="M591" s="48"/>
      <c r="N591" s="48"/>
      <c r="O591" s="48"/>
      <c r="P591" s="48"/>
      <c r="Q591" s="48"/>
      <c r="R591" s="48"/>
      <c r="S591" s="48"/>
      <c r="T591" s="48"/>
      <c r="U591" s="48"/>
      <c r="V591" s="48"/>
      <c r="W591" s="48"/>
      <c r="X591" s="48"/>
      <c r="Y591" s="48"/>
      <c r="Z591" s="48"/>
      <c r="AA591" s="48"/>
    </row>
    <row r="592" spans="2:27" ht="12.75" customHeight="1" x14ac:dyDescent="0.25">
      <c r="B592" s="48"/>
      <c r="C592" s="48"/>
      <c r="D592" s="48"/>
      <c r="E592" s="48"/>
      <c r="F592" s="48"/>
      <c r="G592" s="48"/>
      <c r="H592" s="48"/>
      <c r="I592" s="48"/>
      <c r="J592" s="48"/>
      <c r="K592" s="48"/>
      <c r="L592" s="48"/>
      <c r="M592" s="48"/>
      <c r="N592" s="48"/>
      <c r="O592" s="48"/>
      <c r="P592" s="48"/>
      <c r="Q592" s="48"/>
      <c r="R592" s="48"/>
      <c r="S592" s="48"/>
      <c r="T592" s="48"/>
      <c r="U592" s="48"/>
      <c r="V592" s="48"/>
      <c r="W592" s="48"/>
      <c r="X592" s="48"/>
      <c r="Y592" s="48"/>
      <c r="Z592" s="48"/>
      <c r="AA592" s="48"/>
    </row>
    <row r="593" spans="2:27" ht="12.75" customHeight="1" x14ac:dyDescent="0.25">
      <c r="B593" s="48"/>
      <c r="C593" s="48"/>
      <c r="D593" s="48"/>
      <c r="E593" s="48"/>
      <c r="F593" s="48"/>
      <c r="G593" s="48"/>
      <c r="H593" s="48"/>
      <c r="I593" s="48"/>
      <c r="J593" s="48"/>
      <c r="K593" s="48"/>
      <c r="L593" s="48"/>
      <c r="M593" s="48"/>
      <c r="N593" s="48"/>
      <c r="O593" s="48"/>
      <c r="P593" s="48"/>
      <c r="Q593" s="48"/>
      <c r="R593" s="48"/>
      <c r="S593" s="48"/>
      <c r="T593" s="48"/>
      <c r="U593" s="48"/>
      <c r="V593" s="48"/>
      <c r="W593" s="48"/>
      <c r="X593" s="48"/>
      <c r="Y593" s="48"/>
      <c r="Z593" s="48"/>
      <c r="AA593" s="48"/>
    </row>
    <row r="594" spans="2:27" ht="12.75" customHeight="1" x14ac:dyDescent="0.25">
      <c r="B594" s="48"/>
      <c r="C594" s="48"/>
      <c r="D594" s="48"/>
      <c r="E594" s="48"/>
      <c r="F594" s="48"/>
      <c r="G594" s="48"/>
      <c r="H594" s="48"/>
      <c r="I594" s="48"/>
      <c r="J594" s="48"/>
      <c r="K594" s="48"/>
      <c r="L594" s="48"/>
      <c r="M594" s="48"/>
      <c r="N594" s="48"/>
      <c r="O594" s="48"/>
      <c r="P594" s="48"/>
      <c r="Q594" s="48"/>
      <c r="R594" s="48"/>
      <c r="S594" s="48"/>
      <c r="T594" s="48"/>
      <c r="U594" s="48"/>
      <c r="V594" s="48"/>
      <c r="W594" s="48"/>
      <c r="X594" s="48"/>
      <c r="Y594" s="48"/>
      <c r="Z594" s="48"/>
      <c r="AA594" s="48"/>
    </row>
    <row r="595" spans="2:27" ht="12.75" customHeight="1" x14ac:dyDescent="0.25">
      <c r="B595" s="48"/>
      <c r="C595" s="48"/>
      <c r="D595" s="48"/>
      <c r="E595" s="48"/>
      <c r="F595" s="48"/>
      <c r="G595" s="48"/>
      <c r="H595" s="48"/>
      <c r="I595" s="48"/>
      <c r="J595" s="48"/>
      <c r="K595" s="48"/>
      <c r="L595" s="48"/>
      <c r="M595" s="48"/>
      <c r="N595" s="48"/>
      <c r="O595" s="48"/>
      <c r="P595" s="48"/>
      <c r="Q595" s="48"/>
      <c r="R595" s="48"/>
      <c r="S595" s="48"/>
      <c r="T595" s="48"/>
      <c r="U595" s="48"/>
      <c r="V595" s="48"/>
      <c r="W595" s="48"/>
      <c r="X595" s="48"/>
      <c r="Y595" s="48"/>
      <c r="Z595" s="48"/>
      <c r="AA595" s="48"/>
    </row>
    <row r="596" spans="2:27" ht="12.75" customHeight="1" x14ac:dyDescent="0.25">
      <c r="B596" s="48"/>
      <c r="C596" s="48"/>
      <c r="D596" s="48"/>
      <c r="E596" s="48"/>
      <c r="F596" s="48"/>
      <c r="G596" s="48"/>
      <c r="H596" s="48"/>
      <c r="I596" s="48"/>
      <c r="J596" s="48"/>
      <c r="K596" s="48"/>
      <c r="L596" s="48"/>
      <c r="M596" s="48"/>
      <c r="N596" s="48"/>
      <c r="O596" s="48"/>
      <c r="P596" s="48"/>
      <c r="Q596" s="48"/>
      <c r="R596" s="48"/>
      <c r="S596" s="48"/>
      <c r="T596" s="48"/>
      <c r="U596" s="48"/>
      <c r="V596" s="48"/>
      <c r="W596" s="48"/>
      <c r="X596" s="48"/>
      <c r="Y596" s="48"/>
      <c r="Z596" s="48"/>
      <c r="AA596" s="48"/>
    </row>
    <row r="597" spans="2:27" ht="12.75" customHeight="1" x14ac:dyDescent="0.25">
      <c r="B597" s="48"/>
      <c r="C597" s="48"/>
      <c r="D597" s="48"/>
      <c r="E597" s="48"/>
      <c r="F597" s="48"/>
      <c r="G597" s="48"/>
      <c r="H597" s="48"/>
      <c r="I597" s="48"/>
      <c r="J597" s="48"/>
      <c r="K597" s="48"/>
      <c r="L597" s="48"/>
      <c r="M597" s="48"/>
      <c r="N597" s="48"/>
      <c r="O597" s="48"/>
      <c r="P597" s="48"/>
      <c r="Q597" s="48"/>
      <c r="R597" s="48"/>
      <c r="S597" s="48"/>
      <c r="T597" s="48"/>
      <c r="U597" s="48"/>
      <c r="V597" s="48"/>
      <c r="W597" s="48"/>
      <c r="X597" s="48"/>
      <c r="Y597" s="48"/>
      <c r="Z597" s="48"/>
      <c r="AA597" s="48"/>
    </row>
    <row r="598" spans="2:27" ht="12.75" customHeight="1" x14ac:dyDescent="0.25">
      <c r="B598" s="48"/>
      <c r="C598" s="48"/>
      <c r="D598" s="48"/>
      <c r="E598" s="48"/>
      <c r="F598" s="48"/>
      <c r="G598" s="48"/>
      <c r="H598" s="48"/>
      <c r="I598" s="48"/>
      <c r="J598" s="48"/>
      <c r="K598" s="48"/>
      <c r="L598" s="48"/>
      <c r="M598" s="48"/>
      <c r="N598" s="48"/>
      <c r="O598" s="48"/>
      <c r="P598" s="48"/>
      <c r="Q598" s="48"/>
      <c r="R598" s="48"/>
      <c r="S598" s="48"/>
      <c r="T598" s="48"/>
      <c r="U598" s="48"/>
      <c r="V598" s="48"/>
      <c r="W598" s="48"/>
      <c r="X598" s="48"/>
      <c r="Y598" s="48"/>
      <c r="Z598" s="48"/>
      <c r="AA598" s="48"/>
    </row>
    <row r="599" spans="2:27" ht="12.75" customHeight="1" x14ac:dyDescent="0.25">
      <c r="B599" s="48"/>
      <c r="C599" s="48"/>
      <c r="D599" s="48"/>
      <c r="E599" s="48"/>
      <c r="F599" s="48"/>
      <c r="G599" s="48"/>
      <c r="H599" s="48"/>
      <c r="I599" s="48"/>
      <c r="J599" s="48"/>
      <c r="K599" s="48"/>
      <c r="L599" s="48"/>
      <c r="M599" s="48"/>
      <c r="N599" s="48"/>
      <c r="O599" s="48"/>
      <c r="P599" s="48"/>
      <c r="Q599" s="48"/>
      <c r="R599" s="48"/>
      <c r="S599" s="48"/>
      <c r="T599" s="48"/>
      <c r="U599" s="48"/>
      <c r="V599" s="48"/>
      <c r="W599" s="48"/>
      <c r="X599" s="48"/>
      <c r="Y599" s="48"/>
      <c r="Z599" s="48"/>
      <c r="AA599" s="48"/>
    </row>
    <row r="600" spans="2:27" ht="12.75" customHeight="1" x14ac:dyDescent="0.25">
      <c r="B600" s="48"/>
      <c r="C600" s="48"/>
      <c r="D600" s="48"/>
      <c r="E600" s="48"/>
      <c r="F600" s="48"/>
      <c r="G600" s="48"/>
      <c r="H600" s="48"/>
      <c r="I600" s="48"/>
      <c r="J600" s="48"/>
      <c r="K600" s="48"/>
      <c r="L600" s="48"/>
      <c r="M600" s="48"/>
      <c r="N600" s="48"/>
      <c r="O600" s="48"/>
      <c r="P600" s="48"/>
      <c r="Q600" s="48"/>
      <c r="R600" s="48"/>
      <c r="S600" s="48"/>
      <c r="T600" s="48"/>
      <c r="U600" s="48"/>
      <c r="V600" s="48"/>
      <c r="W600" s="48"/>
      <c r="X600" s="48"/>
      <c r="Y600" s="48"/>
      <c r="Z600" s="48"/>
      <c r="AA600" s="48"/>
    </row>
    <row r="601" spans="2:27" ht="12.75" customHeight="1" x14ac:dyDescent="0.25">
      <c r="B601" s="48"/>
      <c r="C601" s="48"/>
      <c r="D601" s="48"/>
      <c r="E601" s="48"/>
      <c r="F601" s="48"/>
      <c r="G601" s="48"/>
      <c r="H601" s="48"/>
      <c r="I601" s="48"/>
      <c r="J601" s="48"/>
      <c r="K601" s="48"/>
      <c r="L601" s="48"/>
      <c r="M601" s="48"/>
      <c r="N601" s="48"/>
      <c r="O601" s="48"/>
      <c r="P601" s="48"/>
      <c r="Q601" s="48"/>
      <c r="R601" s="48"/>
      <c r="S601" s="48"/>
      <c r="T601" s="48"/>
      <c r="U601" s="48"/>
      <c r="V601" s="48"/>
      <c r="W601" s="48"/>
      <c r="X601" s="48"/>
      <c r="Y601" s="48"/>
      <c r="Z601" s="48"/>
      <c r="AA601" s="48"/>
    </row>
    <row r="602" spans="2:27" ht="12.75" customHeight="1" x14ac:dyDescent="0.25">
      <c r="B602" s="48"/>
      <c r="C602" s="48"/>
      <c r="D602" s="48"/>
      <c r="E602" s="48"/>
      <c r="F602" s="48"/>
      <c r="G602" s="48"/>
      <c r="H602" s="48"/>
      <c r="I602" s="48"/>
      <c r="J602" s="48"/>
      <c r="K602" s="48"/>
      <c r="L602" s="48"/>
      <c r="M602" s="48"/>
      <c r="N602" s="48"/>
      <c r="O602" s="48"/>
      <c r="P602" s="48"/>
      <c r="Q602" s="48"/>
      <c r="R602" s="48"/>
      <c r="S602" s="48"/>
      <c r="T602" s="48"/>
      <c r="U602" s="48"/>
      <c r="V602" s="48"/>
      <c r="W602" s="48"/>
      <c r="X602" s="48"/>
      <c r="Y602" s="48"/>
      <c r="Z602" s="48"/>
      <c r="AA602" s="48"/>
    </row>
    <row r="603" spans="2:27" ht="12.75" customHeight="1" x14ac:dyDescent="0.25">
      <c r="B603" s="48"/>
      <c r="C603" s="48"/>
      <c r="D603" s="48"/>
      <c r="E603" s="48"/>
      <c r="F603" s="48"/>
      <c r="G603" s="48"/>
      <c r="H603" s="48"/>
      <c r="I603" s="48"/>
      <c r="J603" s="48"/>
      <c r="K603" s="48"/>
      <c r="L603" s="48"/>
      <c r="M603" s="48"/>
      <c r="N603" s="48"/>
      <c r="O603" s="48"/>
      <c r="P603" s="48"/>
      <c r="Q603" s="48"/>
      <c r="R603" s="48"/>
      <c r="S603" s="48"/>
      <c r="T603" s="48"/>
      <c r="U603" s="48"/>
      <c r="V603" s="48"/>
      <c r="W603" s="48"/>
      <c r="X603" s="48"/>
      <c r="Y603" s="48"/>
      <c r="Z603" s="48"/>
      <c r="AA603" s="48"/>
    </row>
    <row r="604" spans="2:27" ht="12.75" customHeight="1" x14ac:dyDescent="0.25">
      <c r="B604" s="48"/>
      <c r="C604" s="48"/>
      <c r="D604" s="48"/>
      <c r="E604" s="48"/>
      <c r="F604" s="48"/>
      <c r="G604" s="48"/>
      <c r="H604" s="48"/>
      <c r="I604" s="48"/>
      <c r="J604" s="48"/>
      <c r="K604" s="48"/>
      <c r="L604" s="48"/>
      <c r="M604" s="48"/>
      <c r="N604" s="48"/>
      <c r="O604" s="48"/>
      <c r="P604" s="48"/>
      <c r="Q604" s="48"/>
      <c r="R604" s="48"/>
      <c r="S604" s="48"/>
      <c r="T604" s="48"/>
      <c r="U604" s="48"/>
      <c r="V604" s="48"/>
      <c r="W604" s="48"/>
      <c r="X604" s="48"/>
      <c r="Y604" s="48"/>
      <c r="Z604" s="48"/>
      <c r="AA604" s="48"/>
    </row>
    <row r="605" spans="2:27" ht="12.75" customHeight="1" x14ac:dyDescent="0.25">
      <c r="B605" s="48"/>
      <c r="C605" s="48"/>
      <c r="D605" s="48"/>
      <c r="E605" s="48"/>
      <c r="F605" s="48"/>
      <c r="G605" s="48"/>
      <c r="H605" s="48"/>
      <c r="I605" s="48"/>
      <c r="J605" s="48"/>
      <c r="K605" s="48"/>
      <c r="L605" s="48"/>
      <c r="M605" s="48"/>
      <c r="N605" s="48"/>
      <c r="O605" s="48"/>
      <c r="P605" s="48"/>
      <c r="Q605" s="48"/>
      <c r="R605" s="48"/>
      <c r="S605" s="48"/>
      <c r="T605" s="48"/>
      <c r="U605" s="48"/>
      <c r="V605" s="48"/>
      <c r="W605" s="48"/>
      <c r="X605" s="48"/>
      <c r="Y605" s="48"/>
      <c r="Z605" s="48"/>
      <c r="AA605" s="48"/>
    </row>
    <row r="606" spans="2:27" ht="12.75" customHeight="1" x14ac:dyDescent="0.25">
      <c r="B606" s="48"/>
      <c r="C606" s="48"/>
      <c r="D606" s="48"/>
      <c r="E606" s="48"/>
      <c r="F606" s="48"/>
      <c r="G606" s="48"/>
      <c r="H606" s="48"/>
      <c r="I606" s="48"/>
      <c r="J606" s="48"/>
      <c r="K606" s="48"/>
      <c r="L606" s="48"/>
      <c r="M606" s="48"/>
      <c r="N606" s="48"/>
      <c r="O606" s="48"/>
      <c r="P606" s="48"/>
      <c r="Q606" s="48"/>
      <c r="R606" s="48"/>
      <c r="S606" s="48"/>
      <c r="T606" s="48"/>
      <c r="U606" s="48"/>
      <c r="V606" s="48"/>
      <c r="W606" s="48"/>
      <c r="X606" s="48"/>
      <c r="Y606" s="48"/>
      <c r="Z606" s="48"/>
      <c r="AA606" s="48"/>
    </row>
    <row r="607" spans="2:27" ht="12.75" customHeight="1" x14ac:dyDescent="0.25">
      <c r="B607" s="48"/>
      <c r="C607" s="48"/>
      <c r="D607" s="48"/>
      <c r="E607" s="48"/>
      <c r="F607" s="48"/>
      <c r="G607" s="48"/>
      <c r="H607" s="48"/>
      <c r="I607" s="48"/>
      <c r="J607" s="48"/>
      <c r="K607" s="48"/>
      <c r="L607" s="48"/>
      <c r="M607" s="48"/>
      <c r="N607" s="48"/>
      <c r="O607" s="48"/>
      <c r="P607" s="48"/>
      <c r="Q607" s="48"/>
      <c r="R607" s="48"/>
      <c r="S607" s="48"/>
      <c r="T607" s="48"/>
      <c r="U607" s="48"/>
      <c r="V607" s="48"/>
      <c r="W607" s="48"/>
      <c r="X607" s="48"/>
      <c r="Y607" s="48"/>
      <c r="Z607" s="48"/>
      <c r="AA607" s="48"/>
    </row>
    <row r="608" spans="2:27" ht="12.75" customHeight="1" x14ac:dyDescent="0.25">
      <c r="B608" s="48"/>
      <c r="C608" s="48"/>
      <c r="D608" s="48"/>
      <c r="E608" s="48"/>
      <c r="F608" s="48"/>
      <c r="G608" s="48"/>
      <c r="H608" s="48"/>
      <c r="I608" s="48"/>
      <c r="J608" s="48"/>
      <c r="K608" s="48"/>
      <c r="L608" s="48"/>
      <c r="M608" s="48"/>
      <c r="N608" s="48"/>
      <c r="O608" s="48"/>
      <c r="P608" s="48"/>
      <c r="Q608" s="48"/>
      <c r="R608" s="48"/>
      <c r="S608" s="48"/>
      <c r="T608" s="48"/>
      <c r="U608" s="48"/>
      <c r="V608" s="48"/>
      <c r="W608" s="48"/>
      <c r="X608" s="48"/>
      <c r="Y608" s="48"/>
      <c r="Z608" s="48"/>
      <c r="AA608" s="48"/>
    </row>
    <row r="609" spans="2:27" ht="12.75" customHeight="1" x14ac:dyDescent="0.25">
      <c r="B609" s="48"/>
      <c r="C609" s="48"/>
      <c r="D609" s="48"/>
      <c r="E609" s="48"/>
      <c r="F609" s="48"/>
      <c r="G609" s="48"/>
      <c r="H609" s="48"/>
      <c r="I609" s="48"/>
      <c r="J609" s="48"/>
      <c r="K609" s="48"/>
      <c r="L609" s="48"/>
      <c r="M609" s="48"/>
      <c r="N609" s="48"/>
      <c r="O609" s="48"/>
      <c r="P609" s="48"/>
      <c r="Q609" s="48"/>
      <c r="R609" s="48"/>
      <c r="S609" s="48"/>
      <c r="T609" s="48"/>
      <c r="U609" s="48"/>
      <c r="V609" s="48"/>
      <c r="W609" s="48"/>
      <c r="X609" s="48"/>
      <c r="Y609" s="48"/>
      <c r="Z609" s="48"/>
      <c r="AA609" s="48"/>
    </row>
    <row r="610" spans="2:27" ht="12.75" customHeight="1" x14ac:dyDescent="0.25">
      <c r="B610" s="48"/>
      <c r="C610" s="48"/>
      <c r="D610" s="48"/>
      <c r="E610" s="48"/>
      <c r="F610" s="48"/>
      <c r="G610" s="48"/>
      <c r="H610" s="48"/>
      <c r="I610" s="48"/>
      <c r="J610" s="48"/>
      <c r="K610" s="48"/>
      <c r="L610" s="48"/>
      <c r="M610" s="48"/>
      <c r="N610" s="48"/>
      <c r="O610" s="48"/>
      <c r="P610" s="48"/>
      <c r="Q610" s="48"/>
      <c r="R610" s="48"/>
      <c r="S610" s="48"/>
      <c r="T610" s="48"/>
      <c r="U610" s="48"/>
      <c r="V610" s="48"/>
      <c r="W610" s="48"/>
      <c r="X610" s="48"/>
      <c r="Y610" s="48"/>
      <c r="Z610" s="48"/>
      <c r="AA610" s="48"/>
    </row>
    <row r="611" spans="2:27" ht="12.75" customHeight="1" x14ac:dyDescent="0.25">
      <c r="B611" s="48"/>
      <c r="C611" s="48"/>
      <c r="D611" s="48"/>
      <c r="E611" s="48"/>
      <c r="F611" s="48"/>
      <c r="G611" s="48"/>
      <c r="H611" s="48"/>
      <c r="I611" s="48"/>
      <c r="J611" s="48"/>
      <c r="K611" s="48"/>
      <c r="L611" s="48"/>
      <c r="M611" s="48"/>
      <c r="N611" s="48"/>
      <c r="O611" s="48"/>
      <c r="P611" s="48"/>
      <c r="Q611" s="48"/>
      <c r="R611" s="48"/>
      <c r="S611" s="48"/>
      <c r="T611" s="48"/>
      <c r="U611" s="48"/>
      <c r="V611" s="48"/>
      <c r="W611" s="48"/>
      <c r="X611" s="48"/>
      <c r="Y611" s="48"/>
      <c r="Z611" s="48"/>
      <c r="AA611" s="48"/>
    </row>
    <row r="612" spans="2:27" ht="12.75" customHeight="1" x14ac:dyDescent="0.25">
      <c r="B612" s="48"/>
      <c r="C612" s="48"/>
      <c r="D612" s="48"/>
      <c r="E612" s="48"/>
      <c r="F612" s="48"/>
      <c r="G612" s="48"/>
      <c r="H612" s="48"/>
      <c r="I612" s="48"/>
      <c r="J612" s="48"/>
      <c r="K612" s="48"/>
      <c r="L612" s="48"/>
      <c r="M612" s="48"/>
      <c r="N612" s="48"/>
      <c r="O612" s="48"/>
      <c r="P612" s="48"/>
      <c r="Q612" s="48"/>
      <c r="R612" s="48"/>
      <c r="S612" s="48"/>
      <c r="T612" s="48"/>
      <c r="U612" s="48"/>
      <c r="V612" s="48"/>
      <c r="W612" s="48"/>
      <c r="X612" s="48"/>
      <c r="Y612" s="48"/>
      <c r="Z612" s="48"/>
      <c r="AA612" s="48"/>
    </row>
    <row r="613" spans="2:27" ht="12.75" customHeight="1" x14ac:dyDescent="0.25">
      <c r="B613" s="48"/>
      <c r="C613" s="48"/>
      <c r="D613" s="48"/>
      <c r="E613" s="48"/>
      <c r="F613" s="48"/>
      <c r="G613" s="48"/>
      <c r="H613" s="48"/>
      <c r="I613" s="48"/>
      <c r="J613" s="48"/>
      <c r="K613" s="48"/>
      <c r="L613" s="48"/>
      <c r="M613" s="48"/>
      <c r="N613" s="48"/>
      <c r="O613" s="48"/>
      <c r="P613" s="48"/>
      <c r="Q613" s="48"/>
      <c r="R613" s="48"/>
      <c r="S613" s="48"/>
      <c r="T613" s="48"/>
      <c r="U613" s="48"/>
      <c r="V613" s="48"/>
      <c r="W613" s="48"/>
      <c r="X613" s="48"/>
      <c r="Y613" s="48"/>
      <c r="Z613" s="48"/>
      <c r="AA613" s="48"/>
    </row>
    <row r="614" spans="2:27" ht="12.75" customHeight="1" x14ac:dyDescent="0.25">
      <c r="B614" s="48"/>
      <c r="C614" s="48"/>
      <c r="D614" s="48"/>
      <c r="E614" s="48"/>
      <c r="F614" s="48"/>
      <c r="G614" s="48"/>
      <c r="H614" s="48"/>
      <c r="I614" s="48"/>
      <c r="J614" s="48"/>
      <c r="K614" s="48"/>
      <c r="L614" s="48"/>
      <c r="M614" s="48"/>
      <c r="N614" s="48"/>
      <c r="O614" s="48"/>
      <c r="P614" s="48"/>
      <c r="Q614" s="48"/>
      <c r="R614" s="48"/>
      <c r="S614" s="48"/>
      <c r="T614" s="48"/>
      <c r="U614" s="48"/>
      <c r="V614" s="48"/>
      <c r="W614" s="48"/>
      <c r="X614" s="48"/>
      <c r="Y614" s="48"/>
      <c r="Z614" s="48"/>
      <c r="AA614" s="48"/>
    </row>
    <row r="615" spans="2:27" ht="12.75" customHeight="1" x14ac:dyDescent="0.25">
      <c r="B615" s="48"/>
      <c r="C615" s="48"/>
      <c r="D615" s="48"/>
      <c r="E615" s="48"/>
      <c r="F615" s="48"/>
      <c r="G615" s="48"/>
      <c r="H615" s="48"/>
      <c r="I615" s="48"/>
      <c r="J615" s="48"/>
      <c r="K615" s="48"/>
      <c r="L615" s="48"/>
      <c r="M615" s="48"/>
      <c r="N615" s="48"/>
      <c r="O615" s="48"/>
      <c r="P615" s="48"/>
      <c r="Q615" s="48"/>
      <c r="R615" s="48"/>
      <c r="S615" s="48"/>
      <c r="T615" s="48"/>
      <c r="U615" s="48"/>
      <c r="V615" s="48"/>
      <c r="W615" s="48"/>
      <c r="X615" s="48"/>
      <c r="Y615" s="48"/>
      <c r="Z615" s="48"/>
      <c r="AA615" s="48"/>
    </row>
    <row r="616" spans="2:27" ht="12.75" customHeight="1" x14ac:dyDescent="0.25">
      <c r="B616" s="48"/>
      <c r="C616" s="48"/>
      <c r="D616" s="48"/>
      <c r="E616" s="48"/>
      <c r="F616" s="48"/>
      <c r="G616" s="48"/>
      <c r="H616" s="48"/>
      <c r="I616" s="48"/>
      <c r="J616" s="48"/>
      <c r="K616" s="48"/>
      <c r="L616" s="48"/>
      <c r="M616" s="48"/>
      <c r="N616" s="48"/>
      <c r="O616" s="48"/>
      <c r="P616" s="48"/>
      <c r="Q616" s="48"/>
      <c r="R616" s="48"/>
      <c r="S616" s="48"/>
      <c r="T616" s="48"/>
      <c r="U616" s="48"/>
      <c r="V616" s="48"/>
      <c r="W616" s="48"/>
      <c r="X616" s="48"/>
      <c r="Y616" s="48"/>
      <c r="Z616" s="48"/>
      <c r="AA616" s="48"/>
    </row>
    <row r="617" spans="2:27" ht="12.75" customHeight="1" x14ac:dyDescent="0.25">
      <c r="B617" s="48"/>
      <c r="C617" s="48"/>
      <c r="D617" s="48"/>
      <c r="E617" s="48"/>
      <c r="F617" s="48"/>
      <c r="G617" s="48"/>
      <c r="H617" s="48"/>
      <c r="I617" s="48"/>
      <c r="J617" s="48"/>
      <c r="K617" s="48"/>
      <c r="L617" s="48"/>
      <c r="M617" s="48"/>
      <c r="N617" s="48"/>
      <c r="O617" s="48"/>
      <c r="P617" s="48"/>
      <c r="Q617" s="48"/>
      <c r="R617" s="48"/>
      <c r="S617" s="48"/>
      <c r="T617" s="48"/>
      <c r="U617" s="48"/>
      <c r="V617" s="48"/>
      <c r="W617" s="48"/>
      <c r="X617" s="48"/>
      <c r="Y617" s="48"/>
      <c r="Z617" s="48"/>
      <c r="AA617" s="48"/>
    </row>
    <row r="618" spans="2:27" ht="12.75" customHeight="1" x14ac:dyDescent="0.25">
      <c r="B618" s="48"/>
      <c r="C618" s="48"/>
      <c r="D618" s="48"/>
      <c r="E618" s="48"/>
      <c r="F618" s="48"/>
      <c r="G618" s="48"/>
      <c r="H618" s="48"/>
      <c r="I618" s="48"/>
      <c r="J618" s="48"/>
      <c r="K618" s="48"/>
      <c r="L618" s="48"/>
      <c r="M618" s="48"/>
      <c r="N618" s="48"/>
      <c r="O618" s="48"/>
      <c r="P618" s="48"/>
      <c r="Q618" s="48"/>
      <c r="R618" s="48"/>
      <c r="S618" s="48"/>
      <c r="T618" s="48"/>
      <c r="U618" s="48"/>
      <c r="V618" s="48"/>
      <c r="W618" s="48"/>
      <c r="X618" s="48"/>
      <c r="Y618" s="48"/>
      <c r="Z618" s="48"/>
      <c r="AA618" s="48"/>
    </row>
    <row r="619" spans="2:27" ht="12.75" customHeight="1" x14ac:dyDescent="0.25">
      <c r="B619" s="48"/>
      <c r="C619" s="48"/>
      <c r="D619" s="48"/>
      <c r="E619" s="48"/>
      <c r="F619" s="48"/>
      <c r="G619" s="48"/>
      <c r="H619" s="48"/>
      <c r="I619" s="48"/>
      <c r="J619" s="48"/>
      <c r="K619" s="48"/>
      <c r="L619" s="48"/>
      <c r="M619" s="48"/>
      <c r="N619" s="48"/>
      <c r="O619" s="48"/>
      <c r="P619" s="48"/>
      <c r="Q619" s="48"/>
      <c r="R619" s="48"/>
      <c r="S619" s="48"/>
      <c r="T619" s="48"/>
      <c r="U619" s="48"/>
      <c r="V619" s="48"/>
      <c r="W619" s="48"/>
      <c r="X619" s="48"/>
      <c r="Y619" s="48"/>
      <c r="Z619" s="48"/>
      <c r="AA619" s="48"/>
    </row>
    <row r="620" spans="2:27" ht="12.75" customHeight="1" x14ac:dyDescent="0.25">
      <c r="B620" s="48"/>
      <c r="C620" s="48"/>
      <c r="D620" s="48"/>
      <c r="E620" s="48"/>
      <c r="F620" s="48"/>
      <c r="G620" s="48"/>
      <c r="H620" s="48"/>
      <c r="I620" s="48"/>
      <c r="J620" s="48"/>
      <c r="K620" s="48"/>
      <c r="L620" s="48"/>
      <c r="M620" s="48"/>
      <c r="N620" s="48"/>
      <c r="O620" s="48"/>
      <c r="P620" s="48"/>
      <c r="Q620" s="48"/>
      <c r="R620" s="48"/>
      <c r="S620" s="48"/>
      <c r="T620" s="48"/>
      <c r="U620" s="48"/>
      <c r="V620" s="48"/>
      <c r="W620" s="48"/>
      <c r="X620" s="48"/>
      <c r="Y620" s="48"/>
      <c r="Z620" s="48"/>
      <c r="AA620" s="48"/>
    </row>
    <row r="621" spans="2:27" ht="12.75" customHeight="1" x14ac:dyDescent="0.25">
      <c r="B621" s="48"/>
      <c r="C621" s="48"/>
      <c r="D621" s="48"/>
      <c r="E621" s="48"/>
      <c r="F621" s="48"/>
      <c r="G621" s="48"/>
      <c r="H621" s="48"/>
      <c r="I621" s="48"/>
      <c r="J621" s="48"/>
      <c r="K621" s="48"/>
      <c r="L621" s="48"/>
      <c r="M621" s="48"/>
      <c r="N621" s="48"/>
      <c r="O621" s="48"/>
      <c r="P621" s="48"/>
      <c r="Q621" s="48"/>
      <c r="R621" s="48"/>
      <c r="S621" s="48"/>
      <c r="T621" s="48"/>
      <c r="U621" s="48"/>
      <c r="V621" s="48"/>
      <c r="W621" s="48"/>
      <c r="X621" s="48"/>
      <c r="Y621" s="48"/>
      <c r="Z621" s="48"/>
      <c r="AA621" s="48"/>
    </row>
    <row r="622" spans="2:27" ht="12.75" customHeight="1" x14ac:dyDescent="0.25">
      <c r="B622" s="48"/>
      <c r="C622" s="48"/>
      <c r="D622" s="48"/>
      <c r="E622" s="48"/>
      <c r="F622" s="48"/>
      <c r="G622" s="48"/>
      <c r="H622" s="48"/>
      <c r="I622" s="48"/>
      <c r="J622" s="48"/>
      <c r="K622" s="48"/>
      <c r="L622" s="48"/>
      <c r="M622" s="48"/>
      <c r="N622" s="48"/>
      <c r="O622" s="48"/>
      <c r="P622" s="48"/>
      <c r="Q622" s="48"/>
      <c r="R622" s="48"/>
      <c r="S622" s="48"/>
      <c r="T622" s="48"/>
      <c r="U622" s="48"/>
      <c r="V622" s="48"/>
      <c r="W622" s="48"/>
      <c r="X622" s="48"/>
      <c r="Y622" s="48"/>
      <c r="Z622" s="48"/>
      <c r="AA622" s="48"/>
    </row>
    <row r="623" spans="2:27" ht="12.75" customHeight="1" x14ac:dyDescent="0.25">
      <c r="B623" s="48"/>
      <c r="C623" s="48"/>
      <c r="D623" s="48"/>
      <c r="E623" s="48"/>
      <c r="F623" s="48"/>
      <c r="G623" s="48"/>
      <c r="H623" s="48"/>
      <c r="I623" s="48"/>
      <c r="J623" s="48"/>
      <c r="K623" s="48"/>
      <c r="L623" s="48"/>
      <c r="M623" s="48"/>
      <c r="N623" s="48"/>
      <c r="O623" s="48"/>
      <c r="P623" s="48"/>
      <c r="Q623" s="48"/>
      <c r="R623" s="48"/>
      <c r="S623" s="48"/>
      <c r="T623" s="48"/>
      <c r="U623" s="48"/>
      <c r="V623" s="48"/>
      <c r="W623" s="48"/>
      <c r="X623" s="48"/>
      <c r="Y623" s="48"/>
      <c r="Z623" s="48"/>
      <c r="AA623" s="48"/>
    </row>
    <row r="624" spans="2:27" ht="12.75" customHeight="1" x14ac:dyDescent="0.25">
      <c r="B624" s="48"/>
      <c r="C624" s="48"/>
      <c r="D624" s="48"/>
      <c r="E624" s="48"/>
      <c r="F624" s="48"/>
      <c r="G624" s="48"/>
      <c r="H624" s="48"/>
      <c r="I624" s="48"/>
      <c r="J624" s="48"/>
      <c r="K624" s="48"/>
      <c r="L624" s="48"/>
      <c r="M624" s="48"/>
      <c r="N624" s="48"/>
      <c r="O624" s="48"/>
      <c r="P624" s="48"/>
      <c r="Q624" s="48"/>
      <c r="R624" s="48"/>
      <c r="S624" s="48"/>
      <c r="T624" s="48"/>
      <c r="U624" s="48"/>
      <c r="V624" s="48"/>
      <c r="W624" s="48"/>
      <c r="X624" s="48"/>
      <c r="Y624" s="48"/>
      <c r="Z624" s="48"/>
      <c r="AA624" s="48"/>
    </row>
    <row r="625" spans="2:27" ht="12.75" customHeight="1" x14ac:dyDescent="0.25">
      <c r="B625" s="48"/>
      <c r="C625" s="48"/>
      <c r="D625" s="48"/>
      <c r="E625" s="48"/>
      <c r="F625" s="48"/>
      <c r="G625" s="48"/>
      <c r="H625" s="48"/>
      <c r="I625" s="48"/>
      <c r="J625" s="48"/>
      <c r="K625" s="48"/>
      <c r="L625" s="48"/>
      <c r="M625" s="48"/>
      <c r="N625" s="48"/>
      <c r="O625" s="48"/>
      <c r="P625" s="48"/>
      <c r="Q625" s="48"/>
      <c r="R625" s="48"/>
      <c r="S625" s="48"/>
      <c r="T625" s="48"/>
      <c r="U625" s="48"/>
      <c r="V625" s="48"/>
      <c r="W625" s="48"/>
      <c r="X625" s="48"/>
      <c r="Y625" s="48"/>
      <c r="Z625" s="48"/>
      <c r="AA625" s="48"/>
    </row>
    <row r="626" spans="2:27" ht="12.75" customHeight="1" x14ac:dyDescent="0.25">
      <c r="B626" s="48"/>
      <c r="C626" s="48"/>
      <c r="D626" s="48"/>
      <c r="E626" s="48"/>
      <c r="F626" s="48"/>
      <c r="G626" s="48"/>
      <c r="H626" s="48"/>
      <c r="I626" s="48"/>
      <c r="J626" s="48"/>
      <c r="K626" s="48"/>
      <c r="L626" s="48"/>
      <c r="M626" s="48"/>
      <c r="N626" s="48"/>
      <c r="O626" s="48"/>
      <c r="P626" s="48"/>
      <c r="Q626" s="48"/>
      <c r="R626" s="48"/>
      <c r="S626" s="48"/>
      <c r="T626" s="48"/>
      <c r="U626" s="48"/>
      <c r="V626" s="48"/>
      <c r="W626" s="48"/>
      <c r="X626" s="48"/>
      <c r="Y626" s="48"/>
      <c r="Z626" s="48"/>
      <c r="AA626" s="48"/>
    </row>
    <row r="627" spans="2:27" ht="12.75" customHeight="1" x14ac:dyDescent="0.25">
      <c r="B627" s="48"/>
      <c r="C627" s="48"/>
      <c r="D627" s="48"/>
      <c r="E627" s="48"/>
      <c r="F627" s="48"/>
      <c r="G627" s="48"/>
      <c r="H627" s="48"/>
      <c r="I627" s="48"/>
      <c r="J627" s="48"/>
      <c r="K627" s="48"/>
      <c r="L627" s="48"/>
      <c r="M627" s="48"/>
      <c r="N627" s="48"/>
      <c r="O627" s="48"/>
      <c r="P627" s="48"/>
      <c r="Q627" s="48"/>
      <c r="R627" s="48"/>
      <c r="S627" s="48"/>
      <c r="T627" s="48"/>
      <c r="U627" s="48"/>
      <c r="V627" s="48"/>
      <c r="W627" s="48"/>
      <c r="X627" s="48"/>
      <c r="Y627" s="48"/>
      <c r="Z627" s="48"/>
      <c r="AA627" s="48"/>
    </row>
    <row r="628" spans="2:27" ht="12.75" customHeight="1" x14ac:dyDescent="0.25">
      <c r="B628" s="48"/>
      <c r="C628" s="48"/>
      <c r="D628" s="48"/>
      <c r="E628" s="48"/>
      <c r="F628" s="48"/>
      <c r="G628" s="48"/>
      <c r="H628" s="48"/>
      <c r="I628" s="48"/>
      <c r="J628" s="48"/>
      <c r="K628" s="48"/>
      <c r="L628" s="48"/>
      <c r="M628" s="48"/>
      <c r="N628" s="48"/>
      <c r="O628" s="48"/>
      <c r="P628" s="48"/>
      <c r="Q628" s="48"/>
      <c r="R628" s="48"/>
      <c r="S628" s="48"/>
      <c r="T628" s="48"/>
      <c r="U628" s="48"/>
      <c r="V628" s="48"/>
      <c r="W628" s="48"/>
      <c r="X628" s="48"/>
      <c r="Y628" s="48"/>
      <c r="Z628" s="48"/>
      <c r="AA628" s="48"/>
    </row>
    <row r="629" spans="2:27" ht="12.75" customHeight="1" x14ac:dyDescent="0.25">
      <c r="B629" s="48"/>
      <c r="C629" s="48"/>
      <c r="D629" s="48"/>
      <c r="E629" s="48"/>
      <c r="F629" s="48"/>
      <c r="G629" s="48"/>
      <c r="H629" s="48"/>
      <c r="I629" s="48"/>
      <c r="J629" s="48"/>
      <c r="K629" s="48"/>
      <c r="L629" s="48"/>
      <c r="M629" s="48"/>
      <c r="N629" s="48"/>
      <c r="O629" s="48"/>
      <c r="P629" s="48"/>
      <c r="Q629" s="48"/>
      <c r="R629" s="48"/>
      <c r="S629" s="48"/>
      <c r="T629" s="48"/>
      <c r="U629" s="48"/>
      <c r="V629" s="48"/>
      <c r="W629" s="48"/>
      <c r="X629" s="48"/>
      <c r="Y629" s="48"/>
      <c r="Z629" s="48"/>
      <c r="AA629" s="48"/>
    </row>
    <row r="630" spans="2:27" ht="12.75" customHeight="1" x14ac:dyDescent="0.25">
      <c r="B630" s="48"/>
      <c r="C630" s="48"/>
      <c r="D630" s="48"/>
      <c r="E630" s="48"/>
      <c r="F630" s="48"/>
      <c r="G630" s="48"/>
      <c r="H630" s="48"/>
      <c r="I630" s="48"/>
      <c r="J630" s="48"/>
      <c r="K630" s="48"/>
      <c r="L630" s="48"/>
      <c r="M630" s="48"/>
      <c r="N630" s="48"/>
      <c r="O630" s="48"/>
      <c r="P630" s="48"/>
      <c r="Q630" s="48"/>
      <c r="R630" s="48"/>
      <c r="S630" s="48"/>
      <c r="T630" s="48"/>
      <c r="U630" s="48"/>
      <c r="V630" s="48"/>
      <c r="W630" s="48"/>
      <c r="X630" s="48"/>
      <c r="Y630" s="48"/>
      <c r="Z630" s="48"/>
      <c r="AA630" s="48"/>
    </row>
    <row r="631" spans="2:27" ht="12.75" customHeight="1" x14ac:dyDescent="0.25">
      <c r="B631" s="48"/>
      <c r="C631" s="48"/>
      <c r="D631" s="48"/>
      <c r="E631" s="48"/>
      <c r="F631" s="48"/>
      <c r="G631" s="48"/>
      <c r="H631" s="48"/>
      <c r="I631" s="48"/>
      <c r="J631" s="48"/>
      <c r="K631" s="48"/>
      <c r="L631" s="48"/>
      <c r="M631" s="48"/>
      <c r="N631" s="48"/>
      <c r="O631" s="48"/>
      <c r="P631" s="48"/>
      <c r="Q631" s="48"/>
      <c r="R631" s="48"/>
      <c r="S631" s="48"/>
      <c r="T631" s="48"/>
      <c r="U631" s="48"/>
      <c r="V631" s="48"/>
      <c r="W631" s="48"/>
      <c r="X631" s="48"/>
      <c r="Y631" s="48"/>
      <c r="Z631" s="48"/>
      <c r="AA631" s="48"/>
    </row>
    <row r="632" spans="2:27" ht="12.75" customHeight="1" x14ac:dyDescent="0.25">
      <c r="B632" s="48"/>
      <c r="C632" s="48"/>
      <c r="D632" s="48"/>
      <c r="E632" s="48"/>
      <c r="F632" s="48"/>
      <c r="G632" s="48"/>
      <c r="H632" s="48"/>
      <c r="I632" s="48"/>
      <c r="J632" s="48"/>
      <c r="K632" s="48"/>
      <c r="L632" s="48"/>
      <c r="M632" s="48"/>
      <c r="N632" s="48"/>
      <c r="O632" s="48"/>
      <c r="P632" s="48"/>
      <c r="Q632" s="48"/>
      <c r="R632" s="48"/>
      <c r="S632" s="48"/>
      <c r="T632" s="48"/>
      <c r="U632" s="48"/>
      <c r="V632" s="48"/>
      <c r="W632" s="48"/>
      <c r="X632" s="48"/>
      <c r="Y632" s="48"/>
      <c r="Z632" s="48"/>
      <c r="AA632" s="48"/>
    </row>
    <row r="633" spans="2:27" ht="12.75" customHeight="1" x14ac:dyDescent="0.25">
      <c r="B633" s="48"/>
      <c r="C633" s="48"/>
      <c r="D633" s="48"/>
      <c r="E633" s="48"/>
      <c r="F633" s="48"/>
      <c r="G633" s="48"/>
      <c r="H633" s="48"/>
      <c r="I633" s="48"/>
      <c r="J633" s="48"/>
      <c r="K633" s="48"/>
      <c r="L633" s="48"/>
      <c r="M633" s="48"/>
      <c r="N633" s="48"/>
      <c r="O633" s="48"/>
      <c r="P633" s="48"/>
      <c r="Q633" s="48"/>
      <c r="R633" s="48"/>
      <c r="S633" s="48"/>
      <c r="T633" s="48"/>
      <c r="U633" s="48"/>
      <c r="V633" s="48"/>
      <c r="W633" s="48"/>
      <c r="X633" s="48"/>
      <c r="Y633" s="48"/>
      <c r="Z633" s="48"/>
      <c r="AA633" s="48"/>
    </row>
    <row r="634" spans="2:27" ht="12.75" customHeight="1" x14ac:dyDescent="0.25">
      <c r="B634" s="48"/>
      <c r="C634" s="48"/>
      <c r="D634" s="48"/>
      <c r="E634" s="48"/>
      <c r="F634" s="48"/>
      <c r="G634" s="48"/>
      <c r="H634" s="48"/>
      <c r="I634" s="48"/>
      <c r="J634" s="48"/>
      <c r="K634" s="48"/>
      <c r="L634" s="48"/>
      <c r="M634" s="48"/>
      <c r="N634" s="48"/>
      <c r="O634" s="48"/>
      <c r="P634" s="48"/>
      <c r="Q634" s="48"/>
      <c r="R634" s="48"/>
      <c r="S634" s="48"/>
      <c r="T634" s="48"/>
      <c r="U634" s="48"/>
      <c r="V634" s="48"/>
      <c r="W634" s="48"/>
      <c r="X634" s="48"/>
      <c r="Y634" s="48"/>
      <c r="Z634" s="48"/>
      <c r="AA634" s="48"/>
    </row>
    <row r="635" spans="2:27" ht="12.75" customHeight="1" x14ac:dyDescent="0.25">
      <c r="B635" s="48"/>
      <c r="C635" s="48"/>
      <c r="D635" s="48"/>
      <c r="E635" s="48"/>
      <c r="F635" s="48"/>
      <c r="G635" s="48"/>
      <c r="H635" s="48"/>
      <c r="I635" s="48"/>
      <c r="J635" s="48"/>
      <c r="K635" s="48"/>
      <c r="L635" s="48"/>
      <c r="M635" s="48"/>
      <c r="N635" s="48"/>
      <c r="O635" s="48"/>
      <c r="P635" s="48"/>
      <c r="Q635" s="48"/>
      <c r="R635" s="48"/>
      <c r="S635" s="48"/>
      <c r="T635" s="48"/>
      <c r="U635" s="48"/>
      <c r="V635" s="48"/>
      <c r="W635" s="48"/>
      <c r="X635" s="48"/>
      <c r="Y635" s="48"/>
      <c r="Z635" s="48"/>
      <c r="AA635" s="48"/>
    </row>
    <row r="636" spans="2:27" ht="12.75" customHeight="1" x14ac:dyDescent="0.25">
      <c r="B636" s="48"/>
      <c r="C636" s="48"/>
      <c r="D636" s="48"/>
      <c r="E636" s="48"/>
      <c r="F636" s="48"/>
      <c r="G636" s="48"/>
      <c r="H636" s="48"/>
      <c r="I636" s="48"/>
      <c r="J636" s="48"/>
      <c r="K636" s="48"/>
      <c r="L636" s="48"/>
      <c r="M636" s="48"/>
      <c r="N636" s="48"/>
      <c r="O636" s="48"/>
      <c r="P636" s="48"/>
      <c r="Q636" s="48"/>
      <c r="R636" s="48"/>
      <c r="S636" s="48"/>
      <c r="T636" s="48"/>
      <c r="U636" s="48"/>
      <c r="V636" s="48"/>
      <c r="W636" s="48"/>
      <c r="X636" s="48"/>
      <c r="Y636" s="48"/>
      <c r="Z636" s="48"/>
      <c r="AA636" s="48"/>
    </row>
    <row r="637" spans="2:27" ht="12.75" customHeight="1" x14ac:dyDescent="0.25">
      <c r="B637" s="48"/>
      <c r="C637" s="48"/>
      <c r="D637" s="48"/>
      <c r="E637" s="48"/>
      <c r="F637" s="48"/>
      <c r="G637" s="48"/>
      <c r="H637" s="48"/>
      <c r="I637" s="48"/>
      <c r="J637" s="48"/>
      <c r="K637" s="48"/>
      <c r="L637" s="48"/>
      <c r="M637" s="48"/>
      <c r="N637" s="48"/>
      <c r="O637" s="48"/>
      <c r="P637" s="48"/>
      <c r="Q637" s="48"/>
      <c r="R637" s="48"/>
      <c r="S637" s="48"/>
      <c r="T637" s="48"/>
      <c r="U637" s="48"/>
      <c r="V637" s="48"/>
      <c r="W637" s="48"/>
      <c r="X637" s="48"/>
      <c r="Y637" s="48"/>
      <c r="Z637" s="48"/>
      <c r="AA637" s="48"/>
    </row>
    <row r="638" spans="2:27" ht="12.75" customHeight="1" x14ac:dyDescent="0.25">
      <c r="B638" s="48"/>
      <c r="C638" s="48"/>
      <c r="D638" s="48"/>
      <c r="E638" s="48"/>
      <c r="F638" s="48"/>
      <c r="G638" s="48"/>
      <c r="H638" s="48"/>
      <c r="I638" s="48"/>
      <c r="J638" s="48"/>
      <c r="K638" s="48"/>
      <c r="L638" s="48"/>
      <c r="M638" s="48"/>
      <c r="N638" s="48"/>
      <c r="O638" s="48"/>
      <c r="P638" s="48"/>
      <c r="Q638" s="48"/>
      <c r="R638" s="48"/>
      <c r="S638" s="48"/>
      <c r="T638" s="48"/>
      <c r="U638" s="48"/>
      <c r="V638" s="48"/>
      <c r="W638" s="48"/>
      <c r="X638" s="48"/>
      <c r="Y638" s="48"/>
      <c r="Z638" s="48"/>
      <c r="AA638" s="48"/>
    </row>
    <row r="639" spans="2:27" ht="12.75" customHeight="1" x14ac:dyDescent="0.25">
      <c r="B639" s="48"/>
      <c r="C639" s="48"/>
      <c r="D639" s="48"/>
      <c r="E639" s="48"/>
      <c r="F639" s="48"/>
      <c r="G639" s="48"/>
      <c r="H639" s="48"/>
      <c r="I639" s="48"/>
      <c r="J639" s="48"/>
      <c r="K639" s="48"/>
      <c r="L639" s="48"/>
      <c r="M639" s="48"/>
      <c r="N639" s="48"/>
      <c r="O639" s="48"/>
      <c r="P639" s="48"/>
      <c r="Q639" s="48"/>
      <c r="R639" s="48"/>
      <c r="S639" s="48"/>
      <c r="T639" s="48"/>
      <c r="U639" s="48"/>
      <c r="V639" s="48"/>
      <c r="W639" s="48"/>
      <c r="X639" s="48"/>
      <c r="Y639" s="48"/>
      <c r="Z639" s="48"/>
      <c r="AA639" s="48"/>
    </row>
    <row r="640" spans="2:27" ht="12.75" customHeight="1" x14ac:dyDescent="0.25">
      <c r="B640" s="48"/>
      <c r="C640" s="48"/>
      <c r="D640" s="48"/>
      <c r="E640" s="48"/>
      <c r="F640" s="48"/>
      <c r="G640" s="48"/>
      <c r="H640" s="48"/>
      <c r="I640" s="48"/>
      <c r="J640" s="48"/>
      <c r="K640" s="48"/>
      <c r="L640" s="48"/>
      <c r="M640" s="48"/>
      <c r="N640" s="48"/>
      <c r="O640" s="48"/>
      <c r="P640" s="48"/>
      <c r="Q640" s="48"/>
      <c r="R640" s="48"/>
      <c r="S640" s="48"/>
      <c r="T640" s="48"/>
      <c r="U640" s="48"/>
      <c r="V640" s="48"/>
      <c r="W640" s="48"/>
      <c r="X640" s="48"/>
      <c r="Y640" s="48"/>
      <c r="Z640" s="48"/>
      <c r="AA640" s="48"/>
    </row>
    <row r="641" spans="2:27" ht="12.75" customHeight="1" x14ac:dyDescent="0.25">
      <c r="B641" s="48"/>
      <c r="C641" s="48"/>
      <c r="D641" s="48"/>
      <c r="E641" s="48"/>
      <c r="F641" s="48"/>
      <c r="G641" s="48"/>
      <c r="H641" s="48"/>
      <c r="I641" s="48"/>
      <c r="J641" s="48"/>
      <c r="K641" s="48"/>
      <c r="L641" s="48"/>
      <c r="M641" s="48"/>
      <c r="N641" s="48"/>
      <c r="O641" s="48"/>
      <c r="P641" s="48"/>
      <c r="Q641" s="48"/>
      <c r="R641" s="48"/>
      <c r="S641" s="48"/>
      <c r="T641" s="48"/>
      <c r="U641" s="48"/>
      <c r="V641" s="48"/>
      <c r="W641" s="48"/>
      <c r="X641" s="48"/>
      <c r="Y641" s="48"/>
      <c r="Z641" s="48"/>
      <c r="AA641" s="48"/>
    </row>
    <row r="642" spans="2:27" ht="12.75" customHeight="1" x14ac:dyDescent="0.25">
      <c r="B642" s="48"/>
      <c r="C642" s="48"/>
      <c r="D642" s="48"/>
      <c r="E642" s="48"/>
      <c r="F642" s="48"/>
      <c r="G642" s="48"/>
      <c r="H642" s="48"/>
      <c r="I642" s="48"/>
      <c r="J642" s="48"/>
      <c r="K642" s="48"/>
      <c r="L642" s="48"/>
      <c r="M642" s="48"/>
      <c r="N642" s="48"/>
      <c r="O642" s="48"/>
      <c r="P642" s="48"/>
      <c r="Q642" s="48"/>
      <c r="R642" s="48"/>
      <c r="S642" s="48"/>
      <c r="T642" s="48"/>
      <c r="U642" s="48"/>
      <c r="V642" s="48"/>
      <c r="W642" s="48"/>
      <c r="X642" s="48"/>
      <c r="Y642" s="48"/>
      <c r="Z642" s="48"/>
      <c r="AA642" s="48"/>
    </row>
    <row r="643" spans="2:27" ht="12.75" customHeight="1" x14ac:dyDescent="0.25">
      <c r="B643" s="48"/>
      <c r="C643" s="48"/>
      <c r="D643" s="48"/>
      <c r="E643" s="48"/>
      <c r="F643" s="48"/>
      <c r="G643" s="48"/>
      <c r="H643" s="48"/>
      <c r="I643" s="48"/>
      <c r="J643" s="48"/>
      <c r="K643" s="48"/>
      <c r="L643" s="48"/>
      <c r="M643" s="48"/>
      <c r="N643" s="48"/>
      <c r="O643" s="48"/>
      <c r="P643" s="48"/>
      <c r="Q643" s="48"/>
      <c r="R643" s="48"/>
      <c r="S643" s="48"/>
      <c r="T643" s="48"/>
      <c r="U643" s="48"/>
      <c r="V643" s="48"/>
      <c r="W643" s="48"/>
      <c r="X643" s="48"/>
      <c r="Y643" s="48"/>
      <c r="Z643" s="48"/>
      <c r="AA643" s="48"/>
    </row>
    <row r="644" spans="2:27" ht="12.75" customHeight="1" x14ac:dyDescent="0.25">
      <c r="B644" s="48"/>
      <c r="C644" s="48"/>
      <c r="D644" s="48"/>
      <c r="E644" s="48"/>
      <c r="F644" s="48"/>
      <c r="G644" s="48"/>
      <c r="H644" s="48"/>
      <c r="I644" s="48"/>
      <c r="J644" s="48"/>
      <c r="K644" s="48"/>
      <c r="L644" s="48"/>
      <c r="M644" s="48"/>
      <c r="N644" s="48"/>
      <c r="O644" s="48"/>
      <c r="P644" s="48"/>
      <c r="Q644" s="48"/>
      <c r="R644" s="48"/>
      <c r="S644" s="48"/>
      <c r="T644" s="48"/>
      <c r="U644" s="48"/>
      <c r="V644" s="48"/>
      <c r="W644" s="48"/>
      <c r="X644" s="48"/>
      <c r="Y644" s="48"/>
      <c r="Z644" s="48"/>
      <c r="AA644" s="48"/>
    </row>
    <row r="645" spans="2:27" ht="12.75" customHeight="1" x14ac:dyDescent="0.25">
      <c r="B645" s="48"/>
      <c r="C645" s="48"/>
      <c r="D645" s="48"/>
      <c r="E645" s="48"/>
      <c r="F645" s="48"/>
      <c r="G645" s="48"/>
      <c r="H645" s="48"/>
      <c r="I645" s="48"/>
      <c r="J645" s="48"/>
      <c r="K645" s="48"/>
      <c r="L645" s="48"/>
      <c r="M645" s="48"/>
      <c r="N645" s="48"/>
      <c r="O645" s="48"/>
      <c r="P645" s="48"/>
      <c r="Q645" s="48"/>
      <c r="R645" s="48"/>
      <c r="S645" s="48"/>
      <c r="T645" s="48"/>
      <c r="U645" s="48"/>
      <c r="V645" s="48"/>
      <c r="W645" s="48"/>
      <c r="X645" s="48"/>
      <c r="Y645" s="48"/>
      <c r="Z645" s="48"/>
      <c r="AA645" s="48"/>
    </row>
    <row r="646" spans="2:27" ht="12.75" customHeight="1" x14ac:dyDescent="0.25">
      <c r="B646" s="48"/>
      <c r="C646" s="48"/>
      <c r="D646" s="48"/>
      <c r="E646" s="48"/>
      <c r="F646" s="48"/>
      <c r="G646" s="48"/>
      <c r="H646" s="48"/>
      <c r="I646" s="48"/>
      <c r="J646" s="48"/>
      <c r="K646" s="48"/>
      <c r="L646" s="48"/>
      <c r="M646" s="48"/>
      <c r="N646" s="48"/>
      <c r="O646" s="48"/>
      <c r="P646" s="48"/>
      <c r="Q646" s="48"/>
      <c r="R646" s="48"/>
      <c r="S646" s="48"/>
      <c r="T646" s="48"/>
      <c r="U646" s="48"/>
      <c r="V646" s="48"/>
      <c r="W646" s="48"/>
      <c r="X646" s="48"/>
      <c r="Y646" s="48"/>
      <c r="Z646" s="48"/>
      <c r="AA646" s="48"/>
    </row>
    <row r="647" spans="2:27" ht="12.75" customHeight="1" x14ac:dyDescent="0.25">
      <c r="B647" s="48"/>
      <c r="C647" s="48"/>
      <c r="D647" s="48"/>
      <c r="E647" s="48"/>
      <c r="F647" s="48"/>
      <c r="G647" s="48"/>
      <c r="H647" s="48"/>
      <c r="I647" s="48"/>
      <c r="J647" s="48"/>
      <c r="K647" s="48"/>
      <c r="L647" s="48"/>
      <c r="M647" s="48"/>
      <c r="N647" s="48"/>
      <c r="O647" s="48"/>
      <c r="P647" s="48"/>
      <c r="Q647" s="48"/>
      <c r="R647" s="48"/>
      <c r="S647" s="48"/>
      <c r="T647" s="48"/>
      <c r="U647" s="48"/>
      <c r="V647" s="48"/>
      <c r="W647" s="48"/>
      <c r="X647" s="48"/>
      <c r="Y647" s="48"/>
      <c r="Z647" s="48"/>
      <c r="AA647" s="48"/>
    </row>
    <row r="648" spans="2:27" ht="12.75" customHeight="1" x14ac:dyDescent="0.25">
      <c r="B648" s="48"/>
      <c r="C648" s="48"/>
      <c r="D648" s="48"/>
      <c r="E648" s="48"/>
      <c r="F648" s="48"/>
      <c r="G648" s="48"/>
      <c r="H648" s="48"/>
      <c r="I648" s="48"/>
      <c r="J648" s="48"/>
      <c r="K648" s="48"/>
      <c r="L648" s="48"/>
      <c r="M648" s="48"/>
      <c r="N648" s="48"/>
      <c r="O648" s="48"/>
      <c r="P648" s="48"/>
      <c r="Q648" s="48"/>
      <c r="R648" s="48"/>
      <c r="S648" s="48"/>
      <c r="T648" s="48"/>
      <c r="U648" s="48"/>
      <c r="V648" s="48"/>
      <c r="W648" s="48"/>
      <c r="X648" s="48"/>
      <c r="Y648" s="48"/>
      <c r="Z648" s="48"/>
      <c r="AA648" s="48"/>
    </row>
    <row r="649" spans="2:27" ht="12.75" customHeight="1" x14ac:dyDescent="0.25">
      <c r="B649" s="48"/>
      <c r="C649" s="48"/>
      <c r="D649" s="48"/>
      <c r="E649" s="48"/>
      <c r="F649" s="48"/>
      <c r="G649" s="48"/>
      <c r="H649" s="48"/>
      <c r="I649" s="48"/>
      <c r="J649" s="48"/>
      <c r="K649" s="48"/>
      <c r="L649" s="48"/>
      <c r="M649" s="48"/>
      <c r="N649" s="48"/>
      <c r="O649" s="48"/>
      <c r="P649" s="48"/>
      <c r="Q649" s="48"/>
      <c r="R649" s="48"/>
      <c r="S649" s="48"/>
      <c r="T649" s="48"/>
      <c r="U649" s="48"/>
      <c r="V649" s="48"/>
      <c r="W649" s="48"/>
      <c r="X649" s="48"/>
      <c r="Y649" s="48"/>
      <c r="Z649" s="48"/>
      <c r="AA649" s="48"/>
    </row>
    <row r="650" spans="2:27" ht="12.75" customHeight="1" x14ac:dyDescent="0.25">
      <c r="B650" s="48"/>
      <c r="C650" s="48"/>
      <c r="D650" s="48"/>
      <c r="E650" s="48"/>
      <c r="F650" s="48"/>
      <c r="G650" s="48"/>
      <c r="H650" s="48"/>
      <c r="I650" s="48"/>
      <c r="J650" s="48"/>
      <c r="K650" s="48"/>
      <c r="L650" s="48"/>
      <c r="M650" s="48"/>
      <c r="N650" s="48"/>
      <c r="O650" s="48"/>
      <c r="P650" s="48"/>
      <c r="Q650" s="48"/>
      <c r="R650" s="48"/>
      <c r="S650" s="48"/>
      <c r="T650" s="48"/>
      <c r="U650" s="48"/>
      <c r="V650" s="48"/>
      <c r="W650" s="48"/>
      <c r="X650" s="48"/>
      <c r="Y650" s="48"/>
      <c r="Z650" s="48"/>
      <c r="AA650" s="48"/>
    </row>
    <row r="651" spans="2:27" ht="12.75" customHeight="1" x14ac:dyDescent="0.25">
      <c r="B651" s="48"/>
      <c r="C651" s="48"/>
      <c r="D651" s="48"/>
      <c r="E651" s="48"/>
      <c r="F651" s="48"/>
      <c r="G651" s="48"/>
      <c r="H651" s="48"/>
      <c r="I651" s="48"/>
      <c r="J651" s="48"/>
      <c r="K651" s="48"/>
      <c r="L651" s="48"/>
      <c r="M651" s="48"/>
      <c r="N651" s="48"/>
      <c r="O651" s="48"/>
      <c r="P651" s="48"/>
      <c r="Q651" s="48"/>
      <c r="R651" s="48"/>
      <c r="S651" s="48"/>
      <c r="T651" s="48"/>
      <c r="U651" s="48"/>
      <c r="V651" s="48"/>
      <c r="W651" s="48"/>
      <c r="X651" s="48"/>
      <c r="Y651" s="48"/>
      <c r="Z651" s="48"/>
      <c r="AA651" s="48"/>
    </row>
    <row r="652" spans="2:27" ht="12.75" customHeight="1" x14ac:dyDescent="0.25">
      <c r="B652" s="48"/>
      <c r="C652" s="48"/>
      <c r="D652" s="48"/>
      <c r="E652" s="48"/>
      <c r="F652" s="48"/>
      <c r="G652" s="48"/>
      <c r="H652" s="48"/>
      <c r="I652" s="48"/>
      <c r="J652" s="48"/>
      <c r="K652" s="48"/>
      <c r="L652" s="48"/>
      <c r="M652" s="48"/>
      <c r="N652" s="48"/>
      <c r="O652" s="48"/>
      <c r="P652" s="48"/>
      <c r="Q652" s="48"/>
      <c r="R652" s="48"/>
      <c r="S652" s="48"/>
      <c r="T652" s="48"/>
      <c r="U652" s="48"/>
      <c r="V652" s="48"/>
      <c r="W652" s="48"/>
      <c r="X652" s="48"/>
      <c r="Y652" s="48"/>
      <c r="Z652" s="48"/>
      <c r="AA652" s="48"/>
    </row>
    <row r="653" spans="2:27" ht="12.75" customHeight="1" x14ac:dyDescent="0.25">
      <c r="B653" s="48"/>
      <c r="C653" s="48"/>
      <c r="D653" s="48"/>
      <c r="E653" s="48"/>
      <c r="F653" s="48"/>
      <c r="G653" s="48"/>
      <c r="H653" s="48"/>
      <c r="I653" s="48"/>
      <c r="J653" s="48"/>
      <c r="K653" s="48"/>
      <c r="L653" s="48"/>
      <c r="M653" s="48"/>
      <c r="N653" s="48"/>
      <c r="O653" s="48"/>
      <c r="P653" s="48"/>
      <c r="Q653" s="48"/>
      <c r="R653" s="48"/>
      <c r="S653" s="48"/>
      <c r="T653" s="48"/>
      <c r="U653" s="48"/>
      <c r="V653" s="48"/>
      <c r="W653" s="48"/>
      <c r="X653" s="48"/>
      <c r="Y653" s="48"/>
      <c r="Z653" s="48"/>
      <c r="AA653" s="48"/>
    </row>
    <row r="654" spans="2:27" ht="12.75" customHeight="1" x14ac:dyDescent="0.25">
      <c r="B654" s="48"/>
      <c r="C654" s="48"/>
      <c r="D654" s="48"/>
      <c r="E654" s="48"/>
      <c r="F654" s="48"/>
      <c r="G654" s="48"/>
      <c r="H654" s="48"/>
      <c r="I654" s="48"/>
      <c r="J654" s="48"/>
      <c r="K654" s="48"/>
      <c r="L654" s="48"/>
      <c r="M654" s="48"/>
      <c r="N654" s="48"/>
      <c r="O654" s="48"/>
      <c r="P654" s="48"/>
      <c r="Q654" s="48"/>
      <c r="R654" s="48"/>
      <c r="S654" s="48"/>
      <c r="T654" s="48"/>
      <c r="U654" s="48"/>
      <c r="V654" s="48"/>
      <c r="W654" s="48"/>
      <c r="X654" s="48"/>
      <c r="Y654" s="48"/>
      <c r="Z654" s="48"/>
      <c r="AA654" s="48"/>
    </row>
    <row r="655" spans="2:27" ht="12.75" customHeight="1" x14ac:dyDescent="0.25">
      <c r="B655" s="48"/>
      <c r="C655" s="48"/>
      <c r="D655" s="48"/>
      <c r="E655" s="48"/>
      <c r="F655" s="48"/>
      <c r="G655" s="48"/>
      <c r="H655" s="48"/>
      <c r="I655" s="48"/>
      <c r="J655" s="48"/>
      <c r="K655" s="48"/>
      <c r="L655" s="48"/>
      <c r="M655" s="48"/>
      <c r="N655" s="48"/>
      <c r="O655" s="48"/>
      <c r="P655" s="48"/>
      <c r="Q655" s="48"/>
      <c r="R655" s="48"/>
      <c r="S655" s="48"/>
      <c r="T655" s="48"/>
      <c r="U655" s="48"/>
      <c r="V655" s="48"/>
      <c r="W655" s="48"/>
      <c r="X655" s="48"/>
      <c r="Y655" s="48"/>
      <c r="Z655" s="48"/>
      <c r="AA655" s="48"/>
    </row>
    <row r="656" spans="2:27" ht="12.75" customHeight="1" x14ac:dyDescent="0.25">
      <c r="B656" s="48"/>
      <c r="C656" s="48"/>
      <c r="D656" s="48"/>
      <c r="E656" s="48"/>
      <c r="F656" s="48"/>
      <c r="G656" s="48"/>
      <c r="H656" s="48"/>
      <c r="I656" s="48"/>
      <c r="J656" s="48"/>
      <c r="K656" s="48"/>
      <c r="L656" s="48"/>
      <c r="M656" s="48"/>
      <c r="N656" s="48"/>
      <c r="O656" s="48"/>
      <c r="P656" s="48"/>
      <c r="Q656" s="48"/>
      <c r="R656" s="48"/>
      <c r="S656" s="48"/>
      <c r="T656" s="48"/>
      <c r="U656" s="48"/>
      <c r="V656" s="48"/>
      <c r="W656" s="48"/>
      <c r="X656" s="48"/>
      <c r="Y656" s="48"/>
      <c r="Z656" s="48"/>
      <c r="AA656" s="48"/>
    </row>
    <row r="657" spans="2:27" ht="12.75" customHeight="1" x14ac:dyDescent="0.25">
      <c r="B657" s="48"/>
      <c r="C657" s="48"/>
      <c r="D657" s="48"/>
      <c r="E657" s="48"/>
      <c r="F657" s="48"/>
      <c r="G657" s="48"/>
      <c r="H657" s="48"/>
      <c r="I657" s="48"/>
      <c r="J657" s="48"/>
      <c r="K657" s="48"/>
      <c r="L657" s="48"/>
      <c r="M657" s="48"/>
      <c r="N657" s="48"/>
      <c r="O657" s="48"/>
      <c r="P657" s="48"/>
      <c r="Q657" s="48"/>
      <c r="R657" s="48"/>
      <c r="S657" s="48"/>
      <c r="T657" s="48"/>
      <c r="U657" s="48"/>
      <c r="V657" s="48"/>
      <c r="W657" s="48"/>
      <c r="X657" s="48"/>
      <c r="Y657" s="48"/>
      <c r="Z657" s="48"/>
      <c r="AA657" s="48"/>
    </row>
    <row r="658" spans="2:27" ht="12.75" customHeight="1" x14ac:dyDescent="0.25">
      <c r="B658" s="48"/>
      <c r="C658" s="48"/>
      <c r="D658" s="48"/>
      <c r="E658" s="48"/>
      <c r="F658" s="48"/>
      <c r="G658" s="48"/>
      <c r="H658" s="48"/>
      <c r="I658" s="48"/>
      <c r="J658" s="48"/>
      <c r="K658" s="48"/>
      <c r="L658" s="48"/>
      <c r="M658" s="48"/>
      <c r="N658" s="48"/>
      <c r="O658" s="48"/>
      <c r="P658" s="48"/>
      <c r="Q658" s="48"/>
      <c r="R658" s="48"/>
      <c r="S658" s="48"/>
      <c r="T658" s="48"/>
      <c r="U658" s="48"/>
      <c r="V658" s="48"/>
      <c r="W658" s="48"/>
      <c r="X658" s="48"/>
      <c r="Y658" s="48"/>
      <c r="Z658" s="48"/>
      <c r="AA658" s="48"/>
    </row>
    <row r="659" spans="2:27" ht="12.75" customHeight="1" x14ac:dyDescent="0.25">
      <c r="B659" s="48"/>
      <c r="C659" s="48"/>
      <c r="D659" s="48"/>
      <c r="E659" s="48"/>
      <c r="F659" s="48"/>
      <c r="G659" s="48"/>
      <c r="H659" s="48"/>
      <c r="I659" s="48"/>
      <c r="J659" s="48"/>
      <c r="K659" s="48"/>
      <c r="L659" s="48"/>
      <c r="M659" s="48"/>
      <c r="N659" s="48"/>
      <c r="O659" s="48"/>
      <c r="P659" s="48"/>
      <c r="Q659" s="48"/>
      <c r="R659" s="48"/>
      <c r="S659" s="48"/>
      <c r="T659" s="48"/>
      <c r="U659" s="48"/>
      <c r="V659" s="48"/>
      <c r="W659" s="48"/>
      <c r="X659" s="48"/>
      <c r="Y659" s="48"/>
      <c r="Z659" s="48"/>
      <c r="AA659" s="48"/>
    </row>
    <row r="660" spans="2:27" ht="12.75" customHeight="1" x14ac:dyDescent="0.25">
      <c r="B660" s="48"/>
      <c r="C660" s="48"/>
      <c r="D660" s="48"/>
      <c r="E660" s="48"/>
      <c r="F660" s="48"/>
      <c r="G660" s="48"/>
      <c r="H660" s="48"/>
      <c r="I660" s="48"/>
      <c r="J660" s="48"/>
      <c r="K660" s="48"/>
      <c r="L660" s="48"/>
      <c r="M660" s="48"/>
      <c r="N660" s="48"/>
      <c r="O660" s="48"/>
      <c r="P660" s="48"/>
      <c r="Q660" s="48"/>
      <c r="R660" s="48"/>
      <c r="S660" s="48"/>
      <c r="T660" s="48"/>
      <c r="U660" s="48"/>
      <c r="V660" s="48"/>
      <c r="W660" s="48"/>
      <c r="X660" s="48"/>
      <c r="Y660" s="48"/>
      <c r="Z660" s="48"/>
      <c r="AA660" s="48"/>
    </row>
    <row r="661" spans="2:27" ht="12.75" customHeight="1" x14ac:dyDescent="0.25">
      <c r="B661" s="48"/>
      <c r="C661" s="48"/>
      <c r="D661" s="48"/>
      <c r="E661" s="48"/>
      <c r="F661" s="48"/>
      <c r="G661" s="48"/>
      <c r="H661" s="48"/>
      <c r="I661" s="48"/>
      <c r="J661" s="48"/>
      <c r="K661" s="48"/>
      <c r="L661" s="48"/>
      <c r="M661" s="48"/>
      <c r="N661" s="48"/>
      <c r="O661" s="48"/>
      <c r="P661" s="48"/>
      <c r="Q661" s="48"/>
      <c r="R661" s="48"/>
      <c r="S661" s="48"/>
      <c r="T661" s="48"/>
      <c r="U661" s="48"/>
      <c r="V661" s="48"/>
      <c r="W661" s="48"/>
      <c r="X661" s="48"/>
      <c r="Y661" s="48"/>
      <c r="Z661" s="48"/>
      <c r="AA661" s="48"/>
    </row>
    <row r="662" spans="2:27" ht="12.75" customHeight="1" x14ac:dyDescent="0.25">
      <c r="B662" s="48"/>
      <c r="C662" s="48"/>
      <c r="D662" s="48"/>
      <c r="E662" s="48"/>
      <c r="F662" s="48"/>
      <c r="G662" s="48"/>
      <c r="H662" s="48"/>
      <c r="I662" s="48"/>
      <c r="J662" s="48"/>
      <c r="K662" s="48"/>
      <c r="L662" s="48"/>
      <c r="M662" s="48"/>
      <c r="N662" s="48"/>
      <c r="O662" s="48"/>
      <c r="P662" s="48"/>
      <c r="Q662" s="48"/>
      <c r="R662" s="48"/>
      <c r="S662" s="48"/>
      <c r="T662" s="48"/>
      <c r="U662" s="48"/>
      <c r="V662" s="48"/>
      <c r="W662" s="48"/>
      <c r="X662" s="48"/>
      <c r="Y662" s="48"/>
      <c r="Z662" s="48"/>
      <c r="AA662" s="48"/>
    </row>
    <row r="663" spans="2:27" ht="12.75" customHeight="1" x14ac:dyDescent="0.25">
      <c r="B663" s="48"/>
      <c r="C663" s="48"/>
      <c r="D663" s="48"/>
      <c r="E663" s="48"/>
      <c r="F663" s="48"/>
      <c r="G663" s="48"/>
      <c r="H663" s="48"/>
      <c r="I663" s="48"/>
      <c r="J663" s="48"/>
      <c r="K663" s="48"/>
      <c r="L663" s="48"/>
      <c r="M663" s="48"/>
      <c r="N663" s="48"/>
      <c r="O663" s="48"/>
      <c r="P663" s="48"/>
      <c r="Q663" s="48"/>
      <c r="R663" s="48"/>
      <c r="S663" s="48"/>
      <c r="T663" s="48"/>
      <c r="U663" s="48"/>
      <c r="V663" s="48"/>
      <c r="W663" s="48"/>
      <c r="X663" s="48"/>
      <c r="Y663" s="48"/>
      <c r="Z663" s="48"/>
      <c r="AA663" s="48"/>
    </row>
    <row r="664" spans="2:27" ht="12.75" customHeight="1" x14ac:dyDescent="0.25">
      <c r="B664" s="48"/>
      <c r="C664" s="48"/>
      <c r="D664" s="48"/>
      <c r="E664" s="48"/>
      <c r="F664" s="48"/>
      <c r="G664" s="48"/>
      <c r="H664" s="48"/>
      <c r="I664" s="48"/>
      <c r="J664" s="48"/>
      <c r="K664" s="48"/>
      <c r="L664" s="48"/>
      <c r="M664" s="48"/>
      <c r="N664" s="48"/>
      <c r="O664" s="48"/>
      <c r="P664" s="48"/>
      <c r="Q664" s="48"/>
      <c r="R664" s="48"/>
      <c r="S664" s="48"/>
      <c r="T664" s="48"/>
      <c r="U664" s="48"/>
      <c r="V664" s="48"/>
      <c r="W664" s="48"/>
      <c r="X664" s="48"/>
      <c r="Y664" s="48"/>
      <c r="Z664" s="48"/>
      <c r="AA664" s="48"/>
    </row>
    <row r="665" spans="2:27" ht="12.75" customHeight="1" x14ac:dyDescent="0.25">
      <c r="B665" s="48"/>
      <c r="C665" s="48"/>
      <c r="D665" s="48"/>
      <c r="E665" s="48"/>
      <c r="F665" s="48"/>
      <c r="G665" s="48"/>
      <c r="H665" s="48"/>
      <c r="I665" s="48"/>
      <c r="J665" s="48"/>
      <c r="K665" s="48"/>
      <c r="L665" s="48"/>
      <c r="M665" s="48"/>
      <c r="N665" s="48"/>
      <c r="O665" s="48"/>
      <c r="P665" s="48"/>
      <c r="Q665" s="48"/>
      <c r="R665" s="48"/>
      <c r="S665" s="48"/>
      <c r="T665" s="48"/>
      <c r="U665" s="48"/>
      <c r="V665" s="48"/>
      <c r="W665" s="48"/>
      <c r="X665" s="48"/>
      <c r="Y665" s="48"/>
      <c r="Z665" s="48"/>
      <c r="AA665" s="48"/>
    </row>
    <row r="666" spans="2:27" ht="12.75" customHeight="1" x14ac:dyDescent="0.25">
      <c r="B666" s="48"/>
      <c r="C666" s="48"/>
      <c r="D666" s="48"/>
      <c r="E666" s="48"/>
      <c r="F666" s="48"/>
      <c r="G666" s="48"/>
      <c r="H666" s="48"/>
      <c r="I666" s="48"/>
      <c r="J666" s="48"/>
      <c r="K666" s="48"/>
      <c r="L666" s="48"/>
      <c r="M666" s="48"/>
      <c r="N666" s="48"/>
      <c r="O666" s="48"/>
      <c r="P666" s="48"/>
      <c r="Q666" s="48"/>
      <c r="R666" s="48"/>
      <c r="S666" s="48"/>
      <c r="T666" s="48"/>
      <c r="U666" s="48"/>
      <c r="V666" s="48"/>
      <c r="W666" s="48"/>
      <c r="X666" s="48"/>
      <c r="Y666" s="48"/>
      <c r="Z666" s="48"/>
      <c r="AA666" s="48"/>
    </row>
    <row r="667" spans="2:27" ht="12.75" customHeight="1" x14ac:dyDescent="0.25">
      <c r="B667" s="48"/>
      <c r="C667" s="48"/>
      <c r="D667" s="48"/>
      <c r="E667" s="48"/>
      <c r="F667" s="48"/>
      <c r="G667" s="48"/>
      <c r="H667" s="48"/>
      <c r="I667" s="48"/>
      <c r="J667" s="48"/>
      <c r="K667" s="48"/>
      <c r="L667" s="48"/>
      <c r="M667" s="48"/>
      <c r="N667" s="48"/>
      <c r="O667" s="48"/>
      <c r="P667" s="48"/>
      <c r="Q667" s="48"/>
      <c r="R667" s="48"/>
      <c r="S667" s="48"/>
      <c r="T667" s="48"/>
      <c r="U667" s="48"/>
      <c r="V667" s="48"/>
      <c r="W667" s="48"/>
      <c r="X667" s="48"/>
      <c r="Y667" s="48"/>
      <c r="Z667" s="48"/>
      <c r="AA667" s="48"/>
    </row>
    <row r="668" spans="2:27" ht="12.75" customHeight="1" x14ac:dyDescent="0.25">
      <c r="B668" s="48"/>
      <c r="C668" s="48"/>
      <c r="D668" s="48"/>
      <c r="E668" s="48"/>
      <c r="F668" s="48"/>
      <c r="G668" s="48"/>
      <c r="H668" s="48"/>
      <c r="I668" s="48"/>
      <c r="J668" s="48"/>
      <c r="K668" s="48"/>
      <c r="L668" s="48"/>
      <c r="M668" s="48"/>
      <c r="N668" s="48"/>
      <c r="O668" s="48"/>
      <c r="P668" s="48"/>
      <c r="Q668" s="48"/>
      <c r="R668" s="48"/>
      <c r="S668" s="48"/>
      <c r="T668" s="48"/>
      <c r="U668" s="48"/>
      <c r="V668" s="48"/>
      <c r="W668" s="48"/>
      <c r="X668" s="48"/>
      <c r="Y668" s="48"/>
      <c r="Z668" s="48"/>
      <c r="AA668" s="48"/>
    </row>
    <row r="669" spans="2:27" ht="12.75" customHeight="1" x14ac:dyDescent="0.25">
      <c r="B669" s="48"/>
      <c r="C669" s="48"/>
      <c r="D669" s="48"/>
      <c r="E669" s="48"/>
      <c r="F669" s="48"/>
      <c r="G669" s="48"/>
      <c r="H669" s="48"/>
      <c r="I669" s="48"/>
      <c r="J669" s="48"/>
      <c r="K669" s="48"/>
      <c r="L669" s="48"/>
      <c r="M669" s="48"/>
      <c r="N669" s="48"/>
      <c r="O669" s="48"/>
      <c r="P669" s="48"/>
      <c r="Q669" s="48"/>
      <c r="R669" s="48"/>
      <c r="S669" s="48"/>
      <c r="T669" s="48"/>
      <c r="U669" s="48"/>
      <c r="V669" s="48"/>
      <c r="W669" s="48"/>
      <c r="X669" s="48"/>
      <c r="Y669" s="48"/>
      <c r="Z669" s="48"/>
      <c r="AA669" s="48"/>
    </row>
    <row r="670" spans="2:27" ht="12.75" customHeight="1" x14ac:dyDescent="0.25">
      <c r="B670" s="48"/>
      <c r="C670" s="48"/>
      <c r="D670" s="48"/>
      <c r="E670" s="48"/>
      <c r="F670" s="48"/>
      <c r="G670" s="48"/>
      <c r="H670" s="48"/>
      <c r="I670" s="48"/>
      <c r="J670" s="48"/>
      <c r="K670" s="48"/>
      <c r="L670" s="48"/>
      <c r="M670" s="48"/>
      <c r="N670" s="48"/>
      <c r="O670" s="48"/>
      <c r="P670" s="48"/>
      <c r="Q670" s="48"/>
      <c r="R670" s="48"/>
      <c r="S670" s="48"/>
      <c r="T670" s="48"/>
      <c r="U670" s="48"/>
      <c r="V670" s="48"/>
      <c r="W670" s="48"/>
      <c r="X670" s="48"/>
      <c r="Y670" s="48"/>
      <c r="Z670" s="48"/>
      <c r="AA670" s="48"/>
    </row>
    <row r="671" spans="2:27" ht="12.75" customHeight="1" x14ac:dyDescent="0.25">
      <c r="B671" s="48"/>
      <c r="C671" s="48"/>
      <c r="D671" s="48"/>
      <c r="E671" s="48"/>
      <c r="F671" s="48"/>
      <c r="G671" s="48"/>
      <c r="H671" s="48"/>
      <c r="I671" s="48"/>
      <c r="J671" s="48"/>
      <c r="K671" s="48"/>
      <c r="L671" s="48"/>
      <c r="M671" s="48"/>
      <c r="N671" s="48"/>
      <c r="O671" s="48"/>
      <c r="P671" s="48"/>
      <c r="Q671" s="48"/>
      <c r="R671" s="48"/>
      <c r="S671" s="48"/>
      <c r="T671" s="48"/>
      <c r="U671" s="48"/>
      <c r="V671" s="48"/>
      <c r="W671" s="48"/>
      <c r="X671" s="48"/>
      <c r="Y671" s="48"/>
      <c r="Z671" s="48"/>
      <c r="AA671" s="48"/>
    </row>
    <row r="672" spans="2:27" ht="12.75" customHeight="1" x14ac:dyDescent="0.25">
      <c r="B672" s="48"/>
      <c r="C672" s="48"/>
      <c r="D672" s="48"/>
      <c r="E672" s="48"/>
      <c r="F672" s="48"/>
      <c r="G672" s="48"/>
      <c r="H672" s="48"/>
      <c r="I672" s="48"/>
      <c r="J672" s="48"/>
      <c r="K672" s="48"/>
      <c r="L672" s="48"/>
      <c r="M672" s="48"/>
      <c r="N672" s="48"/>
      <c r="O672" s="48"/>
      <c r="P672" s="48"/>
      <c r="Q672" s="48"/>
      <c r="R672" s="48"/>
      <c r="S672" s="48"/>
      <c r="T672" s="48"/>
      <c r="U672" s="48"/>
      <c r="V672" s="48"/>
      <c r="W672" s="48"/>
      <c r="X672" s="48"/>
      <c r="Y672" s="48"/>
      <c r="Z672" s="48"/>
      <c r="AA672" s="48"/>
    </row>
    <row r="673" spans="2:27" ht="12.75" customHeight="1" x14ac:dyDescent="0.25">
      <c r="B673" s="48"/>
      <c r="C673" s="48"/>
      <c r="D673" s="48"/>
      <c r="E673" s="48"/>
      <c r="F673" s="48"/>
      <c r="G673" s="48"/>
      <c r="H673" s="48"/>
      <c r="I673" s="48"/>
      <c r="J673" s="48"/>
      <c r="K673" s="48"/>
      <c r="L673" s="48"/>
      <c r="M673" s="48"/>
      <c r="N673" s="48"/>
      <c r="O673" s="48"/>
      <c r="P673" s="48"/>
      <c r="Q673" s="48"/>
      <c r="R673" s="48"/>
      <c r="S673" s="48"/>
      <c r="T673" s="48"/>
      <c r="U673" s="48"/>
      <c r="V673" s="48"/>
      <c r="W673" s="48"/>
      <c r="X673" s="48"/>
      <c r="Y673" s="48"/>
      <c r="Z673" s="48"/>
      <c r="AA673" s="48"/>
    </row>
    <row r="674" spans="2:27" ht="12.75" customHeight="1" x14ac:dyDescent="0.25">
      <c r="B674" s="48"/>
      <c r="C674" s="48"/>
      <c r="D674" s="48"/>
      <c r="E674" s="48"/>
      <c r="F674" s="48"/>
      <c r="G674" s="48"/>
      <c r="H674" s="48"/>
      <c r="I674" s="48"/>
      <c r="J674" s="48"/>
      <c r="K674" s="48"/>
      <c r="L674" s="48"/>
      <c r="M674" s="48"/>
      <c r="N674" s="48"/>
      <c r="O674" s="48"/>
      <c r="P674" s="48"/>
      <c r="Q674" s="48"/>
      <c r="R674" s="48"/>
      <c r="S674" s="48"/>
      <c r="T674" s="48"/>
      <c r="U674" s="48"/>
      <c r="V674" s="48"/>
      <c r="W674" s="48"/>
      <c r="X674" s="48"/>
      <c r="Y674" s="48"/>
      <c r="Z674" s="48"/>
      <c r="AA674" s="48"/>
    </row>
    <row r="675" spans="2:27" ht="12.75" customHeight="1" x14ac:dyDescent="0.25">
      <c r="B675" s="48"/>
      <c r="C675" s="48"/>
      <c r="D675" s="48"/>
      <c r="E675" s="48"/>
      <c r="F675" s="48"/>
      <c r="G675" s="48"/>
      <c r="H675" s="48"/>
      <c r="I675" s="48"/>
      <c r="J675" s="48"/>
      <c r="K675" s="48"/>
      <c r="L675" s="48"/>
      <c r="M675" s="48"/>
      <c r="N675" s="48"/>
      <c r="O675" s="48"/>
      <c r="P675" s="48"/>
      <c r="Q675" s="48"/>
      <c r="R675" s="48"/>
      <c r="S675" s="48"/>
      <c r="T675" s="48"/>
      <c r="U675" s="48"/>
      <c r="V675" s="48"/>
      <c r="W675" s="48"/>
      <c r="X675" s="48"/>
      <c r="Y675" s="48"/>
      <c r="Z675" s="48"/>
      <c r="AA675" s="48"/>
    </row>
    <row r="676" spans="2:27" ht="12.75" customHeight="1" x14ac:dyDescent="0.25">
      <c r="B676" s="48"/>
      <c r="C676" s="48"/>
      <c r="D676" s="48"/>
      <c r="E676" s="48"/>
      <c r="F676" s="48"/>
      <c r="G676" s="48"/>
      <c r="H676" s="48"/>
      <c r="I676" s="48"/>
      <c r="J676" s="48"/>
      <c r="K676" s="48"/>
      <c r="L676" s="48"/>
      <c r="M676" s="48"/>
      <c r="N676" s="48"/>
      <c r="O676" s="48"/>
      <c r="P676" s="48"/>
      <c r="Q676" s="48"/>
      <c r="R676" s="48"/>
      <c r="S676" s="48"/>
      <c r="T676" s="48"/>
      <c r="U676" s="48"/>
      <c r="V676" s="48"/>
      <c r="W676" s="48"/>
      <c r="X676" s="48"/>
      <c r="Y676" s="48"/>
      <c r="Z676" s="48"/>
      <c r="AA676" s="48"/>
    </row>
    <row r="677" spans="2:27" ht="12.75" customHeight="1" x14ac:dyDescent="0.25">
      <c r="B677" s="48"/>
      <c r="C677" s="48"/>
      <c r="D677" s="48"/>
      <c r="E677" s="48"/>
      <c r="F677" s="48"/>
      <c r="G677" s="48"/>
      <c r="H677" s="48"/>
      <c r="I677" s="48"/>
      <c r="J677" s="48"/>
      <c r="K677" s="48"/>
      <c r="L677" s="48"/>
      <c r="M677" s="48"/>
      <c r="N677" s="48"/>
      <c r="O677" s="48"/>
      <c r="P677" s="48"/>
      <c r="Q677" s="48"/>
      <c r="R677" s="48"/>
      <c r="S677" s="48"/>
      <c r="T677" s="48"/>
      <c r="U677" s="48"/>
      <c r="V677" s="48"/>
      <c r="W677" s="48"/>
      <c r="X677" s="48"/>
      <c r="Y677" s="48"/>
      <c r="Z677" s="48"/>
      <c r="AA677" s="48"/>
    </row>
    <row r="678" spans="2:27" ht="12.75" customHeight="1" x14ac:dyDescent="0.25">
      <c r="B678" s="48"/>
      <c r="C678" s="48"/>
      <c r="D678" s="48"/>
      <c r="E678" s="48"/>
      <c r="F678" s="48"/>
      <c r="G678" s="48"/>
      <c r="H678" s="48"/>
      <c r="I678" s="48"/>
      <c r="J678" s="48"/>
      <c r="K678" s="48"/>
      <c r="L678" s="48"/>
      <c r="M678" s="48"/>
      <c r="N678" s="48"/>
      <c r="O678" s="48"/>
      <c r="P678" s="48"/>
      <c r="Q678" s="48"/>
      <c r="R678" s="48"/>
      <c r="S678" s="48"/>
      <c r="T678" s="48"/>
      <c r="U678" s="48"/>
      <c r="V678" s="48"/>
      <c r="W678" s="48"/>
      <c r="X678" s="48"/>
      <c r="Y678" s="48"/>
      <c r="Z678" s="48"/>
      <c r="AA678" s="48"/>
    </row>
    <row r="679" spans="2:27" ht="12.75" customHeight="1" x14ac:dyDescent="0.25">
      <c r="B679" s="48"/>
      <c r="C679" s="48"/>
      <c r="D679" s="48"/>
      <c r="E679" s="48"/>
      <c r="F679" s="48"/>
      <c r="G679" s="48"/>
      <c r="H679" s="48"/>
      <c r="I679" s="48"/>
      <c r="J679" s="48"/>
      <c r="K679" s="48"/>
      <c r="L679" s="48"/>
      <c r="M679" s="48"/>
      <c r="N679" s="48"/>
      <c r="O679" s="48"/>
      <c r="P679" s="48"/>
      <c r="Q679" s="48"/>
      <c r="R679" s="48"/>
      <c r="S679" s="48"/>
      <c r="T679" s="48"/>
      <c r="U679" s="48"/>
      <c r="V679" s="48"/>
      <c r="W679" s="48"/>
      <c r="X679" s="48"/>
      <c r="Y679" s="48"/>
      <c r="Z679" s="48"/>
      <c r="AA679" s="48"/>
    </row>
    <row r="680" spans="2:27" ht="12.75" customHeight="1" x14ac:dyDescent="0.25">
      <c r="B680" s="48"/>
      <c r="C680" s="48"/>
      <c r="D680" s="48"/>
      <c r="E680" s="48"/>
      <c r="F680" s="48"/>
      <c r="G680" s="48"/>
      <c r="H680" s="48"/>
      <c r="I680" s="48"/>
      <c r="J680" s="48"/>
      <c r="K680" s="48"/>
      <c r="L680" s="48"/>
      <c r="M680" s="48"/>
      <c r="N680" s="48"/>
      <c r="O680" s="48"/>
      <c r="P680" s="48"/>
      <c r="Q680" s="48"/>
      <c r="R680" s="48"/>
      <c r="S680" s="48"/>
      <c r="T680" s="48"/>
      <c r="U680" s="48"/>
      <c r="V680" s="48"/>
      <c r="W680" s="48"/>
      <c r="X680" s="48"/>
      <c r="Y680" s="48"/>
      <c r="Z680" s="48"/>
      <c r="AA680" s="48"/>
    </row>
    <row r="681" spans="2:27" ht="12.75" customHeight="1" x14ac:dyDescent="0.25">
      <c r="B681" s="48"/>
      <c r="C681" s="48"/>
      <c r="D681" s="48"/>
      <c r="E681" s="48"/>
      <c r="F681" s="48"/>
      <c r="G681" s="48"/>
      <c r="H681" s="48"/>
      <c r="I681" s="48"/>
      <c r="J681" s="48"/>
      <c r="K681" s="48"/>
      <c r="L681" s="48"/>
      <c r="M681" s="48"/>
      <c r="N681" s="48"/>
      <c r="O681" s="48"/>
      <c r="P681" s="48"/>
      <c r="Q681" s="48"/>
      <c r="R681" s="48"/>
      <c r="S681" s="48"/>
      <c r="T681" s="48"/>
      <c r="U681" s="48"/>
      <c r="V681" s="48"/>
      <c r="W681" s="48"/>
      <c r="X681" s="48"/>
      <c r="Y681" s="48"/>
      <c r="Z681" s="48"/>
      <c r="AA681" s="48"/>
    </row>
    <row r="682" spans="2:27" ht="12.75" customHeight="1" x14ac:dyDescent="0.25">
      <c r="B682" s="48"/>
      <c r="C682" s="48"/>
      <c r="D682" s="48"/>
      <c r="E682" s="48"/>
      <c r="F682" s="48"/>
      <c r="G682" s="48"/>
      <c r="H682" s="48"/>
      <c r="I682" s="48"/>
      <c r="J682" s="48"/>
      <c r="K682" s="48"/>
      <c r="L682" s="48"/>
      <c r="M682" s="48"/>
      <c r="N682" s="48"/>
      <c r="O682" s="48"/>
      <c r="P682" s="48"/>
      <c r="Q682" s="48"/>
      <c r="R682" s="48"/>
      <c r="S682" s="48"/>
      <c r="T682" s="48"/>
      <c r="U682" s="48"/>
      <c r="V682" s="48"/>
      <c r="W682" s="48"/>
      <c r="X682" s="48"/>
      <c r="Y682" s="48"/>
      <c r="Z682" s="48"/>
      <c r="AA682" s="48"/>
    </row>
    <row r="683" spans="2:27" ht="12.75" customHeight="1" x14ac:dyDescent="0.25">
      <c r="B683" s="48"/>
      <c r="C683" s="48"/>
      <c r="D683" s="48"/>
      <c r="E683" s="48"/>
      <c r="F683" s="48"/>
      <c r="G683" s="48"/>
      <c r="H683" s="48"/>
      <c r="I683" s="48"/>
      <c r="J683" s="48"/>
      <c r="K683" s="48"/>
      <c r="L683" s="48"/>
      <c r="M683" s="48"/>
      <c r="N683" s="48"/>
      <c r="O683" s="48"/>
      <c r="P683" s="48"/>
      <c r="Q683" s="48"/>
      <c r="R683" s="48"/>
      <c r="S683" s="48"/>
      <c r="T683" s="48"/>
      <c r="U683" s="48"/>
      <c r="V683" s="48"/>
      <c r="W683" s="48"/>
      <c r="X683" s="48"/>
      <c r="Y683" s="48"/>
      <c r="Z683" s="48"/>
      <c r="AA683" s="48"/>
    </row>
    <row r="684" spans="2:27" ht="12.75" customHeight="1" x14ac:dyDescent="0.25">
      <c r="B684" s="48"/>
      <c r="C684" s="48"/>
      <c r="D684" s="48"/>
      <c r="E684" s="48"/>
      <c r="F684" s="48"/>
      <c r="G684" s="48"/>
      <c r="H684" s="48"/>
      <c r="I684" s="48"/>
      <c r="J684" s="48"/>
      <c r="K684" s="48"/>
      <c r="L684" s="48"/>
      <c r="M684" s="48"/>
      <c r="N684" s="48"/>
      <c r="O684" s="48"/>
      <c r="P684" s="48"/>
      <c r="Q684" s="48"/>
      <c r="R684" s="48"/>
      <c r="S684" s="48"/>
      <c r="T684" s="48"/>
      <c r="U684" s="48"/>
      <c r="V684" s="48"/>
      <c r="W684" s="48"/>
      <c r="X684" s="48"/>
      <c r="Y684" s="48"/>
      <c r="Z684" s="48"/>
      <c r="AA684" s="48"/>
    </row>
    <row r="685" spans="2:27" ht="12.75" customHeight="1" x14ac:dyDescent="0.25">
      <c r="B685" s="48"/>
      <c r="C685" s="48"/>
      <c r="D685" s="48"/>
      <c r="E685" s="48"/>
      <c r="F685" s="48"/>
      <c r="G685" s="48"/>
      <c r="H685" s="48"/>
      <c r="I685" s="48"/>
      <c r="J685" s="48"/>
      <c r="K685" s="48"/>
      <c r="L685" s="48"/>
      <c r="M685" s="48"/>
      <c r="N685" s="48"/>
      <c r="O685" s="48"/>
      <c r="P685" s="48"/>
      <c r="Q685" s="48"/>
      <c r="R685" s="48"/>
      <c r="S685" s="48"/>
      <c r="T685" s="48"/>
      <c r="U685" s="48"/>
      <c r="V685" s="48"/>
      <c r="W685" s="48"/>
      <c r="X685" s="48"/>
      <c r="Y685" s="48"/>
      <c r="Z685" s="48"/>
      <c r="AA685" s="48"/>
    </row>
    <row r="686" spans="2:27" ht="12.75" customHeight="1" x14ac:dyDescent="0.25">
      <c r="B686" s="48"/>
      <c r="C686" s="48"/>
      <c r="D686" s="48"/>
      <c r="E686" s="48"/>
      <c r="F686" s="48"/>
      <c r="G686" s="48"/>
      <c r="H686" s="48"/>
      <c r="I686" s="48"/>
      <c r="J686" s="48"/>
      <c r="K686" s="48"/>
      <c r="L686" s="48"/>
      <c r="M686" s="48"/>
      <c r="N686" s="48"/>
      <c r="O686" s="48"/>
      <c r="P686" s="48"/>
      <c r="Q686" s="48"/>
      <c r="R686" s="48"/>
      <c r="S686" s="48"/>
      <c r="T686" s="48"/>
      <c r="U686" s="48"/>
      <c r="V686" s="48"/>
      <c r="W686" s="48"/>
      <c r="X686" s="48"/>
      <c r="Y686" s="48"/>
      <c r="Z686" s="48"/>
      <c r="AA686" s="48"/>
    </row>
    <row r="687" spans="2:27" ht="12.75" customHeight="1" x14ac:dyDescent="0.25">
      <c r="B687" s="48"/>
      <c r="C687" s="48"/>
      <c r="D687" s="48"/>
      <c r="E687" s="48"/>
      <c r="F687" s="48"/>
      <c r="G687" s="48"/>
      <c r="H687" s="48"/>
      <c r="I687" s="48"/>
      <c r="J687" s="48"/>
      <c r="K687" s="48"/>
      <c r="L687" s="48"/>
      <c r="M687" s="48"/>
      <c r="N687" s="48"/>
      <c r="O687" s="48"/>
      <c r="P687" s="48"/>
      <c r="Q687" s="48"/>
      <c r="R687" s="48"/>
      <c r="S687" s="48"/>
      <c r="T687" s="48"/>
      <c r="U687" s="48"/>
      <c r="V687" s="48"/>
      <c r="W687" s="48"/>
      <c r="X687" s="48"/>
      <c r="Y687" s="48"/>
      <c r="Z687" s="48"/>
      <c r="AA687" s="48"/>
    </row>
    <row r="688" spans="2:27" ht="12.75" customHeight="1" x14ac:dyDescent="0.25">
      <c r="B688" s="48"/>
      <c r="C688" s="48"/>
      <c r="D688" s="48"/>
      <c r="E688" s="48"/>
      <c r="F688" s="48"/>
      <c r="G688" s="48"/>
      <c r="H688" s="48"/>
      <c r="I688" s="48"/>
      <c r="J688" s="48"/>
      <c r="K688" s="48"/>
      <c r="L688" s="48"/>
      <c r="M688" s="48"/>
      <c r="N688" s="48"/>
      <c r="O688" s="48"/>
      <c r="P688" s="48"/>
      <c r="Q688" s="48"/>
      <c r="R688" s="48"/>
      <c r="S688" s="48"/>
      <c r="T688" s="48"/>
      <c r="U688" s="48"/>
      <c r="V688" s="48"/>
      <c r="W688" s="48"/>
      <c r="X688" s="48"/>
      <c r="Y688" s="48"/>
      <c r="Z688" s="48"/>
      <c r="AA688" s="48"/>
    </row>
    <row r="689" spans="2:27" ht="12.75" customHeight="1" x14ac:dyDescent="0.25">
      <c r="B689" s="48"/>
      <c r="C689" s="48"/>
      <c r="D689" s="48"/>
      <c r="E689" s="48"/>
      <c r="F689" s="48"/>
      <c r="G689" s="48"/>
      <c r="H689" s="48"/>
      <c r="I689" s="48"/>
      <c r="J689" s="48"/>
      <c r="K689" s="48"/>
      <c r="L689" s="48"/>
      <c r="M689" s="48"/>
      <c r="N689" s="48"/>
      <c r="O689" s="48"/>
      <c r="P689" s="48"/>
      <c r="Q689" s="48"/>
      <c r="R689" s="48"/>
      <c r="S689" s="48"/>
      <c r="T689" s="48"/>
      <c r="U689" s="48"/>
      <c r="V689" s="48"/>
      <c r="W689" s="48"/>
      <c r="X689" s="48"/>
      <c r="Y689" s="48"/>
      <c r="Z689" s="48"/>
      <c r="AA689" s="48"/>
    </row>
    <row r="690" spans="2:27" ht="12.75" customHeight="1" x14ac:dyDescent="0.25">
      <c r="B690" s="48"/>
      <c r="C690" s="48"/>
      <c r="D690" s="48"/>
      <c r="E690" s="48"/>
      <c r="F690" s="48"/>
      <c r="G690" s="48"/>
      <c r="H690" s="48"/>
      <c r="I690" s="48"/>
      <c r="J690" s="48"/>
      <c r="K690" s="48"/>
      <c r="L690" s="48"/>
      <c r="M690" s="48"/>
      <c r="N690" s="48"/>
      <c r="O690" s="48"/>
      <c r="P690" s="48"/>
      <c r="Q690" s="48"/>
      <c r="R690" s="48"/>
      <c r="S690" s="48"/>
      <c r="T690" s="48"/>
      <c r="U690" s="48"/>
      <c r="V690" s="48"/>
      <c r="W690" s="48"/>
      <c r="X690" s="48"/>
      <c r="Y690" s="48"/>
      <c r="Z690" s="48"/>
      <c r="AA690" s="48"/>
    </row>
    <row r="691" spans="2:27" ht="12.75" customHeight="1" x14ac:dyDescent="0.25">
      <c r="B691" s="48"/>
      <c r="C691" s="48"/>
      <c r="D691" s="48"/>
      <c r="E691" s="48"/>
      <c r="F691" s="48"/>
      <c r="G691" s="48"/>
      <c r="H691" s="48"/>
      <c r="I691" s="48"/>
      <c r="J691" s="48"/>
      <c r="K691" s="48"/>
      <c r="L691" s="48"/>
      <c r="M691" s="48"/>
      <c r="N691" s="48"/>
      <c r="O691" s="48"/>
      <c r="P691" s="48"/>
      <c r="Q691" s="48"/>
      <c r="R691" s="48"/>
      <c r="S691" s="48"/>
      <c r="T691" s="48"/>
      <c r="U691" s="48"/>
      <c r="V691" s="48"/>
      <c r="W691" s="48"/>
      <c r="X691" s="48"/>
      <c r="Y691" s="48"/>
      <c r="Z691" s="48"/>
      <c r="AA691" s="48"/>
    </row>
    <row r="692" spans="2:27" ht="12.75" customHeight="1" x14ac:dyDescent="0.25">
      <c r="B692" s="48"/>
      <c r="C692" s="48"/>
      <c r="D692" s="48"/>
      <c r="E692" s="48"/>
      <c r="F692" s="48"/>
      <c r="G692" s="48"/>
      <c r="H692" s="48"/>
      <c r="I692" s="48"/>
      <c r="J692" s="48"/>
      <c r="K692" s="48"/>
      <c r="L692" s="48"/>
      <c r="M692" s="48"/>
      <c r="N692" s="48"/>
      <c r="O692" s="48"/>
      <c r="P692" s="48"/>
      <c r="Q692" s="48"/>
      <c r="R692" s="48"/>
      <c r="S692" s="48"/>
      <c r="T692" s="48"/>
      <c r="U692" s="48"/>
      <c r="V692" s="48"/>
      <c r="W692" s="48"/>
      <c r="X692" s="48"/>
      <c r="Y692" s="48"/>
      <c r="Z692" s="48"/>
      <c r="AA692" s="48"/>
    </row>
    <row r="693" spans="2:27" ht="12.75" customHeight="1" x14ac:dyDescent="0.25">
      <c r="B693" s="48"/>
      <c r="C693" s="48"/>
      <c r="D693" s="48"/>
      <c r="E693" s="48"/>
      <c r="F693" s="48"/>
      <c r="G693" s="48"/>
      <c r="H693" s="48"/>
      <c r="I693" s="48"/>
      <c r="J693" s="48"/>
      <c r="K693" s="48"/>
      <c r="L693" s="48"/>
      <c r="M693" s="48"/>
      <c r="N693" s="48"/>
      <c r="O693" s="48"/>
      <c r="P693" s="48"/>
      <c r="Q693" s="48"/>
      <c r="R693" s="48"/>
      <c r="S693" s="48"/>
      <c r="T693" s="48"/>
      <c r="U693" s="48"/>
      <c r="V693" s="48"/>
      <c r="W693" s="48"/>
      <c r="X693" s="48"/>
      <c r="Y693" s="48"/>
      <c r="Z693" s="48"/>
      <c r="AA693" s="48"/>
    </row>
    <row r="694" spans="2:27" ht="12.75" customHeight="1" x14ac:dyDescent="0.25">
      <c r="B694" s="48"/>
      <c r="C694" s="48"/>
      <c r="D694" s="48"/>
      <c r="E694" s="48"/>
      <c r="F694" s="48"/>
      <c r="G694" s="48"/>
      <c r="H694" s="48"/>
      <c r="I694" s="48"/>
      <c r="J694" s="48"/>
      <c r="K694" s="48"/>
      <c r="L694" s="48"/>
      <c r="M694" s="48"/>
      <c r="N694" s="48"/>
      <c r="O694" s="48"/>
      <c r="P694" s="48"/>
      <c r="Q694" s="48"/>
      <c r="R694" s="48"/>
      <c r="S694" s="48"/>
      <c r="T694" s="48"/>
      <c r="U694" s="48"/>
      <c r="V694" s="48"/>
      <c r="W694" s="48"/>
      <c r="X694" s="48"/>
      <c r="Y694" s="48"/>
      <c r="Z694" s="48"/>
      <c r="AA694" s="48"/>
    </row>
    <row r="695" spans="2:27" ht="12.75" customHeight="1" x14ac:dyDescent="0.25">
      <c r="B695" s="48"/>
      <c r="C695" s="48"/>
      <c r="D695" s="48"/>
      <c r="E695" s="48"/>
      <c r="F695" s="48"/>
      <c r="G695" s="48"/>
      <c r="H695" s="48"/>
      <c r="I695" s="48"/>
      <c r="J695" s="48"/>
      <c r="K695" s="48"/>
      <c r="L695" s="48"/>
      <c r="M695" s="48"/>
      <c r="N695" s="48"/>
      <c r="O695" s="48"/>
      <c r="P695" s="48"/>
      <c r="Q695" s="48"/>
      <c r="R695" s="48"/>
      <c r="S695" s="48"/>
      <c r="T695" s="48"/>
      <c r="U695" s="48"/>
      <c r="V695" s="48"/>
      <c r="W695" s="48"/>
      <c r="X695" s="48"/>
      <c r="Y695" s="48"/>
      <c r="Z695" s="48"/>
      <c r="AA695" s="48"/>
    </row>
    <row r="696" spans="2:27" ht="12.75" customHeight="1" x14ac:dyDescent="0.25">
      <c r="B696" s="48"/>
      <c r="C696" s="48"/>
      <c r="D696" s="48"/>
      <c r="E696" s="48"/>
      <c r="F696" s="48"/>
      <c r="G696" s="48"/>
      <c r="H696" s="48"/>
      <c r="I696" s="48"/>
      <c r="J696" s="48"/>
      <c r="K696" s="48"/>
      <c r="L696" s="48"/>
      <c r="M696" s="48"/>
      <c r="N696" s="48"/>
      <c r="O696" s="48"/>
      <c r="P696" s="48"/>
      <c r="Q696" s="48"/>
      <c r="R696" s="48"/>
      <c r="S696" s="48"/>
      <c r="T696" s="48"/>
      <c r="U696" s="48"/>
      <c r="V696" s="48"/>
      <c r="W696" s="48"/>
      <c r="X696" s="48"/>
      <c r="Y696" s="48"/>
      <c r="Z696" s="48"/>
      <c r="AA696" s="48"/>
    </row>
    <row r="697" spans="2:27" ht="12.75" customHeight="1" x14ac:dyDescent="0.25">
      <c r="B697" s="48"/>
      <c r="C697" s="48"/>
      <c r="D697" s="48"/>
      <c r="E697" s="48"/>
      <c r="F697" s="48"/>
      <c r="G697" s="48"/>
      <c r="H697" s="48"/>
      <c r="I697" s="48"/>
      <c r="J697" s="48"/>
      <c r="K697" s="48"/>
      <c r="L697" s="48"/>
      <c r="M697" s="48"/>
      <c r="N697" s="48"/>
      <c r="O697" s="48"/>
      <c r="P697" s="48"/>
      <c r="Q697" s="48"/>
      <c r="R697" s="48"/>
      <c r="S697" s="48"/>
      <c r="T697" s="48"/>
      <c r="U697" s="48"/>
      <c r="V697" s="48"/>
      <c r="W697" s="48"/>
      <c r="X697" s="48"/>
      <c r="Y697" s="48"/>
      <c r="Z697" s="48"/>
      <c r="AA697" s="48"/>
    </row>
    <row r="698" spans="2:27" ht="12.75" customHeight="1" x14ac:dyDescent="0.25">
      <c r="B698" s="48"/>
      <c r="C698" s="48"/>
      <c r="D698" s="48"/>
      <c r="E698" s="48"/>
      <c r="F698" s="48"/>
      <c r="G698" s="48"/>
      <c r="H698" s="48"/>
      <c r="I698" s="48"/>
      <c r="J698" s="48"/>
      <c r="K698" s="48"/>
      <c r="L698" s="48"/>
      <c r="M698" s="48"/>
      <c r="N698" s="48"/>
      <c r="O698" s="48"/>
      <c r="P698" s="48"/>
      <c r="Q698" s="48"/>
      <c r="R698" s="48"/>
      <c r="S698" s="48"/>
      <c r="T698" s="48"/>
      <c r="U698" s="48"/>
      <c r="V698" s="48"/>
      <c r="W698" s="48"/>
      <c r="X698" s="48"/>
      <c r="Y698" s="48"/>
      <c r="Z698" s="48"/>
      <c r="AA698" s="48"/>
    </row>
    <row r="699" spans="2:27" ht="12.75" customHeight="1" x14ac:dyDescent="0.25">
      <c r="B699" s="48"/>
      <c r="C699" s="48"/>
      <c r="D699" s="48"/>
      <c r="E699" s="48"/>
      <c r="F699" s="48"/>
      <c r="G699" s="48"/>
      <c r="H699" s="48"/>
      <c r="I699" s="48"/>
      <c r="J699" s="48"/>
      <c r="K699" s="48"/>
      <c r="L699" s="48"/>
      <c r="M699" s="48"/>
      <c r="N699" s="48"/>
      <c r="O699" s="48"/>
      <c r="P699" s="48"/>
      <c r="Q699" s="48"/>
      <c r="R699" s="48"/>
      <c r="S699" s="48"/>
      <c r="T699" s="48"/>
      <c r="U699" s="48"/>
      <c r="V699" s="48"/>
      <c r="W699" s="48"/>
      <c r="X699" s="48"/>
      <c r="Y699" s="48"/>
      <c r="Z699" s="48"/>
      <c r="AA699" s="48"/>
    </row>
    <row r="700" spans="2:27" ht="12.75" customHeight="1" x14ac:dyDescent="0.25">
      <c r="B700" s="48"/>
      <c r="C700" s="48"/>
      <c r="D700" s="48"/>
      <c r="E700" s="48"/>
      <c r="F700" s="48"/>
      <c r="G700" s="48"/>
      <c r="H700" s="48"/>
      <c r="I700" s="48"/>
      <c r="J700" s="48"/>
      <c r="K700" s="48"/>
      <c r="L700" s="48"/>
      <c r="M700" s="48"/>
      <c r="N700" s="48"/>
      <c r="O700" s="48"/>
      <c r="P700" s="48"/>
      <c r="Q700" s="48"/>
      <c r="R700" s="48"/>
      <c r="S700" s="48"/>
      <c r="T700" s="48"/>
      <c r="U700" s="48"/>
      <c r="V700" s="48"/>
      <c r="W700" s="48"/>
      <c r="X700" s="48"/>
      <c r="Y700" s="48"/>
      <c r="Z700" s="48"/>
      <c r="AA700" s="48"/>
    </row>
    <row r="701" spans="2:27" ht="12.75" customHeight="1" x14ac:dyDescent="0.25">
      <c r="B701" s="48"/>
      <c r="C701" s="48"/>
      <c r="D701" s="48"/>
      <c r="E701" s="48"/>
      <c r="F701" s="48"/>
      <c r="G701" s="48"/>
      <c r="H701" s="48"/>
      <c r="I701" s="48"/>
      <c r="J701" s="48"/>
      <c r="K701" s="48"/>
      <c r="L701" s="48"/>
      <c r="M701" s="48"/>
      <c r="N701" s="48"/>
      <c r="O701" s="48"/>
      <c r="P701" s="48"/>
      <c r="Q701" s="48"/>
      <c r="R701" s="48"/>
      <c r="S701" s="48"/>
      <c r="T701" s="48"/>
      <c r="U701" s="48"/>
      <c r="V701" s="48"/>
      <c r="W701" s="48"/>
      <c r="X701" s="48"/>
      <c r="Y701" s="48"/>
      <c r="Z701" s="48"/>
      <c r="AA701" s="48"/>
    </row>
    <row r="702" spans="2:27" ht="12.75" customHeight="1" x14ac:dyDescent="0.25">
      <c r="B702" s="48"/>
      <c r="C702" s="48"/>
      <c r="D702" s="48"/>
      <c r="E702" s="48"/>
      <c r="F702" s="48"/>
      <c r="G702" s="48"/>
      <c r="H702" s="48"/>
      <c r="I702" s="48"/>
      <c r="J702" s="48"/>
      <c r="K702" s="48"/>
      <c r="L702" s="48"/>
      <c r="M702" s="48"/>
      <c r="N702" s="48"/>
      <c r="O702" s="48"/>
      <c r="P702" s="48"/>
      <c r="Q702" s="48"/>
      <c r="R702" s="48"/>
      <c r="S702" s="48"/>
      <c r="T702" s="48"/>
      <c r="U702" s="48"/>
      <c r="V702" s="48"/>
      <c r="W702" s="48"/>
      <c r="X702" s="48"/>
      <c r="Y702" s="48"/>
      <c r="Z702" s="48"/>
      <c r="AA702" s="48"/>
    </row>
    <row r="703" spans="2:27" ht="12.75" customHeight="1" x14ac:dyDescent="0.25">
      <c r="B703" s="48"/>
      <c r="C703" s="48"/>
      <c r="D703" s="48"/>
      <c r="E703" s="48"/>
      <c r="F703" s="48"/>
      <c r="G703" s="48"/>
      <c r="H703" s="48"/>
      <c r="I703" s="48"/>
      <c r="J703" s="48"/>
      <c r="K703" s="48"/>
      <c r="L703" s="48"/>
      <c r="M703" s="48"/>
      <c r="N703" s="48"/>
      <c r="O703" s="48"/>
      <c r="P703" s="48"/>
      <c r="Q703" s="48"/>
      <c r="R703" s="48"/>
      <c r="S703" s="48"/>
      <c r="T703" s="48"/>
      <c r="U703" s="48"/>
      <c r="V703" s="48"/>
      <c r="W703" s="48"/>
      <c r="X703" s="48"/>
      <c r="Y703" s="48"/>
      <c r="Z703" s="48"/>
      <c r="AA703" s="48"/>
    </row>
    <row r="704" spans="2:27" ht="12.75" customHeight="1" x14ac:dyDescent="0.25">
      <c r="B704" s="48"/>
      <c r="C704" s="48"/>
      <c r="D704" s="48"/>
      <c r="E704" s="48"/>
      <c r="F704" s="48"/>
      <c r="G704" s="48"/>
      <c r="H704" s="48"/>
      <c r="I704" s="48"/>
      <c r="J704" s="48"/>
      <c r="K704" s="48"/>
      <c r="L704" s="48"/>
      <c r="M704" s="48"/>
      <c r="N704" s="48"/>
      <c r="O704" s="48"/>
      <c r="P704" s="48"/>
      <c r="Q704" s="48"/>
      <c r="R704" s="48"/>
      <c r="S704" s="48"/>
      <c r="T704" s="48"/>
      <c r="U704" s="48"/>
      <c r="V704" s="48"/>
      <c r="W704" s="48"/>
      <c r="X704" s="48"/>
      <c r="Y704" s="48"/>
      <c r="Z704" s="48"/>
      <c r="AA704" s="48"/>
    </row>
    <row r="705" spans="2:27" ht="12.75" customHeight="1" x14ac:dyDescent="0.25">
      <c r="B705" s="48"/>
      <c r="C705" s="48"/>
      <c r="D705" s="48"/>
      <c r="E705" s="48"/>
      <c r="F705" s="48"/>
      <c r="G705" s="48"/>
      <c r="H705" s="48"/>
      <c r="I705" s="48"/>
      <c r="J705" s="48"/>
      <c r="K705" s="48"/>
      <c r="L705" s="48"/>
      <c r="M705" s="48"/>
      <c r="N705" s="48"/>
      <c r="O705" s="48"/>
      <c r="P705" s="48"/>
      <c r="Q705" s="48"/>
      <c r="R705" s="48"/>
      <c r="S705" s="48"/>
      <c r="T705" s="48"/>
      <c r="U705" s="48"/>
      <c r="V705" s="48"/>
      <c r="W705" s="48"/>
      <c r="X705" s="48"/>
      <c r="Y705" s="48"/>
      <c r="Z705" s="48"/>
      <c r="AA705" s="48"/>
    </row>
    <row r="706" spans="2:27" ht="12.75" customHeight="1" x14ac:dyDescent="0.25">
      <c r="B706" s="48"/>
      <c r="C706" s="48"/>
      <c r="D706" s="48"/>
      <c r="E706" s="48"/>
      <c r="F706" s="48"/>
      <c r="G706" s="48"/>
      <c r="H706" s="48"/>
      <c r="I706" s="48"/>
      <c r="J706" s="48"/>
      <c r="K706" s="48"/>
      <c r="L706" s="48"/>
      <c r="M706" s="48"/>
      <c r="N706" s="48"/>
      <c r="O706" s="48"/>
      <c r="P706" s="48"/>
      <c r="Q706" s="48"/>
      <c r="R706" s="48"/>
      <c r="S706" s="48"/>
      <c r="T706" s="48"/>
      <c r="U706" s="48"/>
      <c r="V706" s="48"/>
      <c r="W706" s="48"/>
      <c r="X706" s="48"/>
      <c r="Y706" s="48"/>
      <c r="Z706" s="48"/>
      <c r="AA706" s="48"/>
    </row>
    <row r="707" spans="2:27" ht="12.75" customHeight="1" x14ac:dyDescent="0.25">
      <c r="B707" s="48"/>
      <c r="C707" s="48"/>
      <c r="D707" s="48"/>
      <c r="E707" s="48"/>
      <c r="F707" s="48"/>
      <c r="G707" s="48"/>
      <c r="H707" s="48"/>
      <c r="I707" s="48"/>
      <c r="J707" s="48"/>
      <c r="K707" s="48"/>
      <c r="L707" s="48"/>
      <c r="M707" s="48"/>
      <c r="N707" s="48"/>
      <c r="O707" s="48"/>
      <c r="P707" s="48"/>
      <c r="Q707" s="48"/>
      <c r="R707" s="48"/>
      <c r="S707" s="48"/>
      <c r="T707" s="48"/>
      <c r="U707" s="48"/>
      <c r="V707" s="48"/>
      <c r="W707" s="48"/>
      <c r="X707" s="48"/>
      <c r="Y707" s="48"/>
      <c r="Z707" s="48"/>
      <c r="AA707" s="48"/>
    </row>
    <row r="708" spans="2:27" ht="12.75" customHeight="1" x14ac:dyDescent="0.25">
      <c r="B708" s="48"/>
      <c r="C708" s="48"/>
      <c r="D708" s="48"/>
      <c r="E708" s="48"/>
      <c r="F708" s="48"/>
      <c r="G708" s="48"/>
      <c r="H708" s="48"/>
      <c r="I708" s="48"/>
      <c r="J708" s="48"/>
      <c r="K708" s="48"/>
      <c r="L708" s="48"/>
      <c r="M708" s="48"/>
      <c r="N708" s="48"/>
      <c r="O708" s="48"/>
      <c r="P708" s="48"/>
      <c r="Q708" s="48"/>
      <c r="R708" s="48"/>
      <c r="S708" s="48"/>
      <c r="T708" s="48"/>
      <c r="U708" s="48"/>
      <c r="V708" s="48"/>
      <c r="W708" s="48"/>
      <c r="X708" s="48"/>
      <c r="Y708" s="48"/>
      <c r="Z708" s="48"/>
      <c r="AA708" s="48"/>
    </row>
    <row r="709" spans="2:27" ht="12.75" customHeight="1" x14ac:dyDescent="0.25">
      <c r="B709" s="48"/>
      <c r="C709" s="48"/>
      <c r="D709" s="48"/>
      <c r="E709" s="48"/>
      <c r="F709" s="48"/>
      <c r="G709" s="48"/>
      <c r="H709" s="48"/>
      <c r="I709" s="48"/>
      <c r="J709" s="48"/>
      <c r="K709" s="48"/>
      <c r="L709" s="48"/>
      <c r="M709" s="48"/>
      <c r="N709" s="48"/>
      <c r="O709" s="48"/>
      <c r="P709" s="48"/>
      <c r="Q709" s="48"/>
      <c r="R709" s="48"/>
      <c r="S709" s="48"/>
      <c r="T709" s="48"/>
      <c r="U709" s="48"/>
      <c r="V709" s="48"/>
      <c r="W709" s="48"/>
      <c r="X709" s="48"/>
      <c r="Y709" s="48"/>
      <c r="Z709" s="48"/>
      <c r="AA709" s="48"/>
    </row>
    <row r="710" spans="2:27" ht="12.75" customHeight="1" x14ac:dyDescent="0.25">
      <c r="B710" s="48"/>
      <c r="C710" s="48"/>
      <c r="D710" s="48"/>
      <c r="E710" s="48"/>
      <c r="F710" s="48"/>
      <c r="G710" s="48"/>
      <c r="H710" s="48"/>
      <c r="I710" s="48"/>
      <c r="J710" s="48"/>
      <c r="K710" s="48"/>
      <c r="L710" s="48"/>
      <c r="M710" s="48"/>
      <c r="N710" s="48"/>
      <c r="O710" s="48"/>
      <c r="P710" s="48"/>
      <c r="Q710" s="48"/>
      <c r="R710" s="48"/>
      <c r="S710" s="48"/>
      <c r="T710" s="48"/>
      <c r="U710" s="48"/>
      <c r="V710" s="48"/>
      <c r="W710" s="48"/>
      <c r="X710" s="48"/>
      <c r="Y710" s="48"/>
      <c r="Z710" s="48"/>
      <c r="AA710" s="48"/>
    </row>
    <row r="711" spans="2:27" ht="12.75" customHeight="1" x14ac:dyDescent="0.25">
      <c r="B711" s="48"/>
      <c r="C711" s="48"/>
      <c r="D711" s="48"/>
      <c r="E711" s="48"/>
      <c r="F711" s="48"/>
      <c r="G711" s="48"/>
      <c r="H711" s="48"/>
      <c r="I711" s="48"/>
      <c r="J711" s="48"/>
      <c r="K711" s="48"/>
      <c r="L711" s="48"/>
      <c r="M711" s="48"/>
      <c r="N711" s="48"/>
      <c r="O711" s="48"/>
      <c r="P711" s="48"/>
      <c r="Q711" s="48"/>
      <c r="R711" s="48"/>
      <c r="S711" s="48"/>
      <c r="T711" s="48"/>
      <c r="U711" s="48"/>
      <c r="V711" s="48"/>
      <c r="W711" s="48"/>
      <c r="X711" s="48"/>
      <c r="Y711" s="48"/>
      <c r="Z711" s="48"/>
      <c r="AA711" s="48"/>
    </row>
    <row r="712" spans="2:27" ht="12.75" customHeight="1" x14ac:dyDescent="0.25">
      <c r="B712" s="48"/>
      <c r="C712" s="48"/>
      <c r="D712" s="48"/>
      <c r="E712" s="48"/>
      <c r="F712" s="48"/>
      <c r="G712" s="48"/>
      <c r="H712" s="48"/>
      <c r="I712" s="48"/>
      <c r="J712" s="48"/>
      <c r="K712" s="48"/>
      <c r="L712" s="48"/>
      <c r="M712" s="48"/>
      <c r="N712" s="48"/>
      <c r="O712" s="48"/>
      <c r="P712" s="48"/>
      <c r="Q712" s="48"/>
      <c r="R712" s="48"/>
      <c r="S712" s="48"/>
      <c r="T712" s="48"/>
      <c r="U712" s="48"/>
      <c r="V712" s="48"/>
      <c r="W712" s="48"/>
      <c r="X712" s="48"/>
      <c r="Y712" s="48"/>
      <c r="Z712" s="48"/>
      <c r="AA712" s="48"/>
    </row>
    <row r="713" spans="2:27" ht="12.75" customHeight="1" x14ac:dyDescent="0.25">
      <c r="B713" s="48"/>
      <c r="C713" s="48"/>
      <c r="D713" s="48"/>
      <c r="E713" s="48"/>
      <c r="F713" s="48"/>
      <c r="G713" s="48"/>
      <c r="H713" s="48"/>
      <c r="I713" s="48"/>
      <c r="J713" s="48"/>
      <c r="K713" s="48"/>
      <c r="L713" s="48"/>
      <c r="M713" s="48"/>
      <c r="N713" s="48"/>
      <c r="O713" s="48"/>
      <c r="P713" s="48"/>
      <c r="Q713" s="48"/>
      <c r="R713" s="48"/>
      <c r="S713" s="48"/>
      <c r="T713" s="48"/>
      <c r="U713" s="48"/>
      <c r="V713" s="48"/>
      <c r="W713" s="48"/>
      <c r="X713" s="48"/>
      <c r="Y713" s="48"/>
      <c r="Z713" s="48"/>
      <c r="AA713" s="48"/>
    </row>
    <row r="714" spans="2:27" ht="12.75" customHeight="1" x14ac:dyDescent="0.25">
      <c r="B714" s="48"/>
      <c r="C714" s="48"/>
      <c r="D714" s="48"/>
      <c r="E714" s="48"/>
      <c r="F714" s="48"/>
      <c r="G714" s="48"/>
      <c r="H714" s="48"/>
      <c r="I714" s="48"/>
      <c r="J714" s="48"/>
      <c r="K714" s="48"/>
      <c r="L714" s="48"/>
      <c r="M714" s="48"/>
      <c r="N714" s="48"/>
      <c r="O714" s="48"/>
      <c r="P714" s="48"/>
      <c r="Q714" s="48"/>
      <c r="R714" s="48"/>
      <c r="S714" s="48"/>
      <c r="T714" s="48"/>
      <c r="U714" s="48"/>
      <c r="V714" s="48"/>
      <c r="W714" s="48"/>
      <c r="X714" s="48"/>
      <c r="Y714" s="48"/>
      <c r="Z714" s="48"/>
      <c r="AA714" s="48"/>
    </row>
    <row r="715" spans="2:27" ht="12.75" customHeight="1" x14ac:dyDescent="0.25">
      <c r="B715" s="48"/>
      <c r="C715" s="48"/>
      <c r="D715" s="48"/>
      <c r="E715" s="48"/>
      <c r="F715" s="48"/>
      <c r="G715" s="48"/>
      <c r="H715" s="48"/>
      <c r="I715" s="48"/>
      <c r="J715" s="48"/>
      <c r="K715" s="48"/>
      <c r="L715" s="48"/>
      <c r="M715" s="48"/>
      <c r="N715" s="48"/>
      <c r="O715" s="48"/>
      <c r="P715" s="48"/>
      <c r="Q715" s="48"/>
      <c r="R715" s="48"/>
      <c r="S715" s="48"/>
      <c r="T715" s="48"/>
      <c r="U715" s="48"/>
      <c r="V715" s="48"/>
      <c r="W715" s="48"/>
      <c r="X715" s="48"/>
      <c r="Y715" s="48"/>
      <c r="Z715" s="48"/>
      <c r="AA715" s="48"/>
    </row>
    <row r="716" spans="2:27" ht="12.75" customHeight="1" x14ac:dyDescent="0.25">
      <c r="B716" s="48"/>
      <c r="C716" s="48"/>
      <c r="D716" s="48"/>
      <c r="E716" s="48"/>
      <c r="F716" s="48"/>
      <c r="G716" s="48"/>
      <c r="H716" s="48"/>
      <c r="I716" s="48"/>
      <c r="J716" s="48"/>
      <c r="K716" s="48"/>
      <c r="L716" s="48"/>
      <c r="M716" s="48"/>
      <c r="N716" s="48"/>
      <c r="O716" s="48"/>
      <c r="P716" s="48"/>
      <c r="Q716" s="48"/>
      <c r="R716" s="48"/>
      <c r="S716" s="48"/>
      <c r="T716" s="48"/>
      <c r="U716" s="48"/>
      <c r="V716" s="48"/>
      <c r="W716" s="48"/>
      <c r="X716" s="48"/>
      <c r="Y716" s="48"/>
      <c r="Z716" s="48"/>
      <c r="AA716" s="48"/>
    </row>
    <row r="717" spans="2:27" ht="12.75" customHeight="1" x14ac:dyDescent="0.25">
      <c r="B717" s="48"/>
      <c r="C717" s="48"/>
      <c r="D717" s="48"/>
      <c r="E717" s="48"/>
      <c r="F717" s="48"/>
      <c r="G717" s="48"/>
      <c r="H717" s="48"/>
      <c r="I717" s="48"/>
      <c r="J717" s="48"/>
      <c r="K717" s="48"/>
      <c r="L717" s="48"/>
      <c r="M717" s="48"/>
      <c r="N717" s="48"/>
      <c r="O717" s="48"/>
      <c r="P717" s="48"/>
      <c r="Q717" s="48"/>
      <c r="R717" s="48"/>
      <c r="S717" s="48"/>
      <c r="T717" s="48"/>
      <c r="U717" s="48"/>
      <c r="V717" s="48"/>
      <c r="W717" s="48"/>
      <c r="X717" s="48"/>
      <c r="Y717" s="48"/>
      <c r="Z717" s="48"/>
      <c r="AA717" s="48"/>
    </row>
    <row r="718" spans="2:27" ht="12.75" customHeight="1" x14ac:dyDescent="0.25">
      <c r="B718" s="48"/>
      <c r="C718" s="48"/>
      <c r="D718" s="48"/>
      <c r="E718" s="48"/>
      <c r="F718" s="48"/>
      <c r="G718" s="48"/>
      <c r="H718" s="48"/>
      <c r="I718" s="48"/>
      <c r="J718" s="48"/>
      <c r="K718" s="48"/>
      <c r="L718" s="48"/>
      <c r="M718" s="48"/>
      <c r="N718" s="48"/>
      <c r="O718" s="48"/>
      <c r="P718" s="48"/>
      <c r="Q718" s="48"/>
      <c r="R718" s="48"/>
      <c r="S718" s="48"/>
      <c r="T718" s="48"/>
      <c r="U718" s="48"/>
      <c r="V718" s="48"/>
      <c r="W718" s="48"/>
      <c r="X718" s="48"/>
      <c r="Y718" s="48"/>
      <c r="Z718" s="48"/>
      <c r="AA718" s="48"/>
    </row>
    <row r="719" spans="2:27" ht="12.75" customHeight="1" x14ac:dyDescent="0.25">
      <c r="B719" s="48"/>
      <c r="C719" s="48"/>
      <c r="D719" s="48"/>
      <c r="E719" s="48"/>
      <c r="F719" s="48"/>
      <c r="G719" s="48"/>
      <c r="H719" s="48"/>
      <c r="I719" s="48"/>
      <c r="J719" s="48"/>
      <c r="K719" s="48"/>
      <c r="L719" s="48"/>
      <c r="M719" s="48"/>
      <c r="N719" s="48"/>
      <c r="O719" s="48"/>
      <c r="P719" s="48"/>
      <c r="Q719" s="48"/>
      <c r="R719" s="48"/>
      <c r="S719" s="48"/>
      <c r="T719" s="48"/>
      <c r="U719" s="48"/>
      <c r="V719" s="48"/>
      <c r="W719" s="48"/>
      <c r="X719" s="48"/>
      <c r="Y719" s="48"/>
      <c r="Z719" s="48"/>
      <c r="AA719" s="48"/>
    </row>
    <row r="720" spans="2:27" ht="12.75" customHeight="1" x14ac:dyDescent="0.25">
      <c r="B720" s="48"/>
      <c r="C720" s="48"/>
      <c r="D720" s="48"/>
      <c r="E720" s="48"/>
      <c r="F720" s="48"/>
      <c r="G720" s="48"/>
      <c r="H720" s="48"/>
      <c r="I720" s="48"/>
      <c r="J720" s="48"/>
      <c r="K720" s="48"/>
      <c r="L720" s="48"/>
      <c r="M720" s="48"/>
      <c r="N720" s="48"/>
      <c r="O720" s="48"/>
      <c r="P720" s="48"/>
      <c r="Q720" s="48"/>
      <c r="R720" s="48"/>
      <c r="S720" s="48"/>
      <c r="T720" s="48"/>
      <c r="U720" s="48"/>
      <c r="V720" s="48"/>
      <c r="W720" s="48"/>
      <c r="X720" s="48"/>
      <c r="Y720" s="48"/>
      <c r="Z720" s="48"/>
      <c r="AA720" s="48"/>
    </row>
    <row r="721" spans="2:27" ht="12.75" customHeight="1" x14ac:dyDescent="0.25">
      <c r="B721" s="48"/>
      <c r="C721" s="48"/>
      <c r="D721" s="48"/>
      <c r="E721" s="48"/>
      <c r="F721" s="48"/>
      <c r="G721" s="48"/>
      <c r="H721" s="48"/>
      <c r="I721" s="48"/>
      <c r="J721" s="48"/>
      <c r="K721" s="48"/>
      <c r="L721" s="48"/>
      <c r="M721" s="48"/>
      <c r="N721" s="48"/>
      <c r="O721" s="48"/>
      <c r="P721" s="48"/>
      <c r="Q721" s="48"/>
      <c r="R721" s="48"/>
      <c r="S721" s="48"/>
      <c r="T721" s="48"/>
      <c r="U721" s="48"/>
      <c r="V721" s="48"/>
      <c r="W721" s="48"/>
      <c r="X721" s="48"/>
      <c r="Y721" s="48"/>
      <c r="Z721" s="48"/>
      <c r="AA721" s="48"/>
    </row>
    <row r="722" spans="2:27" ht="12.75" customHeight="1" x14ac:dyDescent="0.25">
      <c r="B722" s="48"/>
      <c r="C722" s="48"/>
      <c r="D722" s="48"/>
      <c r="E722" s="48"/>
      <c r="F722" s="48"/>
      <c r="G722" s="48"/>
      <c r="H722" s="48"/>
      <c r="I722" s="48"/>
      <c r="J722" s="48"/>
      <c r="K722" s="48"/>
      <c r="L722" s="48"/>
      <c r="M722" s="48"/>
      <c r="N722" s="48"/>
      <c r="O722" s="48"/>
      <c r="P722" s="48"/>
      <c r="Q722" s="48"/>
      <c r="R722" s="48"/>
      <c r="S722" s="48"/>
      <c r="T722" s="48"/>
      <c r="U722" s="48"/>
      <c r="V722" s="48"/>
      <c r="W722" s="48"/>
      <c r="X722" s="48"/>
      <c r="Y722" s="48"/>
      <c r="Z722" s="48"/>
      <c r="AA722" s="48"/>
    </row>
    <row r="723" spans="2:27" ht="12.75" customHeight="1" x14ac:dyDescent="0.25">
      <c r="B723" s="48"/>
      <c r="C723" s="48"/>
      <c r="D723" s="48"/>
      <c r="E723" s="48"/>
      <c r="F723" s="48"/>
      <c r="G723" s="48"/>
      <c r="H723" s="48"/>
      <c r="I723" s="48"/>
      <c r="J723" s="48"/>
      <c r="K723" s="48"/>
      <c r="L723" s="48"/>
      <c r="M723" s="48"/>
      <c r="N723" s="48"/>
      <c r="O723" s="48"/>
      <c r="P723" s="48"/>
      <c r="Q723" s="48"/>
      <c r="R723" s="48"/>
      <c r="S723" s="48"/>
      <c r="T723" s="48"/>
      <c r="U723" s="48"/>
      <c r="V723" s="48"/>
      <c r="W723" s="48"/>
      <c r="X723" s="48"/>
      <c r="Y723" s="48"/>
      <c r="Z723" s="48"/>
      <c r="AA723" s="48"/>
    </row>
    <row r="724" spans="2:27" ht="12.75" customHeight="1" x14ac:dyDescent="0.25">
      <c r="B724" s="48"/>
      <c r="C724" s="48"/>
      <c r="D724" s="48"/>
      <c r="E724" s="48"/>
      <c r="F724" s="48"/>
      <c r="G724" s="48"/>
      <c r="H724" s="48"/>
      <c r="I724" s="48"/>
      <c r="J724" s="48"/>
      <c r="K724" s="48"/>
      <c r="L724" s="48"/>
      <c r="M724" s="48"/>
      <c r="N724" s="48"/>
      <c r="O724" s="48"/>
      <c r="P724" s="48"/>
      <c r="Q724" s="48"/>
      <c r="R724" s="48"/>
      <c r="S724" s="48"/>
      <c r="T724" s="48"/>
      <c r="U724" s="48"/>
      <c r="V724" s="48"/>
      <c r="W724" s="48"/>
      <c r="X724" s="48"/>
      <c r="Y724" s="48"/>
      <c r="Z724" s="48"/>
      <c r="AA724" s="48"/>
    </row>
    <row r="725" spans="2:27" ht="12.75" customHeight="1" x14ac:dyDescent="0.25">
      <c r="B725" s="48"/>
      <c r="C725" s="48"/>
      <c r="D725" s="48"/>
      <c r="E725" s="48"/>
      <c r="F725" s="48"/>
      <c r="G725" s="48"/>
      <c r="H725" s="48"/>
      <c r="I725" s="48"/>
      <c r="J725" s="48"/>
      <c r="K725" s="48"/>
      <c r="L725" s="48"/>
      <c r="M725" s="48"/>
      <c r="N725" s="48"/>
      <c r="O725" s="48"/>
      <c r="P725" s="48"/>
      <c r="Q725" s="48"/>
      <c r="R725" s="48"/>
      <c r="S725" s="48"/>
      <c r="T725" s="48"/>
      <c r="U725" s="48"/>
      <c r="V725" s="48"/>
      <c r="W725" s="48"/>
      <c r="X725" s="48"/>
      <c r="Y725" s="48"/>
      <c r="Z725" s="48"/>
      <c r="AA725" s="48"/>
    </row>
    <row r="726" spans="2:27" ht="12.75" customHeight="1" x14ac:dyDescent="0.25">
      <c r="B726" s="48"/>
      <c r="C726" s="48"/>
      <c r="D726" s="48"/>
      <c r="E726" s="48"/>
      <c r="F726" s="48"/>
      <c r="G726" s="48"/>
      <c r="H726" s="48"/>
      <c r="I726" s="48"/>
      <c r="J726" s="48"/>
      <c r="K726" s="48"/>
      <c r="L726" s="48"/>
      <c r="M726" s="48"/>
      <c r="N726" s="48"/>
      <c r="O726" s="48"/>
      <c r="P726" s="48"/>
      <c r="Q726" s="48"/>
      <c r="R726" s="48"/>
      <c r="S726" s="48"/>
      <c r="T726" s="48"/>
      <c r="U726" s="48"/>
      <c r="V726" s="48"/>
      <c r="W726" s="48"/>
      <c r="X726" s="48"/>
      <c r="Y726" s="48"/>
      <c r="Z726" s="48"/>
      <c r="AA726" s="48"/>
    </row>
    <row r="727" spans="2:27" ht="12.75" customHeight="1" x14ac:dyDescent="0.25">
      <c r="B727" s="48"/>
      <c r="C727" s="48"/>
      <c r="D727" s="48"/>
      <c r="E727" s="48"/>
      <c r="F727" s="48"/>
      <c r="G727" s="48"/>
      <c r="H727" s="48"/>
      <c r="I727" s="48"/>
      <c r="J727" s="48"/>
      <c r="K727" s="48"/>
      <c r="L727" s="48"/>
      <c r="M727" s="48"/>
      <c r="N727" s="48"/>
      <c r="O727" s="48"/>
      <c r="P727" s="48"/>
      <c r="Q727" s="48"/>
      <c r="R727" s="48"/>
      <c r="S727" s="48"/>
      <c r="T727" s="48"/>
      <c r="U727" s="48"/>
      <c r="V727" s="48"/>
      <c r="W727" s="48"/>
      <c r="X727" s="48"/>
      <c r="Y727" s="48"/>
      <c r="Z727" s="48"/>
      <c r="AA727" s="48"/>
    </row>
    <row r="728" spans="2:27" ht="12.75" customHeight="1" x14ac:dyDescent="0.25">
      <c r="B728" s="48"/>
      <c r="C728" s="48"/>
      <c r="D728" s="48"/>
      <c r="E728" s="48"/>
      <c r="F728" s="48"/>
      <c r="G728" s="48"/>
      <c r="H728" s="48"/>
      <c r="I728" s="48"/>
      <c r="J728" s="48"/>
      <c r="K728" s="48"/>
      <c r="L728" s="48"/>
      <c r="M728" s="48"/>
      <c r="N728" s="48"/>
      <c r="O728" s="48"/>
      <c r="P728" s="48"/>
      <c r="Q728" s="48"/>
      <c r="R728" s="48"/>
      <c r="S728" s="48"/>
      <c r="T728" s="48"/>
      <c r="U728" s="48"/>
      <c r="V728" s="48"/>
      <c r="W728" s="48"/>
      <c r="X728" s="48"/>
      <c r="Y728" s="48"/>
      <c r="Z728" s="48"/>
      <c r="AA728" s="48"/>
    </row>
    <row r="729" spans="2:27" ht="12.75" customHeight="1" x14ac:dyDescent="0.25">
      <c r="B729" s="48"/>
      <c r="C729" s="48"/>
      <c r="D729" s="48"/>
      <c r="E729" s="48"/>
      <c r="F729" s="48"/>
      <c r="G729" s="48"/>
      <c r="H729" s="48"/>
      <c r="I729" s="48"/>
      <c r="J729" s="48"/>
      <c r="K729" s="48"/>
      <c r="L729" s="48"/>
      <c r="M729" s="48"/>
      <c r="N729" s="48"/>
      <c r="O729" s="48"/>
      <c r="P729" s="48"/>
      <c r="Q729" s="48"/>
      <c r="R729" s="48"/>
      <c r="S729" s="48"/>
      <c r="T729" s="48"/>
      <c r="U729" s="48"/>
      <c r="V729" s="48"/>
      <c r="W729" s="48"/>
      <c r="X729" s="48"/>
      <c r="Y729" s="48"/>
      <c r="Z729" s="48"/>
      <c r="AA729" s="48"/>
    </row>
    <row r="730" spans="2:27" ht="12.75" customHeight="1" x14ac:dyDescent="0.25">
      <c r="B730" s="48"/>
      <c r="C730" s="48"/>
      <c r="D730" s="48"/>
      <c r="E730" s="48"/>
      <c r="F730" s="48"/>
      <c r="G730" s="48"/>
      <c r="H730" s="48"/>
      <c r="I730" s="48"/>
      <c r="J730" s="48"/>
      <c r="K730" s="48"/>
      <c r="L730" s="48"/>
      <c r="M730" s="48"/>
      <c r="N730" s="48"/>
      <c r="O730" s="48"/>
      <c r="P730" s="48"/>
      <c r="Q730" s="48"/>
      <c r="R730" s="48"/>
      <c r="S730" s="48"/>
      <c r="T730" s="48"/>
      <c r="U730" s="48"/>
      <c r="V730" s="48"/>
      <c r="W730" s="48"/>
      <c r="X730" s="48"/>
      <c r="Y730" s="48"/>
      <c r="Z730" s="48"/>
      <c r="AA730" s="48"/>
    </row>
    <row r="731" spans="2:27" ht="12.75" customHeight="1" x14ac:dyDescent="0.25">
      <c r="B731" s="48"/>
      <c r="C731" s="48"/>
      <c r="D731" s="48"/>
      <c r="E731" s="48"/>
      <c r="F731" s="48"/>
      <c r="G731" s="48"/>
      <c r="H731" s="48"/>
      <c r="I731" s="48"/>
      <c r="J731" s="48"/>
      <c r="K731" s="48"/>
      <c r="L731" s="48"/>
      <c r="M731" s="48"/>
      <c r="N731" s="48"/>
      <c r="O731" s="48"/>
      <c r="P731" s="48"/>
      <c r="Q731" s="48"/>
      <c r="R731" s="48"/>
      <c r="S731" s="48"/>
      <c r="T731" s="48"/>
      <c r="U731" s="48"/>
      <c r="V731" s="48"/>
      <c r="W731" s="48"/>
      <c r="X731" s="48"/>
      <c r="Y731" s="48"/>
      <c r="Z731" s="48"/>
      <c r="AA731" s="48"/>
    </row>
    <row r="732" spans="2:27" ht="12.75" customHeight="1" x14ac:dyDescent="0.25">
      <c r="B732" s="48"/>
      <c r="C732" s="48"/>
      <c r="D732" s="48"/>
      <c r="E732" s="48"/>
      <c r="F732" s="48"/>
      <c r="G732" s="48"/>
      <c r="H732" s="48"/>
      <c r="I732" s="48"/>
      <c r="J732" s="48"/>
      <c r="K732" s="48"/>
      <c r="L732" s="48"/>
      <c r="M732" s="48"/>
      <c r="N732" s="48"/>
      <c r="O732" s="48"/>
      <c r="P732" s="48"/>
      <c r="Q732" s="48"/>
      <c r="R732" s="48"/>
      <c r="S732" s="48"/>
      <c r="T732" s="48"/>
      <c r="U732" s="48"/>
      <c r="V732" s="48"/>
      <c r="W732" s="48"/>
      <c r="X732" s="48"/>
      <c r="Y732" s="48"/>
      <c r="Z732" s="48"/>
      <c r="AA732" s="48"/>
    </row>
    <row r="733" spans="2:27" ht="12.75" customHeight="1" x14ac:dyDescent="0.25">
      <c r="B733" s="48"/>
      <c r="C733" s="48"/>
      <c r="D733" s="48"/>
      <c r="E733" s="48"/>
      <c r="F733" s="48"/>
      <c r="G733" s="48"/>
      <c r="H733" s="48"/>
      <c r="I733" s="48"/>
      <c r="J733" s="48"/>
      <c r="K733" s="48"/>
      <c r="L733" s="48"/>
      <c r="M733" s="48"/>
      <c r="N733" s="48"/>
      <c r="O733" s="48"/>
      <c r="P733" s="48"/>
      <c r="Q733" s="48"/>
      <c r="R733" s="48"/>
      <c r="S733" s="48"/>
      <c r="T733" s="48"/>
      <c r="U733" s="48"/>
      <c r="V733" s="48"/>
      <c r="W733" s="48"/>
      <c r="X733" s="48"/>
      <c r="Y733" s="48"/>
      <c r="Z733" s="48"/>
      <c r="AA733" s="48"/>
    </row>
    <row r="734" spans="2:27" ht="12.75" customHeight="1" x14ac:dyDescent="0.25">
      <c r="B734" s="48"/>
      <c r="C734" s="48"/>
      <c r="D734" s="48"/>
      <c r="E734" s="48"/>
      <c r="F734" s="48"/>
      <c r="G734" s="48"/>
      <c r="H734" s="48"/>
      <c r="I734" s="48"/>
      <c r="J734" s="48"/>
      <c r="K734" s="48"/>
      <c r="L734" s="48"/>
      <c r="M734" s="48"/>
      <c r="N734" s="48"/>
      <c r="O734" s="48"/>
      <c r="P734" s="48"/>
      <c r="Q734" s="48"/>
      <c r="R734" s="48"/>
      <c r="S734" s="48"/>
      <c r="T734" s="48"/>
      <c r="U734" s="48"/>
      <c r="V734" s="48"/>
      <c r="W734" s="48"/>
      <c r="X734" s="48"/>
      <c r="Y734" s="48"/>
      <c r="Z734" s="48"/>
      <c r="AA734" s="48"/>
    </row>
    <row r="735" spans="2:27" ht="12.75" customHeight="1" x14ac:dyDescent="0.25">
      <c r="B735" s="48"/>
      <c r="C735" s="48"/>
      <c r="D735" s="48"/>
      <c r="E735" s="48"/>
      <c r="F735" s="48"/>
      <c r="G735" s="48"/>
      <c r="H735" s="48"/>
      <c r="I735" s="48"/>
      <c r="J735" s="48"/>
      <c r="K735" s="48"/>
      <c r="L735" s="48"/>
      <c r="M735" s="48"/>
      <c r="N735" s="48"/>
      <c r="O735" s="48"/>
      <c r="P735" s="48"/>
      <c r="Q735" s="48"/>
      <c r="R735" s="48"/>
      <c r="S735" s="48"/>
      <c r="T735" s="48"/>
      <c r="U735" s="48"/>
      <c r="V735" s="48"/>
      <c r="W735" s="48"/>
      <c r="X735" s="48"/>
      <c r="Y735" s="48"/>
      <c r="Z735" s="48"/>
      <c r="AA735" s="48"/>
    </row>
    <row r="736" spans="2:27" ht="12.75" customHeight="1" x14ac:dyDescent="0.25">
      <c r="B736" s="48"/>
      <c r="C736" s="48"/>
      <c r="D736" s="48"/>
      <c r="E736" s="48"/>
      <c r="F736" s="48"/>
      <c r="G736" s="48"/>
      <c r="H736" s="48"/>
      <c r="I736" s="48"/>
      <c r="J736" s="48"/>
      <c r="K736" s="48"/>
      <c r="L736" s="48"/>
      <c r="M736" s="48"/>
      <c r="N736" s="48"/>
      <c r="O736" s="48"/>
      <c r="P736" s="48"/>
      <c r="Q736" s="48"/>
      <c r="R736" s="48"/>
      <c r="S736" s="48"/>
      <c r="T736" s="48"/>
      <c r="U736" s="48"/>
      <c r="V736" s="48"/>
      <c r="W736" s="48"/>
      <c r="X736" s="48"/>
      <c r="Y736" s="48"/>
      <c r="Z736" s="48"/>
      <c r="AA736" s="48"/>
    </row>
    <row r="737" spans="2:27" ht="12.75" customHeight="1" x14ac:dyDescent="0.25">
      <c r="B737" s="48"/>
      <c r="C737" s="48"/>
      <c r="D737" s="48"/>
      <c r="E737" s="48"/>
      <c r="F737" s="48"/>
      <c r="G737" s="48"/>
      <c r="H737" s="48"/>
      <c r="I737" s="48"/>
      <c r="J737" s="48"/>
      <c r="K737" s="48"/>
      <c r="L737" s="48"/>
      <c r="M737" s="48"/>
      <c r="N737" s="48"/>
      <c r="O737" s="48"/>
      <c r="P737" s="48"/>
      <c r="Q737" s="48"/>
      <c r="R737" s="48"/>
      <c r="S737" s="48"/>
      <c r="T737" s="48"/>
      <c r="U737" s="48"/>
      <c r="V737" s="48"/>
      <c r="W737" s="48"/>
      <c r="X737" s="48"/>
      <c r="Y737" s="48"/>
      <c r="Z737" s="48"/>
      <c r="AA737" s="48"/>
    </row>
    <row r="738" spans="2:27" ht="12.75" customHeight="1" x14ac:dyDescent="0.25">
      <c r="B738" s="48"/>
      <c r="C738" s="48"/>
      <c r="D738" s="48"/>
      <c r="E738" s="48"/>
      <c r="F738" s="48"/>
      <c r="G738" s="48"/>
      <c r="H738" s="48"/>
      <c r="I738" s="48"/>
      <c r="J738" s="48"/>
      <c r="K738" s="48"/>
      <c r="L738" s="48"/>
      <c r="M738" s="48"/>
      <c r="N738" s="48"/>
      <c r="O738" s="48"/>
      <c r="P738" s="48"/>
      <c r="Q738" s="48"/>
      <c r="R738" s="48"/>
      <c r="S738" s="48"/>
      <c r="T738" s="48"/>
      <c r="U738" s="48"/>
      <c r="V738" s="48"/>
      <c r="W738" s="48"/>
      <c r="X738" s="48"/>
      <c r="Y738" s="48"/>
      <c r="Z738" s="48"/>
      <c r="AA738" s="48"/>
    </row>
    <row r="739" spans="2:27" ht="12.75" customHeight="1" x14ac:dyDescent="0.25">
      <c r="B739" s="48"/>
      <c r="C739" s="48"/>
      <c r="D739" s="48"/>
      <c r="E739" s="48"/>
      <c r="F739" s="48"/>
      <c r="G739" s="48"/>
      <c r="H739" s="48"/>
      <c r="I739" s="48"/>
      <c r="J739" s="48"/>
      <c r="K739" s="48"/>
      <c r="L739" s="48"/>
      <c r="M739" s="48"/>
      <c r="N739" s="48"/>
      <c r="O739" s="48"/>
      <c r="P739" s="48"/>
      <c r="Q739" s="48"/>
      <c r="R739" s="48"/>
      <c r="S739" s="48"/>
      <c r="T739" s="48"/>
      <c r="U739" s="48"/>
      <c r="V739" s="48"/>
      <c r="W739" s="48"/>
      <c r="X739" s="48"/>
      <c r="Y739" s="48"/>
      <c r="Z739" s="48"/>
      <c r="AA739" s="48"/>
    </row>
    <row r="740" spans="2:27" ht="12.75" customHeight="1" x14ac:dyDescent="0.25">
      <c r="B740" s="48"/>
      <c r="C740" s="48"/>
      <c r="D740" s="48"/>
      <c r="E740" s="48"/>
      <c r="F740" s="48"/>
      <c r="G740" s="48"/>
      <c r="H740" s="48"/>
      <c r="I740" s="48"/>
      <c r="J740" s="48"/>
      <c r="K740" s="48"/>
      <c r="L740" s="48"/>
      <c r="M740" s="48"/>
      <c r="N740" s="48"/>
      <c r="O740" s="48"/>
      <c r="P740" s="48"/>
      <c r="Q740" s="48"/>
      <c r="R740" s="48"/>
      <c r="S740" s="48"/>
      <c r="T740" s="48"/>
      <c r="U740" s="48"/>
      <c r="V740" s="48"/>
      <c r="W740" s="48"/>
      <c r="X740" s="48"/>
      <c r="Y740" s="48"/>
      <c r="Z740" s="48"/>
      <c r="AA740" s="48"/>
    </row>
    <row r="741" spans="2:27" ht="12.75" customHeight="1" x14ac:dyDescent="0.25">
      <c r="B741" s="48"/>
      <c r="C741" s="48"/>
      <c r="D741" s="48"/>
      <c r="E741" s="48"/>
      <c r="F741" s="48"/>
      <c r="G741" s="48"/>
      <c r="H741" s="48"/>
      <c r="I741" s="48"/>
      <c r="J741" s="48"/>
      <c r="K741" s="48"/>
      <c r="L741" s="48"/>
      <c r="M741" s="48"/>
      <c r="N741" s="48"/>
      <c r="O741" s="48"/>
      <c r="P741" s="48"/>
      <c r="Q741" s="48"/>
      <c r="R741" s="48"/>
      <c r="S741" s="48"/>
      <c r="T741" s="48"/>
      <c r="U741" s="48"/>
      <c r="V741" s="48"/>
      <c r="W741" s="48"/>
      <c r="X741" s="48"/>
      <c r="Y741" s="48"/>
      <c r="Z741" s="48"/>
      <c r="AA741" s="48"/>
    </row>
    <row r="742" spans="2:27" ht="12.75" customHeight="1" x14ac:dyDescent="0.25">
      <c r="B742" s="48"/>
      <c r="C742" s="48"/>
      <c r="D742" s="48"/>
      <c r="E742" s="48"/>
      <c r="F742" s="48"/>
      <c r="G742" s="48"/>
      <c r="H742" s="48"/>
      <c r="I742" s="48"/>
      <c r="J742" s="48"/>
      <c r="K742" s="48"/>
      <c r="L742" s="48"/>
      <c r="M742" s="48"/>
      <c r="N742" s="48"/>
      <c r="O742" s="48"/>
      <c r="P742" s="48"/>
      <c r="Q742" s="48"/>
      <c r="R742" s="48"/>
      <c r="S742" s="48"/>
      <c r="T742" s="48"/>
      <c r="U742" s="48"/>
      <c r="V742" s="48"/>
      <c r="W742" s="48"/>
      <c r="X742" s="48"/>
      <c r="Y742" s="48"/>
      <c r="Z742" s="48"/>
      <c r="AA742" s="48"/>
    </row>
    <row r="743" spans="2:27" ht="12.75" customHeight="1" x14ac:dyDescent="0.25">
      <c r="B743" s="48"/>
      <c r="C743" s="48"/>
      <c r="D743" s="48"/>
      <c r="E743" s="48"/>
      <c r="F743" s="48"/>
      <c r="G743" s="48"/>
      <c r="H743" s="48"/>
      <c r="I743" s="48"/>
      <c r="J743" s="48"/>
      <c r="K743" s="48"/>
      <c r="L743" s="48"/>
      <c r="M743" s="48"/>
      <c r="N743" s="48"/>
      <c r="O743" s="48"/>
      <c r="P743" s="48"/>
      <c r="Q743" s="48"/>
      <c r="R743" s="48"/>
      <c r="S743" s="48"/>
      <c r="T743" s="48"/>
      <c r="U743" s="48"/>
      <c r="V743" s="48"/>
      <c r="W743" s="48"/>
      <c r="X743" s="48"/>
      <c r="Y743" s="48"/>
      <c r="Z743" s="48"/>
      <c r="AA743" s="48"/>
    </row>
    <row r="744" spans="2:27" ht="12.75" customHeight="1" x14ac:dyDescent="0.25">
      <c r="B744" s="48"/>
      <c r="C744" s="48"/>
      <c r="D744" s="48"/>
      <c r="E744" s="48"/>
      <c r="F744" s="48"/>
      <c r="G744" s="48"/>
      <c r="H744" s="48"/>
      <c r="I744" s="48"/>
      <c r="J744" s="48"/>
      <c r="K744" s="48"/>
      <c r="L744" s="48"/>
      <c r="M744" s="48"/>
      <c r="N744" s="48"/>
      <c r="O744" s="48"/>
      <c r="P744" s="48"/>
      <c r="Q744" s="48"/>
      <c r="R744" s="48"/>
      <c r="S744" s="48"/>
      <c r="T744" s="48"/>
      <c r="U744" s="48"/>
      <c r="V744" s="48"/>
      <c r="W744" s="48"/>
      <c r="X744" s="48"/>
      <c r="Y744" s="48"/>
      <c r="Z744" s="48"/>
      <c r="AA744" s="48"/>
    </row>
    <row r="745" spans="2:27" ht="12.75" customHeight="1" x14ac:dyDescent="0.25">
      <c r="B745" s="48"/>
      <c r="C745" s="48"/>
      <c r="D745" s="48"/>
      <c r="E745" s="48"/>
      <c r="F745" s="48"/>
      <c r="G745" s="48"/>
      <c r="H745" s="48"/>
      <c r="I745" s="48"/>
      <c r="J745" s="48"/>
      <c r="K745" s="48"/>
      <c r="L745" s="48"/>
      <c r="M745" s="48"/>
      <c r="N745" s="48"/>
      <c r="O745" s="48"/>
      <c r="P745" s="48"/>
      <c r="Q745" s="48"/>
      <c r="R745" s="48"/>
      <c r="S745" s="48"/>
      <c r="T745" s="48"/>
      <c r="U745" s="48"/>
      <c r="V745" s="48"/>
      <c r="W745" s="48"/>
      <c r="X745" s="48"/>
      <c r="Y745" s="48"/>
      <c r="Z745" s="48"/>
      <c r="AA745" s="48"/>
    </row>
    <row r="746" spans="2:27" ht="12.75" customHeight="1" x14ac:dyDescent="0.25">
      <c r="B746" s="48"/>
      <c r="C746" s="48"/>
      <c r="D746" s="48"/>
      <c r="E746" s="48"/>
      <c r="F746" s="48"/>
      <c r="G746" s="48"/>
      <c r="H746" s="48"/>
      <c r="I746" s="48"/>
      <c r="J746" s="48"/>
      <c r="K746" s="48"/>
      <c r="L746" s="48"/>
      <c r="M746" s="48"/>
      <c r="N746" s="48"/>
      <c r="O746" s="48"/>
      <c r="P746" s="48"/>
      <c r="Q746" s="48"/>
      <c r="R746" s="48"/>
      <c r="S746" s="48"/>
      <c r="T746" s="48"/>
      <c r="U746" s="48"/>
      <c r="V746" s="48"/>
      <c r="W746" s="48"/>
      <c r="X746" s="48"/>
      <c r="Y746" s="48"/>
      <c r="Z746" s="48"/>
      <c r="AA746" s="48"/>
    </row>
    <row r="747" spans="2:27" ht="12.75" customHeight="1" x14ac:dyDescent="0.25">
      <c r="B747" s="48"/>
      <c r="C747" s="48"/>
      <c r="D747" s="48"/>
      <c r="E747" s="48"/>
      <c r="F747" s="48"/>
      <c r="G747" s="48"/>
      <c r="H747" s="48"/>
      <c r="I747" s="48"/>
      <c r="J747" s="48"/>
      <c r="K747" s="48"/>
      <c r="L747" s="48"/>
      <c r="M747" s="48"/>
      <c r="N747" s="48"/>
      <c r="O747" s="48"/>
      <c r="P747" s="48"/>
      <c r="Q747" s="48"/>
      <c r="R747" s="48"/>
      <c r="S747" s="48"/>
      <c r="T747" s="48"/>
      <c r="U747" s="48"/>
      <c r="V747" s="48"/>
      <c r="W747" s="48"/>
      <c r="X747" s="48"/>
      <c r="Y747" s="48"/>
      <c r="Z747" s="48"/>
      <c r="AA747" s="48"/>
    </row>
    <row r="748" spans="2:27" ht="12.75" customHeight="1" x14ac:dyDescent="0.25">
      <c r="B748" s="48"/>
      <c r="C748" s="48"/>
      <c r="D748" s="48"/>
      <c r="E748" s="48"/>
      <c r="F748" s="48"/>
      <c r="G748" s="48"/>
      <c r="H748" s="48"/>
      <c r="I748" s="48"/>
      <c r="J748" s="48"/>
      <c r="K748" s="48"/>
      <c r="L748" s="48"/>
      <c r="M748" s="48"/>
      <c r="N748" s="48"/>
      <c r="O748" s="48"/>
      <c r="P748" s="48"/>
      <c r="Q748" s="48"/>
      <c r="R748" s="48"/>
      <c r="S748" s="48"/>
      <c r="T748" s="48"/>
      <c r="U748" s="48"/>
      <c r="V748" s="48"/>
      <c r="W748" s="48"/>
      <c r="X748" s="48"/>
      <c r="Y748" s="48"/>
      <c r="Z748" s="48"/>
      <c r="AA748" s="48"/>
    </row>
    <row r="749" spans="2:27" ht="12.75" customHeight="1" x14ac:dyDescent="0.25">
      <c r="B749" s="48"/>
      <c r="C749" s="48"/>
      <c r="D749" s="48"/>
      <c r="E749" s="48"/>
      <c r="F749" s="48"/>
      <c r="G749" s="48"/>
      <c r="H749" s="48"/>
      <c r="I749" s="48"/>
      <c r="J749" s="48"/>
      <c r="K749" s="48"/>
      <c r="L749" s="48"/>
      <c r="M749" s="48"/>
      <c r="N749" s="48"/>
      <c r="O749" s="48"/>
      <c r="P749" s="48"/>
      <c r="Q749" s="48"/>
      <c r="R749" s="48"/>
      <c r="S749" s="48"/>
      <c r="T749" s="48"/>
      <c r="U749" s="48"/>
      <c r="V749" s="48"/>
      <c r="W749" s="48"/>
      <c r="X749" s="48"/>
      <c r="Y749" s="48"/>
      <c r="Z749" s="48"/>
      <c r="AA749" s="48"/>
    </row>
    <row r="750" spans="2:27" ht="12.75" customHeight="1" x14ac:dyDescent="0.25">
      <c r="B750" s="48"/>
      <c r="C750" s="48"/>
      <c r="D750" s="48"/>
      <c r="E750" s="48"/>
      <c r="F750" s="48"/>
      <c r="G750" s="48"/>
      <c r="H750" s="48"/>
      <c r="I750" s="48"/>
      <c r="J750" s="48"/>
      <c r="K750" s="48"/>
      <c r="L750" s="48"/>
      <c r="M750" s="48"/>
      <c r="N750" s="48"/>
      <c r="O750" s="48"/>
      <c r="P750" s="48"/>
      <c r="Q750" s="48"/>
      <c r="R750" s="48"/>
      <c r="S750" s="48"/>
      <c r="T750" s="48"/>
      <c r="U750" s="48"/>
      <c r="V750" s="48"/>
      <c r="W750" s="48"/>
      <c r="X750" s="48"/>
      <c r="Y750" s="48"/>
      <c r="Z750" s="48"/>
      <c r="AA750" s="48"/>
    </row>
    <row r="751" spans="2:27" ht="12.75" customHeight="1" x14ac:dyDescent="0.25">
      <c r="B751" s="48"/>
      <c r="C751" s="48"/>
      <c r="D751" s="48"/>
      <c r="E751" s="48"/>
      <c r="F751" s="48"/>
      <c r="G751" s="48"/>
      <c r="H751" s="48"/>
      <c r="I751" s="48"/>
      <c r="J751" s="48"/>
      <c r="K751" s="48"/>
      <c r="L751" s="48"/>
      <c r="M751" s="48"/>
      <c r="N751" s="48"/>
      <c r="O751" s="48"/>
      <c r="P751" s="48"/>
      <c r="Q751" s="48"/>
      <c r="R751" s="48"/>
      <c r="S751" s="48"/>
      <c r="T751" s="48"/>
      <c r="U751" s="48"/>
      <c r="V751" s="48"/>
      <c r="W751" s="48"/>
      <c r="X751" s="48"/>
      <c r="Y751" s="48"/>
      <c r="Z751" s="48"/>
      <c r="AA751" s="48"/>
    </row>
    <row r="752" spans="2:27" ht="12.75" customHeight="1" x14ac:dyDescent="0.25">
      <c r="B752" s="48"/>
      <c r="C752" s="48"/>
      <c r="D752" s="48"/>
      <c r="E752" s="48"/>
      <c r="F752" s="48"/>
      <c r="G752" s="48"/>
      <c r="H752" s="48"/>
      <c r="I752" s="48"/>
      <c r="J752" s="48"/>
      <c r="K752" s="48"/>
      <c r="L752" s="48"/>
      <c r="M752" s="48"/>
      <c r="N752" s="48"/>
      <c r="O752" s="48"/>
      <c r="P752" s="48"/>
      <c r="Q752" s="48"/>
      <c r="R752" s="48"/>
      <c r="S752" s="48"/>
      <c r="T752" s="48"/>
      <c r="U752" s="48"/>
      <c r="V752" s="48"/>
      <c r="W752" s="48"/>
      <c r="X752" s="48"/>
      <c r="Y752" s="48"/>
      <c r="Z752" s="48"/>
      <c r="AA752" s="48"/>
    </row>
    <row r="753" spans="2:27" ht="12.75" customHeight="1" x14ac:dyDescent="0.25">
      <c r="B753" s="48"/>
      <c r="C753" s="48"/>
      <c r="D753" s="48"/>
      <c r="E753" s="48"/>
      <c r="F753" s="48"/>
      <c r="G753" s="48"/>
      <c r="H753" s="48"/>
      <c r="I753" s="48"/>
      <c r="J753" s="48"/>
      <c r="K753" s="48"/>
      <c r="L753" s="48"/>
      <c r="M753" s="48"/>
      <c r="N753" s="48"/>
      <c r="O753" s="48"/>
      <c r="P753" s="48"/>
      <c r="Q753" s="48"/>
      <c r="R753" s="48"/>
      <c r="S753" s="48"/>
      <c r="T753" s="48"/>
      <c r="U753" s="48"/>
      <c r="V753" s="48"/>
      <c r="W753" s="48"/>
      <c r="X753" s="48"/>
      <c r="Y753" s="48"/>
      <c r="Z753" s="48"/>
      <c r="AA753" s="48"/>
    </row>
    <row r="754" spans="2:27" ht="12.75" customHeight="1" x14ac:dyDescent="0.25">
      <c r="B754" s="48"/>
      <c r="C754" s="48"/>
      <c r="D754" s="48"/>
      <c r="E754" s="48"/>
      <c r="F754" s="48"/>
      <c r="G754" s="48"/>
      <c r="H754" s="48"/>
      <c r="I754" s="48"/>
      <c r="J754" s="48"/>
      <c r="K754" s="48"/>
      <c r="L754" s="48"/>
      <c r="M754" s="48"/>
      <c r="N754" s="48"/>
      <c r="O754" s="48"/>
      <c r="P754" s="48"/>
      <c r="Q754" s="48"/>
      <c r="R754" s="48"/>
      <c r="S754" s="48"/>
      <c r="T754" s="48"/>
      <c r="U754" s="48"/>
      <c r="V754" s="48"/>
      <c r="W754" s="48"/>
      <c r="X754" s="48"/>
      <c r="Y754" s="48"/>
      <c r="Z754" s="48"/>
      <c r="AA754" s="48"/>
    </row>
    <row r="755" spans="2:27" ht="12.75" customHeight="1" x14ac:dyDescent="0.25">
      <c r="B755" s="48"/>
      <c r="C755" s="48"/>
      <c r="D755" s="48"/>
      <c r="E755" s="48"/>
      <c r="F755" s="48"/>
      <c r="G755" s="48"/>
      <c r="H755" s="48"/>
      <c r="I755" s="48"/>
      <c r="J755" s="48"/>
      <c r="K755" s="48"/>
      <c r="L755" s="48"/>
      <c r="M755" s="48"/>
      <c r="N755" s="48"/>
      <c r="O755" s="48"/>
      <c r="P755" s="48"/>
      <c r="Q755" s="48"/>
      <c r="R755" s="48"/>
      <c r="S755" s="48"/>
      <c r="T755" s="48"/>
      <c r="U755" s="48"/>
      <c r="V755" s="48"/>
      <c r="W755" s="48"/>
      <c r="X755" s="48"/>
      <c r="Y755" s="48"/>
      <c r="Z755" s="48"/>
      <c r="AA755" s="48"/>
    </row>
    <row r="756" spans="2:27" ht="12.75" customHeight="1" x14ac:dyDescent="0.25">
      <c r="B756" s="48"/>
      <c r="C756" s="48"/>
      <c r="D756" s="48"/>
      <c r="E756" s="48"/>
      <c r="F756" s="48"/>
      <c r="G756" s="48"/>
      <c r="H756" s="48"/>
      <c r="I756" s="48"/>
      <c r="J756" s="48"/>
      <c r="K756" s="48"/>
      <c r="L756" s="48"/>
      <c r="M756" s="48"/>
      <c r="N756" s="48"/>
      <c r="O756" s="48"/>
      <c r="P756" s="48"/>
      <c r="Q756" s="48"/>
      <c r="R756" s="48"/>
      <c r="S756" s="48"/>
      <c r="T756" s="48"/>
      <c r="U756" s="48"/>
      <c r="V756" s="48"/>
      <c r="W756" s="48"/>
      <c r="X756" s="48"/>
      <c r="Y756" s="48"/>
      <c r="Z756" s="48"/>
      <c r="AA756" s="48"/>
    </row>
    <row r="757" spans="2:27" ht="12.75" customHeight="1" x14ac:dyDescent="0.25">
      <c r="B757" s="48"/>
      <c r="C757" s="48"/>
      <c r="D757" s="48"/>
      <c r="E757" s="48"/>
      <c r="F757" s="48"/>
      <c r="G757" s="48"/>
      <c r="H757" s="48"/>
      <c r="I757" s="48"/>
      <c r="J757" s="48"/>
      <c r="K757" s="48"/>
      <c r="L757" s="48"/>
      <c r="M757" s="48"/>
      <c r="N757" s="48"/>
      <c r="O757" s="48"/>
      <c r="P757" s="48"/>
      <c r="Q757" s="48"/>
      <c r="R757" s="48"/>
      <c r="S757" s="48"/>
      <c r="T757" s="48"/>
      <c r="U757" s="48"/>
      <c r="V757" s="48"/>
      <c r="W757" s="48"/>
      <c r="X757" s="48"/>
      <c r="Y757" s="48"/>
      <c r="Z757" s="48"/>
      <c r="AA757" s="48"/>
    </row>
    <row r="758" spans="2:27" ht="12.75" customHeight="1" x14ac:dyDescent="0.25">
      <c r="B758" s="48"/>
      <c r="C758" s="48"/>
      <c r="D758" s="48"/>
      <c r="E758" s="48"/>
      <c r="F758" s="48"/>
      <c r="G758" s="48"/>
      <c r="H758" s="48"/>
      <c r="I758" s="48"/>
      <c r="J758" s="48"/>
      <c r="K758" s="48"/>
      <c r="L758" s="48"/>
      <c r="M758" s="48"/>
      <c r="N758" s="48"/>
      <c r="O758" s="48"/>
      <c r="P758" s="48"/>
      <c r="Q758" s="48"/>
      <c r="R758" s="48"/>
      <c r="S758" s="48"/>
      <c r="T758" s="48"/>
      <c r="U758" s="48"/>
      <c r="V758" s="48"/>
      <c r="W758" s="48"/>
      <c r="X758" s="48"/>
      <c r="Y758" s="48"/>
      <c r="Z758" s="48"/>
      <c r="AA758" s="48"/>
    </row>
    <row r="759" spans="2:27" ht="12.75" customHeight="1" x14ac:dyDescent="0.25">
      <c r="B759" s="48"/>
      <c r="C759" s="48"/>
      <c r="D759" s="48"/>
      <c r="E759" s="48"/>
      <c r="F759" s="48"/>
      <c r="G759" s="48"/>
      <c r="H759" s="48"/>
      <c r="I759" s="48"/>
      <c r="J759" s="48"/>
      <c r="K759" s="48"/>
      <c r="L759" s="48"/>
      <c r="M759" s="48"/>
      <c r="N759" s="48"/>
      <c r="O759" s="48"/>
      <c r="P759" s="48"/>
      <c r="Q759" s="48"/>
      <c r="R759" s="48"/>
      <c r="S759" s="48"/>
      <c r="T759" s="48"/>
      <c r="U759" s="48"/>
      <c r="V759" s="48"/>
      <c r="W759" s="48"/>
      <c r="X759" s="48"/>
      <c r="Y759" s="48"/>
      <c r="Z759" s="48"/>
      <c r="AA759" s="48"/>
    </row>
    <row r="760" spans="2:27" ht="12.75" customHeight="1" x14ac:dyDescent="0.25">
      <c r="B760" s="48"/>
      <c r="C760" s="48"/>
      <c r="D760" s="48"/>
      <c r="E760" s="48"/>
      <c r="F760" s="48"/>
      <c r="G760" s="48"/>
      <c r="H760" s="48"/>
      <c r="I760" s="48"/>
      <c r="J760" s="48"/>
      <c r="K760" s="48"/>
      <c r="L760" s="48"/>
      <c r="M760" s="48"/>
      <c r="N760" s="48"/>
      <c r="O760" s="48"/>
      <c r="P760" s="48"/>
      <c r="Q760" s="48"/>
      <c r="R760" s="48"/>
      <c r="S760" s="48"/>
      <c r="T760" s="48"/>
      <c r="U760" s="48"/>
      <c r="V760" s="48"/>
      <c r="W760" s="48"/>
      <c r="X760" s="48"/>
      <c r="Y760" s="48"/>
      <c r="Z760" s="48"/>
      <c r="AA760" s="48"/>
    </row>
    <row r="761" spans="2:27" ht="12.75" customHeight="1" x14ac:dyDescent="0.25">
      <c r="B761" s="48"/>
      <c r="C761" s="48"/>
      <c r="D761" s="48"/>
      <c r="E761" s="48"/>
      <c r="F761" s="48"/>
      <c r="G761" s="48"/>
      <c r="H761" s="48"/>
      <c r="I761" s="48"/>
      <c r="J761" s="48"/>
      <c r="K761" s="48"/>
      <c r="L761" s="48"/>
      <c r="M761" s="48"/>
      <c r="N761" s="48"/>
      <c r="O761" s="48"/>
      <c r="P761" s="48"/>
      <c r="Q761" s="48"/>
      <c r="R761" s="48"/>
      <c r="S761" s="48"/>
      <c r="T761" s="48"/>
      <c r="U761" s="48"/>
      <c r="V761" s="48"/>
      <c r="W761" s="48"/>
      <c r="X761" s="48"/>
      <c r="Y761" s="48"/>
      <c r="Z761" s="48"/>
      <c r="AA761" s="48"/>
    </row>
    <row r="762" spans="2:27" ht="12.75" customHeight="1" x14ac:dyDescent="0.25">
      <c r="B762" s="48"/>
      <c r="C762" s="48"/>
      <c r="D762" s="48"/>
      <c r="E762" s="48"/>
      <c r="F762" s="48"/>
      <c r="G762" s="48"/>
      <c r="H762" s="48"/>
      <c r="I762" s="48"/>
      <c r="J762" s="48"/>
      <c r="K762" s="48"/>
      <c r="L762" s="48"/>
      <c r="M762" s="48"/>
      <c r="N762" s="48"/>
      <c r="O762" s="48"/>
      <c r="P762" s="48"/>
      <c r="Q762" s="48"/>
      <c r="R762" s="48"/>
      <c r="S762" s="48"/>
      <c r="T762" s="48"/>
      <c r="U762" s="48"/>
      <c r="V762" s="48"/>
      <c r="W762" s="48"/>
      <c r="X762" s="48"/>
      <c r="Y762" s="48"/>
      <c r="Z762" s="48"/>
      <c r="AA762" s="48"/>
    </row>
    <row r="763" spans="2:27" ht="12.75" customHeight="1" x14ac:dyDescent="0.25">
      <c r="B763" s="48"/>
      <c r="C763" s="48"/>
      <c r="D763" s="48"/>
      <c r="E763" s="48"/>
      <c r="F763" s="48"/>
      <c r="G763" s="48"/>
      <c r="H763" s="48"/>
      <c r="I763" s="48"/>
      <c r="J763" s="48"/>
      <c r="K763" s="48"/>
      <c r="L763" s="48"/>
      <c r="M763" s="48"/>
      <c r="N763" s="48"/>
      <c r="O763" s="48"/>
      <c r="P763" s="48"/>
      <c r="Q763" s="48"/>
      <c r="R763" s="48"/>
      <c r="S763" s="48"/>
      <c r="T763" s="48"/>
      <c r="U763" s="48"/>
      <c r="V763" s="48"/>
      <c r="W763" s="48"/>
      <c r="X763" s="48"/>
      <c r="Y763" s="48"/>
      <c r="Z763" s="48"/>
      <c r="AA763" s="48"/>
    </row>
    <row r="764" spans="2:27" ht="12.75" customHeight="1" x14ac:dyDescent="0.25">
      <c r="B764" s="48"/>
      <c r="C764" s="48"/>
      <c r="D764" s="48"/>
      <c r="E764" s="48"/>
      <c r="F764" s="48"/>
      <c r="G764" s="48"/>
      <c r="H764" s="48"/>
      <c r="I764" s="48"/>
      <c r="J764" s="48"/>
      <c r="K764" s="48"/>
      <c r="L764" s="48"/>
      <c r="M764" s="48"/>
      <c r="N764" s="48"/>
      <c r="O764" s="48"/>
      <c r="P764" s="48"/>
      <c r="Q764" s="48"/>
      <c r="R764" s="48"/>
      <c r="S764" s="48"/>
      <c r="T764" s="48"/>
      <c r="U764" s="48"/>
      <c r="V764" s="48"/>
      <c r="W764" s="48"/>
      <c r="X764" s="48"/>
      <c r="Y764" s="48"/>
      <c r="Z764" s="48"/>
      <c r="AA764" s="48"/>
    </row>
    <row r="765" spans="2:27" ht="12.75" customHeight="1" x14ac:dyDescent="0.25">
      <c r="B765" s="48"/>
      <c r="C765" s="48"/>
      <c r="D765" s="48"/>
      <c r="E765" s="48"/>
      <c r="F765" s="48"/>
      <c r="G765" s="48"/>
      <c r="H765" s="48"/>
      <c r="I765" s="48"/>
      <c r="J765" s="48"/>
      <c r="K765" s="48"/>
      <c r="L765" s="48"/>
      <c r="M765" s="48"/>
      <c r="N765" s="48"/>
      <c r="O765" s="48"/>
      <c r="P765" s="48"/>
      <c r="Q765" s="48"/>
      <c r="R765" s="48"/>
      <c r="S765" s="48"/>
      <c r="T765" s="48"/>
      <c r="U765" s="48"/>
      <c r="V765" s="48"/>
      <c r="W765" s="48"/>
      <c r="X765" s="48"/>
      <c r="Y765" s="48"/>
      <c r="Z765" s="48"/>
      <c r="AA765" s="48"/>
    </row>
    <row r="766" spans="2:27" ht="12.75" customHeight="1" x14ac:dyDescent="0.25">
      <c r="B766" s="48"/>
      <c r="C766" s="48"/>
      <c r="D766" s="48"/>
      <c r="E766" s="48"/>
      <c r="F766" s="48"/>
      <c r="G766" s="48"/>
      <c r="H766" s="48"/>
      <c r="I766" s="48"/>
      <c r="J766" s="48"/>
      <c r="K766" s="48"/>
      <c r="L766" s="48"/>
      <c r="M766" s="48"/>
      <c r="N766" s="48"/>
      <c r="O766" s="48"/>
      <c r="P766" s="48"/>
      <c r="Q766" s="48"/>
      <c r="R766" s="48"/>
      <c r="S766" s="48"/>
      <c r="T766" s="48"/>
      <c r="U766" s="48"/>
      <c r="V766" s="48"/>
      <c r="W766" s="48"/>
      <c r="X766" s="48"/>
      <c r="Y766" s="48"/>
      <c r="Z766" s="48"/>
      <c r="AA766" s="48"/>
    </row>
    <row r="767" spans="2:27" ht="12.75" customHeight="1" x14ac:dyDescent="0.25">
      <c r="B767" s="48"/>
      <c r="C767" s="48"/>
      <c r="D767" s="48"/>
      <c r="E767" s="48"/>
      <c r="F767" s="48"/>
      <c r="G767" s="48"/>
      <c r="H767" s="48"/>
      <c r="I767" s="48"/>
      <c r="J767" s="48"/>
      <c r="K767" s="48"/>
      <c r="L767" s="48"/>
      <c r="M767" s="48"/>
      <c r="N767" s="48"/>
      <c r="O767" s="48"/>
      <c r="P767" s="48"/>
      <c r="Q767" s="48"/>
      <c r="R767" s="48"/>
      <c r="S767" s="48"/>
      <c r="T767" s="48"/>
      <c r="U767" s="48"/>
      <c r="V767" s="48"/>
      <c r="W767" s="48"/>
      <c r="X767" s="48"/>
      <c r="Y767" s="48"/>
      <c r="Z767" s="48"/>
      <c r="AA767" s="48"/>
    </row>
    <row r="768" spans="2:27" ht="12.75" customHeight="1" x14ac:dyDescent="0.25">
      <c r="B768" s="48"/>
      <c r="C768" s="48"/>
      <c r="D768" s="48"/>
      <c r="E768" s="48"/>
      <c r="F768" s="48"/>
      <c r="G768" s="48"/>
      <c r="H768" s="48"/>
      <c r="I768" s="48"/>
      <c r="J768" s="48"/>
      <c r="K768" s="48"/>
      <c r="L768" s="48"/>
      <c r="M768" s="48"/>
      <c r="N768" s="48"/>
      <c r="O768" s="48"/>
      <c r="P768" s="48"/>
      <c r="Q768" s="48"/>
      <c r="R768" s="48"/>
      <c r="S768" s="48"/>
      <c r="T768" s="48"/>
      <c r="U768" s="48"/>
      <c r="V768" s="48"/>
      <c r="W768" s="48"/>
      <c r="X768" s="48"/>
      <c r="Y768" s="48"/>
      <c r="Z768" s="48"/>
      <c r="AA768" s="48"/>
    </row>
    <row r="769" spans="2:27" ht="12.75" customHeight="1" x14ac:dyDescent="0.25">
      <c r="B769" s="48"/>
      <c r="C769" s="48"/>
      <c r="D769" s="48"/>
      <c r="E769" s="48"/>
      <c r="F769" s="48"/>
      <c r="G769" s="48"/>
      <c r="H769" s="48"/>
      <c r="I769" s="48"/>
      <c r="J769" s="48"/>
      <c r="K769" s="48"/>
      <c r="L769" s="48"/>
      <c r="M769" s="48"/>
      <c r="N769" s="48"/>
      <c r="O769" s="48"/>
      <c r="P769" s="48"/>
      <c r="Q769" s="48"/>
      <c r="R769" s="48"/>
      <c r="S769" s="48"/>
      <c r="T769" s="48"/>
      <c r="U769" s="48"/>
      <c r="V769" s="48"/>
      <c r="W769" s="48"/>
      <c r="X769" s="48"/>
      <c r="Y769" s="48"/>
      <c r="Z769" s="48"/>
      <c r="AA769" s="48"/>
    </row>
    <row r="770" spans="2:27" ht="12.75" customHeight="1" x14ac:dyDescent="0.25">
      <c r="B770" s="48"/>
      <c r="C770" s="48"/>
      <c r="D770" s="48"/>
      <c r="E770" s="48"/>
      <c r="F770" s="48"/>
      <c r="G770" s="48"/>
      <c r="H770" s="48"/>
      <c r="I770" s="48"/>
      <c r="J770" s="48"/>
      <c r="K770" s="48"/>
      <c r="L770" s="48"/>
      <c r="M770" s="48"/>
      <c r="N770" s="48"/>
      <c r="O770" s="48"/>
      <c r="P770" s="48"/>
      <c r="Q770" s="48"/>
      <c r="R770" s="48"/>
      <c r="S770" s="48"/>
      <c r="T770" s="48"/>
      <c r="U770" s="48"/>
      <c r="V770" s="48"/>
      <c r="W770" s="48"/>
      <c r="X770" s="48"/>
      <c r="Y770" s="48"/>
      <c r="Z770" s="48"/>
      <c r="AA770" s="48"/>
    </row>
    <row r="771" spans="2:27" ht="12.75" customHeight="1" x14ac:dyDescent="0.25">
      <c r="B771" s="48"/>
      <c r="C771" s="48"/>
      <c r="D771" s="48"/>
      <c r="E771" s="48"/>
      <c r="F771" s="48"/>
      <c r="G771" s="48"/>
      <c r="H771" s="48"/>
      <c r="I771" s="48"/>
      <c r="J771" s="48"/>
      <c r="K771" s="48"/>
      <c r="L771" s="48"/>
      <c r="M771" s="48"/>
      <c r="N771" s="48"/>
      <c r="O771" s="48"/>
      <c r="P771" s="48"/>
      <c r="Q771" s="48"/>
      <c r="R771" s="48"/>
      <c r="S771" s="48"/>
      <c r="T771" s="48"/>
      <c r="U771" s="48"/>
      <c r="V771" s="48"/>
      <c r="W771" s="48"/>
      <c r="X771" s="48"/>
      <c r="Y771" s="48"/>
      <c r="Z771" s="48"/>
      <c r="AA771" s="48"/>
    </row>
    <row r="772" spans="2:27" ht="12.75" customHeight="1" x14ac:dyDescent="0.25">
      <c r="B772" s="48"/>
      <c r="C772" s="48"/>
      <c r="D772" s="48"/>
      <c r="E772" s="48"/>
      <c r="F772" s="48"/>
      <c r="G772" s="48"/>
      <c r="H772" s="48"/>
      <c r="I772" s="48"/>
      <c r="J772" s="48"/>
      <c r="K772" s="48"/>
      <c r="L772" s="48"/>
      <c r="M772" s="48"/>
      <c r="N772" s="48"/>
      <c r="O772" s="48"/>
      <c r="P772" s="48"/>
      <c r="Q772" s="48"/>
      <c r="R772" s="48"/>
      <c r="S772" s="48"/>
      <c r="T772" s="48"/>
      <c r="U772" s="48"/>
      <c r="V772" s="48"/>
      <c r="W772" s="48"/>
      <c r="X772" s="48"/>
      <c r="Y772" s="48"/>
      <c r="Z772" s="48"/>
      <c r="AA772" s="48"/>
    </row>
    <row r="773" spans="2:27" ht="12.75" customHeight="1" x14ac:dyDescent="0.25">
      <c r="B773" s="48"/>
      <c r="C773" s="48"/>
      <c r="D773" s="48"/>
      <c r="E773" s="48"/>
      <c r="F773" s="48"/>
      <c r="G773" s="48"/>
      <c r="H773" s="48"/>
      <c r="I773" s="48"/>
      <c r="J773" s="48"/>
      <c r="K773" s="48"/>
      <c r="L773" s="48"/>
      <c r="M773" s="48"/>
      <c r="N773" s="48"/>
      <c r="O773" s="48"/>
      <c r="P773" s="48"/>
      <c r="Q773" s="48"/>
      <c r="R773" s="48"/>
      <c r="S773" s="48"/>
      <c r="T773" s="48"/>
      <c r="U773" s="48"/>
      <c r="V773" s="48"/>
      <c r="W773" s="48"/>
      <c r="X773" s="48"/>
      <c r="Y773" s="48"/>
      <c r="Z773" s="48"/>
      <c r="AA773" s="48"/>
    </row>
    <row r="774" spans="2:27" ht="12.75" customHeight="1" x14ac:dyDescent="0.25">
      <c r="B774" s="48"/>
      <c r="C774" s="48"/>
      <c r="D774" s="48"/>
      <c r="E774" s="48"/>
      <c r="F774" s="48"/>
      <c r="G774" s="48"/>
      <c r="H774" s="48"/>
      <c r="I774" s="48"/>
      <c r="J774" s="48"/>
      <c r="K774" s="48"/>
      <c r="L774" s="48"/>
      <c r="M774" s="48"/>
      <c r="N774" s="48"/>
      <c r="O774" s="48"/>
      <c r="P774" s="48"/>
      <c r="Q774" s="48"/>
      <c r="R774" s="48"/>
      <c r="S774" s="48"/>
      <c r="T774" s="48"/>
      <c r="U774" s="48"/>
      <c r="V774" s="48"/>
      <c r="W774" s="48"/>
      <c r="X774" s="48"/>
      <c r="Y774" s="48"/>
      <c r="Z774" s="48"/>
      <c r="AA774" s="48"/>
    </row>
    <row r="775" spans="2:27" ht="12.75" customHeight="1" x14ac:dyDescent="0.25">
      <c r="B775" s="48"/>
      <c r="C775" s="48"/>
      <c r="D775" s="48"/>
      <c r="E775" s="48"/>
      <c r="F775" s="48"/>
      <c r="G775" s="48"/>
      <c r="H775" s="48"/>
      <c r="I775" s="48"/>
      <c r="J775" s="48"/>
      <c r="K775" s="48"/>
      <c r="L775" s="48"/>
      <c r="M775" s="48"/>
      <c r="N775" s="48"/>
      <c r="O775" s="48"/>
      <c r="P775" s="48"/>
      <c r="Q775" s="48"/>
      <c r="R775" s="48"/>
      <c r="S775" s="48"/>
      <c r="T775" s="48"/>
      <c r="U775" s="48"/>
      <c r="V775" s="48"/>
      <c r="W775" s="48"/>
      <c r="X775" s="48"/>
      <c r="Y775" s="48"/>
      <c r="Z775" s="48"/>
      <c r="AA775" s="48"/>
    </row>
    <row r="776" spans="2:27" ht="12.75" customHeight="1" x14ac:dyDescent="0.25">
      <c r="B776" s="48"/>
      <c r="C776" s="48"/>
      <c r="D776" s="48"/>
      <c r="E776" s="48"/>
      <c r="F776" s="48"/>
      <c r="G776" s="48"/>
      <c r="H776" s="48"/>
      <c r="I776" s="48"/>
      <c r="J776" s="48"/>
      <c r="K776" s="48"/>
      <c r="L776" s="48"/>
      <c r="M776" s="48"/>
      <c r="N776" s="48"/>
      <c r="O776" s="48"/>
      <c r="P776" s="48"/>
      <c r="Q776" s="48"/>
      <c r="R776" s="48"/>
      <c r="S776" s="48"/>
      <c r="T776" s="48"/>
      <c r="U776" s="48"/>
      <c r="V776" s="48"/>
      <c r="W776" s="48"/>
      <c r="X776" s="48"/>
      <c r="Y776" s="48"/>
      <c r="Z776" s="48"/>
      <c r="AA776" s="48"/>
    </row>
    <row r="777" spans="2:27" ht="12.75" customHeight="1" x14ac:dyDescent="0.25">
      <c r="B777" s="48"/>
      <c r="C777" s="48"/>
      <c r="D777" s="48"/>
      <c r="E777" s="48"/>
      <c r="F777" s="48"/>
      <c r="G777" s="48"/>
      <c r="H777" s="48"/>
      <c r="I777" s="48"/>
      <c r="J777" s="48"/>
      <c r="K777" s="48"/>
      <c r="L777" s="48"/>
      <c r="M777" s="48"/>
      <c r="N777" s="48"/>
      <c r="O777" s="48"/>
      <c r="P777" s="48"/>
      <c r="Q777" s="48"/>
      <c r="R777" s="48"/>
      <c r="S777" s="48"/>
      <c r="T777" s="48"/>
      <c r="U777" s="48"/>
      <c r="V777" s="48"/>
      <c r="W777" s="48"/>
      <c r="X777" s="48"/>
      <c r="Y777" s="48"/>
      <c r="Z777" s="48"/>
      <c r="AA777" s="48"/>
    </row>
    <row r="778" spans="2:27" ht="12.75" customHeight="1" x14ac:dyDescent="0.25">
      <c r="B778" s="48"/>
      <c r="C778" s="48"/>
      <c r="D778" s="48"/>
      <c r="E778" s="48"/>
      <c r="F778" s="48"/>
      <c r="G778" s="48"/>
      <c r="H778" s="48"/>
      <c r="I778" s="48"/>
      <c r="J778" s="48"/>
      <c r="K778" s="48"/>
      <c r="L778" s="48"/>
      <c r="M778" s="48"/>
      <c r="N778" s="48"/>
      <c r="O778" s="48"/>
      <c r="P778" s="48"/>
      <c r="Q778" s="48"/>
      <c r="R778" s="48"/>
      <c r="S778" s="48"/>
      <c r="T778" s="48"/>
      <c r="U778" s="48"/>
      <c r="V778" s="48"/>
      <c r="W778" s="48"/>
      <c r="X778" s="48"/>
      <c r="Y778" s="48"/>
      <c r="Z778" s="48"/>
      <c r="AA778" s="48"/>
    </row>
    <row r="779" spans="2:27" ht="12.75" customHeight="1" x14ac:dyDescent="0.25">
      <c r="B779" s="48"/>
      <c r="C779" s="48"/>
      <c r="D779" s="48"/>
      <c r="E779" s="48"/>
      <c r="F779" s="48"/>
      <c r="G779" s="48"/>
      <c r="H779" s="48"/>
      <c r="I779" s="48"/>
      <c r="J779" s="48"/>
      <c r="K779" s="48"/>
      <c r="L779" s="48"/>
      <c r="M779" s="48"/>
      <c r="N779" s="48"/>
      <c r="O779" s="48"/>
      <c r="P779" s="48"/>
      <c r="Q779" s="48"/>
      <c r="R779" s="48"/>
      <c r="S779" s="48"/>
      <c r="T779" s="48"/>
      <c r="U779" s="48"/>
      <c r="V779" s="48"/>
      <c r="W779" s="48"/>
      <c r="X779" s="48"/>
      <c r="Y779" s="48"/>
      <c r="Z779" s="48"/>
      <c r="AA779" s="48"/>
    </row>
    <row r="780" spans="2:27" ht="12.75" customHeight="1" x14ac:dyDescent="0.25">
      <c r="B780" s="48"/>
      <c r="C780" s="48"/>
      <c r="D780" s="48"/>
      <c r="E780" s="48"/>
      <c r="F780" s="48"/>
      <c r="G780" s="48"/>
      <c r="H780" s="48"/>
      <c r="I780" s="48"/>
      <c r="J780" s="48"/>
      <c r="K780" s="48"/>
      <c r="L780" s="48"/>
      <c r="M780" s="48"/>
      <c r="N780" s="48"/>
      <c r="O780" s="48"/>
      <c r="P780" s="48"/>
      <c r="Q780" s="48"/>
      <c r="R780" s="48"/>
      <c r="S780" s="48"/>
      <c r="T780" s="48"/>
      <c r="U780" s="48"/>
      <c r="V780" s="48"/>
      <c r="W780" s="48"/>
      <c r="X780" s="48"/>
      <c r="Y780" s="48"/>
      <c r="Z780" s="48"/>
      <c r="AA780" s="48"/>
    </row>
    <row r="781" spans="2:27" ht="12.75" customHeight="1" x14ac:dyDescent="0.25">
      <c r="B781" s="48"/>
      <c r="C781" s="48"/>
      <c r="D781" s="48"/>
      <c r="E781" s="48"/>
      <c r="F781" s="48"/>
      <c r="G781" s="48"/>
      <c r="H781" s="48"/>
      <c r="I781" s="48"/>
      <c r="J781" s="48"/>
      <c r="K781" s="48"/>
      <c r="L781" s="48"/>
      <c r="M781" s="48"/>
      <c r="N781" s="48"/>
      <c r="O781" s="48"/>
      <c r="P781" s="48"/>
      <c r="Q781" s="48"/>
      <c r="R781" s="48"/>
      <c r="S781" s="48"/>
      <c r="T781" s="48"/>
      <c r="U781" s="48"/>
      <c r="V781" s="48"/>
      <c r="W781" s="48"/>
      <c r="X781" s="48"/>
      <c r="Y781" s="48"/>
      <c r="Z781" s="48"/>
      <c r="AA781" s="48"/>
    </row>
    <row r="782" spans="2:27" ht="12.75" customHeight="1" x14ac:dyDescent="0.25">
      <c r="B782" s="48"/>
      <c r="C782" s="48"/>
      <c r="D782" s="48"/>
      <c r="E782" s="48"/>
      <c r="F782" s="48"/>
      <c r="G782" s="48"/>
      <c r="H782" s="48"/>
      <c r="I782" s="48"/>
      <c r="J782" s="48"/>
      <c r="K782" s="48"/>
      <c r="L782" s="48"/>
      <c r="M782" s="48"/>
      <c r="N782" s="48"/>
      <c r="O782" s="48"/>
      <c r="P782" s="48"/>
      <c r="Q782" s="48"/>
      <c r="R782" s="48"/>
      <c r="S782" s="48"/>
      <c r="T782" s="48"/>
      <c r="U782" s="48"/>
      <c r="V782" s="48"/>
      <c r="W782" s="48"/>
      <c r="X782" s="48"/>
      <c r="Y782" s="48"/>
      <c r="Z782" s="48"/>
      <c r="AA782" s="48"/>
    </row>
    <row r="783" spans="2:27" ht="12.75" customHeight="1" x14ac:dyDescent="0.25">
      <c r="B783" s="48"/>
      <c r="C783" s="48"/>
      <c r="D783" s="48"/>
      <c r="E783" s="48"/>
      <c r="F783" s="48"/>
      <c r="G783" s="48"/>
      <c r="H783" s="48"/>
      <c r="I783" s="48"/>
      <c r="J783" s="48"/>
      <c r="K783" s="48"/>
      <c r="L783" s="48"/>
      <c r="M783" s="48"/>
      <c r="N783" s="48"/>
      <c r="O783" s="48"/>
      <c r="P783" s="48"/>
      <c r="Q783" s="48"/>
      <c r="R783" s="48"/>
      <c r="S783" s="48"/>
      <c r="T783" s="48"/>
      <c r="U783" s="48"/>
      <c r="V783" s="48"/>
      <c r="W783" s="48"/>
      <c r="X783" s="48"/>
      <c r="Y783" s="48"/>
      <c r="Z783" s="48"/>
      <c r="AA783" s="48"/>
    </row>
    <row r="784" spans="2:27" ht="12.75" customHeight="1" x14ac:dyDescent="0.25">
      <c r="B784" s="48"/>
      <c r="C784" s="48"/>
      <c r="D784" s="48"/>
      <c r="E784" s="48"/>
      <c r="F784" s="48"/>
      <c r="G784" s="48"/>
      <c r="H784" s="48"/>
      <c r="I784" s="48"/>
      <c r="J784" s="48"/>
      <c r="K784" s="48"/>
      <c r="L784" s="48"/>
      <c r="M784" s="48"/>
      <c r="N784" s="48"/>
      <c r="O784" s="48"/>
      <c r="P784" s="48"/>
      <c r="Q784" s="48"/>
      <c r="R784" s="48"/>
      <c r="S784" s="48"/>
      <c r="T784" s="48"/>
      <c r="U784" s="48"/>
      <c r="V784" s="48"/>
      <c r="W784" s="48"/>
      <c r="X784" s="48"/>
      <c r="Y784" s="48"/>
      <c r="Z784" s="48"/>
      <c r="AA784" s="48"/>
    </row>
    <row r="785" spans="2:27" ht="12.75" customHeight="1" x14ac:dyDescent="0.25">
      <c r="B785" s="48"/>
      <c r="C785" s="48"/>
      <c r="D785" s="48"/>
      <c r="E785" s="48"/>
      <c r="F785" s="48"/>
      <c r="G785" s="48"/>
      <c r="H785" s="48"/>
      <c r="I785" s="48"/>
      <c r="J785" s="48"/>
      <c r="K785" s="48"/>
      <c r="L785" s="48"/>
      <c r="M785" s="48"/>
      <c r="N785" s="48"/>
      <c r="O785" s="48"/>
      <c r="P785" s="48"/>
      <c r="Q785" s="48"/>
      <c r="R785" s="48"/>
      <c r="S785" s="48"/>
      <c r="T785" s="48"/>
      <c r="U785" s="48"/>
      <c r="V785" s="48"/>
      <c r="W785" s="48"/>
      <c r="X785" s="48"/>
      <c r="Y785" s="48"/>
      <c r="Z785" s="48"/>
      <c r="AA785" s="48"/>
    </row>
    <row r="786" spans="2:27" ht="12.75" customHeight="1" x14ac:dyDescent="0.25">
      <c r="B786" s="48"/>
      <c r="C786" s="48"/>
      <c r="D786" s="48"/>
      <c r="E786" s="48"/>
      <c r="F786" s="48"/>
      <c r="G786" s="48"/>
      <c r="H786" s="48"/>
      <c r="I786" s="48"/>
      <c r="J786" s="48"/>
      <c r="K786" s="48"/>
      <c r="L786" s="48"/>
      <c r="M786" s="48"/>
      <c r="N786" s="48"/>
      <c r="O786" s="48"/>
      <c r="P786" s="48"/>
      <c r="Q786" s="48"/>
      <c r="R786" s="48"/>
      <c r="S786" s="48"/>
      <c r="T786" s="48"/>
      <c r="U786" s="48"/>
      <c r="V786" s="48"/>
      <c r="W786" s="48"/>
      <c r="X786" s="48"/>
      <c r="Y786" s="48"/>
      <c r="Z786" s="48"/>
      <c r="AA786" s="48"/>
    </row>
    <row r="787" spans="2:27" ht="12.75" customHeight="1" x14ac:dyDescent="0.25">
      <c r="B787" s="48"/>
      <c r="C787" s="48"/>
      <c r="D787" s="48"/>
      <c r="E787" s="48"/>
      <c r="F787" s="48"/>
      <c r="G787" s="48"/>
      <c r="H787" s="48"/>
      <c r="I787" s="48"/>
      <c r="J787" s="48"/>
      <c r="K787" s="48"/>
      <c r="L787" s="48"/>
      <c r="M787" s="48"/>
      <c r="N787" s="48"/>
      <c r="O787" s="48"/>
      <c r="P787" s="48"/>
      <c r="Q787" s="48"/>
      <c r="R787" s="48"/>
      <c r="S787" s="48"/>
      <c r="T787" s="48"/>
      <c r="U787" s="48"/>
      <c r="V787" s="48"/>
      <c r="W787" s="48"/>
      <c r="X787" s="48"/>
      <c r="Y787" s="48"/>
      <c r="Z787" s="48"/>
      <c r="AA787" s="48"/>
    </row>
    <row r="788" spans="2:27" ht="12.75" customHeight="1" x14ac:dyDescent="0.25">
      <c r="B788" s="48"/>
      <c r="C788" s="48"/>
      <c r="D788" s="48"/>
      <c r="E788" s="48"/>
      <c r="F788" s="48"/>
      <c r="G788" s="48"/>
      <c r="H788" s="48"/>
      <c r="I788" s="48"/>
      <c r="J788" s="48"/>
      <c r="K788" s="48"/>
      <c r="L788" s="48"/>
      <c r="M788" s="48"/>
      <c r="N788" s="48"/>
      <c r="O788" s="48"/>
      <c r="P788" s="48"/>
      <c r="Q788" s="48"/>
      <c r="R788" s="48"/>
      <c r="S788" s="48"/>
      <c r="T788" s="48"/>
      <c r="U788" s="48"/>
      <c r="V788" s="48"/>
      <c r="W788" s="48"/>
      <c r="X788" s="48"/>
      <c r="Y788" s="48"/>
      <c r="Z788" s="48"/>
      <c r="AA788" s="48"/>
    </row>
    <row r="789" spans="2:27" ht="12.75" customHeight="1" x14ac:dyDescent="0.25">
      <c r="B789" s="48"/>
      <c r="C789" s="48"/>
      <c r="D789" s="48"/>
      <c r="E789" s="48"/>
      <c r="F789" s="48"/>
      <c r="G789" s="48"/>
      <c r="H789" s="48"/>
      <c r="I789" s="48"/>
      <c r="J789" s="48"/>
      <c r="K789" s="48"/>
      <c r="L789" s="48"/>
      <c r="M789" s="48"/>
      <c r="N789" s="48"/>
      <c r="O789" s="48"/>
      <c r="P789" s="48"/>
      <c r="Q789" s="48"/>
      <c r="R789" s="48"/>
      <c r="S789" s="48"/>
      <c r="T789" s="48"/>
      <c r="U789" s="48"/>
      <c r="V789" s="48"/>
      <c r="W789" s="48"/>
      <c r="X789" s="48"/>
      <c r="Y789" s="48"/>
      <c r="Z789" s="48"/>
      <c r="AA789" s="48"/>
    </row>
    <row r="790" spans="2:27" ht="12.75" customHeight="1" x14ac:dyDescent="0.25">
      <c r="B790" s="48"/>
      <c r="C790" s="48"/>
      <c r="D790" s="48"/>
      <c r="E790" s="48"/>
      <c r="F790" s="48"/>
      <c r="G790" s="48"/>
      <c r="H790" s="48"/>
      <c r="I790" s="48"/>
      <c r="J790" s="48"/>
      <c r="K790" s="48"/>
      <c r="L790" s="48"/>
      <c r="M790" s="48"/>
      <c r="N790" s="48"/>
      <c r="O790" s="48"/>
      <c r="P790" s="48"/>
      <c r="Q790" s="48"/>
      <c r="R790" s="48"/>
      <c r="S790" s="48"/>
      <c r="T790" s="48"/>
      <c r="U790" s="48"/>
      <c r="V790" s="48"/>
      <c r="W790" s="48"/>
      <c r="X790" s="48"/>
      <c r="Y790" s="48"/>
      <c r="Z790" s="48"/>
      <c r="AA790" s="48"/>
    </row>
    <row r="791" spans="2:27" ht="12.75" customHeight="1" x14ac:dyDescent="0.25">
      <c r="B791" s="48"/>
      <c r="C791" s="48"/>
      <c r="D791" s="48"/>
      <c r="E791" s="48"/>
      <c r="F791" s="48"/>
      <c r="G791" s="48"/>
      <c r="H791" s="48"/>
      <c r="I791" s="48"/>
      <c r="J791" s="48"/>
      <c r="K791" s="48"/>
      <c r="L791" s="48"/>
      <c r="M791" s="48"/>
      <c r="N791" s="48"/>
      <c r="O791" s="48"/>
      <c r="P791" s="48"/>
      <c r="Q791" s="48"/>
      <c r="R791" s="48"/>
      <c r="S791" s="48"/>
      <c r="T791" s="48"/>
      <c r="U791" s="48"/>
      <c r="V791" s="48"/>
      <c r="W791" s="48"/>
      <c r="X791" s="48"/>
      <c r="Y791" s="48"/>
      <c r="Z791" s="48"/>
      <c r="AA791" s="48"/>
    </row>
    <row r="792" spans="2:27" ht="12.75" customHeight="1" x14ac:dyDescent="0.25">
      <c r="B792" s="48"/>
      <c r="C792" s="48"/>
      <c r="D792" s="48"/>
      <c r="E792" s="48"/>
      <c r="F792" s="48"/>
      <c r="G792" s="48"/>
      <c r="H792" s="48"/>
      <c r="I792" s="48"/>
      <c r="J792" s="48"/>
      <c r="K792" s="48"/>
      <c r="L792" s="48"/>
      <c r="M792" s="48"/>
      <c r="N792" s="48"/>
      <c r="O792" s="48"/>
      <c r="P792" s="48"/>
      <c r="Q792" s="48"/>
      <c r="R792" s="48"/>
      <c r="S792" s="48"/>
      <c r="T792" s="48"/>
      <c r="U792" s="48"/>
      <c r="V792" s="48"/>
      <c r="W792" s="48"/>
      <c r="X792" s="48"/>
      <c r="Y792" s="48"/>
      <c r="Z792" s="48"/>
      <c r="AA792" s="48"/>
    </row>
    <row r="793" spans="2:27" ht="12.75" customHeight="1" x14ac:dyDescent="0.25">
      <c r="B793" s="48"/>
      <c r="C793" s="48"/>
      <c r="D793" s="48"/>
      <c r="E793" s="48"/>
      <c r="F793" s="48"/>
      <c r="G793" s="48"/>
      <c r="H793" s="48"/>
      <c r="I793" s="48"/>
      <c r="J793" s="48"/>
      <c r="K793" s="48"/>
      <c r="L793" s="48"/>
      <c r="M793" s="48"/>
      <c r="N793" s="48"/>
      <c r="O793" s="48"/>
      <c r="P793" s="48"/>
      <c r="Q793" s="48"/>
      <c r="R793" s="48"/>
      <c r="S793" s="48"/>
      <c r="T793" s="48"/>
      <c r="U793" s="48"/>
      <c r="V793" s="48"/>
      <c r="W793" s="48"/>
      <c r="X793" s="48"/>
      <c r="Y793" s="48"/>
      <c r="Z793" s="48"/>
      <c r="AA793" s="48"/>
    </row>
    <row r="794" spans="2:27" ht="12.75" customHeight="1" x14ac:dyDescent="0.25">
      <c r="B794" s="48"/>
      <c r="C794" s="48"/>
      <c r="D794" s="48"/>
      <c r="E794" s="48"/>
      <c r="F794" s="48"/>
      <c r="G794" s="48"/>
      <c r="H794" s="48"/>
      <c r="I794" s="48"/>
      <c r="J794" s="48"/>
      <c r="K794" s="48"/>
      <c r="L794" s="48"/>
      <c r="M794" s="48"/>
      <c r="N794" s="48"/>
      <c r="O794" s="48"/>
      <c r="P794" s="48"/>
      <c r="Q794" s="48"/>
      <c r="R794" s="48"/>
      <c r="S794" s="48"/>
      <c r="T794" s="48"/>
      <c r="U794" s="48"/>
      <c r="V794" s="48"/>
      <c r="W794" s="48"/>
      <c r="X794" s="48"/>
      <c r="Y794" s="48"/>
      <c r="Z794" s="48"/>
      <c r="AA794" s="48"/>
    </row>
    <row r="795" spans="2:27" ht="12.75" customHeight="1" x14ac:dyDescent="0.25">
      <c r="B795" s="48"/>
      <c r="C795" s="48"/>
      <c r="D795" s="48"/>
      <c r="E795" s="48"/>
      <c r="F795" s="48"/>
      <c r="G795" s="48"/>
      <c r="H795" s="48"/>
      <c r="I795" s="48"/>
      <c r="J795" s="48"/>
      <c r="K795" s="48"/>
      <c r="L795" s="48"/>
      <c r="M795" s="48"/>
      <c r="N795" s="48"/>
      <c r="O795" s="48"/>
      <c r="P795" s="48"/>
      <c r="Q795" s="48"/>
      <c r="R795" s="48"/>
      <c r="S795" s="48"/>
      <c r="T795" s="48"/>
      <c r="U795" s="48"/>
      <c r="V795" s="48"/>
      <c r="W795" s="48"/>
      <c r="X795" s="48"/>
      <c r="Y795" s="48"/>
      <c r="Z795" s="48"/>
      <c r="AA795" s="48"/>
    </row>
    <row r="796" spans="2:27" ht="12.75" customHeight="1" x14ac:dyDescent="0.25">
      <c r="B796" s="48"/>
      <c r="C796" s="48"/>
      <c r="D796" s="48"/>
      <c r="E796" s="48"/>
      <c r="F796" s="48"/>
      <c r="G796" s="48"/>
      <c r="H796" s="48"/>
      <c r="I796" s="48"/>
      <c r="J796" s="48"/>
      <c r="K796" s="48"/>
      <c r="L796" s="48"/>
      <c r="M796" s="48"/>
      <c r="N796" s="48"/>
      <c r="O796" s="48"/>
      <c r="P796" s="48"/>
      <c r="Q796" s="48"/>
      <c r="R796" s="48"/>
      <c r="S796" s="48"/>
      <c r="T796" s="48"/>
      <c r="U796" s="48"/>
      <c r="V796" s="48"/>
      <c r="W796" s="48"/>
      <c r="X796" s="48"/>
      <c r="Y796" s="48"/>
      <c r="Z796" s="48"/>
      <c r="AA796" s="48"/>
    </row>
    <row r="797" spans="2:27" ht="12.75" customHeight="1" x14ac:dyDescent="0.25">
      <c r="B797" s="48"/>
      <c r="C797" s="48"/>
      <c r="D797" s="48"/>
      <c r="E797" s="48"/>
      <c r="F797" s="48"/>
      <c r="G797" s="48"/>
      <c r="H797" s="48"/>
      <c r="I797" s="48"/>
      <c r="J797" s="48"/>
      <c r="K797" s="48"/>
      <c r="L797" s="48"/>
      <c r="M797" s="48"/>
      <c r="N797" s="48"/>
      <c r="O797" s="48"/>
      <c r="P797" s="48"/>
      <c r="Q797" s="48"/>
      <c r="R797" s="48"/>
      <c r="S797" s="48"/>
      <c r="T797" s="48"/>
      <c r="U797" s="48"/>
      <c r="V797" s="48"/>
      <c r="W797" s="48"/>
      <c r="X797" s="48"/>
      <c r="Y797" s="48"/>
      <c r="Z797" s="48"/>
      <c r="AA797" s="48"/>
    </row>
    <row r="798" spans="2:27" ht="12.75" customHeight="1" x14ac:dyDescent="0.25">
      <c r="B798" s="48"/>
      <c r="C798" s="48"/>
      <c r="D798" s="48"/>
      <c r="E798" s="48"/>
      <c r="F798" s="48"/>
      <c r="G798" s="48"/>
      <c r="H798" s="48"/>
      <c r="I798" s="48"/>
      <c r="J798" s="48"/>
      <c r="K798" s="48"/>
      <c r="L798" s="48"/>
      <c r="M798" s="48"/>
      <c r="N798" s="48"/>
      <c r="O798" s="48"/>
      <c r="P798" s="48"/>
      <c r="Q798" s="48"/>
      <c r="R798" s="48"/>
      <c r="S798" s="48"/>
      <c r="T798" s="48"/>
      <c r="U798" s="48"/>
      <c r="V798" s="48"/>
      <c r="W798" s="48"/>
      <c r="X798" s="48"/>
      <c r="Y798" s="48"/>
      <c r="Z798" s="48"/>
      <c r="AA798" s="48"/>
    </row>
    <row r="799" spans="2:27" ht="12.75" customHeight="1" x14ac:dyDescent="0.25">
      <c r="B799" s="48"/>
      <c r="C799" s="48"/>
      <c r="D799" s="48"/>
      <c r="E799" s="48"/>
      <c r="F799" s="48"/>
      <c r="G799" s="48"/>
      <c r="H799" s="48"/>
      <c r="I799" s="48"/>
      <c r="J799" s="48"/>
      <c r="K799" s="48"/>
      <c r="L799" s="48"/>
      <c r="M799" s="48"/>
      <c r="N799" s="48"/>
      <c r="O799" s="48"/>
      <c r="P799" s="48"/>
      <c r="Q799" s="48"/>
      <c r="R799" s="48"/>
      <c r="S799" s="48"/>
      <c r="T799" s="48"/>
      <c r="U799" s="48"/>
      <c r="V799" s="48"/>
      <c r="W799" s="48"/>
      <c r="X799" s="48"/>
      <c r="Y799" s="48"/>
      <c r="Z799" s="48"/>
      <c r="AA799" s="48"/>
    </row>
    <row r="800" spans="2:27" ht="12.75" customHeight="1" x14ac:dyDescent="0.25">
      <c r="B800" s="48"/>
      <c r="C800" s="48"/>
      <c r="D800" s="48"/>
      <c r="E800" s="48"/>
      <c r="F800" s="48"/>
      <c r="G800" s="48"/>
      <c r="H800" s="48"/>
      <c r="I800" s="48"/>
      <c r="J800" s="48"/>
      <c r="K800" s="48"/>
      <c r="L800" s="48"/>
      <c r="M800" s="48"/>
      <c r="N800" s="48"/>
      <c r="O800" s="48"/>
      <c r="P800" s="48"/>
      <c r="Q800" s="48"/>
      <c r="R800" s="48"/>
      <c r="S800" s="48"/>
      <c r="T800" s="48"/>
      <c r="U800" s="48"/>
      <c r="V800" s="48"/>
      <c r="W800" s="48"/>
      <c r="X800" s="48"/>
      <c r="Y800" s="48"/>
      <c r="Z800" s="48"/>
      <c r="AA800" s="48"/>
    </row>
    <row r="801" spans="2:27" ht="12.75" customHeight="1" x14ac:dyDescent="0.25">
      <c r="B801" s="48"/>
      <c r="C801" s="48"/>
      <c r="D801" s="48"/>
      <c r="E801" s="48"/>
      <c r="F801" s="48"/>
      <c r="G801" s="48"/>
      <c r="H801" s="48"/>
      <c r="I801" s="48"/>
      <c r="J801" s="48"/>
      <c r="K801" s="48"/>
      <c r="L801" s="48"/>
      <c r="M801" s="48"/>
      <c r="N801" s="48"/>
      <c r="O801" s="48"/>
      <c r="P801" s="48"/>
      <c r="Q801" s="48"/>
      <c r="R801" s="48"/>
      <c r="S801" s="48"/>
      <c r="T801" s="48"/>
      <c r="U801" s="48"/>
      <c r="V801" s="48"/>
      <c r="W801" s="48"/>
      <c r="X801" s="48"/>
      <c r="Y801" s="48"/>
      <c r="Z801" s="48"/>
      <c r="AA801" s="48"/>
    </row>
    <row r="802" spans="2:27" ht="12.75" customHeight="1" x14ac:dyDescent="0.25">
      <c r="B802" s="48"/>
      <c r="C802" s="48"/>
      <c r="D802" s="48"/>
      <c r="E802" s="48"/>
      <c r="F802" s="48"/>
      <c r="G802" s="48"/>
      <c r="H802" s="48"/>
      <c r="I802" s="48"/>
      <c r="J802" s="48"/>
      <c r="K802" s="48"/>
      <c r="L802" s="48"/>
      <c r="M802" s="48"/>
      <c r="N802" s="48"/>
      <c r="O802" s="48"/>
      <c r="P802" s="48"/>
      <c r="Q802" s="48"/>
      <c r="R802" s="48"/>
      <c r="S802" s="48"/>
      <c r="T802" s="48"/>
      <c r="U802" s="48"/>
      <c r="V802" s="48"/>
      <c r="W802" s="48"/>
      <c r="X802" s="48"/>
      <c r="Y802" s="48"/>
      <c r="Z802" s="48"/>
      <c r="AA802" s="48"/>
    </row>
    <row r="803" spans="2:27" ht="12.75" customHeight="1" x14ac:dyDescent="0.25">
      <c r="B803" s="48"/>
      <c r="C803" s="48"/>
      <c r="D803" s="48"/>
      <c r="E803" s="48"/>
      <c r="F803" s="48"/>
      <c r="G803" s="48"/>
      <c r="H803" s="48"/>
      <c r="I803" s="48"/>
      <c r="J803" s="48"/>
      <c r="K803" s="48"/>
      <c r="L803" s="48"/>
      <c r="M803" s="48"/>
      <c r="N803" s="48"/>
      <c r="O803" s="48"/>
      <c r="P803" s="48"/>
      <c r="Q803" s="48"/>
      <c r="R803" s="48"/>
      <c r="S803" s="48"/>
      <c r="T803" s="48"/>
      <c r="U803" s="48"/>
      <c r="V803" s="48"/>
      <c r="W803" s="48"/>
      <c r="X803" s="48"/>
      <c r="Y803" s="48"/>
      <c r="Z803" s="48"/>
      <c r="AA803" s="48"/>
    </row>
    <row r="804" spans="2:27" ht="12.75" customHeight="1" x14ac:dyDescent="0.25">
      <c r="B804" s="48"/>
      <c r="C804" s="48"/>
      <c r="D804" s="48"/>
      <c r="E804" s="48"/>
      <c r="F804" s="48"/>
      <c r="G804" s="48"/>
      <c r="H804" s="48"/>
      <c r="I804" s="48"/>
      <c r="J804" s="48"/>
      <c r="K804" s="48"/>
      <c r="L804" s="48"/>
      <c r="M804" s="48"/>
      <c r="N804" s="48"/>
      <c r="O804" s="48"/>
      <c r="P804" s="48"/>
      <c r="Q804" s="48"/>
      <c r="R804" s="48"/>
      <c r="S804" s="48"/>
      <c r="T804" s="48"/>
      <c r="U804" s="48"/>
      <c r="V804" s="48"/>
      <c r="W804" s="48"/>
      <c r="X804" s="48"/>
      <c r="Y804" s="48"/>
      <c r="Z804" s="48"/>
      <c r="AA804" s="48"/>
    </row>
    <row r="805" spans="2:27" ht="12.75" customHeight="1" x14ac:dyDescent="0.25">
      <c r="B805" s="48"/>
      <c r="C805" s="48"/>
      <c r="D805" s="48"/>
      <c r="E805" s="48"/>
      <c r="F805" s="48"/>
      <c r="G805" s="48"/>
      <c r="H805" s="48"/>
      <c r="I805" s="48"/>
      <c r="J805" s="48"/>
      <c r="K805" s="48"/>
      <c r="L805" s="48"/>
      <c r="M805" s="48"/>
      <c r="N805" s="48"/>
      <c r="O805" s="48"/>
      <c r="P805" s="48"/>
      <c r="Q805" s="48"/>
      <c r="R805" s="48"/>
      <c r="S805" s="48"/>
      <c r="T805" s="48"/>
      <c r="U805" s="48"/>
      <c r="V805" s="48"/>
      <c r="W805" s="48"/>
      <c r="X805" s="48"/>
      <c r="Y805" s="48"/>
      <c r="Z805" s="48"/>
      <c r="AA805" s="48"/>
    </row>
    <row r="806" spans="2:27" ht="12.75" customHeight="1" x14ac:dyDescent="0.25">
      <c r="B806" s="48"/>
      <c r="C806" s="48"/>
      <c r="D806" s="48"/>
      <c r="E806" s="48"/>
      <c r="F806" s="48"/>
      <c r="G806" s="48"/>
      <c r="H806" s="48"/>
      <c r="I806" s="48"/>
      <c r="J806" s="48"/>
      <c r="K806" s="48"/>
      <c r="L806" s="48"/>
      <c r="M806" s="48"/>
      <c r="N806" s="48"/>
      <c r="O806" s="48"/>
      <c r="P806" s="48"/>
      <c r="Q806" s="48"/>
      <c r="R806" s="48"/>
      <c r="S806" s="48"/>
      <c r="T806" s="48"/>
      <c r="U806" s="48"/>
      <c r="V806" s="48"/>
      <c r="W806" s="48"/>
      <c r="X806" s="48"/>
      <c r="Y806" s="48"/>
      <c r="Z806" s="48"/>
      <c r="AA806" s="48"/>
    </row>
    <row r="807" spans="2:27" ht="12.75" customHeight="1" x14ac:dyDescent="0.25">
      <c r="B807" s="48"/>
      <c r="C807" s="48"/>
      <c r="D807" s="48"/>
      <c r="E807" s="48"/>
      <c r="F807" s="48"/>
      <c r="G807" s="48"/>
      <c r="H807" s="48"/>
      <c r="I807" s="48"/>
      <c r="J807" s="48"/>
      <c r="K807" s="48"/>
      <c r="L807" s="48"/>
      <c r="M807" s="48"/>
      <c r="N807" s="48"/>
      <c r="O807" s="48"/>
      <c r="P807" s="48"/>
      <c r="Q807" s="48"/>
      <c r="R807" s="48"/>
      <c r="S807" s="48"/>
      <c r="T807" s="48"/>
      <c r="U807" s="48"/>
      <c r="V807" s="48"/>
      <c r="W807" s="48"/>
      <c r="X807" s="48"/>
      <c r="Y807" s="48"/>
      <c r="Z807" s="48"/>
      <c r="AA807" s="48"/>
    </row>
    <row r="808" spans="2:27" ht="12.75" customHeight="1" x14ac:dyDescent="0.25">
      <c r="B808" s="48"/>
      <c r="C808" s="48"/>
      <c r="D808" s="48"/>
      <c r="E808" s="48"/>
      <c r="F808" s="48"/>
      <c r="G808" s="48"/>
      <c r="H808" s="48"/>
      <c r="I808" s="48"/>
      <c r="J808" s="48"/>
      <c r="K808" s="48"/>
      <c r="L808" s="48"/>
      <c r="M808" s="48"/>
      <c r="N808" s="48"/>
      <c r="O808" s="48"/>
      <c r="P808" s="48"/>
      <c r="Q808" s="48"/>
      <c r="R808" s="48"/>
      <c r="S808" s="48"/>
      <c r="T808" s="48"/>
      <c r="U808" s="48"/>
      <c r="V808" s="48"/>
      <c r="W808" s="48"/>
      <c r="X808" s="48"/>
      <c r="Y808" s="48"/>
      <c r="Z808" s="48"/>
      <c r="AA808" s="48"/>
    </row>
    <row r="809" spans="2:27" ht="12.75" customHeight="1" x14ac:dyDescent="0.25">
      <c r="B809" s="48"/>
      <c r="C809" s="48"/>
      <c r="D809" s="48"/>
      <c r="E809" s="48"/>
      <c r="F809" s="48"/>
      <c r="G809" s="48"/>
      <c r="H809" s="48"/>
      <c r="I809" s="48"/>
      <c r="J809" s="48"/>
      <c r="K809" s="48"/>
      <c r="L809" s="48"/>
      <c r="M809" s="48"/>
      <c r="N809" s="48"/>
      <c r="O809" s="48"/>
      <c r="P809" s="48"/>
      <c r="Q809" s="48"/>
      <c r="R809" s="48"/>
      <c r="S809" s="48"/>
      <c r="T809" s="48"/>
      <c r="U809" s="48"/>
      <c r="V809" s="48"/>
      <c r="W809" s="48"/>
      <c r="X809" s="48"/>
      <c r="Y809" s="48"/>
      <c r="Z809" s="48"/>
      <c r="AA809" s="48"/>
    </row>
    <row r="810" spans="2:27" ht="12.75" customHeight="1" x14ac:dyDescent="0.25">
      <c r="B810" s="48"/>
      <c r="C810" s="48"/>
      <c r="D810" s="48"/>
      <c r="E810" s="48"/>
      <c r="F810" s="48"/>
      <c r="G810" s="48"/>
      <c r="H810" s="48"/>
      <c r="I810" s="48"/>
      <c r="J810" s="48"/>
      <c r="K810" s="48"/>
      <c r="L810" s="48"/>
      <c r="M810" s="48"/>
      <c r="N810" s="48"/>
      <c r="O810" s="48"/>
      <c r="P810" s="48"/>
      <c r="Q810" s="48"/>
      <c r="R810" s="48"/>
      <c r="S810" s="48"/>
      <c r="T810" s="48"/>
      <c r="U810" s="48"/>
      <c r="V810" s="48"/>
      <c r="W810" s="48"/>
      <c r="X810" s="48"/>
      <c r="Y810" s="48"/>
      <c r="Z810" s="48"/>
      <c r="AA810" s="48"/>
    </row>
    <row r="811" spans="2:27" ht="12.75" customHeight="1" x14ac:dyDescent="0.25">
      <c r="B811" s="48"/>
      <c r="C811" s="48"/>
      <c r="D811" s="48"/>
      <c r="E811" s="48"/>
      <c r="F811" s="48"/>
      <c r="G811" s="48"/>
      <c r="H811" s="48"/>
      <c r="I811" s="48"/>
      <c r="J811" s="48"/>
      <c r="K811" s="48"/>
      <c r="L811" s="48"/>
      <c r="M811" s="48"/>
      <c r="N811" s="48"/>
      <c r="O811" s="48"/>
      <c r="P811" s="48"/>
      <c r="Q811" s="48"/>
      <c r="R811" s="48"/>
      <c r="S811" s="48"/>
      <c r="T811" s="48"/>
      <c r="U811" s="48"/>
      <c r="V811" s="48"/>
      <c r="W811" s="48"/>
      <c r="X811" s="48"/>
      <c r="Y811" s="48"/>
      <c r="Z811" s="48"/>
      <c r="AA811" s="48"/>
    </row>
    <row r="812" spans="2:27" ht="12.75" customHeight="1" x14ac:dyDescent="0.25">
      <c r="B812" s="48"/>
      <c r="C812" s="48"/>
      <c r="D812" s="48"/>
      <c r="E812" s="48"/>
      <c r="F812" s="48"/>
      <c r="G812" s="48"/>
      <c r="H812" s="48"/>
      <c r="I812" s="48"/>
      <c r="J812" s="48"/>
      <c r="K812" s="48"/>
      <c r="L812" s="48"/>
      <c r="M812" s="48"/>
      <c r="N812" s="48"/>
      <c r="O812" s="48"/>
      <c r="P812" s="48"/>
      <c r="Q812" s="48"/>
      <c r="R812" s="48"/>
      <c r="S812" s="48"/>
      <c r="T812" s="48"/>
      <c r="U812" s="48"/>
      <c r="V812" s="48"/>
      <c r="W812" s="48"/>
      <c r="X812" s="48"/>
      <c r="Y812" s="48"/>
      <c r="Z812" s="48"/>
      <c r="AA812" s="48"/>
    </row>
    <row r="813" spans="2:27" ht="12.75" customHeight="1" x14ac:dyDescent="0.25">
      <c r="B813" s="48"/>
      <c r="C813" s="48"/>
      <c r="D813" s="48"/>
      <c r="E813" s="48"/>
      <c r="F813" s="48"/>
      <c r="G813" s="48"/>
      <c r="H813" s="48"/>
      <c r="I813" s="48"/>
      <c r="J813" s="48"/>
      <c r="K813" s="48"/>
      <c r="L813" s="48"/>
      <c r="M813" s="48"/>
      <c r="N813" s="48"/>
      <c r="O813" s="48"/>
      <c r="P813" s="48"/>
      <c r="Q813" s="48"/>
      <c r="R813" s="48"/>
      <c r="S813" s="48"/>
      <c r="T813" s="48"/>
      <c r="U813" s="48"/>
      <c r="V813" s="48"/>
      <c r="W813" s="48"/>
      <c r="X813" s="48"/>
      <c r="Y813" s="48"/>
      <c r="Z813" s="48"/>
      <c r="AA813" s="48"/>
    </row>
    <row r="814" spans="2:27" ht="12.75" customHeight="1" x14ac:dyDescent="0.25">
      <c r="B814" s="48"/>
      <c r="C814" s="48"/>
      <c r="D814" s="48"/>
      <c r="E814" s="48"/>
      <c r="F814" s="48"/>
      <c r="G814" s="48"/>
      <c r="H814" s="48"/>
      <c r="I814" s="48"/>
      <c r="J814" s="48"/>
      <c r="K814" s="48"/>
      <c r="L814" s="48"/>
      <c r="M814" s="48"/>
      <c r="N814" s="48"/>
      <c r="O814" s="48"/>
      <c r="P814" s="48"/>
      <c r="Q814" s="48"/>
      <c r="R814" s="48"/>
      <c r="S814" s="48"/>
      <c r="T814" s="48"/>
      <c r="U814" s="48"/>
      <c r="V814" s="48"/>
      <c r="W814" s="48"/>
      <c r="X814" s="48"/>
      <c r="Y814" s="48"/>
      <c r="Z814" s="48"/>
      <c r="AA814" s="48"/>
    </row>
    <row r="815" spans="2:27" ht="12.75" customHeight="1" x14ac:dyDescent="0.25">
      <c r="B815" s="48"/>
      <c r="C815" s="48"/>
      <c r="D815" s="48"/>
      <c r="E815" s="48"/>
      <c r="F815" s="48"/>
      <c r="G815" s="48"/>
      <c r="H815" s="48"/>
      <c r="I815" s="48"/>
      <c r="J815" s="48"/>
      <c r="K815" s="48"/>
      <c r="L815" s="48"/>
      <c r="M815" s="48"/>
      <c r="N815" s="48"/>
      <c r="O815" s="48"/>
      <c r="P815" s="48"/>
      <c r="Q815" s="48"/>
      <c r="R815" s="48"/>
      <c r="S815" s="48"/>
      <c r="T815" s="48"/>
      <c r="U815" s="48"/>
      <c r="V815" s="48"/>
      <c r="W815" s="48"/>
      <c r="X815" s="48"/>
      <c r="Y815" s="48"/>
      <c r="Z815" s="48"/>
      <c r="AA815" s="48"/>
    </row>
    <row r="816" spans="2:27" ht="12.75" customHeight="1" x14ac:dyDescent="0.25">
      <c r="B816" s="48"/>
      <c r="C816" s="48"/>
      <c r="D816" s="48"/>
      <c r="E816" s="48"/>
      <c r="F816" s="48"/>
      <c r="G816" s="48"/>
      <c r="H816" s="48"/>
      <c r="I816" s="48"/>
      <c r="J816" s="48"/>
      <c r="K816" s="48"/>
      <c r="L816" s="48"/>
      <c r="M816" s="48"/>
      <c r="N816" s="48"/>
      <c r="O816" s="48"/>
      <c r="P816" s="48"/>
      <c r="Q816" s="48"/>
      <c r="R816" s="48"/>
      <c r="S816" s="48"/>
      <c r="T816" s="48"/>
      <c r="U816" s="48"/>
      <c r="V816" s="48"/>
      <c r="W816" s="48"/>
      <c r="X816" s="48"/>
      <c r="Y816" s="48"/>
      <c r="Z816" s="48"/>
      <c r="AA816" s="48"/>
    </row>
    <row r="817" spans="2:27" ht="12.75" customHeight="1" x14ac:dyDescent="0.25">
      <c r="B817" s="48"/>
      <c r="C817" s="48"/>
      <c r="D817" s="48"/>
      <c r="E817" s="48"/>
      <c r="F817" s="48"/>
      <c r="G817" s="48"/>
      <c r="H817" s="48"/>
      <c r="I817" s="48"/>
      <c r="J817" s="48"/>
      <c r="K817" s="48"/>
      <c r="L817" s="48"/>
      <c r="M817" s="48"/>
      <c r="N817" s="48"/>
      <c r="O817" s="48"/>
      <c r="P817" s="48"/>
      <c r="Q817" s="48"/>
      <c r="R817" s="48"/>
      <c r="S817" s="48"/>
      <c r="T817" s="48"/>
      <c r="U817" s="48"/>
      <c r="V817" s="48"/>
      <c r="W817" s="48"/>
      <c r="X817" s="48"/>
      <c r="Y817" s="48"/>
      <c r="Z817" s="48"/>
      <c r="AA817" s="48"/>
    </row>
    <row r="818" spans="2:27" ht="12.75" customHeight="1" x14ac:dyDescent="0.25">
      <c r="B818" s="48"/>
      <c r="C818" s="48"/>
      <c r="D818" s="48"/>
      <c r="E818" s="48"/>
      <c r="F818" s="48"/>
      <c r="G818" s="48"/>
      <c r="H818" s="48"/>
      <c r="I818" s="48"/>
      <c r="J818" s="48"/>
      <c r="K818" s="48"/>
      <c r="L818" s="48"/>
      <c r="M818" s="48"/>
      <c r="N818" s="48"/>
      <c r="O818" s="48"/>
      <c r="P818" s="48"/>
      <c r="Q818" s="48"/>
      <c r="R818" s="48"/>
      <c r="S818" s="48"/>
      <c r="T818" s="48"/>
      <c r="U818" s="48"/>
      <c r="V818" s="48"/>
      <c r="W818" s="48"/>
      <c r="X818" s="48"/>
      <c r="Y818" s="48"/>
      <c r="Z818" s="48"/>
      <c r="AA818" s="48"/>
    </row>
    <row r="819" spans="2:27" ht="12.75" customHeight="1" x14ac:dyDescent="0.25">
      <c r="B819" s="48"/>
      <c r="C819" s="48"/>
      <c r="D819" s="48"/>
      <c r="E819" s="48"/>
      <c r="F819" s="48"/>
      <c r="G819" s="48"/>
      <c r="H819" s="48"/>
      <c r="I819" s="48"/>
      <c r="J819" s="48"/>
      <c r="K819" s="48"/>
      <c r="L819" s="48"/>
      <c r="M819" s="48"/>
      <c r="N819" s="48"/>
      <c r="O819" s="48"/>
      <c r="P819" s="48"/>
      <c r="Q819" s="48"/>
      <c r="R819" s="48"/>
      <c r="S819" s="48"/>
      <c r="T819" s="48"/>
      <c r="U819" s="48"/>
      <c r="V819" s="48"/>
      <c r="W819" s="48"/>
      <c r="X819" s="48"/>
      <c r="Y819" s="48"/>
      <c r="Z819" s="48"/>
      <c r="AA819" s="48"/>
    </row>
    <row r="820" spans="2:27" ht="12.75" customHeight="1" x14ac:dyDescent="0.25">
      <c r="B820" s="48"/>
      <c r="C820" s="48"/>
      <c r="D820" s="48"/>
      <c r="E820" s="48"/>
      <c r="F820" s="48"/>
      <c r="G820" s="48"/>
      <c r="H820" s="48"/>
      <c r="I820" s="48"/>
      <c r="J820" s="48"/>
      <c r="K820" s="48"/>
      <c r="L820" s="48"/>
      <c r="M820" s="48"/>
      <c r="N820" s="48"/>
      <c r="O820" s="48"/>
      <c r="P820" s="48"/>
      <c r="Q820" s="48"/>
      <c r="R820" s="48"/>
      <c r="S820" s="48"/>
      <c r="T820" s="48"/>
      <c r="U820" s="48"/>
      <c r="V820" s="48"/>
      <c r="W820" s="48"/>
      <c r="X820" s="48"/>
      <c r="Y820" s="48"/>
      <c r="Z820" s="48"/>
      <c r="AA820" s="48"/>
    </row>
    <row r="821" spans="2:27" ht="12.75" customHeight="1" x14ac:dyDescent="0.25">
      <c r="B821" s="48"/>
      <c r="C821" s="48"/>
      <c r="D821" s="48"/>
      <c r="E821" s="48"/>
      <c r="F821" s="48"/>
      <c r="G821" s="48"/>
      <c r="H821" s="48"/>
      <c r="I821" s="48"/>
      <c r="J821" s="48"/>
      <c r="K821" s="48"/>
      <c r="L821" s="48"/>
      <c r="M821" s="48"/>
      <c r="N821" s="48"/>
      <c r="O821" s="48"/>
      <c r="P821" s="48"/>
      <c r="Q821" s="48"/>
      <c r="R821" s="48"/>
      <c r="S821" s="48"/>
      <c r="T821" s="48"/>
      <c r="U821" s="48"/>
      <c r="V821" s="48"/>
      <c r="W821" s="48"/>
      <c r="X821" s="48"/>
      <c r="Y821" s="48"/>
      <c r="Z821" s="48"/>
      <c r="AA821" s="48"/>
    </row>
    <row r="822" spans="2:27" ht="12.75" customHeight="1" x14ac:dyDescent="0.25">
      <c r="B822" s="48"/>
      <c r="C822" s="48"/>
      <c r="D822" s="48"/>
      <c r="E822" s="48"/>
      <c r="F822" s="48"/>
      <c r="G822" s="48"/>
      <c r="H822" s="48"/>
      <c r="I822" s="48"/>
      <c r="J822" s="48"/>
      <c r="K822" s="48"/>
      <c r="L822" s="48"/>
      <c r="M822" s="48"/>
      <c r="N822" s="48"/>
      <c r="O822" s="48"/>
      <c r="P822" s="48"/>
      <c r="Q822" s="48"/>
      <c r="R822" s="48"/>
      <c r="S822" s="48"/>
      <c r="T822" s="48"/>
      <c r="U822" s="48"/>
      <c r="V822" s="48"/>
      <c r="W822" s="48"/>
      <c r="X822" s="48"/>
      <c r="Y822" s="48"/>
      <c r="Z822" s="48"/>
      <c r="AA822" s="48"/>
    </row>
    <row r="823" spans="2:27" ht="12.75" customHeight="1" x14ac:dyDescent="0.25">
      <c r="B823" s="48"/>
      <c r="C823" s="48"/>
      <c r="D823" s="48"/>
      <c r="E823" s="48"/>
      <c r="F823" s="48"/>
      <c r="G823" s="48"/>
      <c r="H823" s="48"/>
      <c r="I823" s="48"/>
      <c r="J823" s="48"/>
      <c r="K823" s="48"/>
      <c r="L823" s="48"/>
      <c r="M823" s="48"/>
      <c r="N823" s="48"/>
      <c r="O823" s="48"/>
      <c r="P823" s="48"/>
      <c r="Q823" s="48"/>
      <c r="R823" s="48"/>
      <c r="S823" s="48"/>
      <c r="T823" s="48"/>
      <c r="U823" s="48"/>
      <c r="V823" s="48"/>
      <c r="W823" s="48"/>
      <c r="X823" s="48"/>
      <c r="Y823" s="48"/>
      <c r="Z823" s="48"/>
      <c r="AA823" s="48"/>
    </row>
    <row r="824" spans="2:27" ht="12.75" customHeight="1" x14ac:dyDescent="0.25">
      <c r="B824" s="48"/>
      <c r="C824" s="48"/>
      <c r="D824" s="48"/>
      <c r="E824" s="48"/>
      <c r="F824" s="48"/>
      <c r="G824" s="48"/>
      <c r="H824" s="48"/>
      <c r="I824" s="48"/>
      <c r="J824" s="48"/>
      <c r="K824" s="48"/>
      <c r="L824" s="48"/>
      <c r="M824" s="48"/>
      <c r="N824" s="48"/>
      <c r="O824" s="48"/>
      <c r="P824" s="48"/>
      <c r="Q824" s="48"/>
      <c r="R824" s="48"/>
      <c r="S824" s="48"/>
      <c r="T824" s="48"/>
      <c r="U824" s="48"/>
      <c r="V824" s="48"/>
      <c r="W824" s="48"/>
      <c r="X824" s="48"/>
      <c r="Y824" s="48"/>
      <c r="Z824" s="48"/>
      <c r="AA824" s="48"/>
    </row>
    <row r="825" spans="2:27" ht="12.75" customHeight="1" x14ac:dyDescent="0.25">
      <c r="B825" s="48"/>
      <c r="C825" s="48"/>
      <c r="D825" s="48"/>
      <c r="E825" s="48"/>
      <c r="F825" s="48"/>
      <c r="G825" s="48"/>
      <c r="H825" s="48"/>
      <c r="I825" s="48"/>
      <c r="J825" s="48"/>
      <c r="K825" s="48"/>
      <c r="L825" s="48"/>
      <c r="M825" s="48"/>
      <c r="N825" s="48"/>
      <c r="O825" s="48"/>
      <c r="P825" s="48"/>
      <c r="Q825" s="48"/>
      <c r="R825" s="48"/>
      <c r="S825" s="48"/>
      <c r="T825" s="48"/>
      <c r="U825" s="48"/>
      <c r="V825" s="48"/>
      <c r="W825" s="48"/>
      <c r="X825" s="48"/>
      <c r="Y825" s="48"/>
      <c r="Z825" s="48"/>
      <c r="AA825" s="48"/>
    </row>
    <row r="826" spans="2:27" ht="12.75" customHeight="1" x14ac:dyDescent="0.25">
      <c r="B826" s="48"/>
      <c r="C826" s="48"/>
      <c r="D826" s="48"/>
      <c r="E826" s="48"/>
      <c r="F826" s="48"/>
      <c r="G826" s="48"/>
      <c r="H826" s="48"/>
      <c r="I826" s="48"/>
      <c r="J826" s="48"/>
      <c r="K826" s="48"/>
      <c r="L826" s="48"/>
      <c r="M826" s="48"/>
      <c r="N826" s="48"/>
      <c r="O826" s="48"/>
      <c r="P826" s="48"/>
      <c r="Q826" s="48"/>
      <c r="R826" s="48"/>
      <c r="S826" s="48"/>
      <c r="T826" s="48"/>
      <c r="U826" s="48"/>
      <c r="V826" s="48"/>
      <c r="W826" s="48"/>
      <c r="X826" s="48"/>
      <c r="Y826" s="48"/>
      <c r="Z826" s="48"/>
      <c r="AA826" s="48"/>
    </row>
    <row r="827" spans="2:27" ht="12.75" customHeight="1" x14ac:dyDescent="0.25">
      <c r="B827" s="48"/>
      <c r="C827" s="48"/>
      <c r="D827" s="48"/>
      <c r="E827" s="48"/>
      <c r="F827" s="48"/>
      <c r="G827" s="48"/>
      <c r="H827" s="48"/>
      <c r="I827" s="48"/>
      <c r="J827" s="48"/>
      <c r="K827" s="48"/>
      <c r="L827" s="48"/>
      <c r="M827" s="48"/>
      <c r="N827" s="48"/>
      <c r="O827" s="48"/>
      <c r="P827" s="48"/>
      <c r="Q827" s="48"/>
      <c r="R827" s="48"/>
      <c r="S827" s="48"/>
      <c r="T827" s="48"/>
      <c r="U827" s="48"/>
      <c r="V827" s="48"/>
      <c r="W827" s="48"/>
      <c r="X827" s="48"/>
      <c r="Y827" s="48"/>
      <c r="Z827" s="48"/>
      <c r="AA827" s="48"/>
    </row>
    <row r="828" spans="2:27" ht="12.75" customHeight="1" x14ac:dyDescent="0.25">
      <c r="B828" s="48"/>
      <c r="C828" s="48"/>
      <c r="D828" s="48"/>
      <c r="E828" s="48"/>
      <c r="F828" s="48"/>
      <c r="G828" s="48"/>
      <c r="H828" s="48"/>
      <c r="I828" s="48"/>
      <c r="J828" s="48"/>
      <c r="K828" s="48"/>
      <c r="L828" s="48"/>
      <c r="M828" s="48"/>
      <c r="N828" s="48"/>
      <c r="O828" s="48"/>
      <c r="P828" s="48"/>
      <c r="Q828" s="48"/>
      <c r="R828" s="48"/>
      <c r="S828" s="48"/>
      <c r="T828" s="48"/>
      <c r="U828" s="48"/>
      <c r="V828" s="48"/>
      <c r="W828" s="48"/>
      <c r="X828" s="48"/>
      <c r="Y828" s="48"/>
      <c r="Z828" s="48"/>
      <c r="AA828" s="48"/>
    </row>
    <row r="829" spans="2:27" ht="12.75" customHeight="1" x14ac:dyDescent="0.25">
      <c r="B829" s="48"/>
      <c r="C829" s="48"/>
      <c r="D829" s="48"/>
      <c r="E829" s="48"/>
      <c r="F829" s="48"/>
      <c r="G829" s="48"/>
      <c r="H829" s="48"/>
      <c r="I829" s="48"/>
      <c r="J829" s="48"/>
      <c r="K829" s="48"/>
      <c r="L829" s="48"/>
      <c r="M829" s="48"/>
      <c r="N829" s="48"/>
      <c r="O829" s="48"/>
      <c r="P829" s="48"/>
      <c r="Q829" s="48"/>
      <c r="R829" s="48"/>
      <c r="S829" s="48"/>
      <c r="T829" s="48"/>
      <c r="U829" s="48"/>
      <c r="V829" s="48"/>
      <c r="W829" s="48"/>
      <c r="X829" s="48"/>
      <c r="Y829" s="48"/>
      <c r="Z829" s="48"/>
      <c r="AA829" s="48"/>
    </row>
    <row r="830" spans="2:27" ht="12.75" customHeight="1" x14ac:dyDescent="0.25">
      <c r="B830" s="48"/>
      <c r="C830" s="48"/>
      <c r="D830" s="48"/>
      <c r="E830" s="48"/>
      <c r="F830" s="48"/>
      <c r="G830" s="48"/>
      <c r="H830" s="48"/>
      <c r="I830" s="48"/>
      <c r="J830" s="48"/>
      <c r="K830" s="48"/>
      <c r="L830" s="48"/>
      <c r="M830" s="48"/>
      <c r="N830" s="48"/>
      <c r="O830" s="48"/>
      <c r="P830" s="48"/>
      <c r="Q830" s="48"/>
      <c r="R830" s="48"/>
      <c r="S830" s="48"/>
      <c r="T830" s="48"/>
      <c r="U830" s="48"/>
      <c r="V830" s="48"/>
      <c r="W830" s="48"/>
      <c r="X830" s="48"/>
      <c r="Y830" s="48"/>
      <c r="Z830" s="48"/>
      <c r="AA830" s="48"/>
    </row>
    <row r="831" spans="2:27" ht="12.75" customHeight="1" x14ac:dyDescent="0.25">
      <c r="B831" s="48"/>
      <c r="C831" s="48"/>
      <c r="D831" s="48"/>
      <c r="E831" s="48"/>
      <c r="F831" s="48"/>
      <c r="G831" s="48"/>
      <c r="H831" s="48"/>
      <c r="I831" s="48"/>
      <c r="J831" s="48"/>
      <c r="K831" s="48"/>
      <c r="L831" s="48"/>
      <c r="M831" s="48"/>
      <c r="N831" s="48"/>
      <c r="O831" s="48"/>
      <c r="P831" s="48"/>
      <c r="Q831" s="48"/>
      <c r="R831" s="48"/>
      <c r="S831" s="48"/>
      <c r="T831" s="48"/>
      <c r="U831" s="48"/>
      <c r="V831" s="48"/>
      <c r="W831" s="48"/>
      <c r="X831" s="48"/>
      <c r="Y831" s="48"/>
      <c r="Z831" s="48"/>
      <c r="AA831" s="48"/>
    </row>
    <row r="832" spans="2:27" ht="12.75" customHeight="1" x14ac:dyDescent="0.25">
      <c r="B832" s="48"/>
      <c r="C832" s="48"/>
      <c r="D832" s="48"/>
      <c r="E832" s="48"/>
      <c r="F832" s="48"/>
      <c r="G832" s="48"/>
      <c r="H832" s="48"/>
      <c r="I832" s="48"/>
      <c r="J832" s="48"/>
      <c r="K832" s="48"/>
      <c r="L832" s="48"/>
      <c r="M832" s="48"/>
      <c r="N832" s="48"/>
      <c r="O832" s="48"/>
      <c r="P832" s="48"/>
      <c r="Q832" s="48"/>
      <c r="R832" s="48"/>
      <c r="S832" s="48"/>
      <c r="T832" s="48"/>
      <c r="U832" s="48"/>
      <c r="V832" s="48"/>
      <c r="W832" s="48"/>
      <c r="X832" s="48"/>
      <c r="Y832" s="48"/>
      <c r="Z832" s="48"/>
      <c r="AA832" s="48"/>
    </row>
    <row r="833" spans="2:27" ht="12.75" customHeight="1" x14ac:dyDescent="0.25">
      <c r="B833" s="48"/>
      <c r="C833" s="48"/>
      <c r="D833" s="48"/>
      <c r="E833" s="48"/>
      <c r="F833" s="48"/>
      <c r="G833" s="48"/>
      <c r="H833" s="48"/>
      <c r="I833" s="48"/>
      <c r="J833" s="48"/>
      <c r="K833" s="48"/>
      <c r="L833" s="48"/>
      <c r="M833" s="48"/>
      <c r="N833" s="48"/>
      <c r="O833" s="48"/>
      <c r="P833" s="48"/>
      <c r="Q833" s="48"/>
      <c r="R833" s="48"/>
      <c r="S833" s="48"/>
      <c r="T833" s="48"/>
      <c r="U833" s="48"/>
      <c r="V833" s="48"/>
      <c r="W833" s="48"/>
      <c r="X833" s="48"/>
      <c r="Y833" s="48"/>
      <c r="Z833" s="48"/>
      <c r="AA833" s="48"/>
    </row>
    <row r="834" spans="2:27" ht="12.75" customHeight="1" x14ac:dyDescent="0.25">
      <c r="B834" s="48"/>
      <c r="C834" s="48"/>
      <c r="D834" s="48"/>
      <c r="E834" s="48"/>
      <c r="F834" s="48"/>
      <c r="G834" s="48"/>
      <c r="H834" s="48"/>
      <c r="I834" s="48"/>
      <c r="J834" s="48"/>
      <c r="K834" s="48"/>
      <c r="L834" s="48"/>
      <c r="M834" s="48"/>
      <c r="N834" s="48"/>
      <c r="O834" s="48"/>
      <c r="P834" s="48"/>
      <c r="Q834" s="48"/>
      <c r="R834" s="48"/>
      <c r="S834" s="48"/>
      <c r="T834" s="48"/>
      <c r="U834" s="48"/>
      <c r="V834" s="48"/>
      <c r="W834" s="48"/>
      <c r="X834" s="48"/>
      <c r="Y834" s="48"/>
      <c r="Z834" s="48"/>
      <c r="AA834" s="48"/>
    </row>
    <row r="835" spans="2:27" ht="12.75" customHeight="1" x14ac:dyDescent="0.25">
      <c r="B835" s="48"/>
      <c r="C835" s="48"/>
      <c r="D835" s="48"/>
      <c r="E835" s="48"/>
      <c r="F835" s="48"/>
      <c r="G835" s="48"/>
      <c r="H835" s="48"/>
      <c r="I835" s="48"/>
      <c r="J835" s="48"/>
      <c r="K835" s="48"/>
      <c r="L835" s="48"/>
      <c r="M835" s="48"/>
      <c r="N835" s="48"/>
      <c r="O835" s="48"/>
      <c r="P835" s="48"/>
      <c r="Q835" s="48"/>
      <c r="R835" s="48"/>
      <c r="S835" s="48"/>
      <c r="T835" s="48"/>
      <c r="U835" s="48"/>
      <c r="V835" s="48"/>
      <c r="W835" s="48"/>
      <c r="X835" s="48"/>
      <c r="Y835" s="48"/>
      <c r="Z835" s="48"/>
      <c r="AA835" s="48"/>
    </row>
    <row r="836" spans="2:27" ht="12.75" customHeight="1" x14ac:dyDescent="0.25">
      <c r="B836" s="48"/>
      <c r="C836" s="48"/>
      <c r="D836" s="48"/>
      <c r="E836" s="48"/>
      <c r="F836" s="48"/>
      <c r="G836" s="48"/>
      <c r="H836" s="48"/>
      <c r="I836" s="48"/>
      <c r="J836" s="48"/>
      <c r="K836" s="48"/>
      <c r="L836" s="48"/>
      <c r="M836" s="48"/>
      <c r="N836" s="48"/>
      <c r="O836" s="48"/>
      <c r="P836" s="48"/>
      <c r="Q836" s="48"/>
      <c r="R836" s="48"/>
      <c r="S836" s="48"/>
      <c r="T836" s="48"/>
      <c r="U836" s="48"/>
      <c r="V836" s="48"/>
      <c r="W836" s="48"/>
      <c r="X836" s="48"/>
      <c r="Y836" s="48"/>
      <c r="Z836" s="48"/>
      <c r="AA836" s="48"/>
    </row>
    <row r="837" spans="2:27" ht="12.75" customHeight="1" x14ac:dyDescent="0.25">
      <c r="B837" s="48"/>
      <c r="C837" s="48"/>
      <c r="D837" s="48"/>
      <c r="E837" s="48"/>
      <c r="F837" s="48"/>
      <c r="G837" s="48"/>
      <c r="H837" s="48"/>
      <c r="I837" s="48"/>
      <c r="J837" s="48"/>
      <c r="K837" s="48"/>
      <c r="L837" s="48"/>
      <c r="M837" s="48"/>
      <c r="N837" s="48"/>
      <c r="O837" s="48"/>
      <c r="P837" s="48"/>
      <c r="Q837" s="48"/>
      <c r="R837" s="48"/>
      <c r="S837" s="48"/>
      <c r="T837" s="48"/>
      <c r="U837" s="48"/>
      <c r="V837" s="48"/>
      <c r="W837" s="48"/>
      <c r="X837" s="48"/>
      <c r="Y837" s="48"/>
      <c r="Z837" s="48"/>
      <c r="AA837" s="48"/>
    </row>
    <row r="838" spans="2:27" ht="12.75" customHeight="1" x14ac:dyDescent="0.25">
      <c r="B838" s="48"/>
      <c r="C838" s="48"/>
      <c r="D838" s="48"/>
      <c r="E838" s="48"/>
      <c r="F838" s="48"/>
      <c r="G838" s="48"/>
      <c r="H838" s="48"/>
      <c r="I838" s="48"/>
      <c r="J838" s="48"/>
      <c r="K838" s="48"/>
      <c r="L838" s="48"/>
      <c r="M838" s="48"/>
      <c r="N838" s="48"/>
      <c r="O838" s="48"/>
      <c r="P838" s="48"/>
      <c r="Q838" s="48"/>
      <c r="R838" s="48"/>
      <c r="S838" s="48"/>
      <c r="T838" s="48"/>
      <c r="U838" s="48"/>
      <c r="V838" s="48"/>
      <c r="W838" s="48"/>
      <c r="X838" s="48"/>
      <c r="Y838" s="48"/>
      <c r="Z838" s="48"/>
      <c r="AA838" s="48"/>
    </row>
    <row r="839" spans="2:27" ht="12.75" customHeight="1" x14ac:dyDescent="0.25">
      <c r="B839" s="48"/>
      <c r="C839" s="48"/>
      <c r="D839" s="48"/>
      <c r="E839" s="48"/>
      <c r="F839" s="48"/>
      <c r="G839" s="48"/>
      <c r="H839" s="48"/>
      <c r="I839" s="48"/>
      <c r="J839" s="48"/>
      <c r="K839" s="48"/>
      <c r="L839" s="48"/>
      <c r="M839" s="48"/>
      <c r="N839" s="48"/>
      <c r="O839" s="48"/>
      <c r="P839" s="48"/>
      <c r="Q839" s="48"/>
      <c r="R839" s="48"/>
      <c r="S839" s="48"/>
      <c r="T839" s="48"/>
      <c r="U839" s="48"/>
      <c r="V839" s="48"/>
      <c r="W839" s="48"/>
      <c r="X839" s="48"/>
      <c r="Y839" s="48"/>
      <c r="Z839" s="48"/>
      <c r="AA839" s="48"/>
    </row>
    <row r="840" spans="2:27" ht="12.75" customHeight="1" x14ac:dyDescent="0.25">
      <c r="B840" s="48"/>
      <c r="C840" s="48"/>
      <c r="D840" s="48"/>
      <c r="E840" s="48"/>
      <c r="F840" s="48"/>
      <c r="G840" s="48"/>
      <c r="H840" s="48"/>
      <c r="I840" s="48"/>
      <c r="J840" s="48"/>
      <c r="K840" s="48"/>
      <c r="L840" s="48"/>
      <c r="M840" s="48"/>
      <c r="N840" s="48"/>
      <c r="O840" s="48"/>
      <c r="P840" s="48"/>
      <c r="Q840" s="48"/>
      <c r="R840" s="48"/>
      <c r="S840" s="48"/>
      <c r="T840" s="48"/>
      <c r="U840" s="48"/>
      <c r="V840" s="48"/>
      <c r="W840" s="48"/>
      <c r="X840" s="48"/>
      <c r="Y840" s="48"/>
      <c r="Z840" s="48"/>
      <c r="AA840" s="48"/>
    </row>
    <row r="841" spans="2:27" ht="12.75" customHeight="1" x14ac:dyDescent="0.25">
      <c r="B841" s="48"/>
      <c r="C841" s="48"/>
      <c r="D841" s="48"/>
      <c r="E841" s="48"/>
      <c r="F841" s="48"/>
      <c r="G841" s="48"/>
      <c r="H841" s="48"/>
      <c r="I841" s="48"/>
      <c r="J841" s="48"/>
      <c r="K841" s="48"/>
      <c r="L841" s="48"/>
      <c r="M841" s="48"/>
      <c r="N841" s="48"/>
      <c r="O841" s="48"/>
      <c r="P841" s="48"/>
      <c r="Q841" s="48"/>
      <c r="R841" s="48"/>
      <c r="S841" s="48"/>
      <c r="T841" s="48"/>
      <c r="U841" s="48"/>
      <c r="V841" s="48"/>
      <c r="W841" s="48"/>
      <c r="X841" s="48"/>
      <c r="Y841" s="48"/>
      <c r="Z841" s="48"/>
      <c r="AA841" s="48"/>
    </row>
    <row r="842" spans="2:27" ht="12.75" customHeight="1" x14ac:dyDescent="0.25">
      <c r="B842" s="48"/>
      <c r="C842" s="48"/>
      <c r="D842" s="48"/>
      <c r="E842" s="48"/>
      <c r="F842" s="48"/>
      <c r="G842" s="48"/>
      <c r="H842" s="48"/>
      <c r="I842" s="48"/>
      <c r="J842" s="48"/>
      <c r="K842" s="48"/>
      <c r="L842" s="48"/>
      <c r="M842" s="48"/>
      <c r="N842" s="48"/>
      <c r="O842" s="48"/>
      <c r="P842" s="48"/>
      <c r="Q842" s="48"/>
      <c r="R842" s="48"/>
      <c r="S842" s="48"/>
      <c r="T842" s="48"/>
      <c r="U842" s="48"/>
      <c r="V842" s="48"/>
      <c r="W842" s="48"/>
      <c r="X842" s="48"/>
      <c r="Y842" s="48"/>
      <c r="Z842" s="48"/>
      <c r="AA842" s="48"/>
    </row>
    <row r="843" spans="2:27" ht="12.75" customHeight="1" x14ac:dyDescent="0.25">
      <c r="B843" s="48"/>
      <c r="C843" s="48"/>
      <c r="D843" s="48"/>
      <c r="E843" s="48"/>
      <c r="F843" s="48"/>
      <c r="G843" s="48"/>
      <c r="H843" s="48"/>
      <c r="I843" s="48"/>
      <c r="J843" s="48"/>
      <c r="K843" s="48"/>
      <c r="L843" s="48"/>
      <c r="M843" s="48"/>
      <c r="N843" s="48"/>
      <c r="O843" s="48"/>
      <c r="P843" s="48"/>
      <c r="Q843" s="48"/>
      <c r="R843" s="48"/>
      <c r="S843" s="48"/>
      <c r="T843" s="48"/>
      <c r="U843" s="48"/>
      <c r="V843" s="48"/>
      <c r="W843" s="48"/>
      <c r="X843" s="48"/>
      <c r="Y843" s="48"/>
      <c r="Z843" s="48"/>
      <c r="AA843" s="48"/>
    </row>
    <row r="844" spans="2:27" ht="12.75" customHeight="1" x14ac:dyDescent="0.25">
      <c r="B844" s="48"/>
      <c r="C844" s="48"/>
      <c r="D844" s="48"/>
      <c r="E844" s="48"/>
      <c r="F844" s="48"/>
      <c r="G844" s="48"/>
      <c r="H844" s="48"/>
      <c r="I844" s="48"/>
      <c r="J844" s="48"/>
      <c r="K844" s="48"/>
      <c r="L844" s="48"/>
      <c r="M844" s="48"/>
      <c r="N844" s="48"/>
      <c r="O844" s="48"/>
      <c r="P844" s="48"/>
      <c r="Q844" s="48"/>
      <c r="R844" s="48"/>
      <c r="S844" s="48"/>
      <c r="T844" s="48"/>
      <c r="U844" s="48"/>
      <c r="V844" s="48"/>
      <c r="W844" s="48"/>
      <c r="X844" s="48"/>
      <c r="Y844" s="48"/>
      <c r="Z844" s="48"/>
      <c r="AA844" s="48"/>
    </row>
    <row r="845" spans="2:27" ht="12.75" customHeight="1" x14ac:dyDescent="0.25">
      <c r="B845" s="48"/>
      <c r="C845" s="48"/>
      <c r="D845" s="48"/>
      <c r="E845" s="48"/>
      <c r="F845" s="48"/>
      <c r="G845" s="48"/>
      <c r="H845" s="48"/>
      <c r="I845" s="48"/>
      <c r="J845" s="48"/>
      <c r="K845" s="48"/>
      <c r="L845" s="48"/>
      <c r="M845" s="48"/>
      <c r="N845" s="48"/>
      <c r="O845" s="48"/>
      <c r="P845" s="48"/>
      <c r="Q845" s="48"/>
      <c r="R845" s="48"/>
      <c r="S845" s="48"/>
      <c r="T845" s="48"/>
      <c r="U845" s="48"/>
      <c r="V845" s="48"/>
      <c r="W845" s="48"/>
      <c r="X845" s="48"/>
      <c r="Y845" s="48"/>
      <c r="Z845" s="48"/>
      <c r="AA845" s="48"/>
    </row>
    <row r="846" spans="2:27" ht="12.75" customHeight="1" x14ac:dyDescent="0.25">
      <c r="B846" s="48"/>
      <c r="C846" s="48"/>
      <c r="D846" s="48"/>
      <c r="E846" s="48"/>
      <c r="F846" s="48"/>
      <c r="G846" s="48"/>
      <c r="H846" s="48"/>
      <c r="I846" s="48"/>
      <c r="J846" s="48"/>
      <c r="K846" s="48"/>
      <c r="L846" s="48"/>
      <c r="M846" s="48"/>
      <c r="N846" s="48"/>
      <c r="O846" s="48"/>
      <c r="P846" s="48"/>
      <c r="Q846" s="48"/>
      <c r="R846" s="48"/>
      <c r="S846" s="48"/>
      <c r="T846" s="48"/>
      <c r="U846" s="48"/>
      <c r="V846" s="48"/>
      <c r="W846" s="48"/>
      <c r="X846" s="48"/>
      <c r="Y846" s="48"/>
      <c r="Z846" s="48"/>
      <c r="AA846" s="48"/>
    </row>
    <row r="847" spans="2:27" ht="12.75" customHeight="1" x14ac:dyDescent="0.25">
      <c r="B847" s="48"/>
      <c r="C847" s="48"/>
      <c r="D847" s="48"/>
      <c r="E847" s="48"/>
      <c r="F847" s="48"/>
      <c r="G847" s="48"/>
      <c r="H847" s="48"/>
      <c r="I847" s="48"/>
      <c r="J847" s="48"/>
      <c r="K847" s="48"/>
      <c r="L847" s="48"/>
      <c r="M847" s="48"/>
      <c r="N847" s="48"/>
      <c r="O847" s="48"/>
      <c r="P847" s="48"/>
      <c r="Q847" s="48"/>
      <c r="R847" s="48"/>
      <c r="S847" s="48"/>
      <c r="T847" s="48"/>
      <c r="U847" s="48"/>
      <c r="V847" s="48"/>
      <c r="W847" s="48"/>
      <c r="X847" s="48"/>
      <c r="Y847" s="48"/>
      <c r="Z847" s="48"/>
      <c r="AA847" s="48"/>
    </row>
    <row r="848" spans="2:27" ht="12.75" customHeight="1" x14ac:dyDescent="0.25">
      <c r="B848" s="48"/>
      <c r="C848" s="48"/>
      <c r="D848" s="48"/>
      <c r="E848" s="48"/>
      <c r="F848" s="48"/>
      <c r="G848" s="48"/>
      <c r="H848" s="48"/>
      <c r="I848" s="48"/>
      <c r="J848" s="48"/>
      <c r="K848" s="48"/>
      <c r="L848" s="48"/>
      <c r="M848" s="48"/>
      <c r="N848" s="48"/>
      <c r="O848" s="48"/>
      <c r="P848" s="48"/>
      <c r="Q848" s="48"/>
      <c r="R848" s="48"/>
      <c r="S848" s="48"/>
      <c r="T848" s="48"/>
      <c r="U848" s="48"/>
      <c r="V848" s="48"/>
      <c r="W848" s="48"/>
      <c r="X848" s="48"/>
      <c r="Y848" s="48"/>
      <c r="Z848" s="48"/>
      <c r="AA848" s="48"/>
    </row>
    <row r="849" spans="2:27" ht="12.75" customHeight="1" x14ac:dyDescent="0.25">
      <c r="B849" s="48"/>
      <c r="C849" s="48"/>
      <c r="D849" s="48"/>
      <c r="E849" s="48"/>
      <c r="F849" s="48"/>
      <c r="G849" s="48"/>
      <c r="H849" s="48"/>
      <c r="I849" s="48"/>
      <c r="J849" s="48"/>
      <c r="K849" s="48"/>
      <c r="L849" s="48"/>
      <c r="M849" s="48"/>
      <c r="N849" s="48"/>
      <c r="O849" s="48"/>
      <c r="P849" s="48"/>
      <c r="Q849" s="48"/>
      <c r="R849" s="48"/>
      <c r="S849" s="48"/>
      <c r="T849" s="48"/>
      <c r="U849" s="48"/>
      <c r="V849" s="48"/>
      <c r="W849" s="48"/>
      <c r="X849" s="48"/>
      <c r="Y849" s="48"/>
      <c r="Z849" s="48"/>
      <c r="AA849" s="48"/>
    </row>
    <row r="850" spans="2:27" ht="12.75" customHeight="1" x14ac:dyDescent="0.25">
      <c r="B850" s="48"/>
      <c r="C850" s="48"/>
      <c r="D850" s="48"/>
      <c r="E850" s="48"/>
      <c r="F850" s="48"/>
      <c r="G850" s="48"/>
      <c r="H850" s="48"/>
      <c r="I850" s="48"/>
      <c r="J850" s="48"/>
      <c r="K850" s="48"/>
      <c r="L850" s="48"/>
      <c r="M850" s="48"/>
      <c r="N850" s="48"/>
      <c r="O850" s="48"/>
      <c r="P850" s="48"/>
      <c r="Q850" s="48"/>
      <c r="R850" s="48"/>
      <c r="S850" s="48"/>
      <c r="T850" s="48"/>
      <c r="U850" s="48"/>
      <c r="V850" s="48"/>
      <c r="W850" s="48"/>
      <c r="X850" s="48"/>
      <c r="Y850" s="48"/>
      <c r="Z850" s="48"/>
      <c r="AA850" s="48"/>
    </row>
    <row r="851" spans="2:27" ht="12.75" customHeight="1" x14ac:dyDescent="0.25">
      <c r="B851" s="48"/>
      <c r="C851" s="48"/>
      <c r="D851" s="48"/>
      <c r="E851" s="48"/>
      <c r="F851" s="48"/>
      <c r="G851" s="48"/>
      <c r="H851" s="48"/>
      <c r="I851" s="48"/>
      <c r="J851" s="48"/>
      <c r="K851" s="48"/>
      <c r="L851" s="48"/>
      <c r="M851" s="48"/>
      <c r="N851" s="48"/>
      <c r="O851" s="48"/>
      <c r="P851" s="48"/>
      <c r="Q851" s="48"/>
      <c r="R851" s="48"/>
      <c r="S851" s="48"/>
      <c r="T851" s="48"/>
      <c r="U851" s="48"/>
      <c r="V851" s="48"/>
      <c r="W851" s="48"/>
      <c r="X851" s="48"/>
      <c r="Y851" s="48"/>
      <c r="Z851" s="48"/>
      <c r="AA851" s="48"/>
    </row>
    <row r="852" spans="2:27" ht="12.75" customHeight="1" x14ac:dyDescent="0.25">
      <c r="B852" s="48"/>
      <c r="C852" s="48"/>
      <c r="D852" s="48"/>
      <c r="E852" s="48"/>
      <c r="F852" s="48"/>
      <c r="G852" s="48"/>
      <c r="H852" s="48"/>
      <c r="I852" s="48"/>
      <c r="J852" s="48"/>
      <c r="K852" s="48"/>
      <c r="L852" s="48"/>
      <c r="M852" s="48"/>
      <c r="N852" s="48"/>
      <c r="O852" s="48"/>
      <c r="P852" s="48"/>
      <c r="Q852" s="48"/>
      <c r="R852" s="48"/>
      <c r="S852" s="48"/>
      <c r="T852" s="48"/>
      <c r="U852" s="48"/>
      <c r="V852" s="48"/>
      <c r="W852" s="48"/>
      <c r="X852" s="48"/>
      <c r="Y852" s="48"/>
      <c r="Z852" s="48"/>
      <c r="AA852" s="48"/>
    </row>
    <row r="853" spans="2:27" ht="12.75" customHeight="1" x14ac:dyDescent="0.25">
      <c r="B853" s="48"/>
      <c r="C853" s="48"/>
      <c r="D853" s="48"/>
      <c r="E853" s="48"/>
      <c r="F853" s="48"/>
      <c r="G853" s="48"/>
      <c r="H853" s="48"/>
      <c r="I853" s="48"/>
      <c r="J853" s="48"/>
      <c r="K853" s="48"/>
      <c r="L853" s="48"/>
      <c r="M853" s="48"/>
      <c r="N853" s="48"/>
      <c r="O853" s="48"/>
      <c r="P853" s="48"/>
      <c r="Q853" s="48"/>
      <c r="R853" s="48"/>
      <c r="S853" s="48"/>
      <c r="T853" s="48"/>
      <c r="U853" s="48"/>
      <c r="V853" s="48"/>
      <c r="W853" s="48"/>
      <c r="X853" s="48"/>
      <c r="Y853" s="48"/>
      <c r="Z853" s="48"/>
      <c r="AA853" s="48"/>
    </row>
    <row r="854" spans="2:27" ht="12.75" customHeight="1" x14ac:dyDescent="0.25">
      <c r="B854" s="48"/>
      <c r="C854" s="48"/>
      <c r="D854" s="48"/>
      <c r="E854" s="48"/>
      <c r="F854" s="48"/>
      <c r="G854" s="48"/>
      <c r="H854" s="48"/>
      <c r="I854" s="48"/>
      <c r="J854" s="48"/>
      <c r="K854" s="48"/>
      <c r="L854" s="48"/>
      <c r="M854" s="48"/>
      <c r="N854" s="48"/>
      <c r="O854" s="48"/>
      <c r="P854" s="48"/>
      <c r="Q854" s="48"/>
      <c r="R854" s="48"/>
      <c r="S854" s="48"/>
      <c r="T854" s="48"/>
      <c r="U854" s="48"/>
      <c r="V854" s="48"/>
      <c r="W854" s="48"/>
      <c r="X854" s="48"/>
      <c r="Y854" s="48"/>
      <c r="Z854" s="48"/>
      <c r="AA854" s="48"/>
    </row>
    <row r="855" spans="2:27" ht="12.75" customHeight="1" x14ac:dyDescent="0.25">
      <c r="B855" s="48"/>
      <c r="C855" s="48"/>
      <c r="D855" s="48"/>
      <c r="E855" s="48"/>
      <c r="F855" s="48"/>
      <c r="G855" s="48"/>
      <c r="H855" s="48"/>
      <c r="I855" s="48"/>
      <c r="J855" s="48"/>
      <c r="K855" s="48"/>
      <c r="L855" s="48"/>
      <c r="M855" s="48"/>
      <c r="N855" s="48"/>
      <c r="O855" s="48"/>
      <c r="P855" s="48"/>
      <c r="Q855" s="48"/>
      <c r="R855" s="48"/>
      <c r="S855" s="48"/>
      <c r="T855" s="48"/>
      <c r="U855" s="48"/>
      <c r="V855" s="48"/>
      <c r="W855" s="48"/>
      <c r="X855" s="48"/>
      <c r="Y855" s="48"/>
      <c r="Z855" s="48"/>
      <c r="AA855" s="48"/>
    </row>
    <row r="856" spans="2:27" ht="12.75" customHeight="1" x14ac:dyDescent="0.25">
      <c r="B856" s="48"/>
      <c r="C856" s="48"/>
      <c r="D856" s="48"/>
      <c r="E856" s="48"/>
      <c r="F856" s="48"/>
      <c r="G856" s="48"/>
      <c r="H856" s="48"/>
      <c r="I856" s="48"/>
      <c r="J856" s="48"/>
      <c r="K856" s="48"/>
      <c r="L856" s="48"/>
      <c r="M856" s="48"/>
      <c r="N856" s="48"/>
      <c r="O856" s="48"/>
      <c r="P856" s="48"/>
      <c r="Q856" s="48"/>
      <c r="R856" s="48"/>
      <c r="S856" s="48"/>
      <c r="T856" s="48"/>
      <c r="U856" s="48"/>
      <c r="V856" s="48"/>
      <c r="W856" s="48"/>
      <c r="X856" s="48"/>
      <c r="Y856" s="48"/>
      <c r="Z856" s="48"/>
      <c r="AA856" s="48"/>
    </row>
    <row r="857" spans="2:27" ht="12.75" customHeight="1" x14ac:dyDescent="0.25">
      <c r="B857" s="48"/>
      <c r="C857" s="48"/>
      <c r="D857" s="48"/>
      <c r="E857" s="48"/>
      <c r="F857" s="48"/>
      <c r="G857" s="48"/>
      <c r="H857" s="48"/>
      <c r="I857" s="48"/>
      <c r="J857" s="48"/>
      <c r="K857" s="48"/>
      <c r="L857" s="48"/>
      <c r="M857" s="48"/>
      <c r="N857" s="48"/>
      <c r="O857" s="48"/>
      <c r="P857" s="48"/>
      <c r="Q857" s="48"/>
      <c r="R857" s="48"/>
      <c r="S857" s="48"/>
      <c r="T857" s="48"/>
      <c r="U857" s="48"/>
      <c r="V857" s="48"/>
      <c r="W857" s="48"/>
      <c r="X857" s="48"/>
      <c r="Y857" s="48"/>
      <c r="Z857" s="48"/>
      <c r="AA857" s="48"/>
    </row>
    <row r="858" spans="2:27" ht="12.75" customHeight="1" x14ac:dyDescent="0.25">
      <c r="B858" s="48"/>
      <c r="C858" s="48"/>
      <c r="D858" s="48"/>
      <c r="E858" s="48"/>
      <c r="F858" s="48"/>
      <c r="G858" s="48"/>
      <c r="H858" s="48"/>
      <c r="I858" s="48"/>
      <c r="J858" s="48"/>
      <c r="K858" s="48"/>
      <c r="L858" s="48"/>
      <c r="M858" s="48"/>
      <c r="N858" s="48"/>
      <c r="O858" s="48"/>
      <c r="P858" s="48"/>
      <c r="Q858" s="48"/>
      <c r="R858" s="48"/>
      <c r="S858" s="48"/>
      <c r="T858" s="48"/>
      <c r="U858" s="48"/>
      <c r="V858" s="48"/>
      <c r="W858" s="48"/>
      <c r="X858" s="48"/>
      <c r="Y858" s="48"/>
      <c r="Z858" s="48"/>
      <c r="AA858" s="48"/>
    </row>
    <row r="859" spans="2:27" ht="12.75" customHeight="1" x14ac:dyDescent="0.25">
      <c r="B859" s="48"/>
      <c r="C859" s="48"/>
      <c r="D859" s="48"/>
      <c r="E859" s="48"/>
      <c r="F859" s="48"/>
      <c r="G859" s="48"/>
      <c r="H859" s="48"/>
      <c r="I859" s="48"/>
      <c r="J859" s="48"/>
      <c r="K859" s="48"/>
      <c r="L859" s="48"/>
      <c r="M859" s="48"/>
      <c r="N859" s="48"/>
      <c r="O859" s="48"/>
      <c r="P859" s="48"/>
      <c r="Q859" s="48"/>
      <c r="R859" s="48"/>
      <c r="S859" s="48"/>
      <c r="T859" s="48"/>
      <c r="U859" s="48"/>
      <c r="V859" s="48"/>
      <c r="W859" s="48"/>
      <c r="X859" s="48"/>
      <c r="Y859" s="48"/>
      <c r="Z859" s="48"/>
      <c r="AA859" s="48"/>
    </row>
    <row r="860" spans="2:27" ht="12.75" customHeight="1" x14ac:dyDescent="0.25">
      <c r="B860" s="48"/>
      <c r="C860" s="48"/>
      <c r="D860" s="48"/>
      <c r="E860" s="48"/>
      <c r="F860" s="48"/>
      <c r="G860" s="48"/>
      <c r="H860" s="48"/>
      <c r="I860" s="48"/>
      <c r="J860" s="48"/>
      <c r="K860" s="48"/>
      <c r="L860" s="48"/>
      <c r="M860" s="48"/>
      <c r="N860" s="48"/>
      <c r="O860" s="48"/>
      <c r="P860" s="48"/>
      <c r="Q860" s="48"/>
      <c r="R860" s="48"/>
      <c r="S860" s="48"/>
      <c r="T860" s="48"/>
      <c r="U860" s="48"/>
      <c r="V860" s="48"/>
      <c r="W860" s="48"/>
      <c r="X860" s="48"/>
      <c r="Y860" s="48"/>
      <c r="Z860" s="48"/>
      <c r="AA860" s="48"/>
    </row>
    <row r="861" spans="2:27" ht="12.75" customHeight="1" x14ac:dyDescent="0.25">
      <c r="B861" s="48"/>
      <c r="C861" s="48"/>
      <c r="D861" s="48"/>
      <c r="E861" s="48"/>
      <c r="F861" s="48"/>
      <c r="G861" s="48"/>
      <c r="H861" s="48"/>
      <c r="I861" s="48"/>
      <c r="J861" s="48"/>
      <c r="K861" s="48"/>
      <c r="L861" s="48"/>
      <c r="M861" s="48"/>
      <c r="N861" s="48"/>
      <c r="O861" s="48"/>
      <c r="P861" s="48"/>
      <c r="Q861" s="48"/>
      <c r="R861" s="48"/>
      <c r="S861" s="48"/>
      <c r="T861" s="48"/>
      <c r="U861" s="48"/>
      <c r="V861" s="48"/>
      <c r="W861" s="48"/>
      <c r="X861" s="48"/>
      <c r="Y861" s="48"/>
      <c r="Z861" s="48"/>
      <c r="AA861" s="48"/>
    </row>
    <row r="862" spans="2:27" ht="12.75" customHeight="1" x14ac:dyDescent="0.25">
      <c r="B862" s="48"/>
      <c r="C862" s="48"/>
      <c r="D862" s="48"/>
      <c r="E862" s="48"/>
      <c r="F862" s="48"/>
      <c r="G862" s="48"/>
      <c r="H862" s="48"/>
      <c r="I862" s="48"/>
      <c r="J862" s="48"/>
      <c r="K862" s="48"/>
      <c r="L862" s="48"/>
      <c r="M862" s="48"/>
      <c r="N862" s="48"/>
      <c r="O862" s="48"/>
      <c r="P862" s="48"/>
      <c r="Q862" s="48"/>
      <c r="R862" s="48"/>
      <c r="S862" s="48"/>
      <c r="T862" s="48"/>
      <c r="U862" s="48"/>
      <c r="V862" s="48"/>
      <c r="W862" s="48"/>
      <c r="X862" s="48"/>
      <c r="Y862" s="48"/>
      <c r="Z862" s="48"/>
      <c r="AA862" s="48"/>
    </row>
    <row r="863" spans="2:27" ht="12.75" customHeight="1" x14ac:dyDescent="0.25">
      <c r="B863" s="48"/>
      <c r="C863" s="48"/>
      <c r="D863" s="48"/>
      <c r="E863" s="48"/>
      <c r="F863" s="48"/>
      <c r="G863" s="48"/>
      <c r="H863" s="48"/>
      <c r="I863" s="48"/>
      <c r="J863" s="48"/>
      <c r="K863" s="48"/>
      <c r="L863" s="48"/>
      <c r="M863" s="48"/>
      <c r="N863" s="48"/>
      <c r="O863" s="48"/>
      <c r="P863" s="48"/>
      <c r="Q863" s="48"/>
      <c r="R863" s="48"/>
      <c r="S863" s="48"/>
      <c r="T863" s="48"/>
      <c r="U863" s="48"/>
      <c r="V863" s="48"/>
      <c r="W863" s="48"/>
      <c r="X863" s="48"/>
      <c r="Y863" s="48"/>
      <c r="Z863" s="48"/>
      <c r="AA863" s="48"/>
    </row>
    <row r="864" spans="2:27" ht="12.75" customHeight="1" x14ac:dyDescent="0.25">
      <c r="B864" s="48"/>
      <c r="C864" s="48"/>
      <c r="D864" s="48"/>
      <c r="E864" s="48"/>
      <c r="F864" s="48"/>
      <c r="G864" s="48"/>
      <c r="H864" s="48"/>
      <c r="I864" s="48"/>
      <c r="J864" s="48"/>
      <c r="K864" s="48"/>
      <c r="L864" s="48"/>
      <c r="M864" s="48"/>
      <c r="N864" s="48"/>
      <c r="O864" s="48"/>
      <c r="P864" s="48"/>
      <c r="Q864" s="48"/>
      <c r="R864" s="48"/>
      <c r="S864" s="48"/>
      <c r="T864" s="48"/>
      <c r="U864" s="48"/>
      <c r="V864" s="48"/>
      <c r="W864" s="48"/>
      <c r="X864" s="48"/>
      <c r="Y864" s="48"/>
      <c r="Z864" s="48"/>
      <c r="AA864" s="48"/>
    </row>
    <row r="865" spans="2:27" ht="12.75" customHeight="1" x14ac:dyDescent="0.25">
      <c r="B865" s="48"/>
      <c r="C865" s="48"/>
      <c r="D865" s="48"/>
      <c r="E865" s="48"/>
      <c r="F865" s="48"/>
      <c r="G865" s="48"/>
      <c r="H865" s="48"/>
      <c r="I865" s="48"/>
      <c r="J865" s="48"/>
      <c r="K865" s="48"/>
      <c r="L865" s="48"/>
      <c r="M865" s="48"/>
      <c r="N865" s="48"/>
      <c r="O865" s="48"/>
      <c r="P865" s="48"/>
      <c r="Q865" s="48"/>
      <c r="R865" s="48"/>
      <c r="S865" s="48"/>
      <c r="T865" s="48"/>
      <c r="U865" s="48"/>
      <c r="V865" s="48"/>
      <c r="W865" s="48"/>
      <c r="X865" s="48"/>
      <c r="Y865" s="48"/>
      <c r="Z865" s="48"/>
      <c r="AA865" s="48"/>
    </row>
    <row r="866" spans="2:27" ht="12.75" customHeight="1" x14ac:dyDescent="0.25">
      <c r="B866" s="48"/>
      <c r="C866" s="48"/>
      <c r="D866" s="48"/>
      <c r="E866" s="48"/>
      <c r="F866" s="48"/>
      <c r="G866" s="48"/>
      <c r="H866" s="48"/>
      <c r="I866" s="48"/>
      <c r="J866" s="48"/>
      <c r="K866" s="48"/>
      <c r="L866" s="48"/>
      <c r="M866" s="48"/>
      <c r="N866" s="48"/>
      <c r="O866" s="48"/>
      <c r="P866" s="48"/>
      <c r="Q866" s="48"/>
      <c r="R866" s="48"/>
      <c r="S866" s="48"/>
      <c r="T866" s="48"/>
      <c r="U866" s="48"/>
      <c r="V866" s="48"/>
      <c r="W866" s="48"/>
      <c r="X866" s="48"/>
      <c r="Y866" s="48"/>
      <c r="Z866" s="48"/>
      <c r="AA866" s="48"/>
    </row>
    <row r="867" spans="2:27" ht="12.75" customHeight="1" x14ac:dyDescent="0.25">
      <c r="B867" s="48"/>
      <c r="C867" s="48"/>
      <c r="D867" s="48"/>
      <c r="E867" s="48"/>
      <c r="F867" s="48"/>
      <c r="G867" s="48"/>
      <c r="H867" s="48"/>
      <c r="I867" s="48"/>
      <c r="J867" s="48"/>
      <c r="K867" s="48"/>
      <c r="L867" s="48"/>
      <c r="M867" s="48"/>
      <c r="N867" s="48"/>
      <c r="O867" s="48"/>
      <c r="P867" s="48"/>
      <c r="Q867" s="48"/>
      <c r="R867" s="48"/>
      <c r="S867" s="48"/>
      <c r="T867" s="48"/>
      <c r="U867" s="48"/>
      <c r="V867" s="48"/>
      <c r="W867" s="48"/>
      <c r="X867" s="48"/>
      <c r="Y867" s="48"/>
      <c r="Z867" s="48"/>
      <c r="AA867" s="48"/>
    </row>
    <row r="868" spans="2:27" ht="12.75" customHeight="1" x14ac:dyDescent="0.25">
      <c r="B868" s="48"/>
      <c r="C868" s="48"/>
      <c r="D868" s="48"/>
      <c r="E868" s="48"/>
      <c r="F868" s="48"/>
      <c r="G868" s="48"/>
      <c r="H868" s="48"/>
      <c r="I868" s="48"/>
      <c r="J868" s="48"/>
      <c r="K868" s="48"/>
      <c r="L868" s="48"/>
      <c r="M868" s="48"/>
      <c r="N868" s="48"/>
      <c r="O868" s="48"/>
      <c r="P868" s="48"/>
      <c r="Q868" s="48"/>
      <c r="R868" s="48"/>
      <c r="S868" s="48"/>
      <c r="T868" s="48"/>
      <c r="U868" s="48"/>
      <c r="V868" s="48"/>
      <c r="W868" s="48"/>
      <c r="X868" s="48"/>
      <c r="Y868" s="48"/>
      <c r="Z868" s="48"/>
      <c r="AA868" s="48"/>
    </row>
    <row r="869" spans="2:27" ht="12.75" customHeight="1" x14ac:dyDescent="0.25">
      <c r="B869" s="48"/>
      <c r="C869" s="48"/>
      <c r="D869" s="48"/>
      <c r="E869" s="48"/>
      <c r="F869" s="48"/>
      <c r="G869" s="48"/>
      <c r="H869" s="48"/>
      <c r="I869" s="48"/>
      <c r="J869" s="48"/>
      <c r="K869" s="48"/>
      <c r="L869" s="48"/>
      <c r="M869" s="48"/>
      <c r="N869" s="48"/>
      <c r="O869" s="48"/>
      <c r="P869" s="48"/>
      <c r="Q869" s="48"/>
      <c r="R869" s="48"/>
      <c r="S869" s="48"/>
      <c r="T869" s="48"/>
      <c r="U869" s="48"/>
      <c r="V869" s="48"/>
      <c r="W869" s="48"/>
      <c r="X869" s="48"/>
      <c r="Y869" s="48"/>
      <c r="Z869" s="48"/>
      <c r="AA869" s="48"/>
    </row>
    <row r="870" spans="2:27" ht="12.75" customHeight="1" x14ac:dyDescent="0.25">
      <c r="B870" s="48"/>
      <c r="C870" s="48"/>
      <c r="D870" s="48"/>
      <c r="E870" s="48"/>
      <c r="F870" s="48"/>
      <c r="G870" s="48"/>
      <c r="H870" s="48"/>
      <c r="I870" s="48"/>
      <c r="J870" s="48"/>
      <c r="K870" s="48"/>
      <c r="L870" s="48"/>
      <c r="M870" s="48"/>
      <c r="N870" s="48"/>
      <c r="O870" s="48"/>
      <c r="P870" s="48"/>
      <c r="Q870" s="48"/>
      <c r="R870" s="48"/>
      <c r="S870" s="48"/>
      <c r="T870" s="48"/>
      <c r="U870" s="48"/>
      <c r="V870" s="48"/>
      <c r="W870" s="48"/>
      <c r="X870" s="48"/>
      <c r="Y870" s="48"/>
      <c r="Z870" s="48"/>
      <c r="AA870" s="48"/>
    </row>
    <row r="871" spans="2:27" ht="12.75" customHeight="1" x14ac:dyDescent="0.25">
      <c r="B871" s="48"/>
      <c r="C871" s="48"/>
      <c r="D871" s="48"/>
      <c r="E871" s="48"/>
      <c r="F871" s="48"/>
      <c r="G871" s="48"/>
      <c r="H871" s="48"/>
      <c r="I871" s="48"/>
      <c r="J871" s="48"/>
      <c r="K871" s="48"/>
      <c r="L871" s="48"/>
      <c r="M871" s="48"/>
      <c r="N871" s="48"/>
      <c r="O871" s="48"/>
      <c r="P871" s="48"/>
      <c r="Q871" s="48"/>
      <c r="R871" s="48"/>
      <c r="S871" s="48"/>
      <c r="T871" s="48"/>
      <c r="U871" s="48"/>
      <c r="V871" s="48"/>
      <c r="W871" s="48"/>
      <c r="X871" s="48"/>
      <c r="Y871" s="48"/>
      <c r="Z871" s="48"/>
      <c r="AA871" s="48"/>
    </row>
    <row r="872" spans="2:27" ht="12.75" customHeight="1" x14ac:dyDescent="0.25">
      <c r="B872" s="48"/>
      <c r="C872" s="48"/>
      <c r="D872" s="48"/>
      <c r="E872" s="48"/>
      <c r="F872" s="48"/>
      <c r="G872" s="48"/>
      <c r="H872" s="48"/>
      <c r="I872" s="48"/>
      <c r="J872" s="48"/>
      <c r="K872" s="48"/>
      <c r="L872" s="48"/>
      <c r="M872" s="48"/>
      <c r="N872" s="48"/>
      <c r="O872" s="48"/>
      <c r="P872" s="48"/>
      <c r="Q872" s="48"/>
      <c r="R872" s="48"/>
      <c r="S872" s="48"/>
      <c r="T872" s="48"/>
      <c r="U872" s="48"/>
      <c r="V872" s="48"/>
      <c r="W872" s="48"/>
      <c r="X872" s="48"/>
      <c r="Y872" s="48"/>
      <c r="Z872" s="48"/>
      <c r="AA872" s="48"/>
    </row>
    <row r="873" spans="2:27" ht="12.75" customHeight="1" x14ac:dyDescent="0.25">
      <c r="B873" s="48"/>
      <c r="C873" s="48"/>
      <c r="D873" s="48"/>
      <c r="E873" s="48"/>
      <c r="F873" s="48"/>
      <c r="G873" s="48"/>
      <c r="H873" s="48"/>
      <c r="I873" s="48"/>
      <c r="J873" s="48"/>
      <c r="K873" s="48"/>
      <c r="L873" s="48"/>
      <c r="M873" s="48"/>
      <c r="N873" s="48"/>
      <c r="O873" s="48"/>
      <c r="P873" s="48"/>
      <c r="Q873" s="48"/>
      <c r="R873" s="48"/>
      <c r="S873" s="48"/>
      <c r="T873" s="48"/>
      <c r="U873" s="48"/>
      <c r="V873" s="48"/>
      <c r="W873" s="48"/>
      <c r="X873" s="48"/>
      <c r="Y873" s="48"/>
      <c r="Z873" s="48"/>
      <c r="AA873" s="48"/>
    </row>
    <row r="874" spans="2:27" ht="12.75" customHeight="1" x14ac:dyDescent="0.25">
      <c r="B874" s="48"/>
      <c r="C874" s="48"/>
      <c r="D874" s="48"/>
      <c r="E874" s="48"/>
      <c r="F874" s="48"/>
      <c r="G874" s="48"/>
      <c r="H874" s="48"/>
      <c r="I874" s="48"/>
      <c r="J874" s="48"/>
      <c r="K874" s="48"/>
      <c r="L874" s="48"/>
      <c r="M874" s="48"/>
      <c r="N874" s="48"/>
      <c r="O874" s="48"/>
      <c r="P874" s="48"/>
      <c r="Q874" s="48"/>
      <c r="R874" s="48"/>
      <c r="S874" s="48"/>
      <c r="T874" s="48"/>
      <c r="U874" s="48"/>
      <c r="V874" s="48"/>
      <c r="W874" s="48"/>
      <c r="X874" s="48"/>
      <c r="Y874" s="48"/>
      <c r="Z874" s="48"/>
      <c r="AA874" s="48"/>
    </row>
    <row r="875" spans="2:27" ht="12.75" customHeight="1" x14ac:dyDescent="0.25">
      <c r="B875" s="48"/>
      <c r="C875" s="48"/>
      <c r="D875" s="48"/>
      <c r="E875" s="48"/>
      <c r="F875" s="48"/>
      <c r="G875" s="48"/>
      <c r="H875" s="48"/>
      <c r="I875" s="48"/>
      <c r="J875" s="48"/>
      <c r="K875" s="48"/>
      <c r="L875" s="48"/>
      <c r="M875" s="48"/>
      <c r="N875" s="48"/>
      <c r="O875" s="48"/>
      <c r="P875" s="48"/>
      <c r="Q875" s="48"/>
      <c r="R875" s="48"/>
      <c r="S875" s="48"/>
      <c r="T875" s="48"/>
      <c r="U875" s="48"/>
      <c r="V875" s="48"/>
      <c r="W875" s="48"/>
      <c r="X875" s="48"/>
      <c r="Y875" s="48"/>
      <c r="Z875" s="48"/>
      <c r="AA875" s="48"/>
    </row>
    <row r="876" spans="2:27" ht="12.75" customHeight="1" x14ac:dyDescent="0.25">
      <c r="B876" s="48"/>
      <c r="C876" s="48"/>
      <c r="D876" s="48"/>
      <c r="E876" s="48"/>
      <c r="F876" s="48"/>
      <c r="G876" s="48"/>
      <c r="H876" s="48"/>
      <c r="I876" s="48"/>
      <c r="J876" s="48"/>
      <c r="K876" s="48"/>
      <c r="L876" s="48"/>
      <c r="M876" s="48"/>
      <c r="N876" s="48"/>
      <c r="O876" s="48"/>
      <c r="P876" s="48"/>
      <c r="Q876" s="48"/>
      <c r="R876" s="48"/>
      <c r="S876" s="48"/>
      <c r="T876" s="48"/>
      <c r="U876" s="48"/>
      <c r="V876" s="48"/>
      <c r="W876" s="48"/>
      <c r="X876" s="48"/>
      <c r="Y876" s="48"/>
      <c r="Z876" s="48"/>
      <c r="AA876" s="48"/>
    </row>
    <row r="877" spans="2:27" ht="12.75" customHeight="1" x14ac:dyDescent="0.25">
      <c r="B877" s="48"/>
      <c r="C877" s="48"/>
      <c r="D877" s="48"/>
      <c r="E877" s="48"/>
      <c r="F877" s="48"/>
      <c r="G877" s="48"/>
      <c r="H877" s="48"/>
      <c r="I877" s="48"/>
      <c r="J877" s="48"/>
      <c r="K877" s="48"/>
      <c r="L877" s="48"/>
      <c r="M877" s="48"/>
      <c r="N877" s="48"/>
      <c r="O877" s="48"/>
      <c r="P877" s="48"/>
      <c r="Q877" s="48"/>
      <c r="R877" s="48"/>
      <c r="S877" s="48"/>
      <c r="T877" s="48"/>
      <c r="U877" s="48"/>
      <c r="V877" s="48"/>
      <c r="W877" s="48"/>
      <c r="X877" s="48"/>
      <c r="Y877" s="48"/>
      <c r="Z877" s="48"/>
      <c r="AA877" s="48"/>
    </row>
    <row r="878" spans="2:27" ht="12.75" customHeight="1" x14ac:dyDescent="0.25">
      <c r="B878" s="48"/>
      <c r="C878" s="48"/>
      <c r="D878" s="48"/>
      <c r="E878" s="48"/>
      <c r="F878" s="48"/>
      <c r="G878" s="48"/>
      <c r="H878" s="48"/>
      <c r="I878" s="48"/>
      <c r="J878" s="48"/>
      <c r="K878" s="48"/>
      <c r="L878" s="48"/>
      <c r="M878" s="48"/>
      <c r="N878" s="48"/>
      <c r="O878" s="48"/>
      <c r="P878" s="48"/>
      <c r="Q878" s="48"/>
      <c r="R878" s="48"/>
      <c r="S878" s="48"/>
      <c r="T878" s="48"/>
      <c r="U878" s="48"/>
      <c r="V878" s="48"/>
      <c r="W878" s="48"/>
      <c r="X878" s="48"/>
      <c r="Y878" s="48"/>
      <c r="Z878" s="48"/>
      <c r="AA878" s="48"/>
    </row>
    <row r="879" spans="2:27" ht="12.75" customHeight="1" x14ac:dyDescent="0.25">
      <c r="B879" s="48"/>
      <c r="C879" s="48"/>
      <c r="D879" s="48"/>
      <c r="E879" s="48"/>
      <c r="F879" s="48"/>
      <c r="G879" s="48"/>
      <c r="H879" s="48"/>
      <c r="I879" s="48"/>
      <c r="J879" s="48"/>
      <c r="K879" s="48"/>
      <c r="L879" s="48"/>
      <c r="M879" s="48"/>
      <c r="N879" s="48"/>
      <c r="O879" s="48"/>
      <c r="P879" s="48"/>
      <c r="Q879" s="48"/>
      <c r="R879" s="48"/>
      <c r="S879" s="48"/>
      <c r="T879" s="48"/>
      <c r="U879" s="48"/>
      <c r="V879" s="48"/>
      <c r="W879" s="48"/>
      <c r="X879" s="48"/>
      <c r="Y879" s="48"/>
      <c r="Z879" s="48"/>
      <c r="AA879" s="48"/>
    </row>
    <row r="880" spans="2:27" ht="12.75" customHeight="1" x14ac:dyDescent="0.25">
      <c r="B880" s="48"/>
      <c r="C880" s="48"/>
      <c r="D880" s="48"/>
      <c r="E880" s="48"/>
      <c r="F880" s="48"/>
      <c r="G880" s="48"/>
      <c r="H880" s="48"/>
      <c r="I880" s="48"/>
      <c r="J880" s="48"/>
      <c r="K880" s="48"/>
      <c r="L880" s="48"/>
      <c r="M880" s="48"/>
      <c r="N880" s="48"/>
      <c r="O880" s="48"/>
      <c r="P880" s="48"/>
      <c r="Q880" s="48"/>
      <c r="R880" s="48"/>
      <c r="S880" s="48"/>
      <c r="T880" s="48"/>
      <c r="U880" s="48"/>
      <c r="V880" s="48"/>
      <c r="W880" s="48"/>
      <c r="X880" s="48"/>
      <c r="Y880" s="48"/>
      <c r="Z880" s="48"/>
      <c r="AA880" s="48"/>
    </row>
    <row r="881" spans="2:27" ht="12.75" customHeight="1" x14ac:dyDescent="0.25">
      <c r="B881" s="48"/>
      <c r="C881" s="48"/>
      <c r="D881" s="48"/>
      <c r="E881" s="48"/>
      <c r="F881" s="48"/>
      <c r="G881" s="48"/>
      <c r="H881" s="48"/>
      <c r="I881" s="48"/>
      <c r="J881" s="48"/>
      <c r="K881" s="48"/>
      <c r="L881" s="48"/>
      <c r="M881" s="48"/>
      <c r="N881" s="48"/>
      <c r="O881" s="48"/>
      <c r="P881" s="48"/>
      <c r="Q881" s="48"/>
      <c r="R881" s="48"/>
      <c r="S881" s="48"/>
      <c r="T881" s="48"/>
      <c r="U881" s="48"/>
      <c r="V881" s="48"/>
      <c r="W881" s="48"/>
      <c r="X881" s="48"/>
      <c r="Y881" s="48"/>
      <c r="Z881" s="48"/>
      <c r="AA881" s="48"/>
    </row>
    <row r="882" spans="2:27" ht="12.75" customHeight="1" x14ac:dyDescent="0.25">
      <c r="B882" s="48"/>
      <c r="C882" s="48"/>
      <c r="D882" s="48"/>
      <c r="E882" s="48"/>
      <c r="F882" s="48"/>
      <c r="G882" s="48"/>
      <c r="H882" s="48"/>
      <c r="I882" s="48"/>
      <c r="J882" s="48"/>
      <c r="K882" s="48"/>
      <c r="L882" s="48"/>
      <c r="M882" s="48"/>
      <c r="N882" s="48"/>
      <c r="O882" s="48"/>
      <c r="P882" s="48"/>
      <c r="Q882" s="48"/>
      <c r="R882" s="48"/>
      <c r="S882" s="48"/>
      <c r="T882" s="48"/>
      <c r="U882" s="48"/>
      <c r="V882" s="48"/>
      <c r="W882" s="48"/>
      <c r="X882" s="48"/>
      <c r="Y882" s="48"/>
      <c r="Z882" s="48"/>
      <c r="AA882" s="48"/>
    </row>
    <row r="883" spans="2:27" ht="12.75" customHeight="1" x14ac:dyDescent="0.25">
      <c r="B883" s="48"/>
      <c r="C883" s="48"/>
      <c r="D883" s="48"/>
      <c r="E883" s="48"/>
      <c r="F883" s="48"/>
      <c r="G883" s="48"/>
      <c r="H883" s="48"/>
      <c r="I883" s="48"/>
      <c r="J883" s="48"/>
      <c r="K883" s="48"/>
      <c r="L883" s="48"/>
      <c r="M883" s="48"/>
      <c r="N883" s="48"/>
      <c r="O883" s="48"/>
      <c r="P883" s="48"/>
      <c r="Q883" s="48"/>
      <c r="R883" s="48"/>
      <c r="S883" s="48"/>
      <c r="T883" s="48"/>
      <c r="U883" s="48"/>
      <c r="V883" s="48"/>
      <c r="W883" s="48"/>
      <c r="X883" s="48"/>
      <c r="Y883" s="48"/>
      <c r="Z883" s="48"/>
      <c r="AA883" s="48"/>
    </row>
    <row r="884" spans="2:27" ht="12.75" customHeight="1" x14ac:dyDescent="0.25">
      <c r="B884" s="48"/>
      <c r="C884" s="48"/>
      <c r="D884" s="48"/>
      <c r="E884" s="48"/>
      <c r="F884" s="48"/>
      <c r="G884" s="48"/>
      <c r="H884" s="48"/>
      <c r="I884" s="48"/>
      <c r="J884" s="48"/>
      <c r="K884" s="48"/>
      <c r="L884" s="48"/>
      <c r="M884" s="48"/>
      <c r="N884" s="48"/>
      <c r="O884" s="48"/>
      <c r="P884" s="48"/>
      <c r="Q884" s="48"/>
      <c r="R884" s="48"/>
      <c r="S884" s="48"/>
      <c r="T884" s="48"/>
      <c r="U884" s="48"/>
      <c r="V884" s="48"/>
      <c r="W884" s="48"/>
      <c r="X884" s="48"/>
      <c r="Y884" s="48"/>
      <c r="Z884" s="48"/>
      <c r="AA884" s="48"/>
    </row>
    <row r="885" spans="2:27" ht="12.75" customHeight="1" x14ac:dyDescent="0.25">
      <c r="B885" s="48"/>
      <c r="C885" s="48"/>
      <c r="D885" s="48"/>
      <c r="E885" s="48"/>
      <c r="F885" s="48"/>
      <c r="G885" s="48"/>
      <c r="H885" s="48"/>
      <c r="I885" s="48"/>
      <c r="J885" s="48"/>
      <c r="K885" s="48"/>
      <c r="L885" s="48"/>
      <c r="M885" s="48"/>
      <c r="N885" s="48"/>
      <c r="O885" s="48"/>
      <c r="P885" s="48"/>
      <c r="Q885" s="48"/>
      <c r="R885" s="48"/>
      <c r="S885" s="48"/>
      <c r="T885" s="48"/>
      <c r="U885" s="48"/>
      <c r="V885" s="48"/>
      <c r="W885" s="48"/>
      <c r="X885" s="48"/>
      <c r="Y885" s="48"/>
      <c r="Z885" s="48"/>
      <c r="AA885" s="48"/>
    </row>
    <row r="886" spans="2:27" ht="12.75" customHeight="1" x14ac:dyDescent="0.25">
      <c r="B886" s="48"/>
      <c r="C886" s="48"/>
      <c r="D886" s="48"/>
      <c r="E886" s="48"/>
      <c r="F886" s="48"/>
      <c r="G886" s="48"/>
      <c r="H886" s="48"/>
      <c r="I886" s="48"/>
      <c r="J886" s="48"/>
      <c r="K886" s="48"/>
      <c r="L886" s="48"/>
      <c r="M886" s="48"/>
      <c r="N886" s="48"/>
      <c r="O886" s="48"/>
      <c r="P886" s="48"/>
      <c r="Q886" s="48"/>
      <c r="R886" s="48"/>
      <c r="S886" s="48"/>
      <c r="T886" s="48"/>
      <c r="U886" s="48"/>
      <c r="V886" s="48"/>
      <c r="W886" s="48"/>
      <c r="X886" s="48"/>
      <c r="Y886" s="48"/>
      <c r="Z886" s="48"/>
      <c r="AA886" s="48"/>
    </row>
    <row r="887" spans="2:27" ht="12.75" customHeight="1" x14ac:dyDescent="0.25">
      <c r="B887" s="48"/>
      <c r="C887" s="48"/>
      <c r="D887" s="48"/>
      <c r="E887" s="48"/>
      <c r="F887" s="48"/>
      <c r="G887" s="48"/>
      <c r="H887" s="48"/>
      <c r="I887" s="48"/>
      <c r="J887" s="48"/>
      <c r="K887" s="48"/>
      <c r="L887" s="48"/>
      <c r="M887" s="48"/>
      <c r="N887" s="48"/>
      <c r="O887" s="48"/>
      <c r="P887" s="48"/>
      <c r="Q887" s="48"/>
      <c r="R887" s="48"/>
      <c r="S887" s="48"/>
      <c r="T887" s="48"/>
      <c r="U887" s="48"/>
      <c r="V887" s="48"/>
      <c r="W887" s="48"/>
      <c r="X887" s="48"/>
      <c r="Y887" s="48"/>
      <c r="Z887" s="48"/>
      <c r="AA887" s="48"/>
    </row>
    <row r="888" spans="2:27" ht="12.75" customHeight="1" x14ac:dyDescent="0.25">
      <c r="B888" s="48"/>
      <c r="C888" s="48"/>
      <c r="D888" s="48"/>
      <c r="E888" s="48"/>
      <c r="F888" s="48"/>
      <c r="G888" s="48"/>
      <c r="H888" s="48"/>
      <c r="I888" s="48"/>
      <c r="J888" s="48"/>
      <c r="K888" s="48"/>
      <c r="L888" s="48"/>
      <c r="M888" s="48"/>
      <c r="N888" s="48"/>
      <c r="O888" s="48"/>
      <c r="P888" s="48"/>
      <c r="Q888" s="48"/>
      <c r="R888" s="48"/>
      <c r="S888" s="48"/>
      <c r="T888" s="48"/>
      <c r="U888" s="48"/>
      <c r="V888" s="48"/>
      <c r="W888" s="48"/>
      <c r="X888" s="48"/>
      <c r="Y888" s="48"/>
      <c r="Z888" s="48"/>
      <c r="AA888" s="48"/>
    </row>
    <row r="889" spans="2:27" ht="12.75" customHeight="1" x14ac:dyDescent="0.25">
      <c r="B889" s="48"/>
      <c r="C889" s="48"/>
      <c r="D889" s="48"/>
      <c r="E889" s="48"/>
      <c r="F889" s="48"/>
      <c r="G889" s="48"/>
      <c r="H889" s="48"/>
      <c r="I889" s="48"/>
      <c r="J889" s="48"/>
      <c r="K889" s="48"/>
      <c r="L889" s="48"/>
      <c r="M889" s="48"/>
      <c r="N889" s="48"/>
      <c r="O889" s="48"/>
      <c r="P889" s="48"/>
      <c r="Q889" s="48"/>
      <c r="R889" s="48"/>
      <c r="S889" s="48"/>
      <c r="T889" s="48"/>
      <c r="U889" s="48"/>
      <c r="V889" s="48"/>
      <c r="W889" s="48"/>
      <c r="X889" s="48"/>
      <c r="Y889" s="48"/>
      <c r="Z889" s="48"/>
      <c r="AA889" s="48"/>
    </row>
    <row r="890" spans="2:27" ht="12.75" customHeight="1" x14ac:dyDescent="0.25">
      <c r="B890" s="48"/>
      <c r="C890" s="48"/>
      <c r="D890" s="48"/>
      <c r="E890" s="48"/>
      <c r="F890" s="48"/>
      <c r="G890" s="48"/>
      <c r="H890" s="48"/>
      <c r="I890" s="48"/>
      <c r="J890" s="48"/>
      <c r="K890" s="48"/>
      <c r="L890" s="48"/>
      <c r="M890" s="48"/>
      <c r="N890" s="48"/>
      <c r="O890" s="48"/>
      <c r="P890" s="48"/>
      <c r="Q890" s="48"/>
      <c r="R890" s="48"/>
      <c r="S890" s="48"/>
      <c r="T890" s="48"/>
      <c r="U890" s="48"/>
      <c r="V890" s="48"/>
      <c r="W890" s="48"/>
      <c r="X890" s="48"/>
      <c r="Y890" s="48"/>
      <c r="Z890" s="48"/>
      <c r="AA890" s="48"/>
    </row>
    <row r="891" spans="2:27" ht="12.75" customHeight="1" x14ac:dyDescent="0.25">
      <c r="B891" s="48"/>
      <c r="C891" s="48"/>
      <c r="D891" s="48"/>
      <c r="E891" s="48"/>
      <c r="F891" s="48"/>
      <c r="G891" s="48"/>
      <c r="H891" s="48"/>
      <c r="I891" s="48"/>
      <c r="J891" s="48"/>
      <c r="K891" s="48"/>
      <c r="L891" s="48"/>
      <c r="M891" s="48"/>
      <c r="N891" s="48"/>
      <c r="O891" s="48"/>
      <c r="P891" s="48"/>
      <c r="Q891" s="48"/>
      <c r="R891" s="48"/>
      <c r="S891" s="48"/>
      <c r="T891" s="48"/>
      <c r="U891" s="48"/>
      <c r="V891" s="48"/>
      <c r="W891" s="48"/>
      <c r="X891" s="48"/>
      <c r="Y891" s="48"/>
      <c r="Z891" s="48"/>
      <c r="AA891" s="48"/>
    </row>
    <row r="892" spans="2:27" ht="12.75" customHeight="1" x14ac:dyDescent="0.25">
      <c r="B892" s="48"/>
      <c r="C892" s="48"/>
      <c r="D892" s="48"/>
      <c r="E892" s="48"/>
      <c r="F892" s="48"/>
      <c r="G892" s="48"/>
      <c r="H892" s="48"/>
      <c r="I892" s="48"/>
      <c r="J892" s="48"/>
      <c r="K892" s="48"/>
      <c r="L892" s="48"/>
      <c r="M892" s="48"/>
      <c r="N892" s="48"/>
      <c r="O892" s="48"/>
      <c r="P892" s="48"/>
      <c r="Q892" s="48"/>
      <c r="R892" s="48"/>
      <c r="S892" s="48"/>
      <c r="T892" s="48"/>
      <c r="U892" s="48"/>
      <c r="V892" s="48"/>
      <c r="W892" s="48"/>
      <c r="X892" s="48"/>
      <c r="Y892" s="48"/>
      <c r="Z892" s="48"/>
      <c r="AA892" s="48"/>
    </row>
    <row r="893" spans="2:27" ht="12.75" customHeight="1" x14ac:dyDescent="0.25">
      <c r="B893" s="48"/>
      <c r="C893" s="48"/>
      <c r="D893" s="48"/>
      <c r="E893" s="48"/>
      <c r="F893" s="48"/>
      <c r="G893" s="48"/>
      <c r="H893" s="48"/>
      <c r="I893" s="48"/>
      <c r="J893" s="48"/>
      <c r="K893" s="48"/>
      <c r="L893" s="48"/>
      <c r="M893" s="48"/>
      <c r="N893" s="48"/>
      <c r="O893" s="48"/>
      <c r="P893" s="48"/>
      <c r="Q893" s="48"/>
      <c r="R893" s="48"/>
      <c r="S893" s="48"/>
      <c r="T893" s="48"/>
      <c r="U893" s="48"/>
      <c r="V893" s="48"/>
      <c r="W893" s="48"/>
      <c r="X893" s="48"/>
      <c r="Y893" s="48"/>
      <c r="Z893" s="48"/>
      <c r="AA893" s="48"/>
    </row>
    <row r="894" spans="2:27" ht="12.75" customHeight="1" x14ac:dyDescent="0.25">
      <c r="B894" s="48"/>
      <c r="C894" s="48"/>
      <c r="D894" s="48"/>
      <c r="E894" s="48"/>
      <c r="F894" s="48"/>
      <c r="G894" s="48"/>
      <c r="H894" s="48"/>
      <c r="I894" s="48"/>
      <c r="J894" s="48"/>
      <c r="K894" s="48"/>
      <c r="L894" s="48"/>
      <c r="M894" s="48"/>
      <c r="N894" s="48"/>
      <c r="O894" s="48"/>
      <c r="P894" s="48"/>
      <c r="Q894" s="48"/>
      <c r="R894" s="48"/>
      <c r="S894" s="48"/>
      <c r="T894" s="48"/>
      <c r="U894" s="48"/>
      <c r="V894" s="48"/>
      <c r="W894" s="48"/>
      <c r="X894" s="48"/>
      <c r="Y894" s="48"/>
      <c r="Z894" s="48"/>
      <c r="AA894" s="48"/>
    </row>
    <row r="895" spans="2:27" ht="12.75" customHeight="1" x14ac:dyDescent="0.25">
      <c r="B895" s="48"/>
      <c r="C895" s="48"/>
      <c r="D895" s="48"/>
      <c r="E895" s="48"/>
      <c r="F895" s="48"/>
      <c r="G895" s="48"/>
      <c r="H895" s="48"/>
      <c r="I895" s="48"/>
      <c r="J895" s="48"/>
      <c r="K895" s="48"/>
      <c r="L895" s="48"/>
      <c r="M895" s="48"/>
      <c r="N895" s="48"/>
      <c r="O895" s="48"/>
      <c r="P895" s="48"/>
      <c r="Q895" s="48"/>
      <c r="R895" s="48"/>
      <c r="S895" s="48"/>
      <c r="T895" s="48"/>
      <c r="U895" s="48"/>
      <c r="V895" s="48"/>
      <c r="W895" s="48"/>
      <c r="X895" s="48"/>
      <c r="Y895" s="48"/>
      <c r="Z895" s="48"/>
      <c r="AA895" s="48"/>
    </row>
    <row r="896" spans="2:27" ht="12.75" customHeight="1" x14ac:dyDescent="0.25">
      <c r="B896" s="48"/>
      <c r="C896" s="48"/>
      <c r="D896" s="48"/>
      <c r="E896" s="48"/>
      <c r="F896" s="48"/>
      <c r="G896" s="48"/>
      <c r="H896" s="48"/>
      <c r="I896" s="48"/>
      <c r="J896" s="48"/>
      <c r="K896" s="48"/>
      <c r="L896" s="48"/>
      <c r="M896" s="48"/>
      <c r="N896" s="48"/>
      <c r="O896" s="48"/>
      <c r="P896" s="48"/>
      <c r="Q896" s="48"/>
      <c r="R896" s="48"/>
      <c r="S896" s="48"/>
      <c r="T896" s="48"/>
      <c r="U896" s="48"/>
      <c r="V896" s="48"/>
      <c r="W896" s="48"/>
      <c r="X896" s="48"/>
      <c r="Y896" s="48"/>
      <c r="Z896" s="48"/>
      <c r="AA896" s="48"/>
    </row>
    <row r="897" spans="2:27" ht="12.75" customHeight="1" x14ac:dyDescent="0.25">
      <c r="B897" s="48"/>
      <c r="C897" s="48"/>
      <c r="D897" s="48"/>
      <c r="E897" s="48"/>
      <c r="F897" s="48"/>
      <c r="G897" s="48"/>
      <c r="H897" s="48"/>
      <c r="I897" s="48"/>
      <c r="J897" s="48"/>
      <c r="K897" s="48"/>
      <c r="L897" s="48"/>
      <c r="M897" s="48"/>
      <c r="N897" s="48"/>
      <c r="O897" s="48"/>
      <c r="P897" s="48"/>
      <c r="Q897" s="48"/>
      <c r="R897" s="48"/>
      <c r="S897" s="48"/>
      <c r="T897" s="48"/>
      <c r="U897" s="48"/>
      <c r="V897" s="48"/>
      <c r="W897" s="48"/>
      <c r="X897" s="48"/>
      <c r="Y897" s="48"/>
      <c r="Z897" s="48"/>
      <c r="AA897" s="48"/>
    </row>
    <row r="898" spans="2:27" ht="12.75" customHeight="1" x14ac:dyDescent="0.25">
      <c r="B898" s="48"/>
      <c r="C898" s="48"/>
      <c r="D898" s="48"/>
      <c r="E898" s="48"/>
      <c r="F898" s="48"/>
      <c r="G898" s="48"/>
      <c r="H898" s="48"/>
      <c r="I898" s="48"/>
      <c r="J898" s="48"/>
      <c r="K898" s="48"/>
      <c r="L898" s="48"/>
      <c r="M898" s="48"/>
      <c r="N898" s="48"/>
      <c r="O898" s="48"/>
      <c r="P898" s="48"/>
      <c r="Q898" s="48"/>
      <c r="R898" s="48"/>
      <c r="S898" s="48"/>
      <c r="T898" s="48"/>
      <c r="U898" s="48"/>
      <c r="V898" s="48"/>
      <c r="W898" s="48"/>
      <c r="X898" s="48"/>
      <c r="Y898" s="48"/>
      <c r="Z898" s="48"/>
      <c r="AA898" s="48"/>
    </row>
    <row r="899" spans="2:27" ht="12.75" customHeight="1" x14ac:dyDescent="0.25">
      <c r="B899" s="48"/>
      <c r="C899" s="48"/>
      <c r="D899" s="48"/>
      <c r="E899" s="48"/>
      <c r="F899" s="48"/>
      <c r="G899" s="48"/>
      <c r="H899" s="48"/>
      <c r="I899" s="48"/>
      <c r="J899" s="48"/>
      <c r="K899" s="48"/>
      <c r="L899" s="48"/>
      <c r="M899" s="48"/>
      <c r="N899" s="48"/>
      <c r="O899" s="48"/>
      <c r="P899" s="48"/>
      <c r="Q899" s="48"/>
      <c r="R899" s="48"/>
      <c r="S899" s="48"/>
      <c r="T899" s="48"/>
      <c r="U899" s="48"/>
      <c r="V899" s="48"/>
      <c r="W899" s="48"/>
      <c r="X899" s="48"/>
      <c r="Y899" s="48"/>
      <c r="Z899" s="48"/>
      <c r="AA899" s="48"/>
    </row>
    <row r="900" spans="2:27" ht="12.75" customHeight="1" x14ac:dyDescent="0.25">
      <c r="B900" s="48"/>
      <c r="C900" s="48"/>
      <c r="D900" s="48"/>
      <c r="E900" s="48"/>
      <c r="F900" s="48"/>
      <c r="G900" s="48"/>
      <c r="H900" s="48"/>
      <c r="I900" s="48"/>
      <c r="J900" s="48"/>
      <c r="K900" s="48"/>
      <c r="L900" s="48"/>
      <c r="M900" s="48"/>
      <c r="N900" s="48"/>
      <c r="O900" s="48"/>
      <c r="P900" s="48"/>
      <c r="Q900" s="48"/>
      <c r="R900" s="48"/>
      <c r="S900" s="48"/>
      <c r="T900" s="48"/>
      <c r="U900" s="48"/>
      <c r="V900" s="48"/>
      <c r="W900" s="48"/>
      <c r="X900" s="48"/>
      <c r="Y900" s="48"/>
      <c r="Z900" s="48"/>
      <c r="AA900" s="48"/>
    </row>
    <row r="901" spans="2:27" ht="12.75" customHeight="1" x14ac:dyDescent="0.25">
      <c r="B901" s="48"/>
      <c r="C901" s="48"/>
      <c r="D901" s="48"/>
      <c r="E901" s="48"/>
      <c r="F901" s="48"/>
      <c r="G901" s="48"/>
      <c r="H901" s="48"/>
      <c r="I901" s="48"/>
      <c r="J901" s="48"/>
      <c r="K901" s="48"/>
      <c r="L901" s="48"/>
      <c r="M901" s="48"/>
      <c r="N901" s="48"/>
      <c r="O901" s="48"/>
      <c r="P901" s="48"/>
      <c r="Q901" s="48"/>
      <c r="R901" s="48"/>
      <c r="S901" s="48"/>
      <c r="T901" s="48"/>
      <c r="U901" s="48"/>
      <c r="V901" s="48"/>
      <c r="W901" s="48"/>
      <c r="X901" s="48"/>
      <c r="Y901" s="48"/>
      <c r="Z901" s="48"/>
      <c r="AA901" s="48"/>
    </row>
    <row r="902" spans="2:27" ht="12.75" customHeight="1" x14ac:dyDescent="0.25">
      <c r="B902" s="48"/>
      <c r="C902" s="48"/>
      <c r="D902" s="48"/>
      <c r="E902" s="48"/>
      <c r="F902" s="48"/>
      <c r="G902" s="48"/>
      <c r="H902" s="48"/>
      <c r="I902" s="48"/>
      <c r="J902" s="48"/>
      <c r="K902" s="48"/>
      <c r="L902" s="48"/>
      <c r="M902" s="48"/>
      <c r="N902" s="48"/>
      <c r="O902" s="48"/>
      <c r="P902" s="48"/>
      <c r="Q902" s="48"/>
      <c r="R902" s="48"/>
      <c r="S902" s="48"/>
      <c r="T902" s="48"/>
      <c r="U902" s="48"/>
      <c r="V902" s="48"/>
      <c r="W902" s="48"/>
      <c r="X902" s="48"/>
      <c r="Y902" s="48"/>
      <c r="Z902" s="48"/>
      <c r="AA902" s="48"/>
    </row>
    <row r="903" spans="2:27" ht="12.75" customHeight="1" x14ac:dyDescent="0.25">
      <c r="B903" s="48"/>
      <c r="C903" s="48"/>
      <c r="D903" s="48"/>
      <c r="E903" s="48"/>
      <c r="F903" s="48"/>
      <c r="G903" s="48"/>
      <c r="H903" s="48"/>
      <c r="I903" s="48"/>
      <c r="J903" s="48"/>
      <c r="K903" s="48"/>
      <c r="L903" s="48"/>
      <c r="M903" s="48"/>
      <c r="N903" s="48"/>
      <c r="O903" s="48"/>
      <c r="P903" s="48"/>
      <c r="Q903" s="48"/>
      <c r="R903" s="48"/>
      <c r="S903" s="48"/>
      <c r="T903" s="48"/>
      <c r="U903" s="48"/>
      <c r="V903" s="48"/>
      <c r="W903" s="48"/>
      <c r="X903" s="48"/>
      <c r="Y903" s="48"/>
      <c r="Z903" s="48"/>
      <c r="AA903" s="48"/>
    </row>
    <row r="904" spans="2:27" ht="12.75" customHeight="1" x14ac:dyDescent="0.25">
      <c r="B904" s="48"/>
      <c r="C904" s="48"/>
      <c r="D904" s="48"/>
      <c r="E904" s="48"/>
      <c r="F904" s="48"/>
      <c r="G904" s="48"/>
      <c r="H904" s="48"/>
      <c r="I904" s="48"/>
      <c r="J904" s="48"/>
      <c r="K904" s="48"/>
      <c r="L904" s="48"/>
      <c r="M904" s="48"/>
      <c r="N904" s="48"/>
      <c r="O904" s="48"/>
      <c r="P904" s="48"/>
      <c r="Q904" s="48"/>
      <c r="R904" s="48"/>
      <c r="S904" s="48"/>
      <c r="T904" s="48"/>
      <c r="U904" s="48"/>
      <c r="V904" s="48"/>
      <c r="W904" s="48"/>
      <c r="X904" s="48"/>
      <c r="Y904" s="48"/>
      <c r="Z904" s="48"/>
      <c r="AA904" s="48"/>
    </row>
    <row r="905" spans="2:27" ht="12.75" customHeight="1" x14ac:dyDescent="0.25">
      <c r="B905" s="48"/>
      <c r="C905" s="48"/>
      <c r="D905" s="48"/>
      <c r="E905" s="48"/>
      <c r="F905" s="48"/>
      <c r="G905" s="48"/>
      <c r="H905" s="48"/>
      <c r="I905" s="48"/>
      <c r="J905" s="48"/>
      <c r="K905" s="48"/>
      <c r="L905" s="48"/>
      <c r="M905" s="48"/>
      <c r="N905" s="48"/>
      <c r="O905" s="48"/>
      <c r="P905" s="48"/>
      <c r="Q905" s="48"/>
      <c r="R905" s="48"/>
      <c r="S905" s="48"/>
      <c r="T905" s="48"/>
      <c r="U905" s="48"/>
      <c r="V905" s="48"/>
      <c r="W905" s="48"/>
      <c r="X905" s="48"/>
      <c r="Y905" s="48"/>
      <c r="Z905" s="48"/>
      <c r="AA905" s="48"/>
    </row>
    <row r="906" spans="2:27" ht="12.75" customHeight="1" x14ac:dyDescent="0.25">
      <c r="B906" s="48"/>
      <c r="C906" s="48"/>
      <c r="D906" s="48"/>
      <c r="E906" s="48"/>
      <c r="F906" s="48"/>
      <c r="G906" s="48"/>
      <c r="H906" s="48"/>
      <c r="I906" s="48"/>
      <c r="J906" s="48"/>
      <c r="K906" s="48"/>
      <c r="L906" s="48"/>
      <c r="M906" s="48"/>
      <c r="N906" s="48"/>
      <c r="O906" s="48"/>
      <c r="P906" s="48"/>
      <c r="Q906" s="48"/>
      <c r="R906" s="48"/>
      <c r="S906" s="48"/>
      <c r="T906" s="48"/>
      <c r="U906" s="48"/>
      <c r="V906" s="48"/>
      <c r="W906" s="48"/>
      <c r="X906" s="48"/>
      <c r="Y906" s="48"/>
      <c r="Z906" s="48"/>
      <c r="AA906" s="48"/>
    </row>
    <row r="907" spans="2:27" ht="12.75" customHeight="1" x14ac:dyDescent="0.25">
      <c r="B907" s="48"/>
      <c r="C907" s="48"/>
      <c r="D907" s="48"/>
      <c r="E907" s="48"/>
      <c r="F907" s="48"/>
      <c r="G907" s="48"/>
      <c r="H907" s="48"/>
      <c r="I907" s="48"/>
      <c r="J907" s="48"/>
      <c r="K907" s="48"/>
      <c r="L907" s="48"/>
      <c r="M907" s="48"/>
      <c r="N907" s="48"/>
      <c r="O907" s="48"/>
      <c r="P907" s="48"/>
      <c r="Q907" s="48"/>
      <c r="R907" s="48"/>
      <c r="S907" s="48"/>
      <c r="T907" s="48"/>
      <c r="U907" s="48"/>
      <c r="V907" s="48"/>
      <c r="W907" s="48"/>
      <c r="X907" s="48"/>
      <c r="Y907" s="48"/>
      <c r="Z907" s="48"/>
      <c r="AA907" s="48"/>
    </row>
    <row r="908" spans="2:27" ht="12.75" customHeight="1" x14ac:dyDescent="0.25">
      <c r="B908" s="48"/>
      <c r="C908" s="48"/>
      <c r="D908" s="48"/>
      <c r="E908" s="48"/>
      <c r="F908" s="48"/>
      <c r="G908" s="48"/>
      <c r="H908" s="48"/>
      <c r="I908" s="48"/>
      <c r="J908" s="48"/>
      <c r="K908" s="48"/>
      <c r="L908" s="48"/>
      <c r="M908" s="48"/>
      <c r="N908" s="48"/>
      <c r="O908" s="48"/>
      <c r="P908" s="48"/>
      <c r="Q908" s="48"/>
      <c r="R908" s="48"/>
      <c r="S908" s="48"/>
      <c r="T908" s="48"/>
      <c r="U908" s="48"/>
      <c r="V908" s="48"/>
      <c r="W908" s="48"/>
      <c r="X908" s="48"/>
      <c r="Y908" s="48"/>
      <c r="Z908" s="48"/>
      <c r="AA908" s="48"/>
    </row>
    <row r="909" spans="2:27" ht="12.75" customHeight="1" x14ac:dyDescent="0.25">
      <c r="B909" s="48"/>
      <c r="C909" s="48"/>
      <c r="D909" s="48"/>
      <c r="E909" s="48"/>
      <c r="F909" s="48"/>
      <c r="G909" s="48"/>
      <c r="H909" s="48"/>
      <c r="I909" s="48"/>
      <c r="J909" s="48"/>
      <c r="K909" s="48"/>
      <c r="L909" s="48"/>
      <c r="M909" s="48"/>
      <c r="N909" s="48"/>
      <c r="O909" s="48"/>
      <c r="P909" s="48"/>
      <c r="Q909" s="48"/>
      <c r="R909" s="48"/>
      <c r="S909" s="48"/>
      <c r="T909" s="48"/>
      <c r="U909" s="48"/>
      <c r="V909" s="48"/>
      <c r="W909" s="48"/>
      <c r="X909" s="48"/>
      <c r="Y909" s="48"/>
      <c r="Z909" s="48"/>
      <c r="AA909" s="48"/>
    </row>
    <row r="910" spans="2:27" ht="12.75" customHeight="1" x14ac:dyDescent="0.25">
      <c r="B910" s="48"/>
      <c r="C910" s="48"/>
      <c r="D910" s="48"/>
      <c r="E910" s="48"/>
      <c r="F910" s="48"/>
      <c r="G910" s="48"/>
      <c r="H910" s="48"/>
      <c r="I910" s="48"/>
      <c r="J910" s="48"/>
      <c r="K910" s="48"/>
      <c r="L910" s="48"/>
      <c r="M910" s="48"/>
      <c r="N910" s="48"/>
      <c r="O910" s="48"/>
      <c r="P910" s="48"/>
      <c r="Q910" s="48"/>
      <c r="R910" s="48"/>
      <c r="S910" s="48"/>
      <c r="T910" s="48"/>
      <c r="U910" s="48"/>
      <c r="V910" s="48"/>
      <c r="W910" s="48"/>
      <c r="X910" s="48"/>
      <c r="Y910" s="48"/>
      <c r="Z910" s="48"/>
      <c r="AA910" s="48"/>
    </row>
    <row r="911" spans="2:27" ht="12.75" customHeight="1" x14ac:dyDescent="0.25">
      <c r="B911" s="48"/>
      <c r="C911" s="48"/>
      <c r="D911" s="48"/>
      <c r="E911" s="48"/>
      <c r="F911" s="48"/>
      <c r="G911" s="48"/>
      <c r="H911" s="48"/>
      <c r="I911" s="48"/>
      <c r="J911" s="48"/>
      <c r="K911" s="48"/>
      <c r="L911" s="48"/>
      <c r="M911" s="48"/>
      <c r="N911" s="48"/>
      <c r="O911" s="48"/>
      <c r="P911" s="48"/>
      <c r="Q911" s="48"/>
      <c r="R911" s="48"/>
      <c r="S911" s="48"/>
      <c r="T911" s="48"/>
      <c r="U911" s="48"/>
      <c r="V911" s="48"/>
      <c r="W911" s="48"/>
      <c r="X911" s="48"/>
      <c r="Y911" s="48"/>
      <c r="Z911" s="48"/>
      <c r="AA911" s="48"/>
    </row>
    <row r="912" spans="2:27" ht="12.75" customHeight="1" x14ac:dyDescent="0.25">
      <c r="B912" s="48"/>
      <c r="C912" s="48"/>
      <c r="D912" s="48"/>
      <c r="E912" s="48"/>
      <c r="F912" s="48"/>
      <c r="G912" s="48"/>
      <c r="H912" s="48"/>
      <c r="I912" s="48"/>
      <c r="J912" s="48"/>
      <c r="K912" s="48"/>
      <c r="L912" s="48"/>
      <c r="M912" s="48"/>
      <c r="N912" s="48"/>
      <c r="O912" s="48"/>
      <c r="P912" s="48"/>
      <c r="Q912" s="48"/>
      <c r="R912" s="48"/>
      <c r="S912" s="48"/>
      <c r="T912" s="48"/>
      <c r="U912" s="48"/>
      <c r="V912" s="48"/>
      <c r="W912" s="48"/>
      <c r="X912" s="48"/>
      <c r="Y912" s="48"/>
      <c r="Z912" s="48"/>
      <c r="AA912" s="48"/>
    </row>
    <row r="913" spans="2:27" ht="12.75" customHeight="1" x14ac:dyDescent="0.25">
      <c r="B913" s="48"/>
      <c r="C913" s="48"/>
      <c r="D913" s="48"/>
      <c r="E913" s="48"/>
      <c r="F913" s="48"/>
      <c r="G913" s="48"/>
      <c r="H913" s="48"/>
      <c r="I913" s="48"/>
      <c r="J913" s="48"/>
      <c r="K913" s="48"/>
      <c r="L913" s="48"/>
      <c r="M913" s="48"/>
      <c r="N913" s="48"/>
      <c r="O913" s="48"/>
      <c r="P913" s="48"/>
      <c r="Q913" s="48"/>
      <c r="R913" s="48"/>
      <c r="S913" s="48"/>
      <c r="T913" s="48"/>
      <c r="U913" s="48"/>
      <c r="V913" s="48"/>
      <c r="W913" s="48"/>
      <c r="X913" s="48"/>
      <c r="Y913" s="48"/>
      <c r="Z913" s="48"/>
      <c r="AA913" s="48"/>
    </row>
    <row r="914" spans="2:27" ht="12.75" customHeight="1" x14ac:dyDescent="0.25">
      <c r="B914" s="48"/>
      <c r="C914" s="48"/>
      <c r="D914" s="48"/>
      <c r="E914" s="48"/>
      <c r="F914" s="48"/>
      <c r="G914" s="48"/>
      <c r="H914" s="48"/>
      <c r="I914" s="48"/>
      <c r="J914" s="48"/>
      <c r="K914" s="48"/>
      <c r="L914" s="48"/>
      <c r="M914" s="48"/>
      <c r="N914" s="48"/>
      <c r="O914" s="48"/>
      <c r="P914" s="48"/>
      <c r="Q914" s="48"/>
      <c r="R914" s="48"/>
      <c r="S914" s="48"/>
      <c r="T914" s="48"/>
      <c r="U914" s="48"/>
      <c r="V914" s="48"/>
      <c r="W914" s="48"/>
      <c r="X914" s="48"/>
      <c r="Y914" s="48"/>
      <c r="Z914" s="48"/>
      <c r="AA914" s="48"/>
    </row>
    <row r="915" spans="2:27" ht="12.75" customHeight="1" x14ac:dyDescent="0.25">
      <c r="B915" s="48"/>
      <c r="C915" s="48"/>
      <c r="D915" s="48"/>
      <c r="E915" s="48"/>
      <c r="F915" s="48"/>
      <c r="G915" s="48"/>
      <c r="H915" s="48"/>
      <c r="I915" s="48"/>
      <c r="J915" s="48"/>
      <c r="K915" s="48"/>
      <c r="L915" s="48"/>
      <c r="M915" s="48"/>
      <c r="N915" s="48"/>
      <c r="O915" s="48"/>
      <c r="P915" s="48"/>
      <c r="Q915" s="48"/>
      <c r="R915" s="48"/>
      <c r="S915" s="48"/>
      <c r="T915" s="48"/>
      <c r="U915" s="48"/>
      <c r="V915" s="48"/>
      <c r="W915" s="48"/>
      <c r="X915" s="48"/>
      <c r="Y915" s="48"/>
      <c r="Z915" s="48"/>
      <c r="AA915" s="48"/>
    </row>
    <row r="916" spans="2:27" ht="12.75" customHeight="1" x14ac:dyDescent="0.25">
      <c r="B916" s="48"/>
      <c r="C916" s="48"/>
      <c r="D916" s="48"/>
      <c r="E916" s="48"/>
      <c r="F916" s="48"/>
      <c r="G916" s="48"/>
      <c r="H916" s="48"/>
      <c r="I916" s="48"/>
      <c r="J916" s="48"/>
      <c r="K916" s="48"/>
      <c r="L916" s="48"/>
      <c r="M916" s="48"/>
      <c r="N916" s="48"/>
      <c r="O916" s="48"/>
      <c r="P916" s="48"/>
      <c r="Q916" s="48"/>
      <c r="R916" s="48"/>
      <c r="S916" s="48"/>
      <c r="T916" s="48"/>
      <c r="U916" s="48"/>
      <c r="V916" s="48"/>
      <c r="W916" s="48"/>
      <c r="X916" s="48"/>
      <c r="Y916" s="48"/>
      <c r="Z916" s="48"/>
      <c r="AA916" s="48"/>
    </row>
    <row r="917" spans="2:27" ht="12.75" customHeight="1" x14ac:dyDescent="0.25">
      <c r="B917" s="48"/>
      <c r="C917" s="48"/>
      <c r="D917" s="48"/>
      <c r="E917" s="48"/>
      <c r="F917" s="48"/>
      <c r="G917" s="48"/>
      <c r="H917" s="48"/>
      <c r="I917" s="48"/>
      <c r="J917" s="48"/>
      <c r="K917" s="48"/>
      <c r="L917" s="48"/>
      <c r="M917" s="48"/>
      <c r="N917" s="48"/>
      <c r="O917" s="48"/>
      <c r="P917" s="48"/>
      <c r="Q917" s="48"/>
      <c r="R917" s="48"/>
      <c r="S917" s="48"/>
      <c r="T917" s="48"/>
      <c r="U917" s="48"/>
      <c r="V917" s="48"/>
      <c r="W917" s="48"/>
      <c r="X917" s="48"/>
      <c r="Y917" s="48"/>
      <c r="Z917" s="48"/>
      <c r="AA917" s="48"/>
    </row>
    <row r="918" spans="2:27" ht="12.75" customHeight="1" x14ac:dyDescent="0.25">
      <c r="B918" s="48"/>
      <c r="C918" s="48"/>
      <c r="D918" s="48"/>
      <c r="E918" s="48"/>
      <c r="F918" s="48"/>
      <c r="G918" s="48"/>
      <c r="H918" s="48"/>
      <c r="I918" s="48"/>
      <c r="J918" s="48"/>
      <c r="K918" s="48"/>
      <c r="L918" s="48"/>
      <c r="M918" s="48"/>
      <c r="N918" s="48"/>
      <c r="O918" s="48"/>
      <c r="P918" s="48"/>
      <c r="Q918" s="48"/>
      <c r="R918" s="48"/>
      <c r="S918" s="48"/>
      <c r="T918" s="48"/>
      <c r="U918" s="48"/>
      <c r="V918" s="48"/>
      <c r="W918" s="48"/>
      <c r="X918" s="48"/>
      <c r="Y918" s="48"/>
      <c r="Z918" s="48"/>
      <c r="AA918" s="48"/>
    </row>
    <row r="919" spans="2:27" ht="12.75" customHeight="1" x14ac:dyDescent="0.25">
      <c r="B919" s="48"/>
      <c r="C919" s="48"/>
      <c r="D919" s="48"/>
      <c r="E919" s="48"/>
      <c r="F919" s="48"/>
      <c r="G919" s="48"/>
      <c r="H919" s="48"/>
      <c r="I919" s="48"/>
      <c r="J919" s="48"/>
      <c r="K919" s="48"/>
      <c r="L919" s="48"/>
      <c r="M919" s="48"/>
      <c r="N919" s="48"/>
      <c r="O919" s="48"/>
      <c r="P919" s="48"/>
      <c r="Q919" s="48"/>
      <c r="R919" s="48"/>
      <c r="S919" s="48"/>
      <c r="T919" s="48"/>
      <c r="U919" s="48"/>
      <c r="V919" s="48"/>
      <c r="W919" s="48"/>
      <c r="X919" s="48"/>
      <c r="Y919" s="48"/>
      <c r="Z919" s="48"/>
      <c r="AA919" s="48"/>
    </row>
    <row r="920" spans="2:27" ht="12.75" customHeight="1" x14ac:dyDescent="0.25">
      <c r="B920" s="48"/>
      <c r="C920" s="48"/>
      <c r="D920" s="48"/>
      <c r="E920" s="48"/>
      <c r="F920" s="48"/>
      <c r="G920" s="48"/>
      <c r="H920" s="48"/>
      <c r="I920" s="48"/>
      <c r="J920" s="48"/>
      <c r="K920" s="48"/>
      <c r="L920" s="48"/>
      <c r="M920" s="48"/>
      <c r="N920" s="48"/>
      <c r="O920" s="48"/>
      <c r="P920" s="48"/>
      <c r="Q920" s="48"/>
      <c r="R920" s="48"/>
      <c r="S920" s="48"/>
      <c r="T920" s="48"/>
      <c r="U920" s="48"/>
      <c r="V920" s="48"/>
      <c r="W920" s="48"/>
      <c r="X920" s="48"/>
      <c r="Y920" s="48"/>
      <c r="Z920" s="48"/>
      <c r="AA920" s="48"/>
    </row>
    <row r="921" spans="2:27" ht="12.75" customHeight="1" x14ac:dyDescent="0.25">
      <c r="B921" s="48"/>
      <c r="C921" s="48"/>
      <c r="D921" s="48"/>
      <c r="E921" s="48"/>
      <c r="F921" s="48"/>
      <c r="G921" s="48"/>
      <c r="H921" s="48"/>
      <c r="I921" s="48"/>
      <c r="J921" s="48"/>
      <c r="K921" s="48"/>
      <c r="L921" s="48"/>
      <c r="M921" s="48"/>
      <c r="N921" s="48"/>
      <c r="O921" s="48"/>
      <c r="P921" s="48"/>
      <c r="Q921" s="48"/>
      <c r="R921" s="48"/>
      <c r="S921" s="48"/>
      <c r="T921" s="48"/>
      <c r="U921" s="48"/>
      <c r="V921" s="48"/>
      <c r="W921" s="48"/>
      <c r="X921" s="48"/>
      <c r="Y921" s="48"/>
      <c r="Z921" s="48"/>
      <c r="AA921" s="48"/>
    </row>
    <row r="922" spans="2:27" ht="12.75" customHeight="1" x14ac:dyDescent="0.25">
      <c r="B922" s="48"/>
      <c r="C922" s="48"/>
      <c r="D922" s="48"/>
      <c r="E922" s="48"/>
      <c r="F922" s="48"/>
      <c r="G922" s="48"/>
      <c r="H922" s="48"/>
      <c r="I922" s="48"/>
      <c r="J922" s="48"/>
      <c r="K922" s="48"/>
      <c r="L922" s="48"/>
      <c r="M922" s="48"/>
      <c r="N922" s="48"/>
      <c r="O922" s="48"/>
      <c r="P922" s="48"/>
      <c r="Q922" s="48"/>
      <c r="R922" s="48"/>
      <c r="S922" s="48"/>
      <c r="T922" s="48"/>
      <c r="U922" s="48"/>
      <c r="V922" s="48"/>
      <c r="W922" s="48"/>
      <c r="X922" s="48"/>
      <c r="Y922" s="48"/>
      <c r="Z922" s="48"/>
      <c r="AA922" s="48"/>
    </row>
    <row r="923" spans="2:27" ht="12.75" customHeight="1" x14ac:dyDescent="0.25">
      <c r="B923" s="48"/>
      <c r="C923" s="48"/>
      <c r="D923" s="48"/>
      <c r="E923" s="48"/>
      <c r="F923" s="48"/>
      <c r="G923" s="48"/>
      <c r="H923" s="48"/>
      <c r="I923" s="48"/>
      <c r="J923" s="48"/>
      <c r="K923" s="48"/>
      <c r="L923" s="48"/>
      <c r="M923" s="48"/>
      <c r="N923" s="48"/>
      <c r="O923" s="48"/>
      <c r="P923" s="48"/>
      <c r="Q923" s="48"/>
      <c r="R923" s="48"/>
      <c r="S923" s="48"/>
      <c r="T923" s="48"/>
      <c r="U923" s="48"/>
      <c r="V923" s="48"/>
      <c r="W923" s="48"/>
      <c r="X923" s="48"/>
      <c r="Y923" s="48"/>
      <c r="Z923" s="48"/>
      <c r="AA923" s="48"/>
    </row>
    <row r="924" spans="2:27" ht="12.75" customHeight="1" x14ac:dyDescent="0.25">
      <c r="B924" s="48"/>
      <c r="C924" s="48"/>
      <c r="D924" s="48"/>
      <c r="E924" s="48"/>
      <c r="F924" s="48"/>
      <c r="G924" s="48"/>
      <c r="H924" s="48"/>
      <c r="I924" s="48"/>
      <c r="J924" s="48"/>
      <c r="K924" s="48"/>
      <c r="L924" s="48"/>
      <c r="M924" s="48"/>
      <c r="N924" s="48"/>
      <c r="O924" s="48"/>
      <c r="P924" s="48"/>
      <c r="Q924" s="48"/>
      <c r="R924" s="48"/>
      <c r="S924" s="48"/>
      <c r="T924" s="48"/>
      <c r="U924" s="48"/>
      <c r="V924" s="48"/>
      <c r="W924" s="48"/>
      <c r="X924" s="48"/>
      <c r="Y924" s="48"/>
      <c r="Z924" s="48"/>
      <c r="AA924" s="48"/>
    </row>
    <row r="925" spans="2:27" ht="12.75" customHeight="1" x14ac:dyDescent="0.25">
      <c r="B925" s="48"/>
      <c r="C925" s="48"/>
      <c r="D925" s="48"/>
      <c r="E925" s="48"/>
      <c r="F925" s="48"/>
      <c r="G925" s="48"/>
      <c r="H925" s="48"/>
      <c r="I925" s="48"/>
      <c r="J925" s="48"/>
      <c r="K925" s="48"/>
      <c r="L925" s="48"/>
      <c r="M925" s="48"/>
      <c r="N925" s="48"/>
      <c r="O925" s="48"/>
      <c r="P925" s="48"/>
      <c r="Q925" s="48"/>
      <c r="R925" s="48"/>
      <c r="S925" s="48"/>
      <c r="T925" s="48"/>
      <c r="U925" s="48"/>
      <c r="V925" s="48"/>
      <c r="W925" s="48"/>
      <c r="X925" s="48"/>
      <c r="Y925" s="48"/>
      <c r="Z925" s="48"/>
      <c r="AA925" s="48"/>
    </row>
    <row r="926" spans="2:27" ht="12.75" customHeight="1" x14ac:dyDescent="0.25">
      <c r="B926" s="48"/>
      <c r="C926" s="48"/>
      <c r="D926" s="48"/>
      <c r="E926" s="48"/>
      <c r="F926" s="48"/>
      <c r="G926" s="48"/>
      <c r="H926" s="48"/>
      <c r="I926" s="48"/>
      <c r="J926" s="48"/>
      <c r="K926" s="48"/>
      <c r="L926" s="48"/>
      <c r="M926" s="48"/>
      <c r="N926" s="48"/>
      <c r="O926" s="48"/>
      <c r="P926" s="48"/>
      <c r="Q926" s="48"/>
      <c r="R926" s="48"/>
      <c r="S926" s="48"/>
      <c r="T926" s="48"/>
      <c r="U926" s="48"/>
      <c r="V926" s="48"/>
      <c r="W926" s="48"/>
      <c r="X926" s="48"/>
      <c r="Y926" s="48"/>
      <c r="Z926" s="48"/>
      <c r="AA926" s="48"/>
    </row>
    <row r="927" spans="2:27" ht="12.75" customHeight="1" x14ac:dyDescent="0.25">
      <c r="B927" s="48"/>
      <c r="C927" s="48"/>
      <c r="D927" s="48"/>
      <c r="E927" s="48"/>
      <c r="F927" s="48"/>
      <c r="G927" s="48"/>
      <c r="H927" s="48"/>
      <c r="I927" s="48"/>
      <c r="J927" s="48"/>
      <c r="K927" s="48"/>
      <c r="L927" s="48"/>
      <c r="M927" s="48"/>
      <c r="N927" s="48"/>
      <c r="O927" s="48"/>
      <c r="P927" s="48"/>
      <c r="Q927" s="48"/>
      <c r="R927" s="48"/>
      <c r="S927" s="48"/>
      <c r="T927" s="48"/>
      <c r="U927" s="48"/>
      <c r="V927" s="48"/>
      <c r="W927" s="48"/>
      <c r="X927" s="48"/>
      <c r="Y927" s="48"/>
      <c r="Z927" s="48"/>
      <c r="AA927" s="48"/>
    </row>
    <row r="928" spans="2:27" ht="12.75" customHeight="1" x14ac:dyDescent="0.25">
      <c r="B928" s="48"/>
      <c r="C928" s="48"/>
      <c r="D928" s="48"/>
      <c r="E928" s="48"/>
      <c r="F928" s="48"/>
      <c r="G928" s="48"/>
      <c r="H928" s="48"/>
      <c r="I928" s="48"/>
      <c r="J928" s="48"/>
      <c r="K928" s="48"/>
      <c r="L928" s="48"/>
      <c r="M928" s="48"/>
      <c r="N928" s="48"/>
      <c r="O928" s="48"/>
      <c r="P928" s="48"/>
      <c r="Q928" s="48"/>
      <c r="R928" s="48"/>
      <c r="S928" s="48"/>
      <c r="T928" s="48"/>
      <c r="U928" s="48"/>
      <c r="V928" s="48"/>
      <c r="W928" s="48"/>
      <c r="X928" s="48"/>
      <c r="Y928" s="48"/>
      <c r="Z928" s="48"/>
      <c r="AA928" s="48"/>
    </row>
    <row r="929" spans="2:27" ht="12.75" customHeight="1" x14ac:dyDescent="0.25">
      <c r="B929" s="48"/>
      <c r="C929" s="48"/>
      <c r="D929" s="48"/>
      <c r="E929" s="48"/>
      <c r="F929" s="48"/>
      <c r="G929" s="48"/>
      <c r="H929" s="48"/>
      <c r="I929" s="48"/>
      <c r="J929" s="48"/>
      <c r="K929" s="48"/>
      <c r="L929" s="48"/>
      <c r="M929" s="48"/>
      <c r="N929" s="48"/>
      <c r="O929" s="48"/>
      <c r="P929" s="48"/>
      <c r="Q929" s="48"/>
      <c r="R929" s="48"/>
      <c r="S929" s="48"/>
      <c r="T929" s="48"/>
      <c r="U929" s="48"/>
      <c r="V929" s="48"/>
      <c r="W929" s="48"/>
      <c r="X929" s="48"/>
      <c r="Y929" s="48"/>
      <c r="Z929" s="48"/>
      <c r="AA929" s="48"/>
    </row>
    <row r="930" spans="2:27" ht="12.75" customHeight="1" x14ac:dyDescent="0.25">
      <c r="B930" s="48"/>
      <c r="C930" s="48"/>
      <c r="D930" s="48"/>
      <c r="E930" s="48"/>
      <c r="F930" s="48"/>
      <c r="G930" s="48"/>
      <c r="H930" s="48"/>
      <c r="I930" s="48"/>
      <c r="J930" s="48"/>
      <c r="K930" s="48"/>
      <c r="L930" s="48"/>
      <c r="M930" s="48"/>
      <c r="N930" s="48"/>
      <c r="O930" s="48"/>
      <c r="P930" s="48"/>
      <c r="Q930" s="48"/>
      <c r="R930" s="48"/>
      <c r="S930" s="48"/>
      <c r="T930" s="48"/>
      <c r="U930" s="48"/>
      <c r="V930" s="48"/>
      <c r="W930" s="48"/>
      <c r="X930" s="48"/>
      <c r="Y930" s="48"/>
      <c r="Z930" s="48"/>
      <c r="AA930" s="48"/>
    </row>
    <row r="931" spans="2:27" ht="12.75" customHeight="1" x14ac:dyDescent="0.25">
      <c r="B931" s="48"/>
      <c r="C931" s="48"/>
      <c r="D931" s="48"/>
      <c r="E931" s="48"/>
      <c r="F931" s="48"/>
      <c r="G931" s="48"/>
      <c r="H931" s="48"/>
      <c r="I931" s="48"/>
      <c r="J931" s="48"/>
      <c r="K931" s="48"/>
      <c r="L931" s="48"/>
      <c r="M931" s="48"/>
      <c r="N931" s="48"/>
      <c r="O931" s="48"/>
      <c r="P931" s="48"/>
      <c r="Q931" s="48"/>
      <c r="R931" s="48"/>
      <c r="S931" s="48"/>
      <c r="T931" s="48"/>
      <c r="U931" s="48"/>
      <c r="V931" s="48"/>
      <c r="W931" s="48"/>
      <c r="X931" s="48"/>
      <c r="Y931" s="48"/>
      <c r="Z931" s="48"/>
      <c r="AA931" s="48"/>
    </row>
    <row r="932" spans="2:27" ht="12.75" customHeight="1" x14ac:dyDescent="0.25">
      <c r="B932" s="48"/>
      <c r="C932" s="48"/>
      <c r="D932" s="48"/>
      <c r="E932" s="48"/>
      <c r="F932" s="48"/>
      <c r="G932" s="48"/>
      <c r="H932" s="48"/>
      <c r="I932" s="48"/>
      <c r="J932" s="48"/>
      <c r="K932" s="48"/>
      <c r="L932" s="48"/>
      <c r="M932" s="48"/>
      <c r="N932" s="48"/>
      <c r="O932" s="48"/>
      <c r="P932" s="48"/>
      <c r="Q932" s="48"/>
      <c r="R932" s="48"/>
      <c r="S932" s="48"/>
      <c r="T932" s="48"/>
      <c r="U932" s="48"/>
      <c r="V932" s="48"/>
      <c r="W932" s="48"/>
      <c r="X932" s="48"/>
      <c r="Y932" s="48"/>
      <c r="Z932" s="48"/>
      <c r="AA932" s="48"/>
    </row>
    <row r="933" spans="2:27" ht="12.75" customHeight="1" x14ac:dyDescent="0.25">
      <c r="B933" s="48"/>
      <c r="C933" s="48"/>
      <c r="D933" s="48"/>
      <c r="E933" s="48"/>
      <c r="F933" s="48"/>
      <c r="G933" s="48"/>
      <c r="H933" s="48"/>
      <c r="I933" s="48"/>
      <c r="J933" s="48"/>
      <c r="K933" s="48"/>
      <c r="L933" s="48"/>
      <c r="M933" s="48"/>
      <c r="N933" s="48"/>
      <c r="O933" s="48"/>
      <c r="P933" s="48"/>
      <c r="Q933" s="48"/>
      <c r="R933" s="48"/>
      <c r="S933" s="48"/>
      <c r="T933" s="48"/>
      <c r="U933" s="48"/>
      <c r="V933" s="48"/>
      <c r="W933" s="48"/>
      <c r="X933" s="48"/>
      <c r="Y933" s="48"/>
      <c r="Z933" s="48"/>
      <c r="AA933" s="48"/>
    </row>
    <row r="934" spans="2:27" ht="12.75" customHeight="1" x14ac:dyDescent="0.25">
      <c r="B934" s="48"/>
      <c r="C934" s="48"/>
      <c r="D934" s="48"/>
      <c r="E934" s="48"/>
      <c r="F934" s="48"/>
      <c r="G934" s="48"/>
      <c r="H934" s="48"/>
      <c r="I934" s="48"/>
      <c r="J934" s="48"/>
      <c r="K934" s="48"/>
      <c r="L934" s="48"/>
      <c r="M934" s="48"/>
      <c r="N934" s="48"/>
      <c r="O934" s="48"/>
      <c r="P934" s="48"/>
      <c r="Q934" s="48"/>
      <c r="R934" s="48"/>
      <c r="S934" s="48"/>
      <c r="T934" s="48"/>
      <c r="U934" s="48"/>
      <c r="V934" s="48"/>
      <c r="W934" s="48"/>
      <c r="X934" s="48"/>
      <c r="Y934" s="48"/>
      <c r="Z934" s="48"/>
      <c r="AA934" s="48"/>
    </row>
    <row r="935" spans="2:27" ht="12.75" customHeight="1" x14ac:dyDescent="0.25">
      <c r="B935" s="48"/>
      <c r="C935" s="48"/>
      <c r="D935" s="48"/>
      <c r="E935" s="48"/>
      <c r="F935" s="48"/>
      <c r="G935" s="48"/>
      <c r="H935" s="48"/>
      <c r="I935" s="48"/>
      <c r="J935" s="48"/>
      <c r="K935" s="48"/>
      <c r="L935" s="48"/>
      <c r="M935" s="48"/>
      <c r="N935" s="48"/>
      <c r="O935" s="48"/>
      <c r="P935" s="48"/>
      <c r="Q935" s="48"/>
      <c r="R935" s="48"/>
      <c r="S935" s="48"/>
      <c r="T935" s="48"/>
      <c r="U935" s="48"/>
      <c r="V935" s="48"/>
      <c r="W935" s="48"/>
      <c r="X935" s="48"/>
      <c r="Y935" s="48"/>
      <c r="Z935" s="48"/>
      <c r="AA935" s="48"/>
    </row>
    <row r="936" spans="2:27" ht="12.75" customHeight="1" x14ac:dyDescent="0.25">
      <c r="B936" s="48"/>
      <c r="C936" s="48"/>
      <c r="D936" s="48"/>
      <c r="E936" s="48"/>
      <c r="F936" s="48"/>
      <c r="G936" s="48"/>
      <c r="H936" s="48"/>
      <c r="I936" s="48"/>
      <c r="J936" s="48"/>
      <c r="K936" s="48"/>
      <c r="L936" s="48"/>
      <c r="M936" s="48"/>
      <c r="N936" s="48"/>
      <c r="O936" s="48"/>
      <c r="P936" s="48"/>
      <c r="Q936" s="48"/>
      <c r="R936" s="48"/>
      <c r="S936" s="48"/>
      <c r="T936" s="48"/>
      <c r="U936" s="48"/>
      <c r="V936" s="48"/>
      <c r="W936" s="48"/>
      <c r="X936" s="48"/>
      <c r="Y936" s="48"/>
      <c r="Z936" s="48"/>
      <c r="AA936" s="48"/>
    </row>
    <row r="937" spans="2:27" ht="12.75" customHeight="1" x14ac:dyDescent="0.25">
      <c r="B937" s="48"/>
      <c r="C937" s="48"/>
      <c r="D937" s="48"/>
      <c r="E937" s="48"/>
      <c r="F937" s="48"/>
      <c r="G937" s="48"/>
      <c r="H937" s="48"/>
      <c r="I937" s="48"/>
      <c r="J937" s="48"/>
      <c r="K937" s="48"/>
      <c r="L937" s="48"/>
      <c r="M937" s="48"/>
      <c r="N937" s="48"/>
      <c r="O937" s="48"/>
      <c r="P937" s="48"/>
      <c r="Q937" s="48"/>
      <c r="R937" s="48"/>
      <c r="S937" s="48"/>
      <c r="T937" s="48"/>
      <c r="U937" s="48"/>
      <c r="V937" s="48"/>
      <c r="W937" s="48"/>
      <c r="X937" s="48"/>
      <c r="Y937" s="48"/>
      <c r="Z937" s="48"/>
      <c r="AA937" s="48"/>
    </row>
    <row r="938" spans="2:27" ht="12.75" customHeight="1" x14ac:dyDescent="0.25">
      <c r="B938" s="48"/>
      <c r="C938" s="48"/>
      <c r="D938" s="48"/>
      <c r="E938" s="48"/>
      <c r="F938" s="48"/>
      <c r="G938" s="48"/>
      <c r="H938" s="48"/>
      <c r="I938" s="48"/>
      <c r="J938" s="48"/>
      <c r="K938" s="48"/>
      <c r="L938" s="48"/>
      <c r="M938" s="48"/>
      <c r="N938" s="48"/>
      <c r="O938" s="48"/>
      <c r="P938" s="48"/>
      <c r="Q938" s="48"/>
      <c r="R938" s="48"/>
      <c r="S938" s="48"/>
      <c r="T938" s="48"/>
      <c r="U938" s="48"/>
      <c r="V938" s="48"/>
      <c r="W938" s="48"/>
      <c r="X938" s="48"/>
      <c r="Y938" s="48"/>
      <c r="Z938" s="48"/>
      <c r="AA938" s="48"/>
    </row>
    <row r="939" spans="2:27" ht="12.75" customHeight="1" x14ac:dyDescent="0.25">
      <c r="B939" s="48"/>
      <c r="C939" s="48"/>
      <c r="D939" s="48"/>
      <c r="E939" s="48"/>
      <c r="F939" s="48"/>
      <c r="G939" s="48"/>
      <c r="H939" s="48"/>
      <c r="I939" s="48"/>
      <c r="J939" s="48"/>
      <c r="K939" s="48"/>
      <c r="L939" s="48"/>
      <c r="M939" s="48"/>
      <c r="N939" s="48"/>
      <c r="O939" s="48"/>
      <c r="P939" s="48"/>
      <c r="Q939" s="48"/>
      <c r="R939" s="48"/>
      <c r="S939" s="48"/>
      <c r="T939" s="48"/>
      <c r="U939" s="48"/>
      <c r="V939" s="48"/>
      <c r="W939" s="48"/>
      <c r="X939" s="48"/>
      <c r="Y939" s="48"/>
      <c r="Z939" s="48"/>
      <c r="AA939" s="48"/>
    </row>
    <row r="940" spans="2:27" ht="12.75" customHeight="1" x14ac:dyDescent="0.25">
      <c r="B940" s="48"/>
      <c r="C940" s="48"/>
      <c r="D940" s="48"/>
      <c r="E940" s="48"/>
      <c r="F940" s="48"/>
      <c r="G940" s="48"/>
      <c r="H940" s="48"/>
      <c r="I940" s="48"/>
      <c r="J940" s="48"/>
      <c r="K940" s="48"/>
      <c r="L940" s="48"/>
      <c r="M940" s="48"/>
      <c r="N940" s="48"/>
      <c r="O940" s="48"/>
      <c r="P940" s="48"/>
      <c r="Q940" s="48"/>
      <c r="R940" s="48"/>
      <c r="S940" s="48"/>
      <c r="T940" s="48"/>
      <c r="U940" s="48"/>
      <c r="V940" s="48"/>
      <c r="W940" s="48"/>
      <c r="X940" s="48"/>
      <c r="Y940" s="48"/>
      <c r="Z940" s="48"/>
      <c r="AA940" s="48"/>
    </row>
    <row r="941" spans="2:27" ht="12.75" customHeight="1" x14ac:dyDescent="0.25">
      <c r="B941" s="48"/>
      <c r="C941" s="48"/>
      <c r="D941" s="48"/>
      <c r="E941" s="48"/>
      <c r="F941" s="48"/>
      <c r="G941" s="48"/>
      <c r="H941" s="48"/>
      <c r="I941" s="48"/>
      <c r="J941" s="48"/>
      <c r="K941" s="48"/>
      <c r="L941" s="48"/>
      <c r="M941" s="48"/>
      <c r="N941" s="48"/>
      <c r="O941" s="48"/>
      <c r="P941" s="48"/>
      <c r="Q941" s="48"/>
      <c r="R941" s="48"/>
      <c r="S941" s="48"/>
      <c r="T941" s="48"/>
      <c r="U941" s="48"/>
      <c r="V941" s="48"/>
      <c r="W941" s="48"/>
      <c r="X941" s="48"/>
      <c r="Y941" s="48"/>
      <c r="Z941" s="48"/>
      <c r="AA941" s="48"/>
    </row>
    <row r="942" spans="2:27" ht="12.75" customHeight="1" x14ac:dyDescent="0.25">
      <c r="B942" s="48"/>
      <c r="C942" s="48"/>
      <c r="D942" s="48"/>
      <c r="E942" s="48"/>
      <c r="F942" s="48"/>
      <c r="G942" s="48"/>
      <c r="H942" s="48"/>
      <c r="I942" s="48"/>
      <c r="J942" s="48"/>
      <c r="K942" s="48"/>
      <c r="L942" s="48"/>
      <c r="M942" s="48"/>
      <c r="N942" s="48"/>
      <c r="O942" s="48"/>
      <c r="P942" s="48"/>
      <c r="Q942" s="48"/>
      <c r="R942" s="48"/>
      <c r="S942" s="48"/>
      <c r="T942" s="48"/>
      <c r="U942" s="48"/>
      <c r="V942" s="48"/>
      <c r="W942" s="48"/>
      <c r="X942" s="48"/>
      <c r="Y942" s="48"/>
      <c r="Z942" s="48"/>
      <c r="AA942" s="48"/>
    </row>
    <row r="943" spans="2:27" ht="12.75" customHeight="1" x14ac:dyDescent="0.25">
      <c r="B943" s="48"/>
      <c r="C943" s="48"/>
      <c r="D943" s="48"/>
      <c r="E943" s="48"/>
      <c r="F943" s="48"/>
      <c r="G943" s="48"/>
      <c r="H943" s="48"/>
      <c r="I943" s="48"/>
      <c r="J943" s="48"/>
      <c r="K943" s="48"/>
      <c r="L943" s="48"/>
      <c r="M943" s="48"/>
      <c r="N943" s="48"/>
      <c r="O943" s="48"/>
      <c r="P943" s="48"/>
      <c r="Q943" s="48"/>
      <c r="R943" s="48"/>
      <c r="S943" s="48"/>
      <c r="T943" s="48"/>
      <c r="U943" s="48"/>
      <c r="V943" s="48"/>
      <c r="W943" s="48"/>
      <c r="X943" s="48"/>
      <c r="Y943" s="48"/>
      <c r="Z943" s="48"/>
      <c r="AA943" s="48"/>
    </row>
    <row r="944" spans="2:27" ht="12.75" customHeight="1" x14ac:dyDescent="0.25">
      <c r="B944" s="48"/>
      <c r="C944" s="48"/>
      <c r="D944" s="48"/>
      <c r="E944" s="48"/>
      <c r="F944" s="48"/>
      <c r="G944" s="48"/>
      <c r="H944" s="48"/>
      <c r="I944" s="48"/>
      <c r="J944" s="48"/>
      <c r="K944" s="48"/>
      <c r="L944" s="48"/>
      <c r="M944" s="48"/>
      <c r="N944" s="48"/>
      <c r="O944" s="48"/>
      <c r="P944" s="48"/>
      <c r="Q944" s="48"/>
      <c r="R944" s="48"/>
      <c r="S944" s="48"/>
      <c r="T944" s="48"/>
      <c r="U944" s="48"/>
      <c r="V944" s="48"/>
      <c r="W944" s="48"/>
      <c r="X944" s="48"/>
      <c r="Y944" s="48"/>
      <c r="Z944" s="48"/>
      <c r="AA944" s="48"/>
    </row>
    <row r="945" spans="2:27" ht="12.75" customHeight="1" x14ac:dyDescent="0.25">
      <c r="B945" s="48"/>
      <c r="C945" s="48"/>
      <c r="D945" s="48"/>
      <c r="E945" s="48"/>
      <c r="F945" s="48"/>
      <c r="G945" s="48"/>
      <c r="H945" s="48"/>
      <c r="I945" s="48"/>
      <c r="J945" s="48"/>
      <c r="K945" s="48"/>
      <c r="L945" s="48"/>
      <c r="M945" s="48"/>
      <c r="N945" s="48"/>
      <c r="O945" s="48"/>
      <c r="P945" s="48"/>
      <c r="Q945" s="48"/>
      <c r="R945" s="48"/>
      <c r="S945" s="48"/>
      <c r="T945" s="48"/>
      <c r="U945" s="48"/>
      <c r="V945" s="48"/>
      <c r="W945" s="48"/>
      <c r="X945" s="48"/>
      <c r="Y945" s="48"/>
      <c r="Z945" s="48"/>
      <c r="AA945" s="48"/>
    </row>
    <row r="946" spans="2:27" ht="12.75" customHeight="1" x14ac:dyDescent="0.25">
      <c r="B946" s="48"/>
      <c r="C946" s="48"/>
      <c r="D946" s="48"/>
      <c r="E946" s="48"/>
      <c r="F946" s="48"/>
      <c r="G946" s="48"/>
      <c r="H946" s="48"/>
      <c r="I946" s="48"/>
      <c r="J946" s="48"/>
      <c r="K946" s="48"/>
      <c r="L946" s="48"/>
      <c r="M946" s="48"/>
      <c r="N946" s="48"/>
      <c r="O946" s="48"/>
      <c r="P946" s="48"/>
      <c r="Q946" s="48"/>
      <c r="R946" s="48"/>
      <c r="S946" s="48"/>
      <c r="T946" s="48"/>
      <c r="U946" s="48"/>
      <c r="V946" s="48"/>
      <c r="W946" s="48"/>
      <c r="X946" s="48"/>
      <c r="Y946" s="48"/>
      <c r="Z946" s="48"/>
      <c r="AA946" s="48"/>
    </row>
    <row r="947" spans="2:27" ht="12.75" customHeight="1" x14ac:dyDescent="0.25">
      <c r="B947" s="48"/>
      <c r="C947" s="48"/>
      <c r="D947" s="48"/>
      <c r="E947" s="48"/>
      <c r="F947" s="48"/>
      <c r="G947" s="48"/>
      <c r="H947" s="48"/>
      <c r="I947" s="48"/>
      <c r="J947" s="48"/>
      <c r="K947" s="48"/>
      <c r="L947" s="48"/>
      <c r="M947" s="48"/>
      <c r="N947" s="48"/>
      <c r="O947" s="48"/>
      <c r="P947" s="48"/>
      <c r="Q947" s="48"/>
      <c r="R947" s="48"/>
      <c r="S947" s="48"/>
      <c r="T947" s="48"/>
      <c r="U947" s="48"/>
      <c r="V947" s="48"/>
      <c r="W947" s="48"/>
      <c r="X947" s="48"/>
      <c r="Y947" s="48"/>
      <c r="Z947" s="48"/>
      <c r="AA947" s="48"/>
    </row>
    <row r="948" spans="2:27" ht="12.75" customHeight="1" x14ac:dyDescent="0.25">
      <c r="B948" s="48"/>
      <c r="C948" s="48"/>
      <c r="D948" s="48"/>
      <c r="E948" s="48"/>
      <c r="F948" s="48"/>
      <c r="G948" s="48"/>
      <c r="H948" s="48"/>
      <c r="I948" s="48"/>
      <c r="J948" s="48"/>
      <c r="K948" s="48"/>
      <c r="L948" s="48"/>
      <c r="M948" s="48"/>
      <c r="N948" s="48"/>
      <c r="O948" s="48"/>
      <c r="P948" s="48"/>
      <c r="Q948" s="48"/>
      <c r="R948" s="48"/>
      <c r="S948" s="48"/>
      <c r="T948" s="48"/>
      <c r="U948" s="48"/>
      <c r="V948" s="48"/>
      <c r="W948" s="48"/>
      <c r="X948" s="48"/>
      <c r="Y948" s="48"/>
      <c r="Z948" s="48"/>
      <c r="AA948" s="48"/>
    </row>
    <row r="949" spans="2:27" ht="12.75" customHeight="1" x14ac:dyDescent="0.25">
      <c r="B949" s="48"/>
      <c r="C949" s="48"/>
      <c r="D949" s="48"/>
      <c r="E949" s="48"/>
      <c r="F949" s="48"/>
      <c r="G949" s="48"/>
      <c r="H949" s="48"/>
      <c r="I949" s="48"/>
      <c r="J949" s="48"/>
      <c r="K949" s="48"/>
      <c r="L949" s="48"/>
      <c r="M949" s="48"/>
      <c r="N949" s="48"/>
      <c r="O949" s="48"/>
      <c r="P949" s="48"/>
      <c r="Q949" s="48"/>
      <c r="R949" s="48"/>
      <c r="S949" s="48"/>
      <c r="T949" s="48"/>
      <c r="U949" s="48"/>
      <c r="V949" s="48"/>
      <c r="W949" s="48"/>
      <c r="X949" s="48"/>
      <c r="Y949" s="48"/>
      <c r="Z949" s="48"/>
      <c r="AA949" s="48"/>
    </row>
    <row r="950" spans="2:27" ht="12.75" customHeight="1" x14ac:dyDescent="0.25">
      <c r="B950" s="48"/>
      <c r="C950" s="48"/>
      <c r="D950" s="48"/>
      <c r="E950" s="48"/>
      <c r="F950" s="48"/>
      <c r="G950" s="48"/>
      <c r="H950" s="48"/>
      <c r="I950" s="48"/>
      <c r="J950" s="48"/>
      <c r="K950" s="48"/>
      <c r="L950" s="48"/>
      <c r="M950" s="48"/>
      <c r="N950" s="48"/>
      <c r="O950" s="48"/>
      <c r="P950" s="48"/>
      <c r="Q950" s="48"/>
      <c r="R950" s="48"/>
      <c r="S950" s="48"/>
      <c r="T950" s="48"/>
      <c r="U950" s="48"/>
      <c r="V950" s="48"/>
      <c r="W950" s="48"/>
      <c r="X950" s="48"/>
      <c r="Y950" s="48"/>
      <c r="Z950" s="48"/>
      <c r="AA950" s="48"/>
    </row>
    <row r="951" spans="2:27" ht="12.75" customHeight="1" x14ac:dyDescent="0.25">
      <c r="B951" s="48"/>
      <c r="C951" s="48"/>
      <c r="D951" s="48"/>
      <c r="E951" s="48"/>
      <c r="F951" s="48"/>
      <c r="G951" s="48"/>
      <c r="H951" s="48"/>
      <c r="I951" s="48"/>
      <c r="J951" s="48"/>
      <c r="K951" s="48"/>
      <c r="L951" s="48"/>
      <c r="M951" s="48"/>
      <c r="N951" s="48"/>
      <c r="O951" s="48"/>
      <c r="P951" s="48"/>
      <c r="Q951" s="48"/>
      <c r="R951" s="48"/>
      <c r="S951" s="48"/>
      <c r="T951" s="48"/>
      <c r="U951" s="48"/>
      <c r="V951" s="48"/>
      <c r="W951" s="48"/>
      <c r="X951" s="48"/>
      <c r="Y951" s="48"/>
      <c r="Z951" s="48"/>
      <c r="AA951" s="48"/>
    </row>
    <row r="952" spans="2:27" ht="12.75" customHeight="1" x14ac:dyDescent="0.25">
      <c r="B952" s="48"/>
      <c r="C952" s="48"/>
      <c r="D952" s="48"/>
      <c r="E952" s="48"/>
      <c r="F952" s="48"/>
      <c r="G952" s="48"/>
      <c r="H952" s="48"/>
      <c r="I952" s="48"/>
      <c r="J952" s="48"/>
      <c r="K952" s="48"/>
      <c r="L952" s="48"/>
      <c r="M952" s="48"/>
      <c r="N952" s="48"/>
      <c r="O952" s="48"/>
      <c r="P952" s="48"/>
      <c r="Q952" s="48"/>
      <c r="R952" s="48"/>
      <c r="S952" s="48"/>
      <c r="T952" s="48"/>
      <c r="U952" s="48"/>
      <c r="V952" s="48"/>
      <c r="W952" s="48"/>
      <c r="X952" s="48"/>
      <c r="Y952" s="48"/>
      <c r="Z952" s="48"/>
      <c r="AA952" s="48"/>
    </row>
    <row r="953" spans="2:27" ht="12.75" customHeight="1" x14ac:dyDescent="0.25">
      <c r="B953" s="48"/>
      <c r="C953" s="48"/>
      <c r="D953" s="48"/>
      <c r="E953" s="48"/>
      <c r="F953" s="48"/>
      <c r="G953" s="48"/>
      <c r="H953" s="48"/>
      <c r="I953" s="48"/>
      <c r="J953" s="48"/>
      <c r="K953" s="48"/>
      <c r="L953" s="48"/>
      <c r="M953" s="48"/>
      <c r="N953" s="48"/>
      <c r="O953" s="48"/>
      <c r="P953" s="48"/>
      <c r="Q953" s="48"/>
      <c r="R953" s="48"/>
      <c r="S953" s="48"/>
      <c r="T953" s="48"/>
      <c r="U953" s="48"/>
      <c r="V953" s="48"/>
      <c r="W953" s="48"/>
      <c r="X953" s="48"/>
      <c r="Y953" s="48"/>
      <c r="Z953" s="48"/>
      <c r="AA953" s="48"/>
    </row>
    <row r="954" spans="2:27" ht="12.75" customHeight="1" x14ac:dyDescent="0.25">
      <c r="B954" s="48"/>
      <c r="C954" s="48"/>
      <c r="D954" s="48"/>
      <c r="E954" s="48"/>
      <c r="F954" s="48"/>
      <c r="G954" s="48"/>
      <c r="H954" s="48"/>
      <c r="I954" s="48"/>
      <c r="J954" s="48"/>
      <c r="K954" s="48"/>
      <c r="L954" s="48"/>
      <c r="M954" s="48"/>
      <c r="N954" s="48"/>
      <c r="O954" s="48"/>
      <c r="P954" s="48"/>
      <c r="Q954" s="48"/>
      <c r="R954" s="48"/>
      <c r="S954" s="48"/>
      <c r="T954" s="48"/>
      <c r="U954" s="48"/>
      <c r="V954" s="48"/>
      <c r="W954" s="48"/>
      <c r="X954" s="48"/>
      <c r="Y954" s="48"/>
      <c r="Z954" s="48"/>
      <c r="AA954" s="48"/>
    </row>
    <row r="955" spans="2:27" ht="12.75" customHeight="1" x14ac:dyDescent="0.25">
      <c r="B955" s="48"/>
      <c r="C955" s="48"/>
      <c r="D955" s="48"/>
      <c r="E955" s="48"/>
      <c r="F955" s="48"/>
      <c r="G955" s="48"/>
      <c r="H955" s="48"/>
      <c r="I955" s="48"/>
      <c r="J955" s="48"/>
      <c r="K955" s="48"/>
      <c r="L955" s="48"/>
      <c r="M955" s="48"/>
      <c r="N955" s="48"/>
      <c r="O955" s="48"/>
      <c r="P955" s="48"/>
      <c r="Q955" s="48"/>
      <c r="R955" s="48"/>
      <c r="S955" s="48"/>
      <c r="T955" s="48"/>
      <c r="U955" s="48"/>
      <c r="V955" s="48"/>
      <c r="W955" s="48"/>
      <c r="X955" s="48"/>
      <c r="Y955" s="48"/>
      <c r="Z955" s="48"/>
      <c r="AA955" s="48"/>
    </row>
    <row r="956" spans="2:27" ht="12.75" customHeight="1" x14ac:dyDescent="0.25">
      <c r="B956" s="48"/>
      <c r="C956" s="48"/>
      <c r="D956" s="48"/>
      <c r="E956" s="48"/>
      <c r="F956" s="48"/>
      <c r="G956" s="48"/>
      <c r="H956" s="48"/>
      <c r="I956" s="48"/>
      <c r="J956" s="48"/>
      <c r="K956" s="48"/>
      <c r="L956" s="48"/>
      <c r="M956" s="48"/>
      <c r="N956" s="48"/>
      <c r="O956" s="48"/>
      <c r="P956" s="48"/>
      <c r="Q956" s="48"/>
      <c r="R956" s="48"/>
      <c r="S956" s="48"/>
      <c r="T956" s="48"/>
      <c r="U956" s="48"/>
      <c r="V956" s="48"/>
      <c r="W956" s="48"/>
      <c r="X956" s="48"/>
      <c r="Y956" s="48"/>
      <c r="Z956" s="48"/>
      <c r="AA956" s="48"/>
    </row>
    <row r="957" spans="2:27" ht="12.75" customHeight="1" x14ac:dyDescent="0.25">
      <c r="B957" s="48"/>
      <c r="C957" s="48"/>
      <c r="D957" s="48"/>
      <c r="E957" s="48"/>
      <c r="F957" s="48"/>
      <c r="G957" s="48"/>
      <c r="H957" s="48"/>
      <c r="I957" s="48"/>
      <c r="J957" s="48"/>
      <c r="K957" s="48"/>
      <c r="L957" s="48"/>
      <c r="M957" s="48"/>
      <c r="N957" s="48"/>
      <c r="O957" s="48"/>
      <c r="P957" s="48"/>
      <c r="Q957" s="48"/>
      <c r="R957" s="48"/>
      <c r="S957" s="48"/>
      <c r="T957" s="48"/>
      <c r="U957" s="48"/>
      <c r="V957" s="48"/>
      <c r="W957" s="48"/>
      <c r="X957" s="48"/>
      <c r="Y957" s="48"/>
      <c r="Z957" s="48"/>
      <c r="AA957" s="48"/>
    </row>
    <row r="958" spans="2:27" ht="12.75" customHeight="1" x14ac:dyDescent="0.25">
      <c r="B958" s="48"/>
      <c r="C958" s="48"/>
      <c r="D958" s="48"/>
      <c r="E958" s="48"/>
      <c r="F958" s="48"/>
      <c r="G958" s="48"/>
      <c r="H958" s="48"/>
      <c r="I958" s="48"/>
      <c r="J958" s="48"/>
      <c r="K958" s="48"/>
      <c r="L958" s="48"/>
      <c r="M958" s="48"/>
      <c r="N958" s="48"/>
      <c r="O958" s="48"/>
      <c r="P958" s="48"/>
      <c r="Q958" s="48"/>
      <c r="R958" s="48"/>
      <c r="S958" s="48"/>
      <c r="T958" s="48"/>
      <c r="U958" s="48"/>
      <c r="V958" s="48"/>
      <c r="W958" s="48"/>
      <c r="X958" s="48"/>
      <c r="Y958" s="48"/>
      <c r="Z958" s="48"/>
      <c r="AA958" s="48"/>
    </row>
    <row r="959" spans="2:27" ht="12.75" customHeight="1" x14ac:dyDescent="0.25">
      <c r="B959" s="48"/>
      <c r="C959" s="48"/>
      <c r="D959" s="48"/>
      <c r="E959" s="48"/>
      <c r="F959" s="48"/>
      <c r="G959" s="48"/>
      <c r="H959" s="48"/>
      <c r="I959" s="48"/>
      <c r="J959" s="48"/>
      <c r="K959" s="48"/>
      <c r="L959" s="48"/>
      <c r="M959" s="48"/>
      <c r="N959" s="48"/>
      <c r="O959" s="48"/>
      <c r="P959" s="48"/>
      <c r="Q959" s="48"/>
      <c r="R959" s="48"/>
      <c r="S959" s="48"/>
      <c r="T959" s="48"/>
      <c r="U959" s="48"/>
      <c r="V959" s="48"/>
      <c r="W959" s="48"/>
      <c r="X959" s="48"/>
      <c r="Y959" s="48"/>
      <c r="Z959" s="48"/>
      <c r="AA959" s="48"/>
    </row>
    <row r="960" spans="2:27" ht="12.75" customHeight="1" x14ac:dyDescent="0.25">
      <c r="B960" s="48"/>
      <c r="C960" s="48"/>
      <c r="D960" s="48"/>
      <c r="E960" s="48"/>
      <c r="F960" s="48"/>
      <c r="G960" s="48"/>
      <c r="H960" s="48"/>
      <c r="I960" s="48"/>
      <c r="J960" s="48"/>
      <c r="K960" s="48"/>
      <c r="L960" s="48"/>
      <c r="M960" s="48"/>
      <c r="N960" s="48"/>
      <c r="O960" s="48"/>
      <c r="P960" s="48"/>
      <c r="Q960" s="48"/>
      <c r="R960" s="48"/>
      <c r="S960" s="48"/>
      <c r="T960" s="48"/>
      <c r="U960" s="48"/>
      <c r="V960" s="48"/>
      <c r="W960" s="48"/>
      <c r="X960" s="48"/>
      <c r="Y960" s="48"/>
      <c r="Z960" s="48"/>
      <c r="AA960" s="48"/>
    </row>
    <row r="961" spans="2:27" ht="12.75" customHeight="1" x14ac:dyDescent="0.25">
      <c r="B961" s="48"/>
      <c r="C961" s="48"/>
      <c r="D961" s="48"/>
      <c r="E961" s="48"/>
      <c r="F961" s="48"/>
      <c r="G961" s="48"/>
      <c r="H961" s="48"/>
      <c r="I961" s="48"/>
      <c r="J961" s="48"/>
      <c r="K961" s="48"/>
      <c r="L961" s="48"/>
      <c r="M961" s="48"/>
      <c r="N961" s="48"/>
      <c r="O961" s="48"/>
      <c r="P961" s="48"/>
      <c r="Q961" s="48"/>
      <c r="R961" s="48"/>
      <c r="S961" s="48"/>
      <c r="T961" s="48"/>
      <c r="U961" s="48"/>
      <c r="V961" s="48"/>
      <c r="W961" s="48"/>
      <c r="X961" s="48"/>
      <c r="Y961" s="48"/>
      <c r="Z961" s="48"/>
      <c r="AA961" s="48"/>
    </row>
    <row r="962" spans="2:27" ht="12.75" customHeight="1" x14ac:dyDescent="0.25">
      <c r="B962" s="48"/>
      <c r="C962" s="48"/>
      <c r="D962" s="48"/>
      <c r="E962" s="48"/>
      <c r="F962" s="48"/>
      <c r="G962" s="48"/>
      <c r="H962" s="48"/>
      <c r="I962" s="48"/>
      <c r="J962" s="48"/>
      <c r="K962" s="48"/>
      <c r="L962" s="48"/>
      <c r="M962" s="48"/>
      <c r="N962" s="48"/>
      <c r="O962" s="48"/>
      <c r="P962" s="48"/>
      <c r="Q962" s="48"/>
      <c r="R962" s="48"/>
      <c r="S962" s="48"/>
      <c r="T962" s="48"/>
      <c r="U962" s="48"/>
      <c r="V962" s="48"/>
      <c r="W962" s="48"/>
      <c r="X962" s="48"/>
      <c r="Y962" s="48"/>
      <c r="Z962" s="48"/>
      <c r="AA962" s="48"/>
    </row>
    <row r="963" spans="2:27" ht="12.75" customHeight="1" x14ac:dyDescent="0.25">
      <c r="B963" s="48"/>
      <c r="C963" s="48"/>
      <c r="D963" s="48"/>
      <c r="E963" s="48"/>
      <c r="F963" s="48"/>
      <c r="G963" s="48"/>
      <c r="H963" s="48"/>
      <c r="I963" s="48"/>
      <c r="J963" s="48"/>
      <c r="K963" s="48"/>
      <c r="L963" s="48"/>
      <c r="M963" s="48"/>
      <c r="N963" s="48"/>
      <c r="O963" s="48"/>
      <c r="P963" s="48"/>
      <c r="Q963" s="48"/>
      <c r="R963" s="48"/>
      <c r="S963" s="48"/>
      <c r="T963" s="48"/>
      <c r="U963" s="48"/>
      <c r="V963" s="48"/>
      <c r="W963" s="48"/>
      <c r="X963" s="48"/>
      <c r="Y963" s="48"/>
      <c r="Z963" s="48"/>
      <c r="AA963" s="48"/>
    </row>
    <row r="964" spans="2:27" ht="12.75" customHeight="1" x14ac:dyDescent="0.25">
      <c r="B964" s="48"/>
      <c r="C964" s="48"/>
      <c r="D964" s="48"/>
      <c r="E964" s="48"/>
      <c r="F964" s="48"/>
      <c r="G964" s="48"/>
      <c r="H964" s="48"/>
      <c r="I964" s="48"/>
      <c r="J964" s="48"/>
      <c r="K964" s="48"/>
      <c r="L964" s="48"/>
      <c r="M964" s="48"/>
      <c r="N964" s="48"/>
      <c r="O964" s="48"/>
      <c r="P964" s="48"/>
      <c r="Q964" s="48"/>
      <c r="R964" s="48"/>
      <c r="S964" s="48"/>
      <c r="T964" s="48"/>
      <c r="U964" s="48"/>
      <c r="V964" s="48"/>
      <c r="W964" s="48"/>
      <c r="X964" s="48"/>
      <c r="Y964" s="48"/>
      <c r="Z964" s="48"/>
      <c r="AA964" s="48"/>
    </row>
    <row r="965" spans="2:27" ht="12.75" customHeight="1" x14ac:dyDescent="0.25">
      <c r="B965" s="48"/>
      <c r="C965" s="48"/>
      <c r="D965" s="48"/>
      <c r="E965" s="48"/>
      <c r="F965" s="48"/>
      <c r="G965" s="48"/>
      <c r="H965" s="48"/>
      <c r="I965" s="48"/>
      <c r="J965" s="48"/>
      <c r="K965" s="48"/>
      <c r="L965" s="48"/>
      <c r="M965" s="48"/>
      <c r="N965" s="48"/>
      <c r="O965" s="48"/>
      <c r="P965" s="48"/>
      <c r="Q965" s="48"/>
      <c r="R965" s="48"/>
      <c r="S965" s="48"/>
      <c r="T965" s="48"/>
      <c r="U965" s="48"/>
      <c r="V965" s="48"/>
      <c r="W965" s="48"/>
      <c r="X965" s="48"/>
      <c r="Y965" s="48"/>
      <c r="Z965" s="48"/>
      <c r="AA965" s="48"/>
    </row>
    <row r="966" spans="2:27" ht="12.75" customHeight="1" x14ac:dyDescent="0.25">
      <c r="B966" s="48"/>
      <c r="C966" s="48"/>
      <c r="D966" s="48"/>
      <c r="E966" s="48"/>
      <c r="F966" s="48"/>
      <c r="G966" s="48"/>
      <c r="H966" s="48"/>
      <c r="I966" s="48"/>
      <c r="J966" s="48"/>
      <c r="K966" s="48"/>
      <c r="L966" s="48"/>
      <c r="M966" s="48"/>
      <c r="N966" s="48"/>
      <c r="O966" s="48"/>
      <c r="P966" s="48"/>
      <c r="Q966" s="48"/>
      <c r="R966" s="48"/>
      <c r="S966" s="48"/>
      <c r="T966" s="48"/>
      <c r="U966" s="48"/>
      <c r="V966" s="48"/>
      <c r="W966" s="48"/>
      <c r="X966" s="48"/>
      <c r="Y966" s="48"/>
      <c r="Z966" s="48"/>
      <c r="AA966" s="48"/>
    </row>
    <row r="967" spans="2:27" ht="12.75" customHeight="1" x14ac:dyDescent="0.25">
      <c r="B967" s="48"/>
      <c r="C967" s="48"/>
      <c r="D967" s="48"/>
      <c r="E967" s="48"/>
      <c r="F967" s="48"/>
      <c r="G967" s="48"/>
      <c r="H967" s="48"/>
      <c r="I967" s="48"/>
      <c r="J967" s="48"/>
      <c r="K967" s="48"/>
      <c r="L967" s="48"/>
      <c r="M967" s="48"/>
      <c r="N967" s="48"/>
      <c r="O967" s="48"/>
      <c r="P967" s="48"/>
      <c r="Q967" s="48"/>
      <c r="R967" s="48"/>
      <c r="S967" s="48"/>
      <c r="T967" s="48"/>
      <c r="U967" s="48"/>
      <c r="V967" s="48"/>
      <c r="W967" s="48"/>
      <c r="X967" s="48"/>
      <c r="Y967" s="48"/>
      <c r="Z967" s="48"/>
      <c r="AA967" s="48"/>
    </row>
    <row r="968" spans="2:27" ht="12.75" customHeight="1" x14ac:dyDescent="0.25">
      <c r="B968" s="48"/>
      <c r="C968" s="48"/>
      <c r="D968" s="48"/>
      <c r="E968" s="48"/>
      <c r="F968" s="48"/>
      <c r="G968" s="48"/>
      <c r="H968" s="48"/>
      <c r="I968" s="48"/>
      <c r="J968" s="48"/>
      <c r="K968" s="48"/>
      <c r="L968" s="48"/>
      <c r="M968" s="48"/>
      <c r="N968" s="48"/>
      <c r="O968" s="48"/>
      <c r="P968" s="48"/>
      <c r="Q968" s="48"/>
      <c r="R968" s="48"/>
      <c r="S968" s="48"/>
      <c r="T968" s="48"/>
      <c r="U968" s="48"/>
      <c r="V968" s="48"/>
      <c r="W968" s="48"/>
      <c r="X968" s="48"/>
      <c r="Y968" s="48"/>
      <c r="Z968" s="48"/>
      <c r="AA968" s="48"/>
    </row>
    <row r="969" spans="2:27" ht="12.75" customHeight="1" x14ac:dyDescent="0.25">
      <c r="B969" s="48"/>
      <c r="C969" s="48"/>
      <c r="D969" s="48"/>
      <c r="E969" s="48"/>
      <c r="F969" s="48"/>
      <c r="G969" s="48"/>
      <c r="H969" s="48"/>
      <c r="I969" s="48"/>
      <c r="J969" s="48"/>
      <c r="K969" s="48"/>
      <c r="L969" s="48"/>
      <c r="M969" s="48"/>
      <c r="N969" s="48"/>
      <c r="O969" s="48"/>
      <c r="P969" s="48"/>
      <c r="Q969" s="48"/>
      <c r="R969" s="48"/>
      <c r="S969" s="48"/>
      <c r="T969" s="48"/>
      <c r="U969" s="48"/>
      <c r="V969" s="48"/>
      <c r="W969" s="48"/>
      <c r="X969" s="48"/>
      <c r="Y969" s="48"/>
      <c r="Z969" s="48"/>
      <c r="AA969" s="48"/>
    </row>
    <row r="970" spans="2:27" ht="12.75" customHeight="1" x14ac:dyDescent="0.25">
      <c r="B970" s="48"/>
      <c r="C970" s="48"/>
      <c r="D970" s="48"/>
      <c r="E970" s="48"/>
      <c r="F970" s="48"/>
      <c r="G970" s="48"/>
      <c r="H970" s="48"/>
      <c r="I970" s="48"/>
      <c r="J970" s="48"/>
      <c r="K970" s="48"/>
      <c r="L970" s="48"/>
      <c r="M970" s="48"/>
      <c r="N970" s="48"/>
      <c r="O970" s="48"/>
      <c r="P970" s="48"/>
      <c r="Q970" s="48"/>
      <c r="R970" s="48"/>
      <c r="S970" s="48"/>
      <c r="T970" s="48"/>
      <c r="U970" s="48"/>
      <c r="V970" s="48"/>
      <c r="W970" s="48"/>
      <c r="X970" s="48"/>
      <c r="Y970" s="48"/>
      <c r="Z970" s="48"/>
      <c r="AA970" s="48"/>
    </row>
    <row r="971" spans="2:27" ht="12.75" customHeight="1" x14ac:dyDescent="0.25">
      <c r="B971" s="48"/>
      <c r="C971" s="48"/>
      <c r="D971" s="48"/>
      <c r="E971" s="48"/>
      <c r="F971" s="48"/>
      <c r="G971" s="48"/>
      <c r="H971" s="48"/>
      <c r="I971" s="48"/>
      <c r="J971" s="48"/>
      <c r="K971" s="48"/>
      <c r="L971" s="48"/>
      <c r="M971" s="48"/>
      <c r="N971" s="48"/>
      <c r="O971" s="48"/>
      <c r="P971" s="48"/>
      <c r="Q971" s="48"/>
      <c r="R971" s="48"/>
      <c r="S971" s="48"/>
      <c r="T971" s="48"/>
      <c r="U971" s="48"/>
      <c r="V971" s="48"/>
      <c r="W971" s="48"/>
      <c r="X971" s="48"/>
      <c r="Y971" s="48"/>
      <c r="Z971" s="48"/>
      <c r="AA971" s="48"/>
    </row>
    <row r="972" spans="2:27" ht="12.75" customHeight="1" x14ac:dyDescent="0.25">
      <c r="B972" s="48"/>
      <c r="C972" s="48"/>
      <c r="D972" s="48"/>
      <c r="E972" s="48"/>
      <c r="F972" s="48"/>
      <c r="G972" s="48"/>
      <c r="H972" s="48"/>
      <c r="I972" s="48"/>
      <c r="J972" s="48"/>
      <c r="K972" s="48"/>
      <c r="L972" s="48"/>
      <c r="M972" s="48"/>
      <c r="N972" s="48"/>
      <c r="O972" s="48"/>
      <c r="P972" s="48"/>
      <c r="Q972" s="48"/>
      <c r="R972" s="48"/>
      <c r="S972" s="48"/>
      <c r="T972" s="48"/>
      <c r="U972" s="48"/>
      <c r="V972" s="48"/>
      <c r="W972" s="48"/>
      <c r="X972" s="48"/>
      <c r="Y972" s="48"/>
      <c r="Z972" s="48"/>
      <c r="AA972" s="48"/>
    </row>
    <row r="973" spans="2:27" ht="12.75" customHeight="1" x14ac:dyDescent="0.25">
      <c r="B973" s="48"/>
      <c r="C973" s="48"/>
      <c r="D973" s="48"/>
      <c r="E973" s="48"/>
      <c r="F973" s="48"/>
      <c r="G973" s="48"/>
      <c r="H973" s="48"/>
      <c r="I973" s="48"/>
      <c r="J973" s="48"/>
      <c r="K973" s="48"/>
      <c r="L973" s="48"/>
      <c r="M973" s="48"/>
      <c r="N973" s="48"/>
      <c r="O973" s="48"/>
      <c r="P973" s="48"/>
      <c r="Q973" s="48"/>
      <c r="R973" s="48"/>
      <c r="S973" s="48"/>
      <c r="T973" s="48"/>
      <c r="U973" s="48"/>
      <c r="V973" s="48"/>
      <c r="W973" s="48"/>
      <c r="X973" s="48"/>
      <c r="Y973" s="48"/>
      <c r="Z973" s="48"/>
      <c r="AA973" s="48"/>
    </row>
    <row r="974" spans="2:27" ht="12.75" customHeight="1" x14ac:dyDescent="0.25">
      <c r="B974" s="48"/>
      <c r="C974" s="48"/>
      <c r="D974" s="48"/>
      <c r="E974" s="48"/>
      <c r="F974" s="48"/>
      <c r="G974" s="48"/>
      <c r="H974" s="48"/>
      <c r="I974" s="48"/>
      <c r="J974" s="48"/>
      <c r="K974" s="48"/>
      <c r="L974" s="48"/>
      <c r="M974" s="48"/>
      <c r="N974" s="48"/>
      <c r="O974" s="48"/>
      <c r="P974" s="48"/>
      <c r="Q974" s="48"/>
      <c r="R974" s="48"/>
      <c r="S974" s="48"/>
      <c r="T974" s="48"/>
      <c r="U974" s="48"/>
      <c r="V974" s="48"/>
      <c r="W974" s="48"/>
      <c r="X974" s="48"/>
      <c r="Y974" s="48"/>
      <c r="Z974" s="48"/>
      <c r="AA974" s="48"/>
    </row>
    <row r="975" spans="2:27" ht="12.75" customHeight="1" x14ac:dyDescent="0.25">
      <c r="B975" s="48"/>
      <c r="C975" s="48"/>
      <c r="D975" s="48"/>
      <c r="E975" s="48"/>
      <c r="F975" s="48"/>
      <c r="G975" s="48"/>
      <c r="H975" s="48"/>
      <c r="I975" s="48"/>
      <c r="J975" s="48"/>
      <c r="K975" s="48"/>
      <c r="L975" s="48"/>
      <c r="M975" s="48"/>
      <c r="N975" s="48"/>
      <c r="O975" s="48"/>
      <c r="P975" s="48"/>
      <c r="Q975" s="48"/>
      <c r="R975" s="48"/>
      <c r="S975" s="48"/>
      <c r="T975" s="48"/>
      <c r="U975" s="48"/>
      <c r="V975" s="48"/>
      <c r="W975" s="48"/>
      <c r="X975" s="48"/>
      <c r="Y975" s="48"/>
      <c r="Z975" s="48"/>
      <c r="AA975" s="48"/>
    </row>
    <row r="976" spans="2:27" ht="12.75" customHeight="1" x14ac:dyDescent="0.25">
      <c r="B976" s="48"/>
      <c r="C976" s="48"/>
      <c r="D976" s="48"/>
      <c r="E976" s="48"/>
      <c r="F976" s="48"/>
      <c r="G976" s="48"/>
      <c r="H976" s="48"/>
      <c r="I976" s="48"/>
      <c r="J976" s="48"/>
      <c r="K976" s="48"/>
      <c r="L976" s="48"/>
      <c r="M976" s="48"/>
      <c r="N976" s="48"/>
      <c r="O976" s="48"/>
      <c r="P976" s="48"/>
      <c r="Q976" s="48"/>
      <c r="R976" s="48"/>
      <c r="S976" s="48"/>
      <c r="T976" s="48"/>
      <c r="U976" s="48"/>
      <c r="V976" s="48"/>
      <c r="W976" s="48"/>
      <c r="X976" s="48"/>
      <c r="Y976" s="48"/>
      <c r="Z976" s="48"/>
      <c r="AA976" s="48"/>
    </row>
    <row r="977" spans="2:27" ht="12.75" customHeight="1" x14ac:dyDescent="0.25">
      <c r="B977" s="48"/>
      <c r="C977" s="48"/>
      <c r="D977" s="48"/>
      <c r="E977" s="48"/>
      <c r="F977" s="48"/>
      <c r="G977" s="48"/>
      <c r="H977" s="48"/>
      <c r="I977" s="48"/>
      <c r="J977" s="48"/>
      <c r="K977" s="48"/>
      <c r="L977" s="48"/>
      <c r="M977" s="48"/>
      <c r="N977" s="48"/>
      <c r="O977" s="48"/>
      <c r="P977" s="48"/>
      <c r="Q977" s="48"/>
      <c r="R977" s="48"/>
      <c r="S977" s="48"/>
      <c r="T977" s="48"/>
      <c r="U977" s="48"/>
      <c r="V977" s="48"/>
      <c r="W977" s="48"/>
      <c r="X977" s="48"/>
      <c r="Y977" s="48"/>
      <c r="Z977" s="48"/>
      <c r="AA977" s="48"/>
    </row>
    <row r="978" spans="2:27" ht="12.75" customHeight="1" x14ac:dyDescent="0.25">
      <c r="B978" s="48"/>
      <c r="C978" s="48"/>
      <c r="D978" s="48"/>
      <c r="E978" s="48"/>
      <c r="F978" s="48"/>
      <c r="G978" s="48"/>
      <c r="H978" s="48"/>
      <c r="I978" s="48"/>
      <c r="J978" s="48"/>
      <c r="K978" s="48"/>
      <c r="L978" s="48"/>
      <c r="M978" s="48"/>
      <c r="N978" s="48"/>
      <c r="O978" s="48"/>
      <c r="P978" s="48"/>
      <c r="Q978" s="48"/>
      <c r="R978" s="48"/>
      <c r="S978" s="48"/>
      <c r="T978" s="48"/>
      <c r="U978" s="48"/>
      <c r="V978" s="48"/>
      <c r="W978" s="48"/>
      <c r="X978" s="48"/>
      <c r="Y978" s="48"/>
      <c r="Z978" s="48"/>
      <c r="AA978" s="48"/>
    </row>
    <row r="979" spans="2:27" ht="12.75" customHeight="1" x14ac:dyDescent="0.25">
      <c r="B979" s="48"/>
      <c r="C979" s="48"/>
      <c r="D979" s="48"/>
      <c r="E979" s="48"/>
      <c r="F979" s="48"/>
      <c r="G979" s="48"/>
      <c r="H979" s="48"/>
      <c r="I979" s="48"/>
      <c r="J979" s="48"/>
      <c r="K979" s="48"/>
      <c r="L979" s="48"/>
      <c r="M979" s="48"/>
      <c r="N979" s="48"/>
      <c r="O979" s="48"/>
      <c r="P979" s="48"/>
      <c r="Q979" s="48"/>
      <c r="R979" s="48"/>
      <c r="S979" s="48"/>
      <c r="T979" s="48"/>
      <c r="U979" s="48"/>
      <c r="V979" s="48"/>
      <c r="W979" s="48"/>
      <c r="X979" s="48"/>
      <c r="Y979" s="48"/>
      <c r="Z979" s="48"/>
      <c r="AA979" s="48"/>
    </row>
    <row r="980" spans="2:27" ht="12.75" customHeight="1" x14ac:dyDescent="0.25">
      <c r="B980" s="48"/>
      <c r="C980" s="48"/>
      <c r="D980" s="48"/>
      <c r="E980" s="48"/>
      <c r="F980" s="48"/>
      <c r="G980" s="48"/>
      <c r="H980" s="48"/>
      <c r="I980" s="48"/>
      <c r="J980" s="48"/>
      <c r="K980" s="48"/>
      <c r="L980" s="48"/>
      <c r="M980" s="48"/>
      <c r="N980" s="48"/>
      <c r="O980" s="48"/>
      <c r="P980" s="48"/>
      <c r="Q980" s="48"/>
      <c r="R980" s="48"/>
      <c r="S980" s="48"/>
      <c r="T980" s="48"/>
      <c r="U980" s="48"/>
      <c r="V980" s="48"/>
      <c r="W980" s="48"/>
      <c r="X980" s="48"/>
      <c r="Y980" s="48"/>
      <c r="Z980" s="48"/>
      <c r="AA980" s="48"/>
    </row>
    <row r="981" spans="2:27" ht="12.75" customHeight="1" x14ac:dyDescent="0.25">
      <c r="B981" s="48"/>
      <c r="C981" s="48"/>
      <c r="D981" s="48"/>
      <c r="E981" s="48"/>
      <c r="F981" s="48"/>
      <c r="G981" s="48"/>
      <c r="H981" s="48"/>
      <c r="I981" s="48"/>
      <c r="J981" s="48"/>
      <c r="K981" s="48"/>
      <c r="L981" s="48"/>
      <c r="M981" s="48"/>
      <c r="N981" s="48"/>
      <c r="O981" s="48"/>
      <c r="P981" s="48"/>
      <c r="Q981" s="48"/>
      <c r="R981" s="48"/>
      <c r="S981" s="48"/>
      <c r="T981" s="48"/>
      <c r="U981" s="48"/>
      <c r="V981" s="48"/>
      <c r="W981" s="48"/>
      <c r="X981" s="48"/>
      <c r="Y981" s="48"/>
      <c r="Z981" s="48"/>
      <c r="AA981" s="48"/>
    </row>
    <row r="982" spans="2:27" ht="12.75" customHeight="1" x14ac:dyDescent="0.25">
      <c r="B982" s="48"/>
      <c r="C982" s="48"/>
      <c r="D982" s="48"/>
      <c r="E982" s="48"/>
      <c r="F982" s="48"/>
      <c r="G982" s="48"/>
      <c r="H982" s="48"/>
      <c r="I982" s="48"/>
      <c r="J982" s="48"/>
      <c r="K982" s="48"/>
      <c r="L982" s="48"/>
      <c r="M982" s="48"/>
      <c r="N982" s="48"/>
      <c r="O982" s="48"/>
      <c r="P982" s="48"/>
      <c r="Q982" s="48"/>
      <c r="R982" s="48"/>
      <c r="S982" s="48"/>
      <c r="T982" s="48"/>
      <c r="U982" s="48"/>
      <c r="V982" s="48"/>
      <c r="W982" s="48"/>
      <c r="X982" s="48"/>
      <c r="Y982" s="48"/>
      <c r="Z982" s="48"/>
      <c r="AA982" s="48"/>
    </row>
    <row r="983" spans="2:27" ht="12.75" customHeight="1" x14ac:dyDescent="0.25">
      <c r="B983" s="48"/>
      <c r="C983" s="48"/>
      <c r="D983" s="48"/>
      <c r="E983" s="48"/>
      <c r="F983" s="48"/>
      <c r="G983" s="48"/>
      <c r="H983" s="48"/>
      <c r="I983" s="48"/>
      <c r="J983" s="48"/>
      <c r="K983" s="48"/>
      <c r="L983" s="48"/>
      <c r="M983" s="48"/>
      <c r="N983" s="48"/>
      <c r="O983" s="48"/>
      <c r="P983" s="48"/>
      <c r="Q983" s="48"/>
      <c r="R983" s="48"/>
      <c r="S983" s="48"/>
      <c r="T983" s="48"/>
      <c r="U983" s="48"/>
      <c r="V983" s="48"/>
      <c r="W983" s="48"/>
      <c r="X983" s="48"/>
      <c r="Y983" s="48"/>
      <c r="Z983" s="48"/>
      <c r="AA983" s="48"/>
    </row>
    <row r="984" spans="2:27" ht="12.75" customHeight="1" x14ac:dyDescent="0.25">
      <c r="B984" s="48"/>
      <c r="C984" s="48"/>
      <c r="D984" s="48"/>
      <c r="E984" s="48"/>
      <c r="F984" s="48"/>
      <c r="G984" s="48"/>
      <c r="H984" s="48"/>
      <c r="I984" s="48"/>
      <c r="J984" s="48"/>
      <c r="K984" s="48"/>
      <c r="L984" s="48"/>
      <c r="M984" s="48"/>
      <c r="N984" s="48"/>
      <c r="O984" s="48"/>
      <c r="P984" s="48"/>
      <c r="Q984" s="48"/>
      <c r="R984" s="48"/>
      <c r="S984" s="48"/>
      <c r="T984" s="48"/>
      <c r="U984" s="48"/>
      <c r="V984" s="48"/>
      <c r="W984" s="48"/>
      <c r="X984" s="48"/>
      <c r="Y984" s="48"/>
      <c r="Z984" s="48"/>
      <c r="AA984" s="48"/>
    </row>
    <row r="985" spans="2:27" ht="12.75" customHeight="1" x14ac:dyDescent="0.25">
      <c r="B985" s="48"/>
      <c r="C985" s="48"/>
      <c r="D985" s="48"/>
      <c r="E985" s="48"/>
      <c r="F985" s="48"/>
      <c r="G985" s="48"/>
      <c r="H985" s="48"/>
      <c r="I985" s="48"/>
      <c r="J985" s="48"/>
      <c r="K985" s="48"/>
      <c r="L985" s="48"/>
      <c r="M985" s="48"/>
      <c r="N985" s="48"/>
      <c r="O985" s="48"/>
      <c r="P985" s="48"/>
      <c r="Q985" s="48"/>
      <c r="R985" s="48"/>
      <c r="S985" s="48"/>
      <c r="T985" s="48"/>
      <c r="U985" s="48"/>
      <c r="V985" s="48"/>
      <c r="W985" s="48"/>
      <c r="X985" s="48"/>
      <c r="Y985" s="48"/>
      <c r="Z985" s="48"/>
      <c r="AA985" s="48"/>
    </row>
    <row r="986" spans="2:27" ht="12.75" customHeight="1" x14ac:dyDescent="0.25">
      <c r="B986" s="48"/>
      <c r="C986" s="48"/>
      <c r="D986" s="48"/>
      <c r="E986" s="48"/>
      <c r="F986" s="48"/>
      <c r="G986" s="48"/>
      <c r="H986" s="48"/>
      <c r="I986" s="48"/>
      <c r="J986" s="48"/>
      <c r="K986" s="48"/>
      <c r="L986" s="48"/>
      <c r="M986" s="48"/>
      <c r="N986" s="48"/>
      <c r="O986" s="48"/>
      <c r="P986" s="48"/>
      <c r="Q986" s="48"/>
      <c r="R986" s="48"/>
      <c r="S986" s="48"/>
      <c r="T986" s="48"/>
      <c r="U986" s="48"/>
      <c r="V986" s="48"/>
      <c r="W986" s="48"/>
      <c r="X986" s="48"/>
      <c r="Y986" s="48"/>
      <c r="Z986" s="48"/>
      <c r="AA986" s="48"/>
    </row>
    <row r="987" spans="2:27" ht="12.75" customHeight="1" x14ac:dyDescent="0.25">
      <c r="B987" s="48"/>
      <c r="C987" s="48"/>
      <c r="D987" s="48"/>
      <c r="E987" s="48"/>
      <c r="F987" s="48"/>
      <c r="G987" s="48"/>
      <c r="H987" s="48"/>
      <c r="I987" s="48"/>
      <c r="J987" s="48"/>
      <c r="K987" s="48"/>
      <c r="L987" s="48"/>
      <c r="M987" s="48"/>
      <c r="N987" s="48"/>
      <c r="O987" s="48"/>
      <c r="P987" s="48"/>
      <c r="Q987" s="48"/>
      <c r="R987" s="48"/>
      <c r="S987" s="48"/>
      <c r="T987" s="48"/>
      <c r="U987" s="48"/>
      <c r="V987" s="48"/>
      <c r="W987" s="48"/>
      <c r="X987" s="48"/>
      <c r="Y987" s="48"/>
      <c r="Z987" s="48"/>
      <c r="AA987" s="48"/>
    </row>
    <row r="988" spans="2:27" ht="12.75" customHeight="1" x14ac:dyDescent="0.25">
      <c r="B988" s="48"/>
      <c r="C988" s="48"/>
      <c r="D988" s="48"/>
      <c r="E988" s="48"/>
      <c r="F988" s="48"/>
      <c r="G988" s="48"/>
      <c r="H988" s="48"/>
      <c r="I988" s="48"/>
      <c r="J988" s="48"/>
      <c r="K988" s="48"/>
      <c r="L988" s="48"/>
      <c r="M988" s="48"/>
      <c r="N988" s="48"/>
      <c r="O988" s="48"/>
      <c r="P988" s="48"/>
      <c r="Q988" s="48"/>
      <c r="R988" s="48"/>
      <c r="S988" s="48"/>
      <c r="T988" s="48"/>
      <c r="U988" s="48"/>
      <c r="V988" s="48"/>
      <c r="W988" s="48"/>
      <c r="X988" s="48"/>
      <c r="Y988" s="48"/>
      <c r="Z988" s="48"/>
      <c r="AA988" s="48"/>
    </row>
    <row r="989" spans="2:27" ht="12.75" customHeight="1" x14ac:dyDescent="0.25">
      <c r="B989" s="48"/>
      <c r="C989" s="48"/>
      <c r="D989" s="48"/>
      <c r="E989" s="48"/>
      <c r="F989" s="48"/>
      <c r="G989" s="48"/>
      <c r="H989" s="48"/>
      <c r="I989" s="48"/>
      <c r="J989" s="48"/>
      <c r="K989" s="48"/>
      <c r="L989" s="48"/>
      <c r="M989" s="48"/>
      <c r="N989" s="48"/>
      <c r="O989" s="48"/>
      <c r="P989" s="48"/>
      <c r="Q989" s="48"/>
      <c r="R989" s="48"/>
      <c r="S989" s="48"/>
      <c r="T989" s="48"/>
      <c r="U989" s="48"/>
      <c r="V989" s="48"/>
      <c r="W989" s="48"/>
      <c r="X989" s="48"/>
      <c r="Y989" s="48"/>
      <c r="Z989" s="48"/>
      <c r="AA989" s="48"/>
    </row>
    <row r="990" spans="2:27" ht="12.75" customHeight="1" x14ac:dyDescent="0.25">
      <c r="B990" s="48"/>
      <c r="C990" s="48"/>
      <c r="D990" s="48"/>
      <c r="E990" s="48"/>
      <c r="F990" s="48"/>
      <c r="G990" s="48"/>
      <c r="H990" s="48"/>
      <c r="I990" s="48"/>
      <c r="J990" s="48"/>
      <c r="K990" s="48"/>
      <c r="L990" s="48"/>
      <c r="M990" s="48"/>
      <c r="N990" s="48"/>
      <c r="O990" s="48"/>
      <c r="P990" s="48"/>
      <c r="Q990" s="48"/>
      <c r="R990" s="48"/>
      <c r="S990" s="48"/>
      <c r="T990" s="48"/>
      <c r="U990" s="48"/>
      <c r="V990" s="48"/>
      <c r="W990" s="48"/>
      <c r="X990" s="48"/>
      <c r="Y990" s="48"/>
      <c r="Z990" s="48"/>
      <c r="AA990" s="48"/>
    </row>
    <row r="991" spans="2:27" ht="12.75" customHeight="1" x14ac:dyDescent="0.25">
      <c r="B991" s="48"/>
      <c r="C991" s="48"/>
      <c r="D991" s="48"/>
      <c r="E991" s="48"/>
      <c r="F991" s="48"/>
      <c r="G991" s="48"/>
      <c r="H991" s="48"/>
      <c r="I991" s="48"/>
      <c r="J991" s="48"/>
      <c r="K991" s="48"/>
      <c r="L991" s="48"/>
      <c r="M991" s="48"/>
      <c r="N991" s="48"/>
      <c r="O991" s="48"/>
      <c r="P991" s="48"/>
      <c r="Q991" s="48"/>
      <c r="R991" s="48"/>
      <c r="S991" s="48"/>
      <c r="T991" s="48"/>
      <c r="U991" s="48"/>
      <c r="V991" s="48"/>
      <c r="W991" s="48"/>
      <c r="X991" s="48"/>
      <c r="Y991" s="48"/>
      <c r="Z991" s="48"/>
      <c r="AA991" s="48"/>
    </row>
    <row r="992" spans="2:27" ht="12.75" customHeight="1" x14ac:dyDescent="0.25">
      <c r="B992" s="48"/>
      <c r="C992" s="48"/>
      <c r="D992" s="48"/>
      <c r="E992" s="48"/>
      <c r="F992" s="48"/>
      <c r="G992" s="48"/>
      <c r="H992" s="48"/>
      <c r="I992" s="48"/>
      <c r="J992" s="48"/>
      <c r="K992" s="48"/>
      <c r="L992" s="48"/>
      <c r="M992" s="48"/>
      <c r="N992" s="48"/>
      <c r="O992" s="48"/>
      <c r="P992" s="48"/>
      <c r="Q992" s="48"/>
      <c r="R992" s="48"/>
      <c r="S992" s="48"/>
      <c r="T992" s="48"/>
      <c r="U992" s="48"/>
      <c r="V992" s="48"/>
      <c r="W992" s="48"/>
      <c r="X992" s="48"/>
      <c r="Y992" s="48"/>
      <c r="Z992" s="48"/>
      <c r="AA992" s="48"/>
    </row>
    <row r="993" spans="2:27" ht="12.75" customHeight="1" x14ac:dyDescent="0.25">
      <c r="B993" s="48"/>
      <c r="C993" s="48"/>
      <c r="D993" s="48"/>
      <c r="E993" s="48"/>
      <c r="F993" s="48"/>
      <c r="G993" s="48"/>
      <c r="H993" s="48"/>
      <c r="I993" s="48"/>
      <c r="J993" s="48"/>
      <c r="K993" s="48"/>
      <c r="L993" s="48"/>
      <c r="M993" s="48"/>
      <c r="N993" s="48"/>
      <c r="O993" s="48"/>
      <c r="P993" s="48"/>
      <c r="Q993" s="48"/>
      <c r="R993" s="48"/>
      <c r="S993" s="48"/>
      <c r="T993" s="48"/>
      <c r="U993" s="48"/>
      <c r="V993" s="48"/>
      <c r="W993" s="48"/>
      <c r="X993" s="48"/>
      <c r="Y993" s="48"/>
      <c r="Z993" s="48"/>
      <c r="AA993" s="48"/>
    </row>
    <row r="994" spans="2:27" ht="12.75" customHeight="1" x14ac:dyDescent="0.25">
      <c r="B994" s="48"/>
      <c r="C994" s="48"/>
      <c r="D994" s="48"/>
      <c r="E994" s="48"/>
      <c r="F994" s="48"/>
      <c r="G994" s="48"/>
      <c r="H994" s="48"/>
      <c r="I994" s="48"/>
      <c r="J994" s="48"/>
      <c r="K994" s="48"/>
      <c r="L994" s="48"/>
      <c r="M994" s="48"/>
      <c r="N994" s="48"/>
      <c r="O994" s="48"/>
      <c r="P994" s="48"/>
      <c r="Q994" s="48"/>
      <c r="R994" s="48"/>
      <c r="S994" s="48"/>
      <c r="T994" s="48"/>
      <c r="U994" s="48"/>
      <c r="V994" s="48"/>
      <c r="W994" s="48"/>
      <c r="X994" s="48"/>
      <c r="Y994" s="48"/>
      <c r="Z994" s="48"/>
      <c r="AA994" s="48"/>
    </row>
    <row r="995" spans="2:27" ht="12.75" customHeight="1" x14ac:dyDescent="0.25">
      <c r="B995" s="48"/>
      <c r="C995" s="48"/>
      <c r="D995" s="48"/>
      <c r="E995" s="48"/>
      <c r="F995" s="48"/>
      <c r="G995" s="48"/>
      <c r="H995" s="48"/>
      <c r="I995" s="48"/>
      <c r="J995" s="48"/>
      <c r="K995" s="48"/>
      <c r="L995" s="48"/>
      <c r="M995" s="48"/>
      <c r="N995" s="48"/>
      <c r="O995" s="48"/>
      <c r="P995" s="48"/>
      <c r="Q995" s="48"/>
      <c r="R995" s="48"/>
      <c r="S995" s="48"/>
      <c r="T995" s="48"/>
      <c r="U995" s="48"/>
      <c r="V995" s="48"/>
      <c r="W995" s="48"/>
      <c r="X995" s="48"/>
      <c r="Y995" s="48"/>
      <c r="Z995" s="48"/>
      <c r="AA995" s="48"/>
    </row>
    <row r="996" spans="2:27" ht="12.75" customHeight="1" x14ac:dyDescent="0.25">
      <c r="B996" s="48"/>
      <c r="C996" s="48"/>
      <c r="D996" s="48"/>
      <c r="E996" s="48"/>
      <c r="F996" s="48"/>
      <c r="G996" s="48"/>
      <c r="H996" s="48"/>
      <c r="I996" s="48"/>
      <c r="J996" s="48"/>
      <c r="K996" s="48"/>
      <c r="L996" s="48"/>
      <c r="M996" s="48"/>
      <c r="N996" s="48"/>
      <c r="O996" s="48"/>
      <c r="P996" s="48"/>
      <c r="Q996" s="48"/>
      <c r="R996" s="48"/>
      <c r="S996" s="48"/>
      <c r="T996" s="48"/>
      <c r="U996" s="48"/>
      <c r="V996" s="48"/>
      <c r="W996" s="48"/>
      <c r="X996" s="48"/>
      <c r="Y996" s="48"/>
      <c r="Z996" s="48"/>
      <c r="AA996" s="48"/>
    </row>
    <row r="997" spans="2:27" ht="12.75" customHeight="1" x14ac:dyDescent="0.25">
      <c r="B997" s="48"/>
      <c r="C997" s="48"/>
      <c r="D997" s="48"/>
      <c r="E997" s="48"/>
      <c r="F997" s="48"/>
      <c r="G997" s="48"/>
      <c r="H997" s="48"/>
      <c r="I997" s="48"/>
      <c r="J997" s="48"/>
      <c r="K997" s="48"/>
      <c r="L997" s="48"/>
      <c r="M997" s="48"/>
      <c r="N997" s="48"/>
      <c r="O997" s="48"/>
      <c r="P997" s="48"/>
      <c r="Q997" s="48"/>
      <c r="R997" s="48"/>
      <c r="S997" s="48"/>
      <c r="T997" s="48"/>
      <c r="U997" s="48"/>
      <c r="V997" s="48"/>
      <c r="W997" s="48"/>
      <c r="X997" s="48"/>
      <c r="Y997" s="48"/>
      <c r="Z997" s="48"/>
      <c r="AA997" s="48"/>
    </row>
    <row r="998" spans="2:27" ht="12.75" customHeight="1" x14ac:dyDescent="0.25">
      <c r="B998" s="48"/>
      <c r="C998" s="48"/>
      <c r="D998" s="48"/>
      <c r="E998" s="48"/>
      <c r="F998" s="48"/>
      <c r="G998" s="48"/>
      <c r="H998" s="48"/>
      <c r="I998" s="48"/>
      <c r="J998" s="48"/>
      <c r="K998" s="48"/>
      <c r="L998" s="48"/>
      <c r="M998" s="48"/>
      <c r="N998" s="48"/>
      <c r="O998" s="48"/>
      <c r="P998" s="48"/>
      <c r="Q998" s="48"/>
      <c r="R998" s="48"/>
      <c r="S998" s="48"/>
      <c r="T998" s="48"/>
      <c r="U998" s="48"/>
      <c r="V998" s="48"/>
      <c r="W998" s="48"/>
      <c r="X998" s="48"/>
      <c r="Y998" s="48"/>
      <c r="Z998" s="48"/>
      <c r="AA998" s="48"/>
    </row>
    <row r="999" spans="2:27" ht="12.75" customHeight="1" x14ac:dyDescent="0.25">
      <c r="B999" s="48"/>
      <c r="C999" s="48"/>
      <c r="D999" s="48"/>
      <c r="E999" s="48"/>
      <c r="F999" s="48"/>
      <c r="G999" s="48"/>
      <c r="H999" s="48"/>
      <c r="I999" s="48"/>
      <c r="J999" s="48"/>
      <c r="K999" s="48"/>
      <c r="L999" s="48"/>
      <c r="M999" s="48"/>
      <c r="N999" s="48"/>
      <c r="O999" s="48"/>
      <c r="P999" s="48"/>
      <c r="Q999" s="48"/>
      <c r="R999" s="48"/>
      <c r="S999" s="48"/>
      <c r="T999" s="48"/>
      <c r="U999" s="48"/>
      <c r="V999" s="48"/>
      <c r="W999" s="48"/>
      <c r="X999" s="48"/>
      <c r="Y999" s="48"/>
      <c r="Z999" s="48"/>
      <c r="AA999" s="48"/>
    </row>
    <row r="1000" spans="2:27" ht="12.75" customHeight="1" x14ac:dyDescent="0.25">
      <c r="B1000" s="48"/>
      <c r="C1000" s="48"/>
      <c r="D1000" s="48"/>
      <c r="E1000" s="48"/>
      <c r="F1000" s="48"/>
      <c r="G1000" s="48"/>
      <c r="H1000" s="48"/>
      <c r="I1000" s="48"/>
      <c r="J1000" s="48"/>
      <c r="K1000" s="48"/>
      <c r="L1000" s="48"/>
      <c r="M1000" s="48"/>
      <c r="N1000" s="48"/>
      <c r="O1000" s="48"/>
      <c r="P1000" s="48"/>
      <c r="Q1000" s="48"/>
      <c r="R1000" s="48"/>
      <c r="S1000" s="48"/>
      <c r="T1000" s="48"/>
      <c r="U1000" s="48"/>
      <c r="V1000" s="48"/>
      <c r="W1000" s="48"/>
      <c r="X1000" s="48"/>
      <c r="Y1000" s="48"/>
      <c r="Z1000" s="48"/>
      <c r="AA1000" s="48"/>
    </row>
    <row r="1001" spans="2:27" ht="12.75" customHeight="1" x14ac:dyDescent="0.25">
      <c r="B1001" s="48"/>
      <c r="C1001" s="48"/>
      <c r="D1001" s="48"/>
      <c r="E1001" s="48"/>
      <c r="F1001" s="48"/>
      <c r="G1001" s="48"/>
      <c r="H1001" s="48"/>
      <c r="I1001" s="48"/>
      <c r="J1001" s="48"/>
      <c r="K1001" s="48"/>
      <c r="L1001" s="48"/>
      <c r="M1001" s="48"/>
      <c r="N1001" s="48"/>
      <c r="O1001" s="48"/>
      <c r="P1001" s="48"/>
      <c r="Q1001" s="48"/>
      <c r="R1001" s="48"/>
      <c r="S1001" s="48"/>
      <c r="T1001" s="48"/>
      <c r="U1001" s="48"/>
      <c r="V1001" s="48"/>
      <c r="W1001" s="48"/>
      <c r="X1001" s="48"/>
      <c r="Y1001" s="48"/>
      <c r="Z1001" s="48"/>
      <c r="AA1001" s="48"/>
    </row>
    <row r="1002" spans="2:27" ht="12.75" customHeight="1" x14ac:dyDescent="0.25">
      <c r="B1002" s="48"/>
      <c r="C1002" s="48"/>
      <c r="D1002" s="48"/>
      <c r="E1002" s="48"/>
      <c r="F1002" s="48"/>
      <c r="G1002" s="48"/>
      <c r="H1002" s="48"/>
      <c r="I1002" s="48"/>
      <c r="J1002" s="48"/>
      <c r="K1002" s="48"/>
      <c r="L1002" s="48"/>
      <c r="M1002" s="48"/>
      <c r="N1002" s="48"/>
      <c r="O1002" s="48"/>
      <c r="P1002" s="48"/>
      <c r="Q1002" s="48"/>
      <c r="R1002" s="48"/>
      <c r="S1002" s="48"/>
      <c r="T1002" s="48"/>
      <c r="U1002" s="48"/>
      <c r="V1002" s="48"/>
      <c r="W1002" s="48"/>
      <c r="X1002" s="48"/>
      <c r="Y1002" s="48"/>
      <c r="Z1002" s="48"/>
      <c r="AA1002" s="48"/>
    </row>
    <row r="1003" spans="2:27" ht="12.75" customHeight="1" x14ac:dyDescent="0.25">
      <c r="B1003" s="48"/>
      <c r="C1003" s="48"/>
      <c r="D1003" s="48"/>
      <c r="E1003" s="48"/>
      <c r="F1003" s="48"/>
      <c r="G1003" s="48"/>
      <c r="H1003" s="48"/>
      <c r="I1003" s="48"/>
      <c r="J1003" s="48"/>
      <c r="K1003" s="48"/>
      <c r="L1003" s="48"/>
      <c r="M1003" s="48"/>
      <c r="N1003" s="48"/>
      <c r="O1003" s="48"/>
      <c r="P1003" s="48"/>
      <c r="Q1003" s="48"/>
      <c r="R1003" s="48"/>
      <c r="S1003" s="48"/>
      <c r="T1003" s="48"/>
      <c r="U1003" s="48"/>
      <c r="V1003" s="48"/>
      <c r="W1003" s="48"/>
      <c r="X1003" s="48"/>
      <c r="Y1003" s="48"/>
      <c r="Z1003" s="48"/>
      <c r="AA1003" s="48"/>
    </row>
    <row r="1004" spans="2:27" ht="12.75" customHeight="1" x14ac:dyDescent="0.25">
      <c r="B1004" s="48"/>
      <c r="C1004" s="48"/>
      <c r="D1004" s="48"/>
      <c r="E1004" s="48"/>
      <c r="F1004" s="48"/>
      <c r="G1004" s="48"/>
      <c r="H1004" s="48"/>
      <c r="I1004" s="48"/>
      <c r="J1004" s="48"/>
      <c r="K1004" s="48"/>
      <c r="L1004" s="48"/>
      <c r="M1004" s="48"/>
      <c r="N1004" s="48"/>
      <c r="O1004" s="48"/>
      <c r="P1004" s="48"/>
      <c r="Q1004" s="48"/>
      <c r="R1004" s="48"/>
      <c r="S1004" s="48"/>
      <c r="T1004" s="48"/>
      <c r="U1004" s="48"/>
      <c r="V1004" s="48"/>
      <c r="W1004" s="48"/>
      <c r="X1004" s="48"/>
      <c r="Y1004" s="48"/>
      <c r="Z1004" s="48"/>
      <c r="AA1004" s="48"/>
    </row>
    <row r="1005" spans="2:27" ht="12.75" customHeight="1" x14ac:dyDescent="0.25">
      <c r="B1005" s="48"/>
      <c r="C1005" s="48"/>
      <c r="D1005" s="48"/>
      <c r="E1005" s="48"/>
      <c r="F1005" s="48"/>
      <c r="G1005" s="48"/>
      <c r="H1005" s="48"/>
      <c r="I1005" s="48"/>
      <c r="J1005" s="48"/>
      <c r="K1005" s="48"/>
      <c r="L1005" s="48"/>
      <c r="M1005" s="48"/>
      <c r="N1005" s="48"/>
      <c r="O1005" s="48"/>
      <c r="P1005" s="48"/>
      <c r="Q1005" s="48"/>
      <c r="R1005" s="48"/>
      <c r="S1005" s="48"/>
      <c r="T1005" s="48"/>
      <c r="U1005" s="48"/>
      <c r="V1005" s="48"/>
      <c r="W1005" s="48"/>
      <c r="X1005" s="48"/>
      <c r="Y1005" s="48"/>
      <c r="Z1005" s="48"/>
      <c r="AA1005" s="48"/>
    </row>
    <row r="1006" spans="2:27" ht="12.75" customHeight="1" x14ac:dyDescent="0.25">
      <c r="B1006" s="48"/>
      <c r="C1006" s="48"/>
      <c r="D1006" s="48"/>
      <c r="E1006" s="48"/>
      <c r="F1006" s="48"/>
      <c r="G1006" s="48"/>
      <c r="H1006" s="48"/>
      <c r="I1006" s="48"/>
      <c r="J1006" s="48"/>
      <c r="K1006" s="48"/>
      <c r="L1006" s="48"/>
      <c r="M1006" s="48"/>
      <c r="N1006" s="48"/>
      <c r="O1006" s="48"/>
      <c r="P1006" s="48"/>
      <c r="Q1006" s="48"/>
      <c r="R1006" s="48"/>
      <c r="S1006" s="48"/>
      <c r="T1006" s="48"/>
      <c r="U1006" s="48"/>
      <c r="V1006" s="48"/>
      <c r="W1006" s="48"/>
      <c r="X1006" s="48"/>
      <c r="Y1006" s="48"/>
      <c r="Z1006" s="48"/>
      <c r="AA1006" s="48"/>
    </row>
    <row r="1007" spans="2:27" ht="12.75" customHeight="1" x14ac:dyDescent="0.25">
      <c r="B1007" s="48"/>
      <c r="C1007" s="48"/>
      <c r="D1007" s="48"/>
      <c r="E1007" s="48"/>
      <c r="F1007" s="48"/>
      <c r="G1007" s="48"/>
      <c r="H1007" s="48"/>
      <c r="I1007" s="48"/>
      <c r="J1007" s="48"/>
      <c r="K1007" s="48"/>
      <c r="L1007" s="48"/>
      <c r="M1007" s="48"/>
      <c r="N1007" s="48"/>
      <c r="O1007" s="48"/>
      <c r="P1007" s="48"/>
      <c r="Q1007" s="48"/>
      <c r="R1007" s="48"/>
      <c r="S1007" s="48"/>
      <c r="T1007" s="48"/>
      <c r="U1007" s="48"/>
      <c r="V1007" s="48"/>
      <c r="W1007" s="48"/>
      <c r="X1007" s="48"/>
      <c r="Y1007" s="48"/>
      <c r="Z1007" s="48"/>
      <c r="AA1007" s="48"/>
    </row>
    <row r="1008" spans="2:27" ht="12.75" customHeight="1" x14ac:dyDescent="0.25">
      <c r="B1008" s="48"/>
      <c r="C1008" s="48"/>
      <c r="D1008" s="48"/>
      <c r="E1008" s="48"/>
      <c r="F1008" s="48"/>
      <c r="G1008" s="48"/>
      <c r="H1008" s="48"/>
      <c r="I1008" s="48"/>
      <c r="J1008" s="48"/>
      <c r="K1008" s="48"/>
      <c r="L1008" s="48"/>
      <c r="M1008" s="48"/>
      <c r="N1008" s="48"/>
      <c r="O1008" s="48"/>
      <c r="P1008" s="48"/>
      <c r="Q1008" s="48"/>
      <c r="R1008" s="48"/>
      <c r="S1008" s="48"/>
      <c r="T1008" s="48"/>
      <c r="U1008" s="48"/>
      <c r="V1008" s="48"/>
      <c r="W1008" s="48"/>
      <c r="X1008" s="48"/>
      <c r="Y1008" s="48"/>
      <c r="Z1008" s="48"/>
      <c r="AA1008" s="48"/>
    </row>
    <row r="1009" spans="2:27" ht="12.75" customHeight="1" x14ac:dyDescent="0.25">
      <c r="B1009" s="48"/>
      <c r="C1009" s="48"/>
      <c r="D1009" s="48"/>
      <c r="E1009" s="48"/>
      <c r="F1009" s="48"/>
      <c r="G1009" s="48"/>
      <c r="H1009" s="48"/>
      <c r="I1009" s="48"/>
      <c r="J1009" s="48"/>
      <c r="K1009" s="48"/>
      <c r="L1009" s="48"/>
      <c r="M1009" s="48"/>
      <c r="N1009" s="48"/>
      <c r="O1009" s="48"/>
      <c r="P1009" s="48"/>
      <c r="Q1009" s="48"/>
      <c r="R1009" s="48"/>
      <c r="S1009" s="48"/>
      <c r="T1009" s="48"/>
      <c r="U1009" s="48"/>
      <c r="V1009" s="48"/>
      <c r="W1009" s="48"/>
      <c r="X1009" s="48"/>
      <c r="Y1009" s="48"/>
      <c r="Z1009" s="48"/>
      <c r="AA1009" s="48"/>
    </row>
    <row r="1010" spans="2:27" ht="12.75" customHeight="1" x14ac:dyDescent="0.25">
      <c r="B1010" s="48"/>
      <c r="C1010" s="48"/>
      <c r="D1010" s="48"/>
      <c r="E1010" s="48"/>
      <c r="F1010" s="48"/>
      <c r="G1010" s="48"/>
      <c r="H1010" s="48"/>
      <c r="I1010" s="48"/>
      <c r="J1010" s="48"/>
      <c r="K1010" s="48"/>
      <c r="L1010" s="48"/>
      <c r="M1010" s="48"/>
      <c r="N1010" s="48"/>
      <c r="O1010" s="48"/>
      <c r="P1010" s="48"/>
      <c r="Q1010" s="48"/>
      <c r="R1010" s="48"/>
      <c r="S1010" s="48"/>
      <c r="T1010" s="48"/>
      <c r="U1010" s="48"/>
      <c r="V1010" s="48"/>
      <c r="W1010" s="48"/>
      <c r="X1010" s="48"/>
      <c r="Y1010" s="48"/>
      <c r="Z1010" s="48"/>
      <c r="AA1010" s="48"/>
    </row>
    <row r="1011" spans="2:27" ht="12.75" customHeight="1" x14ac:dyDescent="0.25">
      <c r="B1011" s="48"/>
      <c r="C1011" s="48"/>
      <c r="D1011" s="48"/>
      <c r="E1011" s="48"/>
      <c r="F1011" s="48"/>
      <c r="G1011" s="48"/>
      <c r="H1011" s="48"/>
      <c r="I1011" s="48"/>
      <c r="J1011" s="48"/>
      <c r="K1011" s="48"/>
      <c r="L1011" s="48"/>
      <c r="M1011" s="48"/>
      <c r="N1011" s="48"/>
      <c r="O1011" s="48"/>
      <c r="P1011" s="48"/>
      <c r="Q1011" s="48"/>
      <c r="R1011" s="48"/>
      <c r="S1011" s="48"/>
      <c r="T1011" s="48"/>
      <c r="U1011" s="48"/>
      <c r="V1011" s="48"/>
      <c r="W1011" s="48"/>
      <c r="X1011" s="48"/>
      <c r="Y1011" s="48"/>
      <c r="Z1011" s="48"/>
      <c r="AA1011" s="48"/>
    </row>
    <row r="1012" spans="2:27" ht="12.75" customHeight="1" x14ac:dyDescent="0.25">
      <c r="B1012" s="48"/>
      <c r="C1012" s="48"/>
      <c r="D1012" s="48"/>
      <c r="E1012" s="48"/>
      <c r="F1012" s="48"/>
      <c r="G1012" s="48"/>
      <c r="H1012" s="48"/>
      <c r="I1012" s="48"/>
      <c r="J1012" s="48"/>
      <c r="K1012" s="48"/>
      <c r="L1012" s="48"/>
      <c r="M1012" s="48"/>
      <c r="N1012" s="48"/>
      <c r="O1012" s="48"/>
      <c r="P1012" s="48"/>
      <c r="Q1012" s="48"/>
      <c r="R1012" s="48"/>
      <c r="S1012" s="48"/>
      <c r="T1012" s="48"/>
      <c r="U1012" s="48"/>
      <c r="V1012" s="48"/>
      <c r="W1012" s="48"/>
      <c r="X1012" s="48"/>
      <c r="Y1012" s="48"/>
      <c r="Z1012" s="48"/>
      <c r="AA1012" s="48"/>
    </row>
    <row r="1013" spans="2:27" ht="12.75" customHeight="1" x14ac:dyDescent="0.25">
      <c r="B1013" s="48"/>
      <c r="C1013" s="48"/>
      <c r="D1013" s="48"/>
      <c r="E1013" s="48"/>
      <c r="F1013" s="48"/>
      <c r="G1013" s="48"/>
      <c r="H1013" s="48"/>
      <c r="I1013" s="48"/>
      <c r="J1013" s="48"/>
      <c r="K1013" s="48"/>
      <c r="L1013" s="48"/>
      <c r="M1013" s="48"/>
      <c r="N1013" s="48"/>
      <c r="O1013" s="48"/>
      <c r="P1013" s="48"/>
      <c r="Q1013" s="48"/>
      <c r="R1013" s="48"/>
      <c r="S1013" s="48"/>
      <c r="T1013" s="48"/>
      <c r="U1013" s="48"/>
      <c r="V1013" s="48"/>
      <c r="W1013" s="48"/>
      <c r="X1013" s="48"/>
      <c r="Y1013" s="48"/>
      <c r="Z1013" s="48"/>
      <c r="AA1013" s="48"/>
    </row>
    <row r="1014" spans="2:27" ht="12.75" customHeight="1" x14ac:dyDescent="0.25">
      <c r="B1014" s="48"/>
      <c r="C1014" s="48"/>
      <c r="D1014" s="48"/>
      <c r="E1014" s="48"/>
      <c r="F1014" s="48"/>
      <c r="G1014" s="48"/>
      <c r="H1014" s="48"/>
      <c r="I1014" s="48"/>
      <c r="J1014" s="48"/>
      <c r="K1014" s="48"/>
      <c r="L1014" s="48"/>
      <c r="M1014" s="48"/>
      <c r="N1014" s="48"/>
      <c r="O1014" s="48"/>
      <c r="P1014" s="48"/>
      <c r="Q1014" s="48"/>
      <c r="R1014" s="48"/>
      <c r="S1014" s="48"/>
      <c r="T1014" s="48"/>
      <c r="U1014" s="48"/>
      <c r="V1014" s="48"/>
      <c r="W1014" s="48"/>
      <c r="X1014" s="48"/>
      <c r="Y1014" s="48"/>
      <c r="Z1014" s="48"/>
      <c r="AA1014" s="48"/>
    </row>
    <row r="1015" spans="2:27" ht="12.75" customHeight="1" x14ac:dyDescent="0.25">
      <c r="B1015" s="48"/>
      <c r="C1015" s="48"/>
      <c r="D1015" s="48"/>
      <c r="E1015" s="48"/>
      <c r="F1015" s="48"/>
      <c r="G1015" s="48"/>
      <c r="H1015" s="48"/>
      <c r="I1015" s="48"/>
      <c r="J1015" s="48"/>
      <c r="K1015" s="48"/>
      <c r="L1015" s="48"/>
      <c r="M1015" s="48"/>
      <c r="N1015" s="48"/>
      <c r="O1015" s="48"/>
      <c r="P1015" s="48"/>
      <c r="Q1015" s="48"/>
      <c r="R1015" s="48"/>
      <c r="S1015" s="48"/>
      <c r="T1015" s="48"/>
      <c r="U1015" s="48"/>
      <c r="V1015" s="48"/>
      <c r="W1015" s="48"/>
      <c r="X1015" s="48"/>
      <c r="Y1015" s="48"/>
      <c r="Z1015" s="48"/>
      <c r="AA1015" s="48"/>
    </row>
    <row r="1016" spans="2:27" ht="12.75" customHeight="1" x14ac:dyDescent="0.25">
      <c r="B1016" s="48"/>
      <c r="C1016" s="48"/>
      <c r="D1016" s="48"/>
      <c r="E1016" s="48"/>
      <c r="F1016" s="48"/>
      <c r="G1016" s="48"/>
      <c r="H1016" s="48"/>
      <c r="I1016" s="48"/>
      <c r="J1016" s="48"/>
      <c r="K1016" s="48"/>
      <c r="L1016" s="48"/>
      <c r="M1016" s="48"/>
      <c r="N1016" s="48"/>
      <c r="O1016" s="48"/>
      <c r="P1016" s="48"/>
      <c r="Q1016" s="48"/>
      <c r="R1016" s="48"/>
      <c r="S1016" s="48"/>
      <c r="T1016" s="48"/>
      <c r="U1016" s="48"/>
      <c r="V1016" s="48"/>
      <c r="W1016" s="48"/>
      <c r="X1016" s="48"/>
      <c r="Y1016" s="48"/>
      <c r="Z1016" s="48"/>
      <c r="AA1016" s="48"/>
    </row>
    <row r="1017" spans="2:27" ht="12.75" customHeight="1" x14ac:dyDescent="0.25">
      <c r="B1017" s="48"/>
      <c r="C1017" s="48"/>
      <c r="D1017" s="48"/>
      <c r="E1017" s="48"/>
      <c r="F1017" s="48"/>
      <c r="G1017" s="48"/>
      <c r="H1017" s="48"/>
      <c r="I1017" s="48"/>
      <c r="J1017" s="48"/>
      <c r="K1017" s="48"/>
      <c r="L1017" s="48"/>
      <c r="M1017" s="48"/>
      <c r="N1017" s="48"/>
      <c r="O1017" s="48"/>
      <c r="P1017" s="48"/>
      <c r="Q1017" s="48"/>
      <c r="R1017" s="48"/>
      <c r="S1017" s="48"/>
      <c r="T1017" s="48"/>
      <c r="U1017" s="48"/>
      <c r="V1017" s="48"/>
      <c r="W1017" s="48"/>
      <c r="X1017" s="48"/>
      <c r="Y1017" s="48"/>
      <c r="Z1017" s="48"/>
      <c r="AA1017" s="48"/>
    </row>
    <row r="1018" spans="2:27" ht="12.75" customHeight="1" x14ac:dyDescent="0.25">
      <c r="B1018" s="48"/>
      <c r="C1018" s="48"/>
      <c r="D1018" s="48"/>
      <c r="E1018" s="48"/>
      <c r="F1018" s="48"/>
      <c r="G1018" s="48"/>
      <c r="H1018" s="48"/>
      <c r="I1018" s="48"/>
      <c r="J1018" s="48"/>
      <c r="K1018" s="48"/>
      <c r="L1018" s="48"/>
      <c r="M1018" s="48"/>
      <c r="N1018" s="48"/>
      <c r="O1018" s="48"/>
      <c r="P1018" s="48"/>
      <c r="Q1018" s="48"/>
      <c r="R1018" s="48"/>
      <c r="S1018" s="48"/>
      <c r="T1018" s="48"/>
      <c r="U1018" s="48"/>
      <c r="V1018" s="48"/>
      <c r="W1018" s="48"/>
      <c r="X1018" s="48"/>
      <c r="Y1018" s="48"/>
      <c r="Z1018" s="48"/>
      <c r="AA1018" s="48"/>
    </row>
    <row r="1019" spans="2:27" ht="12.75" customHeight="1" x14ac:dyDescent="0.25">
      <c r="B1019" s="48"/>
      <c r="C1019" s="48"/>
      <c r="D1019" s="48"/>
      <c r="E1019" s="48"/>
      <c r="F1019" s="48"/>
      <c r="G1019" s="48"/>
      <c r="H1019" s="48"/>
      <c r="I1019" s="48"/>
      <c r="J1019" s="48"/>
      <c r="K1019" s="48"/>
      <c r="L1019" s="48"/>
      <c r="M1019" s="48"/>
      <c r="N1019" s="48"/>
      <c r="O1019" s="48"/>
      <c r="P1019" s="48"/>
      <c r="Q1019" s="48"/>
      <c r="R1019" s="48"/>
      <c r="S1019" s="48"/>
      <c r="T1019" s="48"/>
      <c r="U1019" s="48"/>
      <c r="V1019" s="48"/>
      <c r="W1019" s="48"/>
      <c r="X1019" s="48"/>
      <c r="Y1019" s="48"/>
      <c r="Z1019" s="48"/>
      <c r="AA1019" s="48"/>
    </row>
    <row r="1020" spans="2:27" ht="12.75" customHeight="1" x14ac:dyDescent="0.25">
      <c r="B1020" s="48"/>
      <c r="C1020" s="48"/>
      <c r="D1020" s="48"/>
      <c r="E1020" s="48"/>
      <c r="F1020" s="48"/>
      <c r="G1020" s="48"/>
      <c r="H1020" s="48"/>
      <c r="I1020" s="48"/>
      <c r="J1020" s="48"/>
      <c r="K1020" s="48"/>
      <c r="L1020" s="48"/>
      <c r="M1020" s="48"/>
      <c r="N1020" s="48"/>
      <c r="O1020" s="48"/>
      <c r="P1020" s="48"/>
      <c r="Q1020" s="48"/>
      <c r="R1020" s="48"/>
      <c r="S1020" s="48"/>
      <c r="T1020" s="48"/>
      <c r="U1020" s="48"/>
      <c r="V1020" s="48"/>
      <c r="W1020" s="48"/>
      <c r="X1020" s="48"/>
      <c r="Y1020" s="48"/>
      <c r="Z1020" s="48"/>
      <c r="AA1020" s="48"/>
    </row>
    <row r="1021" spans="2:27" ht="12.75" customHeight="1" x14ac:dyDescent="0.25">
      <c r="B1021" s="48"/>
      <c r="C1021" s="48"/>
      <c r="D1021" s="48"/>
      <c r="E1021" s="48"/>
      <c r="F1021" s="48"/>
      <c r="G1021" s="48"/>
      <c r="H1021" s="48"/>
      <c r="I1021" s="48"/>
      <c r="J1021" s="48"/>
      <c r="K1021" s="48"/>
      <c r="L1021" s="48"/>
      <c r="M1021" s="48"/>
      <c r="N1021" s="48"/>
      <c r="O1021" s="48"/>
      <c r="P1021" s="48"/>
      <c r="Q1021" s="48"/>
      <c r="R1021" s="48"/>
      <c r="S1021" s="48"/>
      <c r="T1021" s="48"/>
      <c r="U1021" s="48"/>
      <c r="V1021" s="48"/>
      <c r="W1021" s="48"/>
      <c r="X1021" s="48"/>
      <c r="Y1021" s="48"/>
      <c r="Z1021" s="48"/>
      <c r="AA1021" s="48"/>
    </row>
    <row r="1022" spans="2:27" ht="12.75" customHeight="1" x14ac:dyDescent="0.25">
      <c r="B1022" s="48"/>
      <c r="C1022" s="48"/>
      <c r="D1022" s="48"/>
      <c r="E1022" s="48"/>
      <c r="F1022" s="48"/>
      <c r="G1022" s="48"/>
      <c r="H1022" s="48"/>
      <c r="I1022" s="48"/>
      <c r="J1022" s="48"/>
      <c r="K1022" s="48"/>
      <c r="L1022" s="48"/>
      <c r="M1022" s="48"/>
      <c r="N1022" s="48"/>
      <c r="O1022" s="48"/>
      <c r="P1022" s="48"/>
      <c r="Q1022" s="48"/>
      <c r="R1022" s="48"/>
      <c r="S1022" s="48"/>
      <c r="T1022" s="48"/>
      <c r="U1022" s="48"/>
      <c r="V1022" s="48"/>
      <c r="W1022" s="48"/>
      <c r="X1022" s="48"/>
      <c r="Y1022" s="48"/>
      <c r="Z1022" s="48"/>
      <c r="AA1022" s="48"/>
    </row>
    <row r="1023" spans="2:27" ht="12.75" customHeight="1" x14ac:dyDescent="0.25">
      <c r="B1023" s="48"/>
      <c r="C1023" s="48"/>
      <c r="D1023" s="48"/>
      <c r="E1023" s="48"/>
      <c r="F1023" s="48"/>
      <c r="G1023" s="48"/>
      <c r="H1023" s="48"/>
      <c r="I1023" s="48"/>
      <c r="J1023" s="48"/>
      <c r="K1023" s="48"/>
      <c r="L1023" s="48"/>
      <c r="M1023" s="48"/>
      <c r="N1023" s="48"/>
      <c r="O1023" s="48"/>
      <c r="P1023" s="48"/>
      <c r="Q1023" s="48"/>
      <c r="R1023" s="48"/>
      <c r="S1023" s="48"/>
      <c r="T1023" s="48"/>
      <c r="U1023" s="48"/>
      <c r="V1023" s="48"/>
      <c r="W1023" s="48"/>
      <c r="X1023" s="48"/>
      <c r="Y1023" s="48"/>
      <c r="Z1023" s="48"/>
      <c r="AA1023" s="48"/>
    </row>
    <row r="1024" spans="2:27" ht="12.75" customHeight="1" x14ac:dyDescent="0.25">
      <c r="B1024" s="48"/>
      <c r="C1024" s="48"/>
      <c r="D1024" s="48"/>
      <c r="E1024" s="48"/>
      <c r="F1024" s="48"/>
      <c r="G1024" s="48"/>
      <c r="H1024" s="48"/>
      <c r="I1024" s="48"/>
      <c r="J1024" s="48"/>
      <c r="K1024" s="48"/>
      <c r="L1024" s="48"/>
      <c r="M1024" s="48"/>
      <c r="N1024" s="48"/>
      <c r="O1024" s="48"/>
      <c r="P1024" s="48"/>
      <c r="Q1024" s="48"/>
      <c r="R1024" s="48"/>
      <c r="S1024" s="48"/>
      <c r="T1024" s="48"/>
      <c r="U1024" s="48"/>
      <c r="V1024" s="48"/>
      <c r="W1024" s="48"/>
      <c r="X1024" s="48"/>
      <c r="Y1024" s="48"/>
      <c r="Z1024" s="48"/>
      <c r="AA1024" s="48"/>
    </row>
    <row r="1025" spans="2:27" ht="12.75" customHeight="1" x14ac:dyDescent="0.25">
      <c r="B1025" s="48"/>
      <c r="C1025" s="48"/>
      <c r="D1025" s="48"/>
      <c r="E1025" s="48"/>
      <c r="F1025" s="48"/>
      <c r="G1025" s="48"/>
      <c r="H1025" s="48"/>
      <c r="I1025" s="48"/>
      <c r="J1025" s="48"/>
      <c r="K1025" s="48"/>
      <c r="L1025" s="48"/>
      <c r="M1025" s="48"/>
      <c r="N1025" s="48"/>
      <c r="O1025" s="48"/>
      <c r="P1025" s="48"/>
      <c r="Q1025" s="48"/>
      <c r="R1025" s="48"/>
      <c r="S1025" s="48"/>
      <c r="T1025" s="48"/>
      <c r="U1025" s="48"/>
      <c r="V1025" s="48"/>
      <c r="W1025" s="48"/>
      <c r="X1025" s="48"/>
      <c r="Y1025" s="48"/>
      <c r="Z1025" s="48"/>
      <c r="AA1025" s="48"/>
    </row>
    <row r="1026" spans="2:27" ht="12.75" customHeight="1" x14ac:dyDescent="0.25">
      <c r="B1026" s="48"/>
      <c r="C1026" s="48"/>
      <c r="D1026" s="48"/>
      <c r="E1026" s="48"/>
      <c r="F1026" s="48"/>
      <c r="G1026" s="48"/>
      <c r="H1026" s="48"/>
      <c r="I1026" s="48"/>
      <c r="J1026" s="48"/>
      <c r="K1026" s="48"/>
      <c r="L1026" s="48"/>
      <c r="M1026" s="48"/>
      <c r="N1026" s="48"/>
      <c r="O1026" s="48"/>
      <c r="P1026" s="48"/>
      <c r="Q1026" s="48"/>
      <c r="R1026" s="48"/>
      <c r="S1026" s="48"/>
      <c r="T1026" s="48"/>
      <c r="U1026" s="48"/>
      <c r="V1026" s="48"/>
      <c r="W1026" s="48"/>
      <c r="X1026" s="48"/>
      <c r="Y1026" s="48"/>
      <c r="Z1026" s="48"/>
      <c r="AA1026" s="48"/>
    </row>
    <row r="1027" spans="2:27" ht="12.75" customHeight="1" x14ac:dyDescent="0.25">
      <c r="B1027" s="48"/>
      <c r="C1027" s="48"/>
      <c r="D1027" s="48"/>
      <c r="E1027" s="48"/>
      <c r="F1027" s="48"/>
      <c r="G1027" s="48"/>
      <c r="H1027" s="48"/>
      <c r="I1027" s="48"/>
      <c r="J1027" s="48"/>
      <c r="K1027" s="48"/>
      <c r="L1027" s="48"/>
      <c r="M1027" s="48"/>
      <c r="N1027" s="48"/>
      <c r="O1027" s="48"/>
      <c r="P1027" s="48"/>
      <c r="Q1027" s="48"/>
      <c r="R1027" s="48"/>
      <c r="S1027" s="48"/>
      <c r="T1027" s="48"/>
      <c r="U1027" s="48"/>
      <c r="V1027" s="48"/>
      <c r="W1027" s="48"/>
      <c r="X1027" s="48"/>
      <c r="Y1027" s="48"/>
      <c r="Z1027" s="48"/>
      <c r="AA1027" s="48"/>
    </row>
    <row r="1028" spans="2:27" ht="12.75" customHeight="1" x14ac:dyDescent="0.25">
      <c r="B1028" s="48"/>
      <c r="C1028" s="48"/>
      <c r="D1028" s="48"/>
      <c r="E1028" s="48"/>
      <c r="F1028" s="48"/>
      <c r="G1028" s="48"/>
      <c r="H1028" s="48"/>
      <c r="I1028" s="48"/>
      <c r="J1028" s="48"/>
      <c r="K1028" s="48"/>
      <c r="L1028" s="48"/>
      <c r="M1028" s="48"/>
      <c r="N1028" s="48"/>
      <c r="O1028" s="48"/>
      <c r="P1028" s="48"/>
      <c r="Q1028" s="48"/>
      <c r="R1028" s="48"/>
      <c r="S1028" s="48"/>
      <c r="T1028" s="48"/>
      <c r="U1028" s="48"/>
      <c r="V1028" s="48"/>
      <c r="W1028" s="48"/>
      <c r="X1028" s="48"/>
      <c r="Y1028" s="48"/>
      <c r="Z1028" s="48"/>
      <c r="AA1028" s="48"/>
    </row>
    <row r="1029" spans="2:27" ht="12.75" customHeight="1" x14ac:dyDescent="0.25">
      <c r="B1029" s="48"/>
      <c r="C1029" s="48"/>
      <c r="D1029" s="48"/>
      <c r="E1029" s="48"/>
      <c r="F1029" s="48"/>
      <c r="G1029" s="48"/>
      <c r="H1029" s="48"/>
      <c r="I1029" s="48"/>
      <c r="J1029" s="48"/>
      <c r="K1029" s="48"/>
      <c r="L1029" s="48"/>
      <c r="M1029" s="48"/>
      <c r="N1029" s="48"/>
      <c r="O1029" s="48"/>
      <c r="P1029" s="48"/>
      <c r="Q1029" s="48"/>
      <c r="R1029" s="48"/>
      <c r="S1029" s="48"/>
      <c r="T1029" s="48"/>
      <c r="U1029" s="48"/>
      <c r="V1029" s="48"/>
      <c r="W1029" s="48"/>
      <c r="X1029" s="48"/>
      <c r="Y1029" s="48"/>
      <c r="Z1029" s="48"/>
      <c r="AA1029" s="48"/>
    </row>
    <row r="1030" spans="2:27" ht="12.75" customHeight="1" x14ac:dyDescent="0.25">
      <c r="B1030" s="48"/>
      <c r="C1030" s="48"/>
      <c r="D1030" s="48"/>
      <c r="E1030" s="48"/>
      <c r="F1030" s="48"/>
      <c r="G1030" s="48"/>
      <c r="H1030" s="48"/>
      <c r="I1030" s="48"/>
      <c r="J1030" s="48"/>
      <c r="K1030" s="48"/>
      <c r="L1030" s="48"/>
      <c r="M1030" s="48"/>
      <c r="N1030" s="48"/>
      <c r="O1030" s="48"/>
      <c r="P1030" s="48"/>
      <c r="Q1030" s="48"/>
      <c r="R1030" s="48"/>
      <c r="S1030" s="48"/>
      <c r="T1030" s="48"/>
      <c r="U1030" s="48"/>
      <c r="V1030" s="48"/>
      <c r="W1030" s="48"/>
      <c r="X1030" s="48"/>
      <c r="Y1030" s="48"/>
      <c r="Z1030" s="48"/>
      <c r="AA1030" s="48"/>
    </row>
    <row r="1031" spans="2:27" ht="12.75" customHeight="1" x14ac:dyDescent="0.25">
      <c r="B1031" s="48"/>
      <c r="C1031" s="48"/>
      <c r="D1031" s="48"/>
      <c r="E1031" s="48"/>
      <c r="F1031" s="48"/>
      <c r="G1031" s="48"/>
      <c r="H1031" s="48"/>
      <c r="I1031" s="48"/>
      <c r="J1031" s="48"/>
      <c r="K1031" s="48"/>
      <c r="L1031" s="48"/>
      <c r="M1031" s="48"/>
      <c r="N1031" s="48"/>
      <c r="O1031" s="48"/>
      <c r="P1031" s="48"/>
      <c r="Q1031" s="48"/>
      <c r="R1031" s="48"/>
      <c r="S1031" s="48"/>
      <c r="T1031" s="48"/>
      <c r="U1031" s="48"/>
      <c r="V1031" s="48"/>
      <c r="W1031" s="48"/>
      <c r="X1031" s="48"/>
      <c r="Y1031" s="48"/>
      <c r="Z1031" s="48"/>
      <c r="AA1031" s="48"/>
    </row>
    <row r="1032" spans="2:27" ht="12.75" customHeight="1" x14ac:dyDescent="0.25">
      <c r="B1032" s="48"/>
      <c r="C1032" s="48"/>
      <c r="D1032" s="48"/>
      <c r="E1032" s="48"/>
      <c r="F1032" s="48"/>
      <c r="G1032" s="48"/>
      <c r="H1032" s="48"/>
      <c r="I1032" s="48"/>
      <c r="J1032" s="48"/>
      <c r="K1032" s="48"/>
      <c r="L1032" s="48"/>
      <c r="M1032" s="48"/>
      <c r="N1032" s="48"/>
      <c r="O1032" s="48"/>
      <c r="P1032" s="48"/>
      <c r="Q1032" s="48"/>
      <c r="R1032" s="48"/>
      <c r="S1032" s="48"/>
      <c r="T1032" s="48"/>
      <c r="U1032" s="48"/>
      <c r="V1032" s="48"/>
      <c r="W1032" s="48"/>
      <c r="X1032" s="48"/>
      <c r="Y1032" s="48"/>
      <c r="Z1032" s="48"/>
      <c r="AA1032" s="48"/>
    </row>
    <row r="1033" spans="2:27" ht="12.75" customHeight="1" x14ac:dyDescent="0.25">
      <c r="B1033" s="48"/>
      <c r="C1033" s="48"/>
      <c r="D1033" s="48"/>
      <c r="E1033" s="48"/>
      <c r="F1033" s="48"/>
      <c r="G1033" s="48"/>
      <c r="H1033" s="48"/>
      <c r="I1033" s="48"/>
      <c r="J1033" s="48"/>
      <c r="K1033" s="48"/>
      <c r="L1033" s="48"/>
      <c r="M1033" s="48"/>
      <c r="N1033" s="48"/>
      <c r="O1033" s="48"/>
      <c r="P1033" s="48"/>
      <c r="Q1033" s="48"/>
      <c r="R1033" s="48"/>
      <c r="S1033" s="48"/>
      <c r="T1033" s="48"/>
      <c r="U1033" s="48"/>
      <c r="V1033" s="48"/>
      <c r="W1033" s="48"/>
      <c r="X1033" s="48"/>
      <c r="Y1033" s="48"/>
      <c r="Z1033" s="48"/>
      <c r="AA1033" s="48"/>
    </row>
    <row r="1034" spans="2:27" ht="12.75" customHeight="1" x14ac:dyDescent="0.25">
      <c r="B1034" s="48"/>
      <c r="C1034" s="48"/>
      <c r="D1034" s="48"/>
      <c r="E1034" s="48"/>
      <c r="F1034" s="48"/>
      <c r="G1034" s="48"/>
      <c r="H1034" s="48"/>
      <c r="I1034" s="48"/>
      <c r="J1034" s="48"/>
      <c r="K1034" s="48"/>
      <c r="L1034" s="48"/>
      <c r="M1034" s="48"/>
      <c r="N1034" s="48"/>
      <c r="O1034" s="48"/>
      <c r="P1034" s="48"/>
      <c r="Q1034" s="48"/>
      <c r="R1034" s="48"/>
      <c r="S1034" s="48"/>
      <c r="T1034" s="48"/>
      <c r="U1034" s="48"/>
      <c r="V1034" s="48"/>
      <c r="W1034" s="48"/>
      <c r="X1034" s="48"/>
      <c r="Y1034" s="48"/>
      <c r="Z1034" s="48"/>
      <c r="AA1034" s="48"/>
    </row>
  </sheetData>
  <mergeCells count="74">
    <mergeCell ref="DV32:DV33"/>
    <mergeCell ref="I61:L61"/>
    <mergeCell ref="I62:L62"/>
    <mergeCell ref="I63:L63"/>
    <mergeCell ref="D78:G78"/>
    <mergeCell ref="AE32:AE33"/>
    <mergeCell ref="AF32:AF33"/>
    <mergeCell ref="DO32:DO33"/>
    <mergeCell ref="DP32:DP33"/>
    <mergeCell ref="I60:L60"/>
    <mergeCell ref="H32:H33"/>
    <mergeCell ref="I32:I33"/>
    <mergeCell ref="J32:J33"/>
    <mergeCell ref="K32:K33"/>
    <mergeCell ref="L32:L33"/>
    <mergeCell ref="M32:M33"/>
    <mergeCell ref="AB20:AD20"/>
    <mergeCell ref="AB21:AD21"/>
    <mergeCell ref="AB22:AD22"/>
    <mergeCell ref="W32:W33"/>
    <mergeCell ref="X32:X33"/>
    <mergeCell ref="Y32:Y33"/>
    <mergeCell ref="Z32:Z33"/>
    <mergeCell ref="AB23:AD23"/>
    <mergeCell ref="AB24:AD24"/>
    <mergeCell ref="AB25:AD25"/>
    <mergeCell ref="AB26:AD26"/>
    <mergeCell ref="AB27:AD27"/>
    <mergeCell ref="AB28:AD28"/>
    <mergeCell ref="B1:AF4"/>
    <mergeCell ref="AB6:AD6"/>
    <mergeCell ref="AB7:AD7"/>
    <mergeCell ref="AB8:AD8"/>
    <mergeCell ref="AB19:AD19"/>
    <mergeCell ref="AB9:AD9"/>
    <mergeCell ref="AB10:AD10"/>
    <mergeCell ref="AB11:AD11"/>
    <mergeCell ref="AB12:AD12"/>
    <mergeCell ref="AB13:AD13"/>
    <mergeCell ref="AB14:AD14"/>
    <mergeCell ref="AB15:AD15"/>
    <mergeCell ref="AB16:AD16"/>
    <mergeCell ref="AB17:AD17"/>
    <mergeCell ref="AB18:AD18"/>
    <mergeCell ref="C32:C33"/>
    <mergeCell ref="D32:D33"/>
    <mergeCell ref="E32:E33"/>
    <mergeCell ref="F32:F33"/>
    <mergeCell ref="G32:G33"/>
    <mergeCell ref="DR32:DR33"/>
    <mergeCell ref="DS32:DS33"/>
    <mergeCell ref="DT32:DT33"/>
    <mergeCell ref="DU32:DU33"/>
    <mergeCell ref="I58:L58"/>
    <mergeCell ref="S32:S33"/>
    <mergeCell ref="T32:T33"/>
    <mergeCell ref="U32:U33"/>
    <mergeCell ref="V32:V33"/>
    <mergeCell ref="DQ32:DQ33"/>
    <mergeCell ref="N32:N33"/>
    <mergeCell ref="O32:O33"/>
    <mergeCell ref="P32:P33"/>
    <mergeCell ref="Q32:Q33"/>
    <mergeCell ref="R32:R33"/>
    <mergeCell ref="I59:L59"/>
    <mergeCell ref="B67:B68"/>
    <mergeCell ref="C67:C68"/>
    <mergeCell ref="D67:D68"/>
    <mergeCell ref="E67:E68"/>
    <mergeCell ref="F67:F68"/>
    <mergeCell ref="G67:G68"/>
    <mergeCell ref="H67:H68"/>
    <mergeCell ref="J67:J68"/>
    <mergeCell ref="K67:K68"/>
  </mergeCells>
  <conditionalFormatting sqref="D59:G59">
    <cfRule type="cellIs" dxfId="80" priority="59" operator="lessThan">
      <formula>0</formula>
    </cfRule>
  </conditionalFormatting>
  <conditionalFormatting sqref="E60:G60">
    <cfRule type="cellIs" dxfId="79" priority="58" operator="lessThan">
      <formula>0</formula>
    </cfRule>
  </conditionalFormatting>
  <conditionalFormatting sqref="W7:W24">
    <cfRule type="cellIs" dxfId="78" priority="53" operator="lessThan">
      <formula>1</formula>
    </cfRule>
  </conditionalFormatting>
  <conditionalFormatting sqref="U7:U23">
    <cfRule type="cellIs" dxfId="77" priority="27" operator="equal">
      <formula>0</formula>
    </cfRule>
    <cfRule type="cellIs" dxfId="76" priority="51" operator="lessThan">
      <formula>1</formula>
    </cfRule>
  </conditionalFormatting>
  <conditionalFormatting sqref="S21">
    <cfRule type="cellIs" dxfId="75" priority="46" operator="lessThan">
      <formula>1</formula>
    </cfRule>
  </conditionalFormatting>
  <conditionalFormatting sqref="D59">
    <cfRule type="cellIs" dxfId="74" priority="3" operator="equal">
      <formula>0</formula>
    </cfRule>
    <cfRule type="cellIs" dxfId="73" priority="10" operator="lessThan">
      <formula>1</formula>
    </cfRule>
  </conditionalFormatting>
  <conditionalFormatting sqref="E59:E60">
    <cfRule type="cellIs" dxfId="72" priority="4" operator="equal">
      <formula>0</formula>
    </cfRule>
    <cfRule type="cellIs" dxfId="71" priority="9" operator="lessThan">
      <formula>1</formula>
    </cfRule>
  </conditionalFormatting>
  <conditionalFormatting sqref="F59:F61">
    <cfRule type="cellIs" dxfId="70" priority="5" operator="equal">
      <formula>0</formula>
    </cfRule>
    <cfRule type="cellIs" dxfId="69" priority="8" operator="lessThan">
      <formula>1</formula>
    </cfRule>
  </conditionalFormatting>
  <conditionalFormatting sqref="G59:G62">
    <cfRule type="cellIs" dxfId="68" priority="6" operator="equal">
      <formula>0</formula>
    </cfRule>
    <cfRule type="cellIs" dxfId="67" priority="7" operator="lessThan">
      <formula>1</formula>
    </cfRule>
  </conditionalFormatting>
  <conditionalFormatting sqref="D7:I7">
    <cfRule type="expression" dxfId="66" priority="81">
      <formula>"&lt;0"</formula>
    </cfRule>
  </conditionalFormatting>
  <conditionalFormatting sqref="E7:H7">
    <cfRule type="expression" dxfId="65" priority="80">
      <formula>"&lt;0"</formula>
    </cfRule>
  </conditionalFormatting>
  <conditionalFormatting sqref="L7:L14">
    <cfRule type="cellIs" dxfId="64" priority="18" operator="equal">
      <formula>0</formula>
    </cfRule>
    <cfRule type="cellIs" dxfId="63" priority="39" operator="lessThan">
      <formula>1</formula>
    </cfRule>
    <cfRule type="cellIs" dxfId="62" priority="78" operator="lessThan">
      <formula>0</formula>
    </cfRule>
    <cfRule type="expression" dxfId="61" priority="79">
      <formula>"&lt;0"</formula>
    </cfRule>
  </conditionalFormatting>
  <conditionalFormatting sqref="I7:I11">
    <cfRule type="cellIs" dxfId="60" priority="15" operator="equal">
      <formula>0</formula>
    </cfRule>
    <cfRule type="cellIs" dxfId="59" priority="36" operator="lessThan">
      <formula>1</formula>
    </cfRule>
    <cfRule type="cellIs" dxfId="58" priority="77" operator="lessThan">
      <formula>0</formula>
    </cfRule>
  </conditionalFormatting>
  <conditionalFormatting sqref="X7:X26">
    <cfRule type="cellIs" dxfId="57" priority="30" operator="equal">
      <formula>0</formula>
    </cfRule>
    <cfRule type="cellIs" dxfId="56" priority="54" operator="lessThan">
      <formula>1</formula>
    </cfRule>
    <cfRule type="cellIs" dxfId="55" priority="76" operator="lessThan">
      <formula>0</formula>
    </cfRule>
  </conditionalFormatting>
  <conditionalFormatting sqref="W7:W25">
    <cfRule type="cellIs" dxfId="54" priority="29" operator="equal">
      <formula>0</formula>
    </cfRule>
    <cfRule type="cellIs" dxfId="53" priority="75" operator="lessThan">
      <formula>0</formula>
    </cfRule>
  </conditionalFormatting>
  <conditionalFormatting sqref="V7:V24">
    <cfRule type="cellIs" dxfId="52" priority="28" operator="equal">
      <formula>0</formula>
    </cfRule>
    <cfRule type="cellIs" dxfId="51" priority="52" operator="lessThan">
      <formula>1</formula>
    </cfRule>
    <cfRule type="cellIs" dxfId="50" priority="74" operator="lessThan">
      <formula>0</formula>
    </cfRule>
  </conditionalFormatting>
  <conditionalFormatting sqref="E7">
    <cfRule type="cellIs" dxfId="49" priority="11" operator="equal">
      <formula>0</formula>
    </cfRule>
    <cfRule type="cellIs" dxfId="48" priority="32" operator="lessThan">
      <formula>1</formula>
    </cfRule>
    <cfRule type="cellIs" dxfId="47" priority="73" operator="lessThan">
      <formula>0</formula>
    </cfRule>
  </conditionalFormatting>
  <conditionalFormatting sqref="F7:F8">
    <cfRule type="cellIs" dxfId="46" priority="12" operator="equal">
      <formula>0</formula>
    </cfRule>
    <cfRule type="cellIs" dxfId="45" priority="33" operator="lessThan">
      <formula>1</formula>
    </cfRule>
    <cfRule type="cellIs" dxfId="44" priority="72" operator="lessThan">
      <formula>0</formula>
    </cfRule>
  </conditionalFormatting>
  <conditionalFormatting sqref="G7:G9">
    <cfRule type="cellIs" dxfId="43" priority="13" operator="equal">
      <formula>0</formula>
    </cfRule>
    <cfRule type="cellIs" dxfId="42" priority="34" operator="lessThan">
      <formula>1</formula>
    </cfRule>
    <cfRule type="cellIs" dxfId="41" priority="71" operator="lessThan">
      <formula>0</formula>
    </cfRule>
  </conditionalFormatting>
  <conditionalFormatting sqref="H7:H10">
    <cfRule type="cellIs" dxfId="40" priority="14" operator="equal">
      <formula>0</formula>
    </cfRule>
    <cfRule type="cellIs" dxfId="39" priority="35" operator="lessThan">
      <formula>1</formula>
    </cfRule>
    <cfRule type="cellIs" dxfId="38" priority="70" operator="lessThan">
      <formula>0</formula>
    </cfRule>
  </conditionalFormatting>
  <conditionalFormatting sqref="J7:J12">
    <cfRule type="cellIs" dxfId="37" priority="16" operator="equal">
      <formula>0</formula>
    </cfRule>
    <cfRule type="cellIs" dxfId="36" priority="37" operator="lessThan">
      <formula>1</formula>
    </cfRule>
    <cfRule type="cellIs" dxfId="35" priority="69" operator="lessThan">
      <formula>0</formula>
    </cfRule>
  </conditionalFormatting>
  <conditionalFormatting sqref="K7:K13">
    <cfRule type="cellIs" dxfId="34" priority="17" operator="equal">
      <formula>0</formula>
    </cfRule>
    <cfRule type="cellIs" dxfId="33" priority="38" operator="lessThan">
      <formula>1</formula>
    </cfRule>
    <cfRule type="cellIs" dxfId="32" priority="68" operator="lessThan">
      <formula>0</formula>
    </cfRule>
  </conditionalFormatting>
  <conditionalFormatting sqref="M7:M15">
    <cfRule type="cellIs" dxfId="31" priority="19" operator="equal">
      <formula>0</formula>
    </cfRule>
    <cfRule type="cellIs" dxfId="30" priority="41" operator="lessThan">
      <formula>1</formula>
    </cfRule>
    <cfRule type="cellIs" dxfId="29" priority="67" operator="lessThan">
      <formula>0</formula>
    </cfRule>
  </conditionalFormatting>
  <conditionalFormatting sqref="N7:N16">
    <cfRule type="cellIs" dxfId="28" priority="20" operator="equal">
      <formula>0</formula>
    </cfRule>
    <cfRule type="cellIs" dxfId="27" priority="42" operator="lessThan">
      <formula>1</formula>
    </cfRule>
    <cfRule type="cellIs" dxfId="26" priority="66" operator="lessThan">
      <formula>0</formula>
    </cfRule>
  </conditionalFormatting>
  <conditionalFormatting sqref="O7:O17">
    <cfRule type="cellIs" dxfId="25" priority="21" operator="equal">
      <formula>0</formula>
    </cfRule>
    <cfRule type="cellIs" dxfId="24" priority="40" operator="lessThan">
      <formula>1</formula>
    </cfRule>
    <cfRule type="cellIs" dxfId="23" priority="65" operator="lessThan">
      <formula>0</formula>
    </cfRule>
  </conditionalFormatting>
  <conditionalFormatting sqref="P7:P18">
    <cfRule type="cellIs" dxfId="22" priority="22" operator="equal">
      <formula>0</formula>
    </cfRule>
    <cfRule type="cellIs" dxfId="21" priority="43" operator="lessThan">
      <formula>1</formula>
    </cfRule>
    <cfRule type="cellIs" dxfId="20" priority="64" operator="lessThan">
      <formula>0</formula>
    </cfRule>
  </conditionalFormatting>
  <conditionalFormatting sqref="Q7:Q19">
    <cfRule type="cellIs" dxfId="19" priority="23" operator="equal">
      <formula>0</formula>
    </cfRule>
    <cfRule type="cellIs" dxfId="18" priority="44" operator="lessThan">
      <formula>1</formula>
    </cfRule>
    <cfRule type="cellIs" dxfId="17" priority="63" operator="lessThan">
      <formula>0</formula>
    </cfRule>
  </conditionalFormatting>
  <conditionalFormatting sqref="R7:R20">
    <cfRule type="cellIs" dxfId="16" priority="24" operator="equal">
      <formula>0</formula>
    </cfRule>
    <cfRule type="cellIs" dxfId="15" priority="45" operator="lessThan">
      <formula>1</formula>
    </cfRule>
    <cfRule type="cellIs" dxfId="14" priority="47" operator="lessThan">
      <formula>0</formula>
    </cfRule>
    <cfRule type="cellIs" dxfId="13" priority="48" operator="lessThan">
      <formula>0</formula>
    </cfRule>
    <cfRule type="cellIs" dxfId="12" priority="62" operator="lessThan">
      <formula>0</formula>
    </cfRule>
  </conditionalFormatting>
  <conditionalFormatting sqref="S7:S21">
    <cfRule type="cellIs" dxfId="11" priority="25" operator="equal">
      <formula>0</formula>
    </cfRule>
    <cfRule type="cellIs" dxfId="10" priority="49" operator="lessThan">
      <formula>1</formula>
    </cfRule>
    <cfRule type="cellIs" dxfId="9" priority="61" operator="lessThan">
      <formula>0</formula>
    </cfRule>
  </conditionalFormatting>
  <conditionalFormatting sqref="T7:T22">
    <cfRule type="cellIs" dxfId="8" priority="26" operator="equal">
      <formula>0</formula>
    </cfRule>
    <cfRule type="cellIs" dxfId="7" priority="50" operator="lessThan">
      <formula>1</formula>
    </cfRule>
    <cfRule type="cellIs" dxfId="6" priority="60" operator="lessThan">
      <formula>0</formula>
    </cfRule>
  </conditionalFormatting>
  <conditionalFormatting sqref="F61:G61">
    <cfRule type="cellIs" dxfId="5" priority="57" operator="lessThan">
      <formula>0</formula>
    </cfRule>
  </conditionalFormatting>
  <conditionalFormatting sqref="G62">
    <cfRule type="cellIs" dxfId="4" priority="56" operator="lessThan">
      <formula>0</formula>
    </cfRule>
  </conditionalFormatting>
  <conditionalFormatting sqref="Y7:Y27">
    <cfRule type="cellIs" dxfId="3" priority="31" operator="equal">
      <formula>0</formula>
    </cfRule>
    <cfRule type="cellIs" dxfId="2" priority="55" operator="lessThan">
      <formula>1</formula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" operator="greaterThan" id="{3F5F30C7-F879-4208-A1BB-58A80D02BE78}">
            <xm:f>Threats!$K$2</xm:f>
            <x14:dxf>
              <font>
                <color rgb="FFFF0000"/>
              </font>
            </x14:dxf>
          </x14:cfRule>
          <xm:sqref>AJ58</xm:sqref>
        </x14:conditionalFormatting>
        <x14:conditionalFormatting xmlns:xm="http://schemas.microsoft.com/office/excel/2006/main">
          <x14:cfRule type="cellIs" priority="1" operator="greaterThan" id="{64B805D6-C27C-43BE-8BF4-B60B3B559E39}">
            <xm:f>Threats!$K$2</xm:f>
            <x14:dxf>
              <font>
                <color rgb="FFFF0000"/>
              </font>
            </x14:dxf>
          </x14:cfRule>
          <xm:sqref>AJ59:AJ62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33"/>
  <sheetViews>
    <sheetView zoomScale="62" zoomScaleNormal="62" workbookViewId="0">
      <selection activeCell="Q27" sqref="Q27"/>
    </sheetView>
  </sheetViews>
  <sheetFormatPr defaultRowHeight="13.2" x14ac:dyDescent="0.25"/>
  <cols>
    <col min="1" max="1" width="52.6640625" customWidth="1"/>
  </cols>
  <sheetData>
    <row r="1" spans="1:1" ht="15.6" x14ac:dyDescent="0.25">
      <c r="A1" s="40" t="s">
        <v>167</v>
      </c>
    </row>
    <row r="2" spans="1:1" ht="15.6" x14ac:dyDescent="0.25">
      <c r="A2" s="40" t="s">
        <v>168</v>
      </c>
    </row>
    <row r="3" spans="1:1" ht="15.6" x14ac:dyDescent="0.25">
      <c r="A3" s="40" t="s">
        <v>174</v>
      </c>
    </row>
    <row r="4" spans="1:1" ht="31.2" x14ac:dyDescent="0.25">
      <c r="A4" s="40" t="s">
        <v>170</v>
      </c>
    </row>
    <row r="5" spans="1:1" ht="15.6" x14ac:dyDescent="0.25">
      <c r="A5" s="40" t="s">
        <v>171</v>
      </c>
    </row>
    <row r="6" spans="1:1" ht="15.6" x14ac:dyDescent="0.25">
      <c r="A6" s="40" t="s">
        <v>176</v>
      </c>
    </row>
    <row r="7" spans="1:1" ht="15.6" x14ac:dyDescent="0.25">
      <c r="A7" s="40" t="s">
        <v>184</v>
      </c>
    </row>
    <row r="8" spans="1:1" ht="20.399999999999999" customHeight="1" x14ac:dyDescent="0.25">
      <c r="A8" s="40" t="s">
        <v>173</v>
      </c>
    </row>
    <row r="9" spans="1:1" ht="19.2" customHeight="1" x14ac:dyDescent="0.25">
      <c r="A9" s="40" t="s">
        <v>172</v>
      </c>
    </row>
    <row r="10" spans="1:1" ht="17.399999999999999" customHeight="1" x14ac:dyDescent="0.25">
      <c r="A10" s="40" t="s">
        <v>190</v>
      </c>
    </row>
    <row r="11" spans="1:1" ht="16.95" customHeight="1" x14ac:dyDescent="0.25">
      <c r="A11" s="40" t="s">
        <v>310</v>
      </c>
    </row>
    <row r="12" spans="1:1" ht="19.95" customHeight="1" x14ac:dyDescent="0.25">
      <c r="A12" s="40" t="s">
        <v>218</v>
      </c>
    </row>
    <row r="13" spans="1:1" ht="21" customHeight="1" x14ac:dyDescent="0.25">
      <c r="A13" s="40" t="s">
        <v>165</v>
      </c>
    </row>
    <row r="14" spans="1:1" ht="15.6" x14ac:dyDescent="0.25">
      <c r="A14" s="40" t="s">
        <v>175</v>
      </c>
    </row>
    <row r="15" spans="1:1" ht="31.2" x14ac:dyDescent="0.25">
      <c r="A15" s="40" t="s">
        <v>311</v>
      </c>
    </row>
    <row r="16" spans="1:1" ht="15.6" x14ac:dyDescent="0.25">
      <c r="A16" s="40" t="s">
        <v>222</v>
      </c>
    </row>
    <row r="17" spans="1:1" ht="15.6" x14ac:dyDescent="0.25">
      <c r="A17" s="40" t="s">
        <v>312</v>
      </c>
    </row>
    <row r="18" spans="1:1" ht="15.6" x14ac:dyDescent="0.25">
      <c r="A18" s="40" t="s">
        <v>313</v>
      </c>
    </row>
    <row r="19" spans="1:1" ht="15.6" x14ac:dyDescent="0.25">
      <c r="A19" s="40" t="s">
        <v>314</v>
      </c>
    </row>
    <row r="20" spans="1:1" ht="15.6" x14ac:dyDescent="0.25">
      <c r="A20" s="40" t="s">
        <v>315</v>
      </c>
    </row>
    <row r="21" spans="1:1" ht="15.6" x14ac:dyDescent="0.25">
      <c r="A21" s="40" t="s">
        <v>316</v>
      </c>
    </row>
    <row r="22" spans="1:1" ht="15.6" x14ac:dyDescent="0.25">
      <c r="A22" s="40" t="s">
        <v>177</v>
      </c>
    </row>
    <row r="23" spans="1:1" ht="15.6" x14ac:dyDescent="0.25">
      <c r="A23" s="40" t="s">
        <v>325</v>
      </c>
    </row>
    <row r="24" spans="1:1" ht="15.6" x14ac:dyDescent="0.25">
      <c r="A24" s="40" t="s">
        <v>217</v>
      </c>
    </row>
    <row r="25" spans="1:1" ht="15.6" x14ac:dyDescent="0.25">
      <c r="A25" s="40" t="s">
        <v>317</v>
      </c>
    </row>
    <row r="26" spans="1:1" ht="15.6" x14ac:dyDescent="0.25">
      <c r="A26" s="40" t="s">
        <v>183</v>
      </c>
    </row>
    <row r="27" spans="1:1" ht="31.2" x14ac:dyDescent="0.25">
      <c r="A27" s="40" t="s">
        <v>318</v>
      </c>
    </row>
    <row r="28" spans="1:1" ht="15.6" x14ac:dyDescent="0.25">
      <c r="A28" s="40" t="s">
        <v>319</v>
      </c>
    </row>
    <row r="29" spans="1:1" ht="31.2" x14ac:dyDescent="0.25">
      <c r="A29" s="40" t="s">
        <v>320</v>
      </c>
    </row>
    <row r="30" spans="1:1" ht="15.6" x14ac:dyDescent="0.25">
      <c r="A30" s="40" t="s">
        <v>179</v>
      </c>
    </row>
    <row r="31" spans="1:1" ht="15.6" x14ac:dyDescent="0.25">
      <c r="A31" s="40" t="s">
        <v>221</v>
      </c>
    </row>
    <row r="32" spans="1:1" ht="15.6" x14ac:dyDescent="0.25">
      <c r="A32" s="40" t="s">
        <v>188</v>
      </c>
    </row>
    <row r="33" spans="1:1" ht="15.6" x14ac:dyDescent="0.25">
      <c r="A33" s="40" t="s">
        <v>186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F995"/>
  <sheetViews>
    <sheetView zoomScale="85" zoomScaleNormal="85" workbookViewId="0">
      <pane ySplit="1" topLeftCell="A21" activePane="bottomLeft" state="frozen"/>
      <selection pane="bottomLeft" activeCell="F31" sqref="F31"/>
    </sheetView>
  </sheetViews>
  <sheetFormatPr defaultColWidth="17.33203125" defaultRowHeight="15" customHeight="1" x14ac:dyDescent="0.25"/>
  <cols>
    <col min="1" max="1" width="33.109375" customWidth="1"/>
    <col min="2" max="2" width="9" customWidth="1"/>
    <col min="3" max="3" width="15.88671875" customWidth="1"/>
    <col min="4" max="4" width="11.44140625" customWidth="1"/>
    <col min="5" max="6" width="7.33203125" customWidth="1"/>
    <col min="7" max="7" width="10.88671875" customWidth="1"/>
    <col min="8" max="8" width="7.109375" customWidth="1"/>
    <col min="9" max="9" width="20.44140625" customWidth="1"/>
    <col min="10" max="10" width="4.5546875" customWidth="1"/>
    <col min="11" max="11" width="8.6640625" customWidth="1"/>
    <col min="12" max="12" width="6.44140625" customWidth="1"/>
    <col min="13" max="13" width="9.33203125" customWidth="1"/>
    <col min="14" max="14" width="7.5546875" customWidth="1"/>
    <col min="15" max="15" width="6.33203125" customWidth="1"/>
    <col min="16" max="16" width="8.6640625" customWidth="1"/>
    <col min="17" max="17" width="15.33203125" customWidth="1"/>
    <col min="18" max="18" width="5.44140625" customWidth="1"/>
    <col min="19" max="21" width="8.6640625" customWidth="1"/>
    <col min="22" max="22" width="6" customWidth="1"/>
    <col min="23" max="23" width="5" customWidth="1"/>
    <col min="24" max="24" width="6.5546875" customWidth="1"/>
    <col min="25" max="25" width="11" customWidth="1"/>
    <col min="26" max="26" width="6.6640625" customWidth="1"/>
    <col min="27" max="27" width="7.33203125" customWidth="1"/>
    <col min="28" max="28" width="7.5546875" customWidth="1"/>
    <col min="29" max="29" width="5.6640625" customWidth="1"/>
    <col min="30" max="30" width="6.88671875" customWidth="1"/>
    <col min="31" max="31" width="6.33203125" customWidth="1"/>
    <col min="32" max="32" width="6" customWidth="1"/>
    <col min="33" max="33" width="7.88671875" customWidth="1"/>
  </cols>
  <sheetData>
    <row r="1" spans="1:32" ht="95.4" x14ac:dyDescent="0.25">
      <c r="A1" s="236"/>
      <c r="B1" s="237" t="s">
        <v>2</v>
      </c>
      <c r="C1" s="237" t="s">
        <v>3</v>
      </c>
      <c r="D1" s="238" t="s">
        <v>117</v>
      </c>
      <c r="E1" s="239" t="s">
        <v>223</v>
      </c>
      <c r="F1" s="239" t="s">
        <v>224</v>
      </c>
      <c r="G1" s="239" t="s">
        <v>225</v>
      </c>
      <c r="H1" s="239" t="s">
        <v>100</v>
      </c>
      <c r="I1" s="240" t="s">
        <v>226</v>
      </c>
      <c r="J1" s="240" t="s">
        <v>247</v>
      </c>
      <c r="K1" s="240" t="s">
        <v>227</v>
      </c>
      <c r="L1" s="240" t="s">
        <v>228</v>
      </c>
      <c r="M1" s="240" t="s">
        <v>229</v>
      </c>
      <c r="N1" s="240" t="s">
        <v>230</v>
      </c>
      <c r="O1" s="240" t="s">
        <v>231</v>
      </c>
      <c r="P1" s="240" t="s">
        <v>232</v>
      </c>
      <c r="Q1" s="241" t="s">
        <v>233</v>
      </c>
      <c r="R1" s="241" t="s">
        <v>248</v>
      </c>
      <c r="S1" s="241" t="s">
        <v>234</v>
      </c>
      <c r="T1" s="241" t="s">
        <v>235</v>
      </c>
      <c r="U1" s="241" t="s">
        <v>236</v>
      </c>
      <c r="V1" s="241" t="s">
        <v>237</v>
      </c>
      <c r="W1" s="241" t="s">
        <v>238</v>
      </c>
      <c r="X1" s="241" t="s">
        <v>239</v>
      </c>
      <c r="Y1" s="242" t="s">
        <v>240</v>
      </c>
      <c r="Z1" s="242" t="s">
        <v>249</v>
      </c>
      <c r="AA1" s="242" t="s">
        <v>241</v>
      </c>
      <c r="AB1" s="242" t="s">
        <v>242</v>
      </c>
      <c r="AC1" s="242" t="s">
        <v>243</v>
      </c>
      <c r="AD1" s="242" t="s">
        <v>244</v>
      </c>
      <c r="AE1" s="242" t="s">
        <v>245</v>
      </c>
      <c r="AF1" s="242" t="s">
        <v>246</v>
      </c>
    </row>
    <row r="2" spans="1:32" ht="12.75" customHeight="1" x14ac:dyDescent="0.25">
      <c r="A2" s="243" t="str">
        <f xml:space="preserve"> Threats!A1</f>
        <v>T1-Power Loss</v>
      </c>
      <c r="B2" s="244">
        <f>'AHP Likelihood Calculation'!AD34</f>
        <v>0.24294982396184614</v>
      </c>
      <c r="C2" s="245">
        <f>'AHP Severity Calculation'!AD34</f>
        <v>4.3966706499003187E-2</v>
      </c>
      <c r="D2" s="246">
        <f t="shared" ref="D2:D23" si="0">B2*C2</f>
        <v>1.0681703604114981E-2</v>
      </c>
      <c r="E2" s="247">
        <f>D2*L2*J2</f>
        <v>1.0681703604114981E-2</v>
      </c>
      <c r="F2" s="248">
        <f>D2*T2*R2</f>
        <v>0</v>
      </c>
      <c r="G2" s="248">
        <f>D2*AB2*Z2</f>
        <v>0</v>
      </c>
      <c r="H2" s="249" t="b">
        <f>OR(L2&gt;=1,T2&gt;=1,AB2&gt;=1)</f>
        <v>1</v>
      </c>
      <c r="I2" s="250" t="s">
        <v>167</v>
      </c>
      <c r="J2" s="251">
        <v>1</v>
      </c>
      <c r="K2" s="252">
        <v>4000</v>
      </c>
      <c r="L2" s="253">
        <v>1</v>
      </c>
      <c r="M2" s="254">
        <f t="shared" ref="M2:M23" si="1">K2*L2</f>
        <v>4000</v>
      </c>
      <c r="N2" s="254">
        <v>1</v>
      </c>
      <c r="O2" s="254">
        <v>1</v>
      </c>
      <c r="P2" s="255"/>
      <c r="Q2" s="256" t="s">
        <v>181</v>
      </c>
      <c r="R2" s="256">
        <v>0</v>
      </c>
      <c r="S2" s="257">
        <v>0</v>
      </c>
      <c r="T2" s="258">
        <v>0</v>
      </c>
      <c r="U2" s="257">
        <f>S2*T2</f>
        <v>0</v>
      </c>
      <c r="V2" s="259"/>
      <c r="W2" s="259"/>
      <c r="X2" s="260"/>
      <c r="Y2" s="261" t="s">
        <v>181</v>
      </c>
      <c r="Z2" s="262">
        <v>0</v>
      </c>
      <c r="AA2" s="262">
        <v>0</v>
      </c>
      <c r="AB2" s="263">
        <v>0</v>
      </c>
      <c r="AC2" s="264">
        <f>AA2*AB2</f>
        <v>0</v>
      </c>
      <c r="AD2" s="264"/>
      <c r="AE2" s="264"/>
      <c r="AF2" s="264"/>
    </row>
    <row r="3" spans="1:32" ht="36" customHeight="1" x14ac:dyDescent="0.25">
      <c r="A3" s="243" t="str">
        <f xml:space="preserve"> Threats!A2</f>
        <v>T2-Hardware Failure</v>
      </c>
      <c r="B3" s="244">
        <f>'AHP Likelihood Calculation'!AD35</f>
        <v>2.3492987243136903E-2</v>
      </c>
      <c r="C3" s="245">
        <f>'AHP Severity Calculation'!AD35</f>
        <v>0.28784126587276643</v>
      </c>
      <c r="D3" s="265">
        <f t="shared" si="0"/>
        <v>6.7622511871972789E-3</v>
      </c>
      <c r="E3" s="247">
        <f t="shared" ref="E3:E23" si="2">D3*L3*J3</f>
        <v>0</v>
      </c>
      <c r="F3" s="248">
        <f t="shared" ref="F3:F23" si="3">D3*T3*R3</f>
        <v>0</v>
      </c>
      <c r="G3" s="248">
        <f t="shared" ref="G3:G23" si="4">D3*AB3*Z3</f>
        <v>0</v>
      </c>
      <c r="H3" s="249" t="b">
        <f t="shared" ref="H3:H23" si="5">OR(L3&gt;=1,T3&gt;=1,AB3&gt;=1)</f>
        <v>0</v>
      </c>
      <c r="I3" s="266" t="s">
        <v>168</v>
      </c>
      <c r="J3" s="267">
        <v>0.4</v>
      </c>
      <c r="K3" s="268">
        <v>10000</v>
      </c>
      <c r="L3" s="269">
        <v>0</v>
      </c>
      <c r="M3" s="254">
        <f t="shared" si="1"/>
        <v>0</v>
      </c>
      <c r="N3" s="254"/>
      <c r="O3" s="254"/>
      <c r="P3" s="255"/>
      <c r="Q3" s="256" t="s">
        <v>173</v>
      </c>
      <c r="R3" s="256">
        <v>0.6</v>
      </c>
      <c r="S3" s="257">
        <v>10000</v>
      </c>
      <c r="T3" s="270">
        <v>0</v>
      </c>
      <c r="U3" s="257">
        <f t="shared" ref="U3:U23" si="6">S3*T3</f>
        <v>0</v>
      </c>
      <c r="V3" s="259"/>
      <c r="W3" s="259">
        <v>0</v>
      </c>
      <c r="X3" s="260"/>
      <c r="Y3" s="271" t="s">
        <v>181</v>
      </c>
      <c r="Z3" s="262">
        <v>0</v>
      </c>
      <c r="AA3" s="262">
        <v>0</v>
      </c>
      <c r="AB3" s="272">
        <v>0</v>
      </c>
      <c r="AC3" s="264">
        <f t="shared" ref="AC3:AC23" si="7">AA3*AB3</f>
        <v>0</v>
      </c>
      <c r="AD3" s="262"/>
      <c r="AE3" s="262"/>
      <c r="AF3" s="262"/>
    </row>
    <row r="4" spans="1:32" ht="39.75" customHeight="1" x14ac:dyDescent="0.25">
      <c r="A4" s="243" t="str">
        <f xml:space="preserve"> Threats!A3</f>
        <v>T3-Software Crash</v>
      </c>
      <c r="B4" s="244">
        <f>'AHP Likelihood Calculation'!AD36</f>
        <v>8.9952409245753914E-2</v>
      </c>
      <c r="C4" s="245">
        <f>'AHP Severity Calculation'!AD36</f>
        <v>0.11194895997868699</v>
      </c>
      <c r="D4" s="265">
        <f t="shared" si="0"/>
        <v>1.0070078662639379E-2</v>
      </c>
      <c r="E4" s="247">
        <f t="shared" si="2"/>
        <v>5.0350393313196894E-3</v>
      </c>
      <c r="F4" s="248">
        <f t="shared" si="3"/>
        <v>0</v>
      </c>
      <c r="G4" s="248">
        <f t="shared" si="4"/>
        <v>0</v>
      </c>
      <c r="H4" s="249" t="b">
        <f t="shared" si="5"/>
        <v>1</v>
      </c>
      <c r="I4" s="266" t="s">
        <v>169</v>
      </c>
      <c r="J4" s="267">
        <v>0.5</v>
      </c>
      <c r="K4" s="268">
        <v>0</v>
      </c>
      <c r="L4" s="269">
        <v>1</v>
      </c>
      <c r="M4" s="254">
        <f t="shared" si="1"/>
        <v>0</v>
      </c>
      <c r="N4" s="254">
        <v>1</v>
      </c>
      <c r="O4" s="254">
        <v>1</v>
      </c>
      <c r="P4" s="255"/>
      <c r="Q4" s="256" t="s">
        <v>182</v>
      </c>
      <c r="R4" s="256">
        <v>0.5</v>
      </c>
      <c r="S4" s="257">
        <v>15000</v>
      </c>
      <c r="T4" s="270">
        <v>0</v>
      </c>
      <c r="U4" s="257">
        <f t="shared" si="6"/>
        <v>0</v>
      </c>
      <c r="V4" s="259"/>
      <c r="W4" s="259">
        <v>1</v>
      </c>
      <c r="X4" s="260"/>
      <c r="Y4" s="271" t="s">
        <v>181</v>
      </c>
      <c r="Z4" s="262">
        <v>0</v>
      </c>
      <c r="AA4" s="262">
        <v>0</v>
      </c>
      <c r="AB4" s="272">
        <v>0</v>
      </c>
      <c r="AC4" s="264">
        <f t="shared" si="7"/>
        <v>0</v>
      </c>
      <c r="AD4" s="262"/>
      <c r="AE4" s="262"/>
      <c r="AF4" s="262"/>
    </row>
    <row r="5" spans="1:32" ht="63" customHeight="1" x14ac:dyDescent="0.25">
      <c r="A5" s="243" t="str">
        <f xml:space="preserve"> Threats!A4</f>
        <v>T4-Operator Errors</v>
      </c>
      <c r="B5" s="244">
        <f>'AHP Likelihood Calculation'!AD37</f>
        <v>6.7227326913070706E-2</v>
      </c>
      <c r="C5" s="245">
        <f>'AHP Severity Calculation'!AD37</f>
        <v>0.15464545466959659</v>
      </c>
      <c r="D5" s="265">
        <f t="shared" si="0"/>
        <v>1.0396400536693426E-2</v>
      </c>
      <c r="E5" s="247">
        <f t="shared" si="2"/>
        <v>6.2378403220160559E-3</v>
      </c>
      <c r="F5" s="248">
        <f t="shared" si="3"/>
        <v>0</v>
      </c>
      <c r="G5" s="248">
        <f t="shared" si="4"/>
        <v>0</v>
      </c>
      <c r="H5" s="249" t="b">
        <f t="shared" si="5"/>
        <v>1</v>
      </c>
      <c r="I5" s="266" t="s">
        <v>170</v>
      </c>
      <c r="J5" s="267">
        <v>0.2</v>
      </c>
      <c r="K5" s="268">
        <v>12000</v>
      </c>
      <c r="L5" s="269">
        <v>3</v>
      </c>
      <c r="M5" s="254">
        <f t="shared" si="1"/>
        <v>36000</v>
      </c>
      <c r="N5" s="254">
        <v>3</v>
      </c>
      <c r="O5" s="254">
        <v>3</v>
      </c>
      <c r="P5" s="255"/>
      <c r="Q5" s="256" t="s">
        <v>185</v>
      </c>
      <c r="R5" s="256">
        <v>0.1333</v>
      </c>
      <c r="S5" s="257">
        <v>20000</v>
      </c>
      <c r="T5" s="270">
        <v>0</v>
      </c>
      <c r="U5" s="257">
        <f t="shared" si="6"/>
        <v>0</v>
      </c>
      <c r="V5" s="259"/>
      <c r="W5" s="259"/>
      <c r="X5" s="260">
        <v>60000</v>
      </c>
      <c r="Y5" s="271" t="s">
        <v>181</v>
      </c>
      <c r="Z5" s="262">
        <v>0</v>
      </c>
      <c r="AA5" s="262">
        <v>0</v>
      </c>
      <c r="AB5" s="272">
        <v>0</v>
      </c>
      <c r="AC5" s="264">
        <f t="shared" si="7"/>
        <v>0</v>
      </c>
      <c r="AD5" s="264"/>
      <c r="AE5" s="264"/>
      <c r="AF5" s="264"/>
    </row>
    <row r="6" spans="1:32" ht="55.5" customHeight="1" x14ac:dyDescent="0.25">
      <c r="A6" s="243" t="str">
        <f xml:space="preserve"> Threats!A5</f>
        <v>T5-Malicious Inside Action</v>
      </c>
      <c r="B6" s="244">
        <f>'AHP Likelihood Calculation'!AD38</f>
        <v>4.4492642577803276E-2</v>
      </c>
      <c r="C6" s="245">
        <f>'AHP Severity Calculation'!AD38</f>
        <v>0.53946980080709239</v>
      </c>
      <c r="D6" s="265">
        <f t="shared" si="0"/>
        <v>2.4002437028828691E-2</v>
      </c>
      <c r="E6" s="247">
        <f t="shared" si="2"/>
        <v>7.2007311086486068E-3</v>
      </c>
      <c r="F6" s="248">
        <f t="shared" si="3"/>
        <v>4.8004874057657387E-3</v>
      </c>
      <c r="G6" s="248">
        <f t="shared" si="4"/>
        <v>1.2001218514414345E-2</v>
      </c>
      <c r="H6" s="249" t="b">
        <f t="shared" si="5"/>
        <v>1</v>
      </c>
      <c r="I6" s="266" t="s">
        <v>171</v>
      </c>
      <c r="J6" s="267">
        <v>0.3</v>
      </c>
      <c r="K6" s="268">
        <v>0</v>
      </c>
      <c r="L6" s="269">
        <v>1</v>
      </c>
      <c r="M6" s="254">
        <f t="shared" si="1"/>
        <v>0</v>
      </c>
      <c r="N6" s="254"/>
      <c r="O6" s="254">
        <v>1</v>
      </c>
      <c r="P6" s="255"/>
      <c r="Q6" s="256" t="s">
        <v>183</v>
      </c>
      <c r="R6" s="256">
        <v>0.2</v>
      </c>
      <c r="S6" s="257">
        <v>0</v>
      </c>
      <c r="T6" s="270">
        <v>1</v>
      </c>
      <c r="U6" s="257">
        <f t="shared" si="6"/>
        <v>0</v>
      </c>
      <c r="V6" s="259"/>
      <c r="W6" s="259">
        <v>1</v>
      </c>
      <c r="X6" s="260"/>
      <c r="Y6" s="273" t="s">
        <v>166</v>
      </c>
      <c r="Z6" s="274">
        <v>0.5</v>
      </c>
      <c r="AA6" s="262">
        <v>0</v>
      </c>
      <c r="AB6" s="272">
        <v>1</v>
      </c>
      <c r="AC6" s="264">
        <f t="shared" si="7"/>
        <v>0</v>
      </c>
      <c r="AD6" s="264">
        <v>1</v>
      </c>
      <c r="AE6" s="264">
        <v>1</v>
      </c>
      <c r="AF6" s="264"/>
    </row>
    <row r="7" spans="1:32" ht="24.75" customHeight="1" x14ac:dyDescent="0.25">
      <c r="A7" s="243" t="str">
        <f xml:space="preserve"> Threats!A6</f>
        <v>T6-Trojan and Worms</v>
      </c>
      <c r="B7" s="244">
        <f>'AHP Likelihood Calculation'!AD39</f>
        <v>0.10407757204157696</v>
      </c>
      <c r="C7" s="245">
        <f>'AHP Severity Calculation'!AD39</f>
        <v>0.18918676109737209</v>
      </c>
      <c r="D7" s="265">
        <f t="shared" si="0"/>
        <v>1.9690098757424352E-2</v>
      </c>
      <c r="E7" s="247">
        <f t="shared" si="2"/>
        <v>9.845049378712176E-3</v>
      </c>
      <c r="F7" s="248">
        <f t="shared" si="3"/>
        <v>9.845049378712176E-3</v>
      </c>
      <c r="G7" s="248">
        <f t="shared" si="4"/>
        <v>0</v>
      </c>
      <c r="H7" s="249" t="b">
        <f t="shared" si="5"/>
        <v>1</v>
      </c>
      <c r="I7" s="275" t="s">
        <v>186</v>
      </c>
      <c r="J7" s="276">
        <v>0.5</v>
      </c>
      <c r="K7" s="268">
        <v>0</v>
      </c>
      <c r="L7" s="269">
        <v>1</v>
      </c>
      <c r="M7" s="254">
        <f t="shared" si="1"/>
        <v>0</v>
      </c>
      <c r="N7" s="254"/>
      <c r="O7" s="254">
        <v>1</v>
      </c>
      <c r="P7" s="255"/>
      <c r="Q7" s="256" t="s">
        <v>214</v>
      </c>
      <c r="R7" s="256">
        <v>0.5</v>
      </c>
      <c r="S7" s="257">
        <v>0</v>
      </c>
      <c r="T7" s="270">
        <v>1</v>
      </c>
      <c r="U7" s="257">
        <f t="shared" si="6"/>
        <v>0</v>
      </c>
      <c r="V7" s="259"/>
      <c r="W7" s="259">
        <v>1</v>
      </c>
      <c r="X7" s="260"/>
      <c r="Y7" s="271" t="s">
        <v>181</v>
      </c>
      <c r="Z7" s="262">
        <v>0</v>
      </c>
      <c r="AA7" s="262">
        <v>0</v>
      </c>
      <c r="AB7" s="272">
        <v>0</v>
      </c>
      <c r="AC7" s="264">
        <f t="shared" si="7"/>
        <v>0</v>
      </c>
      <c r="AD7" s="262"/>
      <c r="AE7" s="262"/>
      <c r="AF7" s="262"/>
    </row>
    <row r="8" spans="1:32" ht="37.5" customHeight="1" x14ac:dyDescent="0.25">
      <c r="A8" s="243" t="str">
        <f xml:space="preserve"> Threats!A7</f>
        <v>T7-Fire</v>
      </c>
      <c r="B8" s="244">
        <f>'AHP Likelihood Calculation'!AD40</f>
        <v>1.6665052229327772E-2</v>
      </c>
      <c r="C8" s="245">
        <f>'AHP Severity Calculation'!AD40</f>
        <v>0.87252940058624795</v>
      </c>
      <c r="D8" s="265">
        <f t="shared" si="0"/>
        <v>1.4540748032393875E-2</v>
      </c>
      <c r="E8" s="247">
        <f t="shared" si="2"/>
        <v>0</v>
      </c>
      <c r="F8" s="248">
        <f t="shared" si="3"/>
        <v>0</v>
      </c>
      <c r="G8" s="248">
        <f t="shared" si="4"/>
        <v>0</v>
      </c>
      <c r="H8" s="249" t="b">
        <f t="shared" si="5"/>
        <v>0</v>
      </c>
      <c r="I8" s="266" t="s">
        <v>172</v>
      </c>
      <c r="J8" s="267">
        <v>0.7</v>
      </c>
      <c r="K8" s="268">
        <v>4500</v>
      </c>
      <c r="L8" s="269">
        <v>0</v>
      </c>
      <c r="M8" s="254">
        <f t="shared" si="1"/>
        <v>0</v>
      </c>
      <c r="N8" s="254"/>
      <c r="O8" s="254">
        <v>1</v>
      </c>
      <c r="P8" s="255"/>
      <c r="Q8" s="256" t="s">
        <v>173</v>
      </c>
      <c r="R8" s="256">
        <v>0.3</v>
      </c>
      <c r="S8" s="257">
        <v>6000</v>
      </c>
      <c r="T8" s="270">
        <v>0</v>
      </c>
      <c r="U8" s="257">
        <f t="shared" si="6"/>
        <v>0</v>
      </c>
      <c r="V8" s="259"/>
      <c r="W8" s="259">
        <v>1</v>
      </c>
      <c r="X8" s="260"/>
      <c r="Y8" s="271" t="s">
        <v>181</v>
      </c>
      <c r="Z8" s="262">
        <v>0</v>
      </c>
      <c r="AA8" s="262">
        <v>0</v>
      </c>
      <c r="AB8" s="272">
        <v>0</v>
      </c>
      <c r="AC8" s="264">
        <f t="shared" si="7"/>
        <v>0</v>
      </c>
      <c r="AD8" s="264"/>
      <c r="AE8" s="264"/>
      <c r="AF8" s="264"/>
    </row>
    <row r="9" spans="1:32" ht="39" customHeight="1" x14ac:dyDescent="0.25">
      <c r="A9" s="243" t="str">
        <f xml:space="preserve"> Threats!A8</f>
        <v>T8-Other Enviromental Disasters</v>
      </c>
      <c r="B9" s="244">
        <f>'AHP Likelihood Calculation'!AD41</f>
        <v>1.2039520225759709E-2</v>
      </c>
      <c r="C9" s="245">
        <f>'AHP Severity Calculation'!AD41</f>
        <v>0.8848645706413496</v>
      </c>
      <c r="D9" s="265">
        <f t="shared" si="0"/>
        <v>1.065334489529471E-2</v>
      </c>
      <c r="E9" s="247">
        <f t="shared" si="2"/>
        <v>0</v>
      </c>
      <c r="F9" s="248">
        <f t="shared" si="3"/>
        <v>0</v>
      </c>
      <c r="G9" s="248">
        <f t="shared" si="4"/>
        <v>0</v>
      </c>
      <c r="H9" s="249" t="b">
        <f t="shared" si="5"/>
        <v>0</v>
      </c>
      <c r="I9" s="266" t="s">
        <v>173</v>
      </c>
      <c r="J9" s="267">
        <v>0.7</v>
      </c>
      <c r="K9" s="268">
        <v>6000</v>
      </c>
      <c r="L9" s="269">
        <v>0</v>
      </c>
      <c r="M9" s="254">
        <f t="shared" si="1"/>
        <v>0</v>
      </c>
      <c r="N9" s="254"/>
      <c r="O9" s="268">
        <v>1</v>
      </c>
      <c r="P9" s="255"/>
      <c r="Q9" s="256" t="s">
        <v>172</v>
      </c>
      <c r="R9" s="256">
        <v>0.3</v>
      </c>
      <c r="S9" s="257">
        <v>4500</v>
      </c>
      <c r="T9" s="270">
        <v>0</v>
      </c>
      <c r="U9" s="257">
        <f t="shared" si="6"/>
        <v>0</v>
      </c>
      <c r="V9" s="259"/>
      <c r="W9" s="259">
        <v>1</v>
      </c>
      <c r="X9" s="260"/>
      <c r="Y9" s="271" t="s">
        <v>181</v>
      </c>
      <c r="Z9" s="262">
        <v>0</v>
      </c>
      <c r="AA9" s="262">
        <v>0</v>
      </c>
      <c r="AB9" s="272">
        <v>0</v>
      </c>
      <c r="AC9" s="264">
        <f t="shared" si="7"/>
        <v>0</v>
      </c>
      <c r="AD9" s="264"/>
      <c r="AE9" s="264"/>
      <c r="AF9" s="264"/>
    </row>
    <row r="10" spans="1:32" ht="51.75" customHeight="1" x14ac:dyDescent="0.25">
      <c r="A10" s="243" t="str">
        <f xml:space="preserve"> Threats!A9</f>
        <v>T9-Availability Threats(DDOS)</v>
      </c>
      <c r="B10" s="244">
        <f>'AHP Likelihood Calculation'!AD42</f>
        <v>2.3550794265172554E-2</v>
      </c>
      <c r="C10" s="245">
        <f>'AHP Severity Calculation'!AD42</f>
        <v>0.30468505993323342</v>
      </c>
      <c r="D10" s="265">
        <f t="shared" si="0"/>
        <v>7.1755751621593493E-3</v>
      </c>
      <c r="E10" s="247">
        <f t="shared" si="2"/>
        <v>0</v>
      </c>
      <c r="F10" s="248">
        <f t="shared" si="3"/>
        <v>0</v>
      </c>
      <c r="G10" s="248">
        <f t="shared" si="4"/>
        <v>0</v>
      </c>
      <c r="H10" s="249" t="b">
        <f t="shared" si="5"/>
        <v>0</v>
      </c>
      <c r="I10" s="250" t="s">
        <v>190</v>
      </c>
      <c r="J10" s="267">
        <v>0.04</v>
      </c>
      <c r="K10" s="268">
        <v>1000</v>
      </c>
      <c r="L10" s="253">
        <v>0</v>
      </c>
      <c r="M10" s="254">
        <f t="shared" si="1"/>
        <v>0</v>
      </c>
      <c r="N10" s="254"/>
      <c r="O10" s="254">
        <v>10</v>
      </c>
      <c r="P10" s="255"/>
      <c r="Q10" s="256" t="s">
        <v>218</v>
      </c>
      <c r="R10" s="256">
        <v>0.3</v>
      </c>
      <c r="S10" s="257">
        <v>5000</v>
      </c>
      <c r="T10" s="258">
        <v>0</v>
      </c>
      <c r="U10" s="257">
        <f t="shared" si="6"/>
        <v>0</v>
      </c>
      <c r="V10" s="259"/>
      <c r="W10" s="259">
        <v>1</v>
      </c>
      <c r="X10" s="260"/>
      <c r="Y10" s="273" t="s">
        <v>219</v>
      </c>
      <c r="Z10" s="274">
        <v>0.1</v>
      </c>
      <c r="AA10" s="262">
        <v>2000</v>
      </c>
      <c r="AB10" s="263">
        <v>0</v>
      </c>
      <c r="AC10" s="264">
        <f t="shared" si="7"/>
        <v>0</v>
      </c>
      <c r="AD10" s="264"/>
      <c r="AE10" s="264"/>
      <c r="AF10" s="264">
        <v>6000</v>
      </c>
    </row>
    <row r="11" spans="1:32" ht="19.5" customHeight="1" x14ac:dyDescent="0.25">
      <c r="A11" s="243" t="str">
        <f xml:space="preserve"> Threats!A10</f>
        <v>T10-Disk Failure</v>
      </c>
      <c r="B11" s="244">
        <f>'AHP Likelihood Calculation'!AD43</f>
        <v>7.291793331983723E-2</v>
      </c>
      <c r="C11" s="245">
        <f>'AHP Severity Calculation'!AD43</f>
        <v>0.11625307150154933</v>
      </c>
      <c r="D11" s="265">
        <f t="shared" si="0"/>
        <v>8.4769337159762443E-3</v>
      </c>
      <c r="E11" s="247">
        <f t="shared" si="2"/>
        <v>8.4769337159762113E-3</v>
      </c>
      <c r="F11" s="248">
        <f t="shared" si="3"/>
        <v>0</v>
      </c>
      <c r="G11" s="248">
        <f t="shared" si="4"/>
        <v>0</v>
      </c>
      <c r="H11" s="249" t="b">
        <f t="shared" si="5"/>
        <v>1</v>
      </c>
      <c r="I11" s="266" t="s">
        <v>165</v>
      </c>
      <c r="J11" s="267">
        <v>0.16666666666666599</v>
      </c>
      <c r="K11" s="268">
        <v>500</v>
      </c>
      <c r="L11" s="253">
        <v>6</v>
      </c>
      <c r="M11" s="254">
        <f t="shared" si="1"/>
        <v>3000</v>
      </c>
      <c r="N11" s="254"/>
      <c r="O11" s="254"/>
      <c r="P11" s="255">
        <v>3000</v>
      </c>
      <c r="Q11" s="256" t="s">
        <v>181</v>
      </c>
      <c r="R11" s="256">
        <v>0</v>
      </c>
      <c r="S11" s="257">
        <v>0</v>
      </c>
      <c r="T11" s="258">
        <v>0</v>
      </c>
      <c r="U11" s="257">
        <f t="shared" si="6"/>
        <v>0</v>
      </c>
      <c r="V11" s="259"/>
      <c r="W11" s="259"/>
      <c r="X11" s="260"/>
      <c r="Y11" s="271" t="s">
        <v>181</v>
      </c>
      <c r="Z11" s="262">
        <v>0</v>
      </c>
      <c r="AA11" s="262">
        <v>0</v>
      </c>
      <c r="AB11" s="263">
        <v>0</v>
      </c>
      <c r="AC11" s="264">
        <f t="shared" si="7"/>
        <v>0</v>
      </c>
      <c r="AD11" s="264"/>
      <c r="AE11" s="264"/>
      <c r="AF11" s="264"/>
    </row>
    <row r="12" spans="1:32" ht="17.25" customHeight="1" x14ac:dyDescent="0.25">
      <c r="A12" s="243" t="str">
        <f xml:space="preserve"> Threats!A11</f>
        <v>T11-Data Corruption</v>
      </c>
      <c r="B12" s="244">
        <f>'AHP Likelihood Calculation'!AD44</f>
        <v>9.3795170093336891E-2</v>
      </c>
      <c r="C12" s="245">
        <f>'AHP Severity Calculation'!AD44</f>
        <v>8.6691316565072896E-2</v>
      </c>
      <c r="D12" s="265">
        <f t="shared" si="0"/>
        <v>8.1312267828363271E-3</v>
      </c>
      <c r="E12" s="247">
        <f t="shared" si="2"/>
        <v>4.8787360697017963E-3</v>
      </c>
      <c r="F12" s="248">
        <f t="shared" si="3"/>
        <v>3.2524907131345308E-3</v>
      </c>
      <c r="G12" s="248">
        <f t="shared" si="4"/>
        <v>0</v>
      </c>
      <c r="H12" s="249" t="b">
        <f t="shared" si="5"/>
        <v>1</v>
      </c>
      <c r="I12" s="266" t="s">
        <v>176</v>
      </c>
      <c r="J12" s="267">
        <v>2.4E-2</v>
      </c>
      <c r="K12" s="267">
        <v>150</v>
      </c>
      <c r="L12" s="277">
        <v>25</v>
      </c>
      <c r="M12" s="254">
        <f t="shared" si="1"/>
        <v>3750</v>
      </c>
      <c r="N12" s="254">
        <v>25</v>
      </c>
      <c r="O12" s="254">
        <v>25</v>
      </c>
      <c r="P12" s="255"/>
      <c r="Q12" s="256" t="s">
        <v>184</v>
      </c>
      <c r="R12" s="256">
        <v>1.6E-2</v>
      </c>
      <c r="S12" s="257">
        <v>100</v>
      </c>
      <c r="T12" s="258">
        <v>25</v>
      </c>
      <c r="U12" s="257">
        <f t="shared" si="6"/>
        <v>2500</v>
      </c>
      <c r="V12" s="259">
        <v>25</v>
      </c>
      <c r="W12" s="259">
        <v>25</v>
      </c>
      <c r="X12" s="260"/>
      <c r="Y12" s="271" t="s">
        <v>181</v>
      </c>
      <c r="Z12" s="262">
        <v>0</v>
      </c>
      <c r="AA12" s="262">
        <v>0</v>
      </c>
      <c r="AB12" s="263">
        <v>0</v>
      </c>
      <c r="AC12" s="264">
        <f t="shared" si="7"/>
        <v>0</v>
      </c>
      <c r="AD12" s="264"/>
      <c r="AE12" s="264"/>
      <c r="AF12" s="264"/>
    </row>
    <row r="13" spans="1:32" ht="75.75" customHeight="1" x14ac:dyDescent="0.25">
      <c r="A13" s="243" t="str">
        <f xml:space="preserve"> Threats!A12</f>
        <v>T12-Inaccurrate Data</v>
      </c>
      <c r="B13" s="244">
        <f>'AHP Likelihood Calculation'!AD45</f>
        <v>7.3606513466022649E-2</v>
      </c>
      <c r="C13" s="245">
        <f>'AHP Severity Calculation'!AD45</f>
        <v>3.8115520774887481E-2</v>
      </c>
      <c r="D13" s="278">
        <f t="shared" si="0"/>
        <v>2.8055505931812216E-3</v>
      </c>
      <c r="E13" s="247">
        <f t="shared" si="2"/>
        <v>0</v>
      </c>
      <c r="F13" s="248">
        <f t="shared" si="3"/>
        <v>0</v>
      </c>
      <c r="G13" s="248">
        <f t="shared" si="4"/>
        <v>0</v>
      </c>
      <c r="H13" s="279" t="b">
        <f t="shared" si="5"/>
        <v>0</v>
      </c>
      <c r="I13" s="280" t="s">
        <v>174</v>
      </c>
      <c r="J13" s="281">
        <v>0.5</v>
      </c>
      <c r="K13" s="281">
        <v>18000</v>
      </c>
      <c r="L13" s="282">
        <v>0</v>
      </c>
      <c r="M13" s="254">
        <f t="shared" si="1"/>
        <v>0</v>
      </c>
      <c r="N13" s="283"/>
      <c r="O13" s="284">
        <v>1</v>
      </c>
      <c r="P13" s="285"/>
      <c r="Q13" s="286" t="s">
        <v>215</v>
      </c>
      <c r="R13" s="286">
        <v>0.125</v>
      </c>
      <c r="S13" s="287">
        <v>800</v>
      </c>
      <c r="T13" s="288">
        <v>0</v>
      </c>
      <c r="U13" s="257">
        <f t="shared" si="6"/>
        <v>0</v>
      </c>
      <c r="V13" s="289"/>
      <c r="W13" s="289">
        <v>4</v>
      </c>
      <c r="X13" s="260"/>
      <c r="Y13" s="271" t="s">
        <v>181</v>
      </c>
      <c r="Z13" s="262"/>
      <c r="AA13" s="262">
        <v>0</v>
      </c>
      <c r="AB13" s="263">
        <v>0</v>
      </c>
      <c r="AC13" s="264">
        <f t="shared" si="7"/>
        <v>0</v>
      </c>
      <c r="AD13" s="264"/>
      <c r="AE13" s="264"/>
      <c r="AF13" s="264"/>
    </row>
    <row r="14" spans="1:32" ht="25.5" customHeight="1" x14ac:dyDescent="0.25">
      <c r="A14" s="243" t="str">
        <f xml:space="preserve"> Threats!A13</f>
        <v>T13-Un-authorized Access</v>
      </c>
      <c r="B14" s="244">
        <f>'AHP Likelihood Calculation'!AD46</f>
        <v>0.26976623313860026</v>
      </c>
      <c r="C14" s="245">
        <f>'AHP Severity Calculation'!AD46</f>
        <v>0.15672515952125432</v>
      </c>
      <c r="D14" s="246">
        <f t="shared" si="0"/>
        <v>4.227915592209501E-2</v>
      </c>
      <c r="E14" s="247">
        <f t="shared" si="2"/>
        <v>4.227915592209501E-2</v>
      </c>
      <c r="F14" s="248">
        <f t="shared" si="3"/>
        <v>0</v>
      </c>
      <c r="G14" s="248">
        <f t="shared" si="4"/>
        <v>0</v>
      </c>
      <c r="H14" s="290" t="b">
        <f t="shared" si="5"/>
        <v>1</v>
      </c>
      <c r="I14" s="250" t="s">
        <v>187</v>
      </c>
      <c r="J14" s="291">
        <v>1</v>
      </c>
      <c r="K14" s="291">
        <v>10000</v>
      </c>
      <c r="L14" s="292">
        <v>1</v>
      </c>
      <c r="M14" s="254">
        <f t="shared" si="1"/>
        <v>10000</v>
      </c>
      <c r="N14" s="254"/>
      <c r="O14" s="254">
        <v>1</v>
      </c>
      <c r="P14" s="255"/>
      <c r="Q14" s="293" t="s">
        <v>181</v>
      </c>
      <c r="R14" s="259">
        <v>0</v>
      </c>
      <c r="S14" s="294">
        <v>0</v>
      </c>
      <c r="T14" s="258">
        <v>0</v>
      </c>
      <c r="U14" s="257">
        <f t="shared" si="6"/>
        <v>0</v>
      </c>
      <c r="V14" s="259"/>
      <c r="W14" s="259">
        <v>1</v>
      </c>
      <c r="X14" s="260"/>
      <c r="Y14" s="271" t="s">
        <v>181</v>
      </c>
      <c r="Z14" s="262">
        <v>0</v>
      </c>
      <c r="AA14" s="262">
        <v>0</v>
      </c>
      <c r="AB14" s="263">
        <v>0</v>
      </c>
      <c r="AC14" s="264">
        <f t="shared" si="7"/>
        <v>0</v>
      </c>
      <c r="AD14" s="264"/>
      <c r="AE14" s="264"/>
      <c r="AF14" s="264"/>
    </row>
    <row r="15" spans="1:32" ht="27" customHeight="1" x14ac:dyDescent="0.25">
      <c r="A15" s="243" t="str">
        <f xml:space="preserve"> Threats!A14</f>
        <v>T14-Virus and Spyware</v>
      </c>
      <c r="B15" s="244">
        <f>'AHP Likelihood Calculation'!AD47</f>
        <v>0.70636436643241918</v>
      </c>
      <c r="C15" s="245">
        <f>'AHP Severity Calculation'!AD47</f>
        <v>0.126776335146008</v>
      </c>
      <c r="D15" s="265">
        <f t="shared" si="0"/>
        <v>8.9550285654033973E-2</v>
      </c>
      <c r="E15" s="247">
        <f t="shared" si="2"/>
        <v>4.4775142827016987E-2</v>
      </c>
      <c r="F15" s="248">
        <f t="shared" si="3"/>
        <v>4.4775142827016987E-2</v>
      </c>
      <c r="G15" s="248">
        <f t="shared" si="4"/>
        <v>0</v>
      </c>
      <c r="H15" s="249" t="b">
        <f t="shared" si="5"/>
        <v>1</v>
      </c>
      <c r="I15" s="266" t="s">
        <v>176</v>
      </c>
      <c r="J15" s="267">
        <v>0.02</v>
      </c>
      <c r="K15" s="267">
        <v>150</v>
      </c>
      <c r="L15" s="277">
        <v>25</v>
      </c>
      <c r="M15" s="254">
        <f t="shared" si="1"/>
        <v>3750</v>
      </c>
      <c r="N15" s="284">
        <v>25</v>
      </c>
      <c r="O15" s="284">
        <v>25</v>
      </c>
      <c r="P15" s="295"/>
      <c r="Q15" s="256" t="s">
        <v>184</v>
      </c>
      <c r="R15" s="256">
        <v>0.02</v>
      </c>
      <c r="S15" s="257">
        <v>100</v>
      </c>
      <c r="T15" s="296">
        <v>25</v>
      </c>
      <c r="U15" s="257">
        <f t="shared" si="6"/>
        <v>2500</v>
      </c>
      <c r="V15" s="297">
        <v>25</v>
      </c>
      <c r="W15" s="297">
        <v>25</v>
      </c>
      <c r="X15" s="260"/>
      <c r="Y15" s="271" t="s">
        <v>181</v>
      </c>
      <c r="Z15" s="262">
        <v>0</v>
      </c>
      <c r="AA15" s="262">
        <v>0</v>
      </c>
      <c r="AB15" s="263">
        <v>0</v>
      </c>
      <c r="AC15" s="264">
        <f t="shared" si="7"/>
        <v>0</v>
      </c>
      <c r="AD15" s="264"/>
      <c r="AE15" s="264"/>
      <c r="AF15" s="264"/>
    </row>
    <row r="16" spans="1:32" ht="16.5" customHeight="1" x14ac:dyDescent="0.25">
      <c r="A16" s="243" t="str">
        <f xml:space="preserve"> Threats!A15</f>
        <v>T15-Hacking</v>
      </c>
      <c r="B16" s="244">
        <f>'AHP Likelihood Calculation'!AD48</f>
        <v>9.5674681970019146E-2</v>
      </c>
      <c r="C16" s="245">
        <f>'AHP Severity Calculation'!AD48</f>
        <v>0.34590291338687784</v>
      </c>
      <c r="D16" s="265">
        <f t="shared" si="0"/>
        <v>3.3094151230792616E-2</v>
      </c>
      <c r="E16" s="247">
        <f t="shared" si="2"/>
        <v>1.3237660492317047E-2</v>
      </c>
      <c r="F16" s="248">
        <f t="shared" si="3"/>
        <v>1.985649073847557E-2</v>
      </c>
      <c r="G16" s="248">
        <f t="shared" si="4"/>
        <v>0</v>
      </c>
      <c r="H16" s="249" t="b">
        <f t="shared" si="5"/>
        <v>1</v>
      </c>
      <c r="I16" s="266" t="s">
        <v>178</v>
      </c>
      <c r="J16" s="267">
        <v>0.4</v>
      </c>
      <c r="K16" s="277">
        <v>2000</v>
      </c>
      <c r="L16" s="277">
        <v>1</v>
      </c>
      <c r="M16" s="254">
        <f t="shared" si="1"/>
        <v>2000</v>
      </c>
      <c r="N16" s="254"/>
      <c r="O16" s="254">
        <v>1</v>
      </c>
      <c r="P16" s="255"/>
      <c r="Q16" s="256" t="s">
        <v>175</v>
      </c>
      <c r="R16" s="256">
        <v>0.6</v>
      </c>
      <c r="S16" s="257">
        <v>8000</v>
      </c>
      <c r="T16" s="258">
        <v>1</v>
      </c>
      <c r="U16" s="257">
        <f t="shared" si="6"/>
        <v>8000</v>
      </c>
      <c r="V16" s="259"/>
      <c r="W16" s="259">
        <v>1</v>
      </c>
      <c r="X16" s="260"/>
      <c r="Y16" s="271" t="s">
        <v>181</v>
      </c>
      <c r="Z16" s="262">
        <v>0</v>
      </c>
      <c r="AA16" s="262">
        <v>0</v>
      </c>
      <c r="AB16" s="263">
        <v>0</v>
      </c>
      <c r="AC16" s="264">
        <f t="shared" si="7"/>
        <v>0</v>
      </c>
      <c r="AD16" s="264"/>
      <c r="AE16" s="264"/>
      <c r="AF16" s="264"/>
    </row>
    <row r="17" spans="1:32" ht="38.25" customHeight="1" x14ac:dyDescent="0.25">
      <c r="A17" s="243" t="str">
        <f xml:space="preserve"> Threats!A16</f>
        <v>T16-Media Leakage</v>
      </c>
      <c r="B17" s="244">
        <f>'AHP Likelihood Calculation'!AD49</f>
        <v>5.8604824167280453E-2</v>
      </c>
      <c r="C17" s="245">
        <f>'AHP Severity Calculation'!AD49</f>
        <v>2.7654024484345997E-2</v>
      </c>
      <c r="D17" s="265">
        <f t="shared" si="0"/>
        <v>1.6206592424227657E-3</v>
      </c>
      <c r="E17" s="247">
        <f t="shared" si="2"/>
        <v>8.1032962121138283E-4</v>
      </c>
      <c r="F17" s="248">
        <f t="shared" si="3"/>
        <v>8.1032962121138283E-4</v>
      </c>
      <c r="G17" s="248">
        <f t="shared" si="4"/>
        <v>0</v>
      </c>
      <c r="H17" s="249" t="b">
        <f t="shared" si="5"/>
        <v>1</v>
      </c>
      <c r="I17" s="266" t="s">
        <v>177</v>
      </c>
      <c r="J17" s="267">
        <v>0.5</v>
      </c>
      <c r="K17" s="267">
        <v>500</v>
      </c>
      <c r="L17" s="277">
        <v>1</v>
      </c>
      <c r="M17" s="254">
        <f t="shared" si="1"/>
        <v>500</v>
      </c>
      <c r="N17" s="254"/>
      <c r="O17" s="254">
        <v>1</v>
      </c>
      <c r="P17" s="255"/>
      <c r="Q17" s="256" t="s">
        <v>186</v>
      </c>
      <c r="R17" s="256">
        <v>0.5</v>
      </c>
      <c r="S17" s="257">
        <v>0</v>
      </c>
      <c r="T17" s="258">
        <v>1</v>
      </c>
      <c r="U17" s="257">
        <f t="shared" si="6"/>
        <v>0</v>
      </c>
      <c r="V17" s="259"/>
      <c r="W17" s="259">
        <v>1</v>
      </c>
      <c r="X17" s="260"/>
      <c r="Y17" s="271" t="s">
        <v>181</v>
      </c>
      <c r="Z17" s="262">
        <v>0</v>
      </c>
      <c r="AA17" s="262">
        <v>0</v>
      </c>
      <c r="AB17" s="263">
        <v>0</v>
      </c>
      <c r="AC17" s="264">
        <f t="shared" si="7"/>
        <v>0</v>
      </c>
      <c r="AD17" s="264"/>
      <c r="AE17" s="264"/>
      <c r="AF17" s="264"/>
    </row>
    <row r="18" spans="1:32" ht="42" customHeight="1" x14ac:dyDescent="0.25">
      <c r="A18" s="243" t="str">
        <f xml:space="preserve"> Threats!A17</f>
        <v>T17-Communication Preventers(Botnet, Dialer)</v>
      </c>
      <c r="B18" s="244">
        <f>'AHP Likelihood Calculation'!AD50</f>
        <v>0.27124323692319202</v>
      </c>
      <c r="C18" s="245">
        <f>'AHP Severity Calculation'!AD50</f>
        <v>9.6281664532711891E-2</v>
      </c>
      <c r="D18" s="265">
        <f t="shared" si="0"/>
        <v>2.6115750344205668E-2</v>
      </c>
      <c r="E18" s="247">
        <f t="shared" si="2"/>
        <v>0</v>
      </c>
      <c r="F18" s="248">
        <f t="shared" si="3"/>
        <v>0</v>
      </c>
      <c r="G18" s="248">
        <f t="shared" si="4"/>
        <v>0</v>
      </c>
      <c r="H18" s="249" t="b">
        <f t="shared" si="5"/>
        <v>0</v>
      </c>
      <c r="I18" s="266" t="s">
        <v>220</v>
      </c>
      <c r="J18" s="267">
        <v>0.5</v>
      </c>
      <c r="K18" s="267">
        <v>5000</v>
      </c>
      <c r="L18" s="277">
        <v>0</v>
      </c>
      <c r="M18" s="254">
        <f t="shared" si="1"/>
        <v>0</v>
      </c>
      <c r="N18" s="254"/>
      <c r="O18" s="254">
        <v>1</v>
      </c>
      <c r="P18" s="255"/>
      <c r="Q18" s="256" t="s">
        <v>221</v>
      </c>
      <c r="R18" s="256">
        <v>0.1</v>
      </c>
      <c r="S18" s="257">
        <v>2000</v>
      </c>
      <c r="T18" s="258">
        <v>0</v>
      </c>
      <c r="U18" s="257">
        <f t="shared" si="6"/>
        <v>0</v>
      </c>
      <c r="V18" s="259"/>
      <c r="W18" s="259"/>
      <c r="X18" s="260">
        <v>10000</v>
      </c>
      <c r="Y18" s="271" t="s">
        <v>181</v>
      </c>
      <c r="Z18" s="262">
        <v>0</v>
      </c>
      <c r="AA18" s="262">
        <v>0</v>
      </c>
      <c r="AB18" s="263">
        <v>0</v>
      </c>
      <c r="AC18" s="264">
        <f t="shared" si="7"/>
        <v>0</v>
      </c>
      <c r="AD18" s="264"/>
      <c r="AE18" s="264"/>
      <c r="AF18" s="264"/>
    </row>
    <row r="19" spans="1:32" ht="39.75" customHeight="1" x14ac:dyDescent="0.25">
      <c r="A19" s="243" t="str">
        <f xml:space="preserve"> Threats!A18</f>
        <v>T18-Authentication Threats</v>
      </c>
      <c r="B19" s="244">
        <f>'AHP Likelihood Calculation'!AD51</f>
        <v>0.58184563157288882</v>
      </c>
      <c r="C19" s="245">
        <f>'AHP Severity Calculation'!AD51</f>
        <v>0.10455949403646614</v>
      </c>
      <c r="D19" s="265">
        <f t="shared" si="0"/>
        <v>6.083748484458934E-2</v>
      </c>
      <c r="E19" s="247">
        <f t="shared" si="2"/>
        <v>2.4334993937835739E-2</v>
      </c>
      <c r="F19" s="248">
        <f t="shared" si="3"/>
        <v>3.041874242229467E-2</v>
      </c>
      <c r="G19" s="248">
        <f t="shared" si="4"/>
        <v>0</v>
      </c>
      <c r="H19" s="249" t="b">
        <f t="shared" si="5"/>
        <v>1</v>
      </c>
      <c r="I19" s="266" t="s">
        <v>179</v>
      </c>
      <c r="J19" s="267">
        <v>0.4</v>
      </c>
      <c r="K19" s="267">
        <v>7500</v>
      </c>
      <c r="L19" s="277">
        <v>1</v>
      </c>
      <c r="M19" s="254">
        <f t="shared" si="1"/>
        <v>7500</v>
      </c>
      <c r="N19" s="254"/>
      <c r="O19" s="254">
        <v>1</v>
      </c>
      <c r="P19" s="255"/>
      <c r="Q19" s="298" t="s">
        <v>187</v>
      </c>
      <c r="R19" s="256">
        <v>0.5</v>
      </c>
      <c r="S19" s="257">
        <v>5000</v>
      </c>
      <c r="T19" s="258">
        <v>1</v>
      </c>
      <c r="U19" s="257">
        <f t="shared" si="6"/>
        <v>5000</v>
      </c>
      <c r="V19" s="259">
        <v>1</v>
      </c>
      <c r="W19" s="259">
        <v>1</v>
      </c>
      <c r="X19" s="260"/>
      <c r="Y19" s="273" t="s">
        <v>222</v>
      </c>
      <c r="Z19" s="274">
        <v>3.3333333333333298E-2</v>
      </c>
      <c r="AA19" s="262">
        <v>5000</v>
      </c>
      <c r="AB19" s="263">
        <v>0</v>
      </c>
      <c r="AC19" s="264">
        <f t="shared" si="7"/>
        <v>0</v>
      </c>
      <c r="AD19" s="264"/>
      <c r="AE19" s="264"/>
      <c r="AF19" s="264">
        <v>15000</v>
      </c>
    </row>
    <row r="20" spans="1:32" ht="39" customHeight="1" x14ac:dyDescent="0.25">
      <c r="A20" s="243" t="str">
        <f xml:space="preserve"> Threats!A19</f>
        <v>T19-Non Repudiation Threats</v>
      </c>
      <c r="B20" s="244">
        <f>'AHP Likelihood Calculation'!AD52</f>
        <v>0.28643382192337691</v>
      </c>
      <c r="C20" s="245">
        <f>'AHP Severity Calculation'!AD52</f>
        <v>9.5385565838487743E-2</v>
      </c>
      <c r="D20" s="265">
        <f t="shared" si="0"/>
        <v>2.7321652179441942E-2</v>
      </c>
      <c r="E20" s="247">
        <f t="shared" si="2"/>
        <v>0</v>
      </c>
      <c r="F20" s="248">
        <f t="shared" si="3"/>
        <v>8.1964956538325816E-3</v>
      </c>
      <c r="G20" s="248">
        <f t="shared" si="4"/>
        <v>5.4643304358883886E-3</v>
      </c>
      <c r="H20" s="249" t="b">
        <f t="shared" si="5"/>
        <v>1</v>
      </c>
      <c r="I20" s="266" t="s">
        <v>195</v>
      </c>
      <c r="J20" s="267">
        <v>0.5</v>
      </c>
      <c r="K20" s="267">
        <v>10000</v>
      </c>
      <c r="L20" s="277">
        <v>0</v>
      </c>
      <c r="M20" s="254">
        <f t="shared" si="1"/>
        <v>0</v>
      </c>
      <c r="N20" s="254"/>
      <c r="O20" s="254">
        <v>1</v>
      </c>
      <c r="P20" s="255"/>
      <c r="Q20" s="256" t="s">
        <v>189</v>
      </c>
      <c r="R20" s="299">
        <v>0.3</v>
      </c>
      <c r="S20" s="257">
        <v>0</v>
      </c>
      <c r="T20" s="258">
        <v>1</v>
      </c>
      <c r="U20" s="257">
        <f t="shared" si="6"/>
        <v>0</v>
      </c>
      <c r="V20" s="259"/>
      <c r="W20" s="259">
        <v>1</v>
      </c>
      <c r="X20" s="260"/>
      <c r="Y20" s="271" t="s">
        <v>180</v>
      </c>
      <c r="Z20" s="262">
        <v>0.2</v>
      </c>
      <c r="AA20" s="262">
        <v>0</v>
      </c>
      <c r="AB20" s="263">
        <v>1</v>
      </c>
      <c r="AC20" s="264">
        <f t="shared" si="7"/>
        <v>0</v>
      </c>
      <c r="AD20" s="264"/>
      <c r="AE20" s="264">
        <v>1</v>
      </c>
      <c r="AF20" s="264"/>
    </row>
    <row r="21" spans="1:32" ht="26.25" customHeight="1" x14ac:dyDescent="0.25">
      <c r="A21" s="243" t="str">
        <f xml:space="preserve"> Threats!A20</f>
        <v>T20-Separation of Duties</v>
      </c>
      <c r="B21" s="244">
        <f>'AHP Likelihood Calculation'!AD53</f>
        <v>0.3317214128842092</v>
      </c>
      <c r="C21" s="245">
        <f>'AHP Severity Calculation'!AD53</f>
        <v>4.4577543861404362E-2</v>
      </c>
      <c r="D21" s="265">
        <f t="shared" si="0"/>
        <v>1.4787325832612861E-2</v>
      </c>
      <c r="E21" s="247">
        <f t="shared" si="2"/>
        <v>0</v>
      </c>
      <c r="F21" s="248">
        <f t="shared" si="3"/>
        <v>5.9149303330451449E-3</v>
      </c>
      <c r="G21" s="248">
        <f t="shared" si="4"/>
        <v>0</v>
      </c>
      <c r="H21" s="249" t="b">
        <f t="shared" si="5"/>
        <v>1</v>
      </c>
      <c r="I21" s="250" t="s">
        <v>217</v>
      </c>
      <c r="J21" s="267">
        <v>0.6</v>
      </c>
      <c r="K21" s="267">
        <v>10000</v>
      </c>
      <c r="L21" s="277">
        <v>0</v>
      </c>
      <c r="M21" s="254">
        <f t="shared" si="1"/>
        <v>0</v>
      </c>
      <c r="N21" s="254"/>
      <c r="O21" s="254">
        <v>1</v>
      </c>
      <c r="P21" s="255"/>
      <c r="Q21" s="273" t="s">
        <v>177</v>
      </c>
      <c r="R21" s="299">
        <v>0.4</v>
      </c>
      <c r="S21" s="257">
        <v>0</v>
      </c>
      <c r="T21" s="258">
        <v>1</v>
      </c>
      <c r="U21" s="257">
        <f t="shared" si="6"/>
        <v>0</v>
      </c>
      <c r="V21" s="259"/>
      <c r="W21" s="259">
        <v>1</v>
      </c>
      <c r="X21" s="260"/>
      <c r="Y21" s="271" t="s">
        <v>181</v>
      </c>
      <c r="Z21" s="262">
        <v>0</v>
      </c>
      <c r="AA21" s="262">
        <v>0</v>
      </c>
      <c r="AB21" s="263">
        <v>0</v>
      </c>
      <c r="AC21" s="264">
        <f t="shared" si="7"/>
        <v>0</v>
      </c>
      <c r="AD21" s="264"/>
      <c r="AE21" s="264"/>
      <c r="AF21" s="264"/>
    </row>
    <row r="22" spans="1:32" ht="54.75" customHeight="1" x14ac:dyDescent="0.25">
      <c r="A22" s="243" t="str">
        <f xml:space="preserve"> Threats!A21</f>
        <v>T21-Configuration Threats</v>
      </c>
      <c r="B22" s="244">
        <f>'AHP Likelihood Calculation'!AD54</f>
        <v>0.38319826966022075</v>
      </c>
      <c r="C22" s="245">
        <f>'AHP Severity Calculation'!AD54</f>
        <v>9.1000920292543475E-2</v>
      </c>
      <c r="D22" s="265">
        <f t="shared" si="0"/>
        <v>3.4871395193590331E-2</v>
      </c>
      <c r="E22" s="247">
        <f t="shared" si="2"/>
        <v>3.4871395193590331E-2</v>
      </c>
      <c r="F22" s="248">
        <f t="shared" si="3"/>
        <v>0</v>
      </c>
      <c r="G22" s="248">
        <f t="shared" si="4"/>
        <v>0</v>
      </c>
      <c r="H22" s="290" t="b">
        <f t="shared" si="5"/>
        <v>1</v>
      </c>
      <c r="I22" s="250" t="s">
        <v>217</v>
      </c>
      <c r="J22" s="291">
        <v>1</v>
      </c>
      <c r="K22" s="291">
        <v>10000</v>
      </c>
      <c r="L22" s="292">
        <v>1</v>
      </c>
      <c r="M22" s="254">
        <f t="shared" si="1"/>
        <v>10000</v>
      </c>
      <c r="N22" s="254"/>
      <c r="O22" s="254">
        <v>1</v>
      </c>
      <c r="P22" s="255"/>
      <c r="Q22" s="293" t="s">
        <v>181</v>
      </c>
      <c r="R22" s="259">
        <v>0</v>
      </c>
      <c r="S22" s="294">
        <v>0</v>
      </c>
      <c r="T22" s="258">
        <v>0</v>
      </c>
      <c r="U22" s="257">
        <f t="shared" si="6"/>
        <v>0</v>
      </c>
      <c r="V22" s="259"/>
      <c r="W22" s="259">
        <v>1</v>
      </c>
      <c r="X22" s="260"/>
      <c r="Y22" s="271" t="s">
        <v>181</v>
      </c>
      <c r="Z22" s="262">
        <v>0</v>
      </c>
      <c r="AA22" s="262">
        <v>0</v>
      </c>
      <c r="AB22" s="263">
        <v>0</v>
      </c>
      <c r="AC22" s="264">
        <f t="shared" si="7"/>
        <v>0</v>
      </c>
      <c r="AD22" s="264"/>
      <c r="AE22" s="264"/>
      <c r="AF22" s="264"/>
    </row>
    <row r="23" spans="1:32" ht="41.25" customHeight="1" x14ac:dyDescent="0.25">
      <c r="A23" s="243" t="str">
        <f xml:space="preserve"> Threats!A22</f>
        <v>T22- Communications Threats</v>
      </c>
      <c r="B23" s="244">
        <f>'AHP Likelihood Calculation'!AD55</f>
        <v>0.29315402277471436</v>
      </c>
      <c r="C23" s="245">
        <f>'AHP Severity Calculation'!AD55</f>
        <v>0.11814664549698722</v>
      </c>
      <c r="D23" s="265">
        <f t="shared" si="0"/>
        <v>3.46351644047799E-2</v>
      </c>
      <c r="E23" s="247">
        <f t="shared" si="2"/>
        <v>0</v>
      </c>
      <c r="F23" s="248">
        <f t="shared" si="3"/>
        <v>1.731758220238995E-2</v>
      </c>
      <c r="G23" s="248">
        <f t="shared" si="4"/>
        <v>0</v>
      </c>
      <c r="H23" s="249" t="b">
        <f t="shared" si="5"/>
        <v>1</v>
      </c>
      <c r="I23" s="266" t="s">
        <v>216</v>
      </c>
      <c r="J23" s="267">
        <v>0.25</v>
      </c>
      <c r="K23" s="267">
        <v>7500</v>
      </c>
      <c r="L23" s="277">
        <v>0</v>
      </c>
      <c r="M23" s="254">
        <f t="shared" si="1"/>
        <v>0</v>
      </c>
      <c r="N23" s="284"/>
      <c r="O23" s="284">
        <v>2</v>
      </c>
      <c r="P23" s="295"/>
      <c r="Q23" s="256" t="s">
        <v>188</v>
      </c>
      <c r="R23" s="256">
        <v>0.5</v>
      </c>
      <c r="S23" s="257">
        <v>1000</v>
      </c>
      <c r="T23" s="296">
        <v>1</v>
      </c>
      <c r="U23" s="257">
        <f t="shared" si="6"/>
        <v>1000</v>
      </c>
      <c r="V23" s="259"/>
      <c r="W23" s="259">
        <v>1</v>
      </c>
      <c r="X23" s="260"/>
      <c r="Y23" s="271" t="s">
        <v>181</v>
      </c>
      <c r="Z23" s="262">
        <v>1</v>
      </c>
      <c r="AA23" s="262">
        <v>0</v>
      </c>
      <c r="AB23" s="263">
        <v>0</v>
      </c>
      <c r="AC23" s="264">
        <f t="shared" si="7"/>
        <v>0</v>
      </c>
      <c r="AD23" s="264"/>
      <c r="AE23" s="264"/>
      <c r="AF23" s="264"/>
    </row>
    <row r="24" spans="1:32" ht="12.75" customHeight="1" x14ac:dyDescent="0.25">
      <c r="A24" s="300"/>
      <c r="B24" s="301"/>
      <c r="C24" s="300"/>
      <c r="D24" s="303">
        <f>SUM(D2:D23)</f>
        <v>0.49849937380730425</v>
      </c>
      <c r="E24" s="302">
        <f>SUM(E2:E23)</f>
        <v>0.21266471152455602</v>
      </c>
      <c r="F24" s="302">
        <f>SUM(F2:F23)</f>
        <v>0.14518774129587875</v>
      </c>
      <c r="G24" s="302">
        <f>SUM(G2:G23)</f>
        <v>1.7465548950302733E-2</v>
      </c>
      <c r="H24" s="26">
        <f>COUNTIF(H2:H23, "TRUE")</f>
        <v>16</v>
      </c>
      <c r="I24" s="301"/>
      <c r="J24" s="301"/>
      <c r="K24" s="301"/>
      <c r="L24" s="326">
        <f>SUM(L2:L23)</f>
        <v>68</v>
      </c>
      <c r="M24" s="320">
        <f>SUM(M2:M23)</f>
        <v>80500</v>
      </c>
      <c r="N24" s="300"/>
      <c r="O24" s="300"/>
      <c r="P24" s="300"/>
      <c r="Q24" s="300"/>
      <c r="R24" s="300"/>
      <c r="S24" s="300"/>
      <c r="T24" s="326">
        <f>SUM(T2:T23)</f>
        <v>58</v>
      </c>
      <c r="U24" s="300">
        <f>SUM(U2:U23)</f>
        <v>19000</v>
      </c>
      <c r="V24" s="300"/>
      <c r="W24" s="300"/>
      <c r="X24" s="300"/>
      <c r="Y24" s="300"/>
      <c r="Z24" s="300"/>
      <c r="AA24" s="300"/>
      <c r="AB24" s="326">
        <f>SUM(AB2:AB23)</f>
        <v>2</v>
      </c>
      <c r="AC24" s="304">
        <f>SUM(AC2:AC23)</f>
        <v>0</v>
      </c>
      <c r="AD24" s="300"/>
      <c r="AE24" s="300"/>
      <c r="AF24" s="300"/>
    </row>
    <row r="25" spans="1:32" ht="12.75" customHeight="1" x14ac:dyDescent="0.25">
      <c r="B25" s="13"/>
      <c r="D25" s="13"/>
      <c r="E25" s="13"/>
      <c r="F25" s="14"/>
      <c r="G25" s="303">
        <f>E24 +F24+G24</f>
        <v>0.37531800177073749</v>
      </c>
      <c r="H25" s="279">
        <f>H24*G25</f>
        <v>6.0050880283317998</v>
      </c>
      <c r="I25" s="13"/>
      <c r="J25" s="14"/>
      <c r="K25" s="13"/>
      <c r="M25" s="13"/>
      <c r="AB25" s="327"/>
    </row>
    <row r="26" spans="1:32" ht="12.75" customHeight="1" x14ac:dyDescent="0.25">
      <c r="B26" s="13"/>
      <c r="D26" s="13"/>
      <c r="E26" s="13"/>
      <c r="F26" s="14"/>
      <c r="G26" s="14"/>
      <c r="H26" s="13"/>
      <c r="I26" s="13"/>
      <c r="J26" s="14"/>
      <c r="K26" s="13"/>
      <c r="M26" s="13"/>
      <c r="AB26">
        <f>G25*AB25</f>
        <v>0</v>
      </c>
    </row>
    <row r="27" spans="1:32" ht="12.75" customHeight="1" x14ac:dyDescent="0.25">
      <c r="B27" s="13"/>
      <c r="D27" s="13"/>
      <c r="E27" s="13"/>
      <c r="F27" s="14"/>
      <c r="G27" s="14"/>
      <c r="H27" s="13"/>
      <c r="I27" s="13"/>
      <c r="J27" s="14"/>
      <c r="K27" s="13"/>
      <c r="M27" s="13"/>
    </row>
    <row r="28" spans="1:32" ht="27.75" customHeight="1" x14ac:dyDescent="0.25">
      <c r="A28" s="323" t="s">
        <v>0</v>
      </c>
      <c r="B28" s="324">
        <v>100000</v>
      </c>
      <c r="C28" s="323" t="s">
        <v>118</v>
      </c>
      <c r="D28" s="325">
        <f>M24+U24+AC24</f>
        <v>99500</v>
      </c>
      <c r="E28" s="323"/>
      <c r="F28" s="324">
        <f>G25*100/D24</f>
        <v>75.289563335703861</v>
      </c>
      <c r="G28" s="233"/>
      <c r="H28" s="233"/>
      <c r="I28" s="233"/>
      <c r="J28" s="233"/>
      <c r="K28" s="233"/>
      <c r="L28" s="234"/>
      <c r="M28" s="234"/>
      <c r="N28" s="234"/>
      <c r="O28" s="234"/>
      <c r="P28" s="234"/>
      <c r="Q28" s="235"/>
      <c r="R28" s="235"/>
      <c r="S28" s="235"/>
      <c r="T28" s="235"/>
      <c r="U28" s="235"/>
      <c r="V28" s="235"/>
      <c r="W28" s="235"/>
      <c r="X28" s="235"/>
      <c r="Y28" s="235"/>
      <c r="Z28" s="235"/>
      <c r="AA28" s="235"/>
      <c r="AB28" s="235"/>
      <c r="AC28" s="235"/>
      <c r="AD28" s="235"/>
      <c r="AE28" s="235"/>
      <c r="AF28" s="235"/>
    </row>
    <row r="29" spans="1:32" ht="12.75" customHeight="1" x14ac:dyDescent="0.25">
      <c r="B29" s="13"/>
      <c r="D29" s="13"/>
      <c r="E29" s="13"/>
      <c r="F29" s="14"/>
      <c r="G29" s="14"/>
      <c r="H29" s="13"/>
      <c r="I29" s="13"/>
      <c r="J29" s="14"/>
      <c r="K29" s="13"/>
      <c r="M29" s="13"/>
    </row>
    <row r="30" spans="1:32" ht="12.75" customHeight="1" x14ac:dyDescent="0.25">
      <c r="B30" s="232"/>
      <c r="D30" s="231"/>
      <c r="E30" s="13"/>
      <c r="F30" s="14"/>
      <c r="G30" s="14"/>
      <c r="H30" s="13"/>
      <c r="I30" s="13"/>
      <c r="J30" s="14"/>
      <c r="K30" s="13"/>
      <c r="M30" s="13"/>
    </row>
    <row r="31" spans="1:32" ht="12.75" customHeight="1" x14ac:dyDescent="0.25">
      <c r="B31" s="13"/>
      <c r="D31" s="14"/>
      <c r="E31" s="13"/>
      <c r="F31" s="14"/>
      <c r="G31" s="14"/>
      <c r="H31" s="13"/>
      <c r="I31" s="13"/>
      <c r="J31" s="14"/>
      <c r="K31" s="13"/>
      <c r="M31" s="13"/>
    </row>
    <row r="32" spans="1:32" ht="12.75" customHeight="1" x14ac:dyDescent="0.25">
      <c r="B32" s="13"/>
      <c r="D32" s="14"/>
      <c r="E32" s="13"/>
      <c r="F32" s="14"/>
      <c r="G32" s="14"/>
      <c r="H32" s="13"/>
      <c r="I32" s="13"/>
      <c r="J32" s="14"/>
      <c r="K32" s="13"/>
      <c r="M32" s="13"/>
    </row>
    <row r="33" spans="2:13" ht="12.75" customHeight="1" x14ac:dyDescent="0.25">
      <c r="B33" s="13"/>
      <c r="D33" s="14"/>
      <c r="E33" s="13"/>
      <c r="F33" s="14"/>
      <c r="G33" s="14"/>
      <c r="H33" s="13"/>
      <c r="I33" s="13"/>
      <c r="J33" s="14"/>
      <c r="K33" s="13"/>
      <c r="M33" s="13"/>
    </row>
    <row r="34" spans="2:13" ht="12.75" customHeight="1" x14ac:dyDescent="0.25">
      <c r="B34" s="13"/>
      <c r="D34" s="14"/>
      <c r="E34" s="13"/>
      <c r="F34" s="14"/>
      <c r="G34" s="14"/>
      <c r="H34" s="13"/>
      <c r="I34" s="13"/>
      <c r="J34" s="14"/>
      <c r="K34" s="13"/>
      <c r="M34" s="13"/>
    </row>
    <row r="35" spans="2:13" ht="12.75" customHeight="1" x14ac:dyDescent="0.25">
      <c r="B35" s="13"/>
      <c r="D35" s="14"/>
      <c r="E35" s="13"/>
      <c r="F35" s="14"/>
      <c r="G35" s="14"/>
      <c r="H35" s="13"/>
      <c r="I35" s="13"/>
      <c r="J35" s="14"/>
      <c r="K35" s="13"/>
      <c r="M35" s="13"/>
    </row>
    <row r="36" spans="2:13" ht="12.75" customHeight="1" x14ac:dyDescent="0.25">
      <c r="B36" s="13"/>
      <c r="D36" s="14"/>
      <c r="E36" s="13"/>
      <c r="F36" s="14"/>
      <c r="G36" s="14"/>
      <c r="H36" s="13"/>
      <c r="I36" s="13"/>
      <c r="J36" s="14"/>
      <c r="K36" s="13"/>
      <c r="M36" s="13"/>
    </row>
    <row r="37" spans="2:13" ht="12.75" customHeight="1" x14ac:dyDescent="0.25">
      <c r="B37" s="13"/>
      <c r="D37" s="14"/>
      <c r="E37" s="13"/>
      <c r="F37" s="14"/>
      <c r="G37" s="14"/>
      <c r="H37" s="13"/>
      <c r="I37" s="13"/>
      <c r="J37" s="14"/>
      <c r="K37" s="13"/>
      <c r="M37" s="13"/>
    </row>
    <row r="38" spans="2:13" ht="12.75" customHeight="1" x14ac:dyDescent="0.25">
      <c r="B38" s="13"/>
      <c r="D38" s="14"/>
      <c r="E38" s="13"/>
      <c r="F38" s="14"/>
      <c r="G38" s="14"/>
      <c r="H38" s="13"/>
      <c r="I38" s="13"/>
      <c r="J38" s="14"/>
      <c r="K38" s="13"/>
      <c r="M38" s="13"/>
    </row>
    <row r="39" spans="2:13" ht="12.75" customHeight="1" x14ac:dyDescent="0.25">
      <c r="B39" s="13"/>
      <c r="D39" s="14"/>
      <c r="E39" s="13"/>
      <c r="F39" s="14"/>
      <c r="G39" s="14"/>
      <c r="H39" s="13"/>
      <c r="I39" s="13"/>
      <c r="J39" s="14"/>
      <c r="K39" s="13"/>
      <c r="M39" s="13"/>
    </row>
    <row r="40" spans="2:13" ht="12.75" customHeight="1" x14ac:dyDescent="0.25">
      <c r="B40" s="13"/>
      <c r="D40" s="14"/>
      <c r="E40" s="13"/>
      <c r="F40" s="14"/>
      <c r="G40" s="14"/>
      <c r="H40" s="13"/>
      <c r="I40" s="13"/>
      <c r="J40" s="14"/>
      <c r="K40" s="13"/>
      <c r="M40" s="13"/>
    </row>
    <row r="41" spans="2:13" ht="12.75" customHeight="1" x14ac:dyDescent="0.25">
      <c r="B41" s="13"/>
      <c r="D41" s="14"/>
      <c r="E41" s="13"/>
      <c r="F41" s="14"/>
      <c r="G41" s="14"/>
      <c r="H41" s="13"/>
      <c r="I41" s="13"/>
      <c r="J41" s="14"/>
      <c r="K41" s="13"/>
      <c r="M41" s="13"/>
    </row>
    <row r="42" spans="2:13" ht="12.75" customHeight="1" x14ac:dyDescent="0.25">
      <c r="B42" s="13"/>
      <c r="D42" s="14"/>
      <c r="E42" s="13"/>
      <c r="F42" s="14"/>
      <c r="G42" s="14"/>
      <c r="H42" s="13"/>
      <c r="I42" s="13"/>
      <c r="J42" s="14"/>
      <c r="K42" s="13"/>
      <c r="M42" s="13"/>
    </row>
    <row r="43" spans="2:13" ht="12.75" customHeight="1" x14ac:dyDescent="0.25">
      <c r="B43" s="13"/>
      <c r="D43" s="14"/>
      <c r="E43" s="13"/>
      <c r="F43" s="14"/>
      <c r="G43" s="14"/>
      <c r="H43" s="13"/>
      <c r="I43" s="13"/>
      <c r="J43" s="14"/>
      <c r="K43" s="13"/>
      <c r="M43" s="13"/>
    </row>
    <row r="44" spans="2:13" ht="12.75" customHeight="1" x14ac:dyDescent="0.25">
      <c r="B44" s="13"/>
      <c r="D44" s="14"/>
      <c r="E44" s="13"/>
      <c r="F44" s="14"/>
      <c r="G44" s="14"/>
      <c r="H44" s="13"/>
      <c r="I44" s="13"/>
      <c r="J44" s="14"/>
      <c r="K44" s="13"/>
      <c r="M44" s="13"/>
    </row>
    <row r="45" spans="2:13" ht="12.75" customHeight="1" x14ac:dyDescent="0.25">
      <c r="B45" s="13"/>
      <c r="D45" s="14"/>
      <c r="E45" s="13"/>
      <c r="F45" s="14"/>
      <c r="G45" s="14"/>
      <c r="H45" s="13"/>
      <c r="I45" s="13"/>
      <c r="J45" s="14"/>
      <c r="K45" s="13"/>
      <c r="M45" s="13"/>
    </row>
    <row r="46" spans="2:13" ht="12.75" customHeight="1" x14ac:dyDescent="0.25">
      <c r="B46" s="13"/>
      <c r="D46" s="14"/>
      <c r="E46" s="13"/>
      <c r="F46" s="14"/>
      <c r="G46" s="14"/>
      <c r="H46" s="13"/>
      <c r="I46" s="13"/>
      <c r="J46" s="14"/>
      <c r="K46" s="13"/>
      <c r="M46" s="13"/>
    </row>
    <row r="47" spans="2:13" ht="12.75" customHeight="1" x14ac:dyDescent="0.25">
      <c r="B47" s="13"/>
      <c r="D47" s="14"/>
      <c r="E47" s="13"/>
      <c r="F47" s="14"/>
      <c r="G47" s="14"/>
      <c r="H47" s="13"/>
      <c r="I47" s="13"/>
      <c r="J47" s="14"/>
      <c r="K47" s="13"/>
      <c r="M47" s="13"/>
    </row>
    <row r="48" spans="2:13" ht="12.75" customHeight="1" x14ac:dyDescent="0.25">
      <c r="B48" s="13"/>
      <c r="D48" s="14"/>
      <c r="E48" s="13"/>
      <c r="F48" s="14"/>
      <c r="G48" s="14"/>
      <c r="H48" s="13"/>
      <c r="I48" s="13"/>
      <c r="J48" s="14"/>
      <c r="K48" s="13"/>
      <c r="M48" s="13"/>
    </row>
    <row r="49" spans="2:13" ht="12.75" customHeight="1" x14ac:dyDescent="0.25">
      <c r="B49" s="13"/>
      <c r="D49" s="14"/>
      <c r="E49" s="13"/>
      <c r="F49" s="14"/>
      <c r="G49" s="14"/>
      <c r="H49" s="13"/>
      <c r="I49" s="13"/>
      <c r="J49" s="14"/>
      <c r="K49" s="13"/>
      <c r="M49" s="13"/>
    </row>
    <row r="50" spans="2:13" ht="12.75" customHeight="1" x14ac:dyDescent="0.25">
      <c r="B50" s="13"/>
      <c r="D50" s="14"/>
      <c r="E50" s="13"/>
      <c r="F50" s="14"/>
      <c r="G50" s="14"/>
      <c r="H50" s="13"/>
      <c r="I50" s="13"/>
      <c r="J50" s="14"/>
      <c r="K50" s="13"/>
      <c r="M50" s="13"/>
    </row>
    <row r="51" spans="2:13" ht="12.75" customHeight="1" x14ac:dyDescent="0.25">
      <c r="B51" s="13"/>
      <c r="D51" s="14"/>
      <c r="E51" s="13"/>
      <c r="F51" s="14"/>
      <c r="G51" s="14"/>
      <c r="H51" s="13"/>
      <c r="I51" s="13"/>
      <c r="J51" s="14"/>
      <c r="K51" s="13"/>
      <c r="M51" s="13"/>
    </row>
    <row r="52" spans="2:13" ht="12.75" customHeight="1" x14ac:dyDescent="0.25">
      <c r="B52" s="13"/>
      <c r="D52" s="14"/>
      <c r="E52" s="13"/>
      <c r="F52" s="14"/>
      <c r="G52" s="14"/>
      <c r="H52" s="13"/>
      <c r="I52" s="13"/>
      <c r="J52" s="14"/>
      <c r="K52" s="13"/>
      <c r="M52" s="13"/>
    </row>
    <row r="53" spans="2:13" ht="12.75" customHeight="1" x14ac:dyDescent="0.25">
      <c r="B53" s="13"/>
      <c r="D53" s="14"/>
      <c r="E53" s="13"/>
      <c r="F53" s="14"/>
      <c r="G53" s="14"/>
      <c r="H53" s="13"/>
      <c r="I53" s="13"/>
      <c r="J53" s="14"/>
      <c r="K53" s="13"/>
      <c r="M53" s="13"/>
    </row>
    <row r="54" spans="2:13" ht="12.75" customHeight="1" x14ac:dyDescent="0.25">
      <c r="B54" s="13"/>
      <c r="D54" s="14"/>
      <c r="E54" s="13"/>
      <c r="F54" s="14"/>
      <c r="G54" s="14"/>
      <c r="H54" s="13"/>
      <c r="I54" s="13"/>
      <c r="J54" s="14"/>
      <c r="K54" s="13"/>
      <c r="M54" s="13"/>
    </row>
    <row r="55" spans="2:13" ht="12.75" customHeight="1" x14ac:dyDescent="0.25">
      <c r="B55" s="13"/>
      <c r="D55" s="14"/>
      <c r="E55" s="13"/>
      <c r="F55" s="14"/>
      <c r="G55" s="14"/>
      <c r="H55" s="13"/>
      <c r="I55" s="13"/>
      <c r="J55" s="14"/>
      <c r="K55" s="13"/>
      <c r="M55" s="13"/>
    </row>
    <row r="56" spans="2:13" ht="12.75" customHeight="1" x14ac:dyDescent="0.25">
      <c r="B56" s="13"/>
      <c r="D56" s="14"/>
      <c r="E56" s="13"/>
      <c r="F56" s="14"/>
      <c r="G56" s="14"/>
      <c r="H56" s="13"/>
      <c r="I56" s="13"/>
      <c r="J56" s="14"/>
      <c r="K56" s="13"/>
      <c r="M56" s="13"/>
    </row>
    <row r="57" spans="2:13" ht="12.75" customHeight="1" x14ac:dyDescent="0.25">
      <c r="B57" s="13"/>
      <c r="D57" s="14"/>
      <c r="E57" s="13"/>
      <c r="F57" s="14"/>
      <c r="G57" s="14"/>
      <c r="H57" s="13"/>
      <c r="I57" s="13"/>
      <c r="J57" s="14"/>
      <c r="K57" s="13"/>
      <c r="M57" s="13"/>
    </row>
    <row r="58" spans="2:13" ht="12.75" customHeight="1" x14ac:dyDescent="0.25">
      <c r="B58" s="13"/>
      <c r="D58" s="14"/>
      <c r="E58" s="13"/>
      <c r="F58" s="14"/>
      <c r="G58" s="14"/>
      <c r="H58" s="13"/>
      <c r="I58" s="13"/>
      <c r="J58" s="14"/>
      <c r="K58" s="13"/>
      <c r="M58" s="13"/>
    </row>
    <row r="59" spans="2:13" ht="12.75" customHeight="1" x14ac:dyDescent="0.25">
      <c r="B59" s="13"/>
      <c r="D59" s="14"/>
      <c r="E59" s="13"/>
      <c r="F59" s="14"/>
      <c r="G59" s="14"/>
      <c r="H59" s="13"/>
      <c r="I59" s="13"/>
      <c r="J59" s="14"/>
      <c r="K59" s="13"/>
      <c r="M59" s="13"/>
    </row>
    <row r="60" spans="2:13" ht="12.75" customHeight="1" x14ac:dyDescent="0.25">
      <c r="B60" s="13"/>
      <c r="D60" s="14"/>
      <c r="E60" s="13"/>
      <c r="F60" s="14"/>
      <c r="G60" s="14"/>
      <c r="H60" s="13"/>
      <c r="I60" s="13"/>
      <c r="J60" s="14"/>
      <c r="K60" s="13"/>
      <c r="M60" s="13"/>
    </row>
    <row r="61" spans="2:13" ht="12.75" customHeight="1" x14ac:dyDescent="0.25">
      <c r="B61" s="13"/>
      <c r="D61" s="14"/>
      <c r="E61" s="13"/>
      <c r="F61" s="14"/>
      <c r="G61" s="14"/>
      <c r="H61" s="13"/>
      <c r="I61" s="13"/>
      <c r="J61" s="14"/>
      <c r="K61" s="13"/>
      <c r="M61" s="13"/>
    </row>
    <row r="62" spans="2:13" ht="12.75" customHeight="1" x14ac:dyDescent="0.25">
      <c r="B62" s="13"/>
      <c r="D62" s="14"/>
      <c r="E62" s="13"/>
      <c r="F62" s="14"/>
      <c r="G62" s="14"/>
      <c r="H62" s="13"/>
      <c r="I62" s="13"/>
      <c r="J62" s="14"/>
      <c r="K62" s="13"/>
      <c r="M62" s="13"/>
    </row>
    <row r="63" spans="2:13" ht="12.75" customHeight="1" x14ac:dyDescent="0.25">
      <c r="B63" s="13"/>
      <c r="D63" s="14"/>
      <c r="E63" s="13"/>
      <c r="F63" s="14"/>
      <c r="G63" s="14"/>
      <c r="H63" s="13"/>
      <c r="I63" s="13"/>
      <c r="J63" s="14"/>
      <c r="K63" s="13"/>
      <c r="M63" s="13"/>
    </row>
    <row r="64" spans="2:13" ht="12.75" customHeight="1" x14ac:dyDescent="0.25">
      <c r="B64" s="13"/>
      <c r="D64" s="14"/>
      <c r="E64" s="13"/>
      <c r="F64" s="14"/>
      <c r="G64" s="14"/>
      <c r="H64" s="13"/>
      <c r="I64" s="13"/>
      <c r="J64" s="14"/>
      <c r="K64" s="13"/>
      <c r="M64" s="13"/>
    </row>
    <row r="65" spans="2:13" ht="12.75" customHeight="1" x14ac:dyDescent="0.25">
      <c r="B65" s="13"/>
      <c r="D65" s="14"/>
      <c r="E65" s="13"/>
      <c r="F65" s="14"/>
      <c r="G65" s="14"/>
      <c r="H65" s="13"/>
      <c r="I65" s="13"/>
      <c r="J65" s="14"/>
      <c r="K65" s="13"/>
      <c r="M65" s="13"/>
    </row>
    <row r="66" spans="2:13" ht="12.75" customHeight="1" x14ac:dyDescent="0.25">
      <c r="B66" s="13"/>
      <c r="D66" s="14"/>
      <c r="E66" s="13"/>
      <c r="F66" s="14"/>
      <c r="G66" s="14"/>
      <c r="H66" s="13"/>
      <c r="I66" s="13"/>
      <c r="J66" s="14"/>
      <c r="K66" s="13"/>
      <c r="M66" s="13"/>
    </row>
    <row r="67" spans="2:13" ht="12.75" customHeight="1" x14ac:dyDescent="0.25">
      <c r="B67" s="13"/>
      <c r="D67" s="13"/>
      <c r="E67" s="13"/>
      <c r="F67" s="14"/>
      <c r="G67" s="14"/>
      <c r="H67" s="13"/>
      <c r="I67" s="13"/>
      <c r="J67" s="14"/>
      <c r="K67" s="13"/>
      <c r="M67" s="13"/>
    </row>
    <row r="68" spans="2:13" ht="12.75" customHeight="1" x14ac:dyDescent="0.25">
      <c r="B68" s="13"/>
      <c r="D68" s="13"/>
      <c r="E68" s="13"/>
      <c r="F68" s="14"/>
      <c r="G68" s="14"/>
      <c r="H68" s="13"/>
      <c r="I68" s="13"/>
      <c r="J68" s="14"/>
      <c r="K68" s="13"/>
      <c r="M68" s="13"/>
    </row>
    <row r="69" spans="2:13" ht="12.75" customHeight="1" x14ac:dyDescent="0.25">
      <c r="B69" s="13"/>
      <c r="D69" s="13"/>
      <c r="E69" s="13"/>
      <c r="F69" s="14"/>
      <c r="G69" s="14"/>
      <c r="H69" s="13"/>
      <c r="I69" s="13"/>
      <c r="J69" s="14"/>
      <c r="K69" s="13"/>
      <c r="M69" s="13"/>
    </row>
    <row r="70" spans="2:13" ht="12.75" customHeight="1" x14ac:dyDescent="0.25">
      <c r="B70" s="13"/>
      <c r="D70" s="13"/>
      <c r="E70" s="13"/>
      <c r="F70" s="14"/>
      <c r="G70" s="14"/>
      <c r="H70" s="13"/>
      <c r="I70" s="13"/>
      <c r="J70" s="14"/>
      <c r="K70" s="13"/>
      <c r="M70" s="13"/>
    </row>
    <row r="71" spans="2:13" ht="12.75" customHeight="1" x14ac:dyDescent="0.25">
      <c r="B71" s="13"/>
      <c r="D71" s="13"/>
      <c r="E71" s="13"/>
      <c r="F71" s="14"/>
      <c r="G71" s="14"/>
      <c r="H71" s="13"/>
      <c r="I71" s="13"/>
      <c r="J71" s="14"/>
      <c r="K71" s="13"/>
      <c r="M71" s="13"/>
    </row>
    <row r="72" spans="2:13" ht="12.75" customHeight="1" x14ac:dyDescent="0.25">
      <c r="B72" s="13"/>
      <c r="D72" s="13"/>
      <c r="E72" s="13"/>
      <c r="F72" s="14"/>
      <c r="G72" s="14"/>
      <c r="H72" s="13"/>
      <c r="I72" s="13"/>
      <c r="J72" s="14"/>
      <c r="K72" s="13"/>
      <c r="M72" s="13"/>
    </row>
    <row r="73" spans="2:13" ht="12.75" customHeight="1" x14ac:dyDescent="0.25">
      <c r="B73" s="13"/>
      <c r="D73" s="13"/>
      <c r="E73" s="13"/>
      <c r="F73" s="14"/>
      <c r="G73" s="14"/>
      <c r="H73" s="13"/>
      <c r="I73" s="13"/>
      <c r="J73" s="14"/>
      <c r="K73" s="13"/>
      <c r="M73" s="13"/>
    </row>
    <row r="74" spans="2:13" ht="12.75" customHeight="1" x14ac:dyDescent="0.25">
      <c r="B74" s="13"/>
      <c r="D74" s="13"/>
      <c r="E74" s="13"/>
      <c r="F74" s="14"/>
      <c r="G74" s="14"/>
      <c r="H74" s="13"/>
      <c r="I74" s="13"/>
      <c r="J74" s="14"/>
      <c r="K74" s="13"/>
      <c r="M74" s="13"/>
    </row>
    <row r="75" spans="2:13" ht="12.75" customHeight="1" x14ac:dyDescent="0.25">
      <c r="B75" s="13"/>
      <c r="D75" s="13"/>
      <c r="E75" s="13"/>
      <c r="F75" s="14"/>
      <c r="G75" s="14"/>
      <c r="H75" s="13"/>
      <c r="I75" s="13"/>
      <c r="J75" s="14"/>
      <c r="K75" s="13"/>
      <c r="M75" s="13"/>
    </row>
    <row r="76" spans="2:13" ht="12.75" customHeight="1" x14ac:dyDescent="0.25">
      <c r="B76" s="13"/>
      <c r="D76" s="13"/>
      <c r="E76" s="13"/>
      <c r="F76" s="14"/>
      <c r="G76" s="14"/>
      <c r="H76" s="13"/>
      <c r="I76" s="13"/>
      <c r="J76" s="14"/>
      <c r="K76" s="13"/>
      <c r="M76" s="13"/>
    </row>
    <row r="77" spans="2:13" ht="12.75" customHeight="1" x14ac:dyDescent="0.25">
      <c r="B77" s="13"/>
      <c r="D77" s="13"/>
      <c r="E77" s="13"/>
      <c r="F77" s="14"/>
      <c r="G77" s="14"/>
      <c r="H77" s="13"/>
      <c r="I77" s="13"/>
      <c r="J77" s="14"/>
      <c r="K77" s="13"/>
      <c r="M77" s="13"/>
    </row>
    <row r="78" spans="2:13" ht="12.75" customHeight="1" x14ac:dyDescent="0.25">
      <c r="B78" s="13"/>
      <c r="D78" s="13"/>
      <c r="E78" s="13"/>
      <c r="F78" s="14"/>
      <c r="G78" s="14"/>
      <c r="H78" s="13"/>
      <c r="I78" s="13"/>
      <c r="J78" s="14"/>
      <c r="K78" s="13"/>
      <c r="M78" s="13"/>
    </row>
    <row r="79" spans="2:13" ht="12.75" customHeight="1" x14ac:dyDescent="0.25">
      <c r="B79" s="13"/>
      <c r="D79" s="13"/>
      <c r="E79" s="13"/>
      <c r="F79" s="14"/>
      <c r="G79" s="14"/>
      <c r="H79" s="13"/>
      <c r="I79" s="13"/>
      <c r="J79" s="14"/>
      <c r="K79" s="13"/>
      <c r="M79" s="13"/>
    </row>
    <row r="80" spans="2:13" ht="12.75" customHeight="1" x14ac:dyDescent="0.25">
      <c r="B80" s="13"/>
      <c r="D80" s="13"/>
      <c r="E80" s="13"/>
      <c r="F80" s="14"/>
      <c r="G80" s="14"/>
      <c r="H80" s="13"/>
      <c r="I80" s="13"/>
      <c r="J80" s="14"/>
      <c r="K80" s="13"/>
      <c r="M80" s="13"/>
    </row>
    <row r="81" spans="2:13" ht="12.75" customHeight="1" x14ac:dyDescent="0.25">
      <c r="B81" s="13"/>
      <c r="D81" s="13"/>
      <c r="E81" s="13"/>
      <c r="F81" s="14"/>
      <c r="G81" s="14"/>
      <c r="H81" s="13"/>
      <c r="I81" s="13"/>
      <c r="J81" s="14"/>
      <c r="K81" s="13"/>
      <c r="M81" s="13"/>
    </row>
    <row r="82" spans="2:13" ht="12.75" customHeight="1" x14ac:dyDescent="0.25">
      <c r="B82" s="13"/>
      <c r="D82" s="13"/>
      <c r="E82" s="13"/>
      <c r="F82" s="14"/>
      <c r="G82" s="14"/>
      <c r="H82" s="13"/>
      <c r="I82" s="13"/>
      <c r="J82" s="14"/>
      <c r="K82" s="13"/>
      <c r="M82" s="13"/>
    </row>
    <row r="83" spans="2:13" ht="12.75" customHeight="1" x14ac:dyDescent="0.25">
      <c r="B83" s="13"/>
      <c r="D83" s="13"/>
      <c r="E83" s="13"/>
      <c r="F83" s="14"/>
      <c r="G83" s="14"/>
      <c r="H83" s="13"/>
      <c r="I83" s="13"/>
      <c r="J83" s="14"/>
      <c r="K83" s="13"/>
      <c r="M83" s="13"/>
    </row>
    <row r="84" spans="2:13" ht="12.75" customHeight="1" x14ac:dyDescent="0.25">
      <c r="B84" s="13"/>
      <c r="D84" s="13"/>
      <c r="E84" s="13"/>
      <c r="F84" s="14"/>
      <c r="G84" s="14"/>
      <c r="H84" s="13"/>
      <c r="I84" s="13"/>
      <c r="J84" s="14"/>
      <c r="K84" s="13"/>
      <c r="M84" s="13"/>
    </row>
    <row r="85" spans="2:13" ht="12.75" customHeight="1" x14ac:dyDescent="0.25">
      <c r="B85" s="13"/>
      <c r="D85" s="13"/>
      <c r="E85" s="13"/>
      <c r="F85" s="14"/>
      <c r="G85" s="14"/>
      <c r="H85" s="13"/>
      <c r="I85" s="13"/>
      <c r="J85" s="14"/>
      <c r="K85" s="13"/>
      <c r="M85" s="13"/>
    </row>
    <row r="86" spans="2:13" ht="12.75" customHeight="1" x14ac:dyDescent="0.25">
      <c r="B86" s="13"/>
      <c r="D86" s="13"/>
      <c r="E86" s="13"/>
      <c r="F86" s="14"/>
      <c r="G86" s="14"/>
      <c r="H86" s="13"/>
      <c r="I86" s="13"/>
      <c r="J86" s="14"/>
      <c r="K86" s="13"/>
      <c r="M86" s="13"/>
    </row>
    <row r="87" spans="2:13" ht="12.75" customHeight="1" x14ac:dyDescent="0.25">
      <c r="B87" s="13"/>
      <c r="D87" s="13"/>
      <c r="E87" s="13"/>
      <c r="F87" s="14"/>
      <c r="G87" s="14"/>
      <c r="H87" s="13"/>
      <c r="I87" s="13"/>
      <c r="J87" s="14"/>
      <c r="K87" s="13"/>
      <c r="M87" s="13"/>
    </row>
    <row r="88" spans="2:13" ht="12.75" customHeight="1" x14ac:dyDescent="0.25">
      <c r="B88" s="13"/>
      <c r="D88" s="13"/>
      <c r="E88" s="13"/>
      <c r="F88" s="14"/>
      <c r="G88" s="14"/>
      <c r="H88" s="13"/>
      <c r="I88" s="13"/>
      <c r="J88" s="14"/>
      <c r="K88" s="13"/>
      <c r="M88" s="13"/>
    </row>
    <row r="89" spans="2:13" ht="12.75" customHeight="1" x14ac:dyDescent="0.25">
      <c r="B89" s="13"/>
      <c r="D89" s="13"/>
      <c r="E89" s="13"/>
      <c r="F89" s="14"/>
      <c r="G89" s="14"/>
      <c r="H89" s="13"/>
      <c r="I89" s="13"/>
      <c r="J89" s="14"/>
      <c r="K89" s="13"/>
      <c r="M89" s="13"/>
    </row>
    <row r="90" spans="2:13" ht="12.75" customHeight="1" x14ac:dyDescent="0.25">
      <c r="B90" s="13"/>
      <c r="D90" s="13"/>
      <c r="E90" s="13"/>
      <c r="F90" s="14"/>
      <c r="G90" s="14"/>
      <c r="H90" s="13"/>
      <c r="I90" s="13"/>
      <c r="J90" s="14"/>
      <c r="K90" s="13"/>
      <c r="M90" s="13"/>
    </row>
    <row r="91" spans="2:13" ht="12.75" customHeight="1" x14ac:dyDescent="0.25">
      <c r="B91" s="13"/>
      <c r="D91" s="13"/>
      <c r="E91" s="13"/>
      <c r="F91" s="14"/>
      <c r="G91" s="14"/>
      <c r="H91" s="13"/>
      <c r="I91" s="13"/>
      <c r="J91" s="14"/>
      <c r="K91" s="13"/>
      <c r="M91" s="13"/>
    </row>
    <row r="92" spans="2:13" ht="12.75" customHeight="1" x14ac:dyDescent="0.25">
      <c r="B92" s="13"/>
      <c r="D92" s="13"/>
      <c r="E92" s="13"/>
      <c r="F92" s="14"/>
      <c r="G92" s="14"/>
      <c r="H92" s="13"/>
      <c r="I92" s="13"/>
      <c r="J92" s="14"/>
      <c r="K92" s="13"/>
      <c r="M92" s="13"/>
    </row>
    <row r="93" spans="2:13" ht="12.75" customHeight="1" x14ac:dyDescent="0.25">
      <c r="B93" s="13"/>
      <c r="D93" s="13"/>
      <c r="E93" s="13"/>
      <c r="F93" s="14"/>
      <c r="G93" s="14"/>
      <c r="H93" s="13"/>
      <c r="I93" s="13"/>
      <c r="J93" s="14"/>
      <c r="K93" s="13"/>
      <c r="M93" s="13"/>
    </row>
    <row r="94" spans="2:13" ht="12.75" customHeight="1" x14ac:dyDescent="0.25">
      <c r="B94" s="13"/>
      <c r="D94" s="13"/>
      <c r="E94" s="13"/>
      <c r="F94" s="14"/>
      <c r="G94" s="14"/>
      <c r="H94" s="13"/>
      <c r="I94" s="13"/>
      <c r="J94" s="14"/>
      <c r="K94" s="13"/>
      <c r="M94" s="13"/>
    </row>
    <row r="95" spans="2:13" ht="12.75" customHeight="1" x14ac:dyDescent="0.25">
      <c r="B95" s="13"/>
      <c r="D95" s="13"/>
      <c r="E95" s="13"/>
      <c r="F95" s="14"/>
      <c r="G95" s="14"/>
      <c r="H95" s="13"/>
      <c r="I95" s="13"/>
      <c r="J95" s="14"/>
      <c r="K95" s="13"/>
      <c r="M95" s="13"/>
    </row>
    <row r="96" spans="2:13" ht="12.75" customHeight="1" x14ac:dyDescent="0.25">
      <c r="B96" s="13"/>
      <c r="D96" s="13"/>
      <c r="E96" s="13"/>
      <c r="F96" s="14"/>
      <c r="G96" s="14"/>
      <c r="H96" s="13"/>
      <c r="I96" s="13"/>
      <c r="J96" s="14"/>
      <c r="K96" s="13"/>
      <c r="M96" s="13"/>
    </row>
    <row r="97" spans="2:13" ht="12.75" customHeight="1" x14ac:dyDescent="0.25">
      <c r="B97" s="13"/>
      <c r="D97" s="13"/>
      <c r="E97" s="13"/>
      <c r="F97" s="14"/>
      <c r="G97" s="14"/>
      <c r="H97" s="13"/>
      <c r="I97" s="13"/>
      <c r="J97" s="14"/>
      <c r="K97" s="13"/>
      <c r="M97" s="13"/>
    </row>
    <row r="98" spans="2:13" ht="12.75" customHeight="1" x14ac:dyDescent="0.25">
      <c r="B98" s="13"/>
      <c r="D98" s="13"/>
      <c r="E98" s="13"/>
      <c r="F98" s="14"/>
      <c r="G98" s="14"/>
      <c r="H98" s="13"/>
      <c r="I98" s="13"/>
      <c r="J98" s="14"/>
      <c r="K98" s="13"/>
      <c r="M98" s="13"/>
    </row>
    <row r="99" spans="2:13" ht="12.75" customHeight="1" x14ac:dyDescent="0.25">
      <c r="B99" s="13"/>
      <c r="D99" s="13"/>
      <c r="E99" s="13"/>
      <c r="F99" s="14"/>
      <c r="G99" s="14"/>
      <c r="H99" s="13"/>
      <c r="I99" s="13"/>
      <c r="J99" s="14"/>
      <c r="K99" s="13"/>
      <c r="M99" s="13"/>
    </row>
    <row r="100" spans="2:13" ht="12.75" customHeight="1" x14ac:dyDescent="0.25">
      <c r="B100" s="13"/>
      <c r="D100" s="13"/>
      <c r="E100" s="13"/>
      <c r="F100" s="14"/>
      <c r="G100" s="14"/>
      <c r="H100" s="13"/>
      <c r="I100" s="13"/>
      <c r="J100" s="14"/>
      <c r="K100" s="13"/>
      <c r="M100" s="13"/>
    </row>
    <row r="101" spans="2:13" ht="12.75" customHeight="1" x14ac:dyDescent="0.25">
      <c r="B101" s="13"/>
      <c r="D101" s="13"/>
      <c r="E101" s="13"/>
      <c r="F101" s="14"/>
      <c r="G101" s="14"/>
      <c r="H101" s="13"/>
      <c r="I101" s="13"/>
      <c r="J101" s="14"/>
      <c r="K101" s="13"/>
      <c r="M101" s="13"/>
    </row>
    <row r="102" spans="2:13" ht="12.75" customHeight="1" x14ac:dyDescent="0.25">
      <c r="B102" s="13"/>
      <c r="D102" s="13"/>
      <c r="E102" s="13"/>
      <c r="F102" s="14"/>
      <c r="G102" s="14"/>
      <c r="H102" s="13"/>
      <c r="I102" s="13"/>
      <c r="J102" s="14"/>
      <c r="K102" s="13"/>
      <c r="M102" s="13"/>
    </row>
    <row r="103" spans="2:13" ht="12.75" customHeight="1" x14ac:dyDescent="0.25">
      <c r="B103" s="13"/>
      <c r="D103" s="13"/>
      <c r="E103" s="13"/>
      <c r="F103" s="14"/>
      <c r="G103" s="14"/>
      <c r="H103" s="13"/>
      <c r="I103" s="13"/>
      <c r="J103" s="14"/>
      <c r="K103" s="13"/>
      <c r="M103" s="13"/>
    </row>
    <row r="104" spans="2:13" ht="12.75" customHeight="1" x14ac:dyDescent="0.25">
      <c r="B104" s="13"/>
      <c r="D104" s="13"/>
      <c r="E104" s="13"/>
      <c r="F104" s="14"/>
      <c r="G104" s="14"/>
      <c r="H104" s="13"/>
      <c r="I104" s="13"/>
      <c r="J104" s="14"/>
      <c r="K104" s="13"/>
      <c r="M104" s="13"/>
    </row>
    <row r="105" spans="2:13" ht="12.75" customHeight="1" x14ac:dyDescent="0.25">
      <c r="B105" s="13"/>
      <c r="D105" s="13"/>
      <c r="E105" s="13"/>
      <c r="F105" s="14"/>
      <c r="G105" s="14"/>
      <c r="H105" s="13"/>
      <c r="I105" s="13"/>
      <c r="J105" s="14"/>
      <c r="K105" s="13"/>
      <c r="M105" s="13"/>
    </row>
    <row r="106" spans="2:13" ht="12.75" customHeight="1" x14ac:dyDescent="0.25">
      <c r="B106" s="13"/>
      <c r="D106" s="13"/>
      <c r="E106" s="13"/>
      <c r="F106" s="14"/>
      <c r="G106" s="14"/>
      <c r="H106" s="13"/>
      <c r="I106" s="13"/>
      <c r="J106" s="14"/>
      <c r="K106" s="13"/>
      <c r="M106" s="13"/>
    </row>
    <row r="107" spans="2:13" ht="12.75" customHeight="1" x14ac:dyDescent="0.25">
      <c r="B107" s="13"/>
      <c r="D107" s="13"/>
      <c r="E107" s="13"/>
      <c r="F107" s="14"/>
      <c r="G107" s="14"/>
      <c r="H107" s="13"/>
      <c r="I107" s="13"/>
      <c r="J107" s="14"/>
      <c r="K107" s="13"/>
      <c r="M107" s="13"/>
    </row>
    <row r="108" spans="2:13" ht="12.75" customHeight="1" x14ac:dyDescent="0.25">
      <c r="B108" s="13"/>
      <c r="D108" s="13"/>
      <c r="E108" s="13"/>
      <c r="F108" s="14"/>
      <c r="G108" s="14"/>
      <c r="H108" s="13"/>
      <c r="I108" s="13"/>
      <c r="J108" s="14"/>
      <c r="K108" s="13"/>
      <c r="M108" s="13"/>
    </row>
    <row r="109" spans="2:13" ht="12.75" customHeight="1" x14ac:dyDescent="0.25">
      <c r="B109" s="13"/>
      <c r="D109" s="13"/>
      <c r="E109" s="13"/>
      <c r="F109" s="14"/>
      <c r="G109" s="14"/>
      <c r="H109" s="13"/>
      <c r="I109" s="13"/>
      <c r="J109" s="14"/>
      <c r="K109" s="13"/>
      <c r="M109" s="13"/>
    </row>
    <row r="110" spans="2:13" ht="12.75" customHeight="1" x14ac:dyDescent="0.25">
      <c r="B110" s="13"/>
      <c r="D110" s="13"/>
      <c r="E110" s="13"/>
      <c r="F110" s="14"/>
      <c r="G110" s="14"/>
      <c r="H110" s="13"/>
      <c r="I110" s="13"/>
      <c r="J110" s="14"/>
      <c r="K110" s="13"/>
      <c r="M110" s="13"/>
    </row>
    <row r="111" spans="2:13" ht="12.75" customHeight="1" x14ac:dyDescent="0.25">
      <c r="B111" s="13"/>
      <c r="D111" s="13"/>
      <c r="E111" s="13"/>
      <c r="F111" s="14"/>
      <c r="G111" s="14"/>
      <c r="H111" s="13"/>
      <c r="I111" s="13"/>
      <c r="J111" s="14"/>
      <c r="K111" s="13"/>
      <c r="M111" s="13"/>
    </row>
    <row r="112" spans="2:13" ht="12.75" customHeight="1" x14ac:dyDescent="0.25">
      <c r="B112" s="13"/>
      <c r="D112" s="13"/>
      <c r="E112" s="13"/>
      <c r="F112" s="14"/>
      <c r="G112" s="14"/>
      <c r="H112" s="13"/>
      <c r="I112" s="13"/>
      <c r="J112" s="14"/>
      <c r="K112" s="13"/>
      <c r="M112" s="13"/>
    </row>
    <row r="113" spans="2:13" ht="12.75" customHeight="1" x14ac:dyDescent="0.25">
      <c r="B113" s="13"/>
      <c r="D113" s="13"/>
      <c r="E113" s="13"/>
      <c r="F113" s="14"/>
      <c r="G113" s="14"/>
      <c r="H113" s="13"/>
      <c r="I113" s="13"/>
      <c r="J113" s="14"/>
      <c r="K113" s="13"/>
      <c r="M113" s="13"/>
    </row>
    <row r="114" spans="2:13" ht="12.75" customHeight="1" x14ac:dyDescent="0.25">
      <c r="B114" s="13"/>
      <c r="D114" s="13"/>
      <c r="E114" s="13"/>
      <c r="F114" s="14"/>
      <c r="G114" s="14"/>
      <c r="H114" s="13"/>
      <c r="I114" s="13"/>
      <c r="J114" s="14"/>
      <c r="K114" s="13"/>
      <c r="M114" s="13"/>
    </row>
    <row r="115" spans="2:13" ht="12.75" customHeight="1" x14ac:dyDescent="0.25">
      <c r="B115" s="13"/>
      <c r="D115" s="13"/>
      <c r="E115" s="13"/>
      <c r="F115" s="14"/>
      <c r="G115" s="14"/>
      <c r="H115" s="13"/>
      <c r="I115" s="13"/>
      <c r="J115" s="14"/>
      <c r="K115" s="13"/>
      <c r="M115" s="13"/>
    </row>
    <row r="116" spans="2:13" ht="12.75" customHeight="1" x14ac:dyDescent="0.25">
      <c r="B116" s="13"/>
      <c r="D116" s="13"/>
      <c r="E116" s="13"/>
      <c r="F116" s="14"/>
      <c r="G116" s="14"/>
      <c r="H116" s="13"/>
      <c r="I116" s="13"/>
      <c r="J116" s="14"/>
      <c r="K116" s="13"/>
      <c r="M116" s="13"/>
    </row>
    <row r="117" spans="2:13" ht="12.75" customHeight="1" x14ac:dyDescent="0.25">
      <c r="B117" s="13"/>
      <c r="D117" s="13"/>
      <c r="E117" s="13"/>
      <c r="F117" s="14"/>
      <c r="G117" s="14"/>
      <c r="H117" s="13"/>
      <c r="I117" s="13"/>
      <c r="J117" s="14"/>
      <c r="K117" s="13"/>
      <c r="M117" s="13"/>
    </row>
    <row r="118" spans="2:13" ht="12.75" customHeight="1" x14ac:dyDescent="0.25">
      <c r="B118" s="13"/>
      <c r="D118" s="13"/>
      <c r="E118" s="13"/>
      <c r="F118" s="14"/>
      <c r="G118" s="14"/>
      <c r="H118" s="13"/>
      <c r="I118" s="13"/>
      <c r="J118" s="14"/>
      <c r="K118" s="13"/>
      <c r="M118" s="13"/>
    </row>
    <row r="119" spans="2:13" ht="12.75" customHeight="1" x14ac:dyDescent="0.25">
      <c r="B119" s="13"/>
      <c r="D119" s="13"/>
      <c r="E119" s="13"/>
      <c r="F119" s="14"/>
      <c r="G119" s="14"/>
      <c r="H119" s="13"/>
      <c r="I119" s="13"/>
      <c r="J119" s="14"/>
      <c r="K119" s="13"/>
      <c r="M119" s="13"/>
    </row>
    <row r="120" spans="2:13" ht="12.75" customHeight="1" x14ac:dyDescent="0.25">
      <c r="B120" s="13"/>
      <c r="D120" s="13"/>
      <c r="E120" s="13"/>
      <c r="F120" s="14"/>
      <c r="G120" s="14"/>
      <c r="H120" s="13"/>
      <c r="I120" s="13"/>
      <c r="J120" s="14"/>
      <c r="K120" s="13"/>
      <c r="M120" s="13"/>
    </row>
    <row r="121" spans="2:13" ht="12.75" customHeight="1" x14ac:dyDescent="0.25">
      <c r="B121" s="13"/>
      <c r="D121" s="13"/>
      <c r="E121" s="13"/>
      <c r="F121" s="14"/>
      <c r="G121" s="14"/>
      <c r="H121" s="13"/>
      <c r="I121" s="13"/>
      <c r="J121" s="14"/>
      <c r="K121" s="13"/>
      <c r="M121" s="13"/>
    </row>
    <row r="122" spans="2:13" ht="12.75" customHeight="1" x14ac:dyDescent="0.25">
      <c r="B122" s="13"/>
      <c r="D122" s="13"/>
      <c r="E122" s="13"/>
      <c r="F122" s="14"/>
      <c r="G122" s="14"/>
      <c r="H122" s="13"/>
      <c r="I122" s="13"/>
      <c r="J122" s="14"/>
      <c r="K122" s="13"/>
      <c r="M122" s="13"/>
    </row>
    <row r="123" spans="2:13" ht="12.75" customHeight="1" x14ac:dyDescent="0.25">
      <c r="B123" s="13"/>
      <c r="D123" s="13"/>
      <c r="E123" s="13"/>
      <c r="F123" s="14"/>
      <c r="G123" s="14"/>
      <c r="H123" s="13"/>
      <c r="I123" s="13"/>
      <c r="J123" s="14"/>
      <c r="K123" s="13"/>
      <c r="M123" s="13"/>
    </row>
    <row r="124" spans="2:13" ht="12.75" customHeight="1" x14ac:dyDescent="0.25">
      <c r="B124" s="13"/>
      <c r="D124" s="13"/>
      <c r="E124" s="13"/>
      <c r="F124" s="14"/>
      <c r="G124" s="14"/>
      <c r="H124" s="13"/>
      <c r="I124" s="13"/>
      <c r="J124" s="14"/>
      <c r="K124" s="13"/>
      <c r="M124" s="13"/>
    </row>
    <row r="125" spans="2:13" ht="12.75" customHeight="1" x14ac:dyDescent="0.25">
      <c r="B125" s="13"/>
      <c r="D125" s="13"/>
      <c r="E125" s="13"/>
      <c r="F125" s="14"/>
      <c r="G125" s="14"/>
      <c r="H125" s="13"/>
      <c r="I125" s="13"/>
      <c r="J125" s="14"/>
      <c r="K125" s="13"/>
      <c r="M125" s="13"/>
    </row>
    <row r="126" spans="2:13" ht="12.75" customHeight="1" x14ac:dyDescent="0.25">
      <c r="B126" s="13"/>
      <c r="D126" s="13"/>
      <c r="E126" s="13"/>
      <c r="F126" s="14"/>
      <c r="G126" s="14"/>
      <c r="H126" s="13"/>
      <c r="I126" s="13"/>
      <c r="J126" s="14"/>
      <c r="K126" s="13"/>
      <c r="M126" s="13"/>
    </row>
    <row r="127" spans="2:13" ht="12.75" customHeight="1" x14ac:dyDescent="0.25">
      <c r="B127" s="13"/>
      <c r="D127" s="13"/>
      <c r="E127" s="13"/>
      <c r="F127" s="14"/>
      <c r="G127" s="14"/>
      <c r="H127" s="13"/>
      <c r="I127" s="13"/>
      <c r="J127" s="14"/>
      <c r="K127" s="13"/>
      <c r="M127" s="13"/>
    </row>
    <row r="128" spans="2:13" ht="12.75" customHeight="1" x14ac:dyDescent="0.25">
      <c r="B128" s="13"/>
      <c r="D128" s="13"/>
      <c r="E128" s="13"/>
      <c r="F128" s="14"/>
      <c r="G128" s="14"/>
      <c r="H128" s="13"/>
      <c r="I128" s="13"/>
      <c r="J128" s="14"/>
      <c r="K128" s="13"/>
      <c r="M128" s="13"/>
    </row>
    <row r="129" spans="2:13" ht="12.75" customHeight="1" x14ac:dyDescent="0.25">
      <c r="B129" s="13"/>
      <c r="D129" s="13"/>
      <c r="E129" s="13"/>
      <c r="F129" s="14"/>
      <c r="G129" s="14"/>
      <c r="H129" s="13"/>
      <c r="I129" s="13"/>
      <c r="J129" s="14"/>
      <c r="K129" s="13"/>
      <c r="M129" s="13"/>
    </row>
    <row r="130" spans="2:13" ht="12.75" customHeight="1" x14ac:dyDescent="0.25">
      <c r="B130" s="13"/>
      <c r="D130" s="13"/>
      <c r="E130" s="13"/>
      <c r="F130" s="14"/>
      <c r="G130" s="14"/>
      <c r="H130" s="13"/>
      <c r="I130" s="13"/>
      <c r="J130" s="14"/>
      <c r="K130" s="13"/>
      <c r="M130" s="13"/>
    </row>
    <row r="131" spans="2:13" ht="12.75" customHeight="1" x14ac:dyDescent="0.25">
      <c r="B131" s="13"/>
      <c r="D131" s="13"/>
      <c r="E131" s="13"/>
      <c r="F131" s="14"/>
      <c r="G131" s="14"/>
      <c r="H131" s="13"/>
      <c r="I131" s="13"/>
      <c r="J131" s="14"/>
      <c r="K131" s="13"/>
      <c r="M131" s="13"/>
    </row>
    <row r="132" spans="2:13" ht="12.75" customHeight="1" x14ac:dyDescent="0.25">
      <c r="B132" s="13"/>
      <c r="D132" s="13"/>
      <c r="E132" s="13"/>
      <c r="F132" s="14"/>
      <c r="G132" s="14"/>
      <c r="H132" s="13"/>
      <c r="I132" s="13"/>
      <c r="J132" s="14"/>
      <c r="K132" s="13"/>
      <c r="M132" s="13"/>
    </row>
    <row r="133" spans="2:13" ht="12.75" customHeight="1" x14ac:dyDescent="0.25">
      <c r="B133" s="13"/>
      <c r="D133" s="13"/>
      <c r="E133" s="13"/>
      <c r="F133" s="14"/>
      <c r="G133" s="14"/>
      <c r="H133" s="13"/>
      <c r="I133" s="13"/>
      <c r="J133" s="14"/>
      <c r="K133" s="13"/>
      <c r="M133" s="13"/>
    </row>
    <row r="134" spans="2:13" ht="12.75" customHeight="1" x14ac:dyDescent="0.25">
      <c r="B134" s="13"/>
      <c r="D134" s="13"/>
      <c r="E134" s="13"/>
      <c r="F134" s="14"/>
      <c r="G134" s="14"/>
      <c r="H134" s="13"/>
      <c r="I134" s="13"/>
      <c r="J134" s="14"/>
      <c r="K134" s="13"/>
      <c r="M134" s="13"/>
    </row>
    <row r="135" spans="2:13" ht="12.75" customHeight="1" x14ac:dyDescent="0.25">
      <c r="B135" s="13"/>
      <c r="D135" s="13"/>
      <c r="E135" s="13"/>
      <c r="F135" s="14"/>
      <c r="G135" s="14"/>
      <c r="H135" s="13"/>
      <c r="I135" s="13"/>
      <c r="J135" s="14"/>
      <c r="K135" s="13"/>
      <c r="M135" s="13"/>
    </row>
    <row r="136" spans="2:13" ht="12.75" customHeight="1" x14ac:dyDescent="0.25">
      <c r="B136" s="13"/>
      <c r="D136" s="13"/>
      <c r="E136" s="13"/>
      <c r="F136" s="14"/>
      <c r="G136" s="14"/>
      <c r="H136" s="13"/>
      <c r="I136" s="13"/>
      <c r="J136" s="14"/>
      <c r="K136" s="13"/>
      <c r="M136" s="13"/>
    </row>
    <row r="137" spans="2:13" ht="12.75" customHeight="1" x14ac:dyDescent="0.25">
      <c r="B137" s="13"/>
      <c r="D137" s="13"/>
      <c r="E137" s="13"/>
      <c r="F137" s="14"/>
      <c r="G137" s="14"/>
      <c r="H137" s="13"/>
      <c r="I137" s="13"/>
      <c r="J137" s="14"/>
      <c r="K137" s="13"/>
      <c r="M137" s="13"/>
    </row>
    <row r="138" spans="2:13" ht="12.75" customHeight="1" x14ac:dyDescent="0.25">
      <c r="B138" s="13"/>
      <c r="D138" s="13"/>
      <c r="E138" s="13"/>
      <c r="F138" s="14"/>
      <c r="G138" s="14"/>
      <c r="H138" s="13"/>
      <c r="I138" s="13"/>
      <c r="J138" s="14"/>
      <c r="K138" s="13"/>
      <c r="M138" s="13"/>
    </row>
    <row r="139" spans="2:13" ht="12.75" customHeight="1" x14ac:dyDescent="0.25">
      <c r="B139" s="13"/>
      <c r="D139" s="13"/>
      <c r="E139" s="13"/>
      <c r="F139" s="14"/>
      <c r="G139" s="14"/>
      <c r="H139" s="13"/>
      <c r="I139" s="13"/>
      <c r="J139" s="14"/>
      <c r="K139" s="13"/>
      <c r="M139" s="13"/>
    </row>
    <row r="140" spans="2:13" ht="12.75" customHeight="1" x14ac:dyDescent="0.25">
      <c r="B140" s="13"/>
      <c r="D140" s="13"/>
      <c r="E140" s="13"/>
      <c r="F140" s="14"/>
      <c r="G140" s="14"/>
      <c r="H140" s="13"/>
      <c r="I140" s="13"/>
      <c r="J140" s="14"/>
      <c r="K140" s="13"/>
      <c r="M140" s="13"/>
    </row>
    <row r="141" spans="2:13" ht="12.75" customHeight="1" x14ac:dyDescent="0.25">
      <c r="B141" s="13"/>
      <c r="D141" s="13"/>
      <c r="E141" s="13"/>
      <c r="F141" s="14"/>
      <c r="G141" s="14"/>
      <c r="H141" s="13"/>
      <c r="I141" s="13"/>
      <c r="J141" s="14"/>
      <c r="K141" s="13"/>
      <c r="M141" s="13"/>
    </row>
    <row r="142" spans="2:13" ht="12.75" customHeight="1" x14ac:dyDescent="0.25">
      <c r="B142" s="13"/>
      <c r="D142" s="13"/>
      <c r="E142" s="13"/>
      <c r="F142" s="14"/>
      <c r="G142" s="14"/>
      <c r="H142" s="13"/>
      <c r="I142" s="13"/>
      <c r="J142" s="14"/>
      <c r="K142" s="13"/>
      <c r="M142" s="13"/>
    </row>
    <row r="143" spans="2:13" ht="12.75" customHeight="1" x14ac:dyDescent="0.25">
      <c r="B143" s="13"/>
      <c r="D143" s="13"/>
      <c r="E143" s="13"/>
      <c r="F143" s="14"/>
      <c r="G143" s="14"/>
      <c r="H143" s="13"/>
      <c r="I143" s="13"/>
      <c r="J143" s="14"/>
      <c r="K143" s="13"/>
      <c r="M143" s="13"/>
    </row>
    <row r="144" spans="2:13" ht="12.75" customHeight="1" x14ac:dyDescent="0.25">
      <c r="B144" s="13"/>
      <c r="D144" s="13"/>
      <c r="E144" s="13"/>
      <c r="F144" s="14"/>
      <c r="G144" s="14"/>
      <c r="H144" s="13"/>
      <c r="I144" s="13"/>
      <c r="J144" s="14"/>
      <c r="K144" s="13"/>
      <c r="M144" s="13"/>
    </row>
    <row r="145" spans="2:13" ht="12.75" customHeight="1" x14ac:dyDescent="0.25">
      <c r="B145" s="13"/>
      <c r="D145" s="13"/>
      <c r="E145" s="13"/>
      <c r="F145" s="14"/>
      <c r="G145" s="14"/>
      <c r="H145" s="13"/>
      <c r="I145" s="13"/>
      <c r="J145" s="14"/>
      <c r="K145" s="13"/>
      <c r="M145" s="13"/>
    </row>
    <row r="146" spans="2:13" ht="12.75" customHeight="1" x14ac:dyDescent="0.25">
      <c r="B146" s="13"/>
      <c r="D146" s="13"/>
      <c r="E146" s="13"/>
      <c r="F146" s="14"/>
      <c r="G146" s="14"/>
      <c r="H146" s="13"/>
      <c r="I146" s="13"/>
      <c r="J146" s="14"/>
      <c r="K146" s="13"/>
      <c r="M146" s="13"/>
    </row>
    <row r="147" spans="2:13" ht="12.75" customHeight="1" x14ac:dyDescent="0.25">
      <c r="B147" s="13"/>
      <c r="D147" s="13"/>
      <c r="E147" s="13"/>
      <c r="F147" s="14"/>
      <c r="G147" s="14"/>
      <c r="H147" s="13"/>
      <c r="I147" s="13"/>
      <c r="J147" s="14"/>
      <c r="K147" s="13"/>
      <c r="M147" s="13"/>
    </row>
    <row r="148" spans="2:13" ht="12.75" customHeight="1" x14ac:dyDescent="0.25">
      <c r="B148" s="13"/>
      <c r="D148" s="13"/>
      <c r="E148" s="13"/>
      <c r="F148" s="14"/>
      <c r="G148" s="14"/>
      <c r="H148" s="13"/>
      <c r="I148" s="13"/>
      <c r="J148" s="14"/>
      <c r="K148" s="13"/>
      <c r="M148" s="13"/>
    </row>
    <row r="149" spans="2:13" ht="12.75" customHeight="1" x14ac:dyDescent="0.25">
      <c r="B149" s="13"/>
      <c r="D149" s="13"/>
      <c r="E149" s="13"/>
      <c r="F149" s="14"/>
      <c r="G149" s="14"/>
      <c r="H149" s="13"/>
      <c r="I149" s="13"/>
      <c r="J149" s="14"/>
      <c r="K149" s="13"/>
      <c r="M149" s="13"/>
    </row>
    <row r="150" spans="2:13" ht="12.75" customHeight="1" x14ac:dyDescent="0.25">
      <c r="B150" s="13"/>
      <c r="D150" s="13"/>
      <c r="E150" s="13"/>
      <c r="F150" s="14"/>
      <c r="G150" s="14"/>
      <c r="H150" s="13"/>
      <c r="I150" s="13"/>
      <c r="J150" s="14"/>
      <c r="K150" s="13"/>
      <c r="M150" s="13"/>
    </row>
    <row r="151" spans="2:13" ht="12.75" customHeight="1" x14ac:dyDescent="0.25">
      <c r="B151" s="13"/>
      <c r="D151" s="13"/>
      <c r="E151" s="13"/>
      <c r="F151" s="14"/>
      <c r="G151" s="14"/>
      <c r="H151" s="13"/>
      <c r="I151" s="13"/>
      <c r="J151" s="14"/>
      <c r="K151" s="13"/>
      <c r="M151" s="13"/>
    </row>
    <row r="152" spans="2:13" ht="12.75" customHeight="1" x14ac:dyDescent="0.25">
      <c r="B152" s="13"/>
      <c r="D152" s="13"/>
      <c r="E152" s="13"/>
      <c r="F152" s="14"/>
      <c r="G152" s="14"/>
      <c r="H152" s="13"/>
      <c r="I152" s="13"/>
      <c r="J152" s="14"/>
      <c r="K152" s="13"/>
      <c r="M152" s="13"/>
    </row>
    <row r="153" spans="2:13" ht="12.75" customHeight="1" x14ac:dyDescent="0.25">
      <c r="B153" s="13"/>
      <c r="D153" s="13"/>
      <c r="E153" s="13"/>
      <c r="F153" s="14"/>
      <c r="G153" s="14"/>
      <c r="H153" s="13"/>
      <c r="I153" s="13"/>
      <c r="J153" s="14"/>
      <c r="K153" s="13"/>
      <c r="M153" s="13"/>
    </row>
    <row r="154" spans="2:13" ht="12.75" customHeight="1" x14ac:dyDescent="0.25">
      <c r="B154" s="13"/>
      <c r="D154" s="13"/>
      <c r="E154" s="13"/>
      <c r="F154" s="14"/>
      <c r="G154" s="14"/>
      <c r="H154" s="13"/>
      <c r="I154" s="13"/>
      <c r="J154" s="14"/>
      <c r="K154" s="13"/>
      <c r="M154" s="13"/>
    </row>
    <row r="155" spans="2:13" ht="12.75" customHeight="1" x14ac:dyDescent="0.25">
      <c r="B155" s="13"/>
      <c r="D155" s="13"/>
      <c r="E155" s="13"/>
      <c r="F155" s="14"/>
      <c r="G155" s="14"/>
      <c r="H155" s="13"/>
      <c r="I155" s="13"/>
      <c r="J155" s="14"/>
      <c r="K155" s="13"/>
      <c r="M155" s="13"/>
    </row>
    <row r="156" spans="2:13" ht="12.75" customHeight="1" x14ac:dyDescent="0.25">
      <c r="B156" s="13"/>
      <c r="D156" s="13"/>
      <c r="E156" s="13"/>
      <c r="F156" s="14"/>
      <c r="G156" s="14"/>
      <c r="H156" s="13"/>
      <c r="I156" s="13"/>
      <c r="J156" s="14"/>
      <c r="K156" s="13"/>
      <c r="M156" s="13"/>
    </row>
    <row r="157" spans="2:13" ht="12.75" customHeight="1" x14ac:dyDescent="0.25">
      <c r="B157" s="13"/>
      <c r="D157" s="13"/>
      <c r="E157" s="13"/>
      <c r="F157" s="14"/>
      <c r="G157" s="14"/>
      <c r="H157" s="13"/>
      <c r="I157" s="13"/>
      <c r="J157" s="14"/>
      <c r="K157" s="13"/>
      <c r="M157" s="13"/>
    </row>
    <row r="158" spans="2:13" ht="12.75" customHeight="1" x14ac:dyDescent="0.25">
      <c r="B158" s="13"/>
      <c r="D158" s="13"/>
      <c r="E158" s="13"/>
      <c r="F158" s="14"/>
      <c r="G158" s="14"/>
      <c r="H158" s="13"/>
      <c r="I158" s="13"/>
      <c r="J158" s="14"/>
      <c r="K158" s="13"/>
      <c r="M158" s="13"/>
    </row>
    <row r="159" spans="2:13" ht="12.75" customHeight="1" x14ac:dyDescent="0.25">
      <c r="B159" s="13"/>
      <c r="D159" s="13"/>
      <c r="E159" s="13"/>
      <c r="F159" s="14"/>
      <c r="G159" s="14"/>
      <c r="H159" s="13"/>
      <c r="I159" s="13"/>
      <c r="J159" s="14"/>
      <c r="K159" s="13"/>
      <c r="M159" s="13"/>
    </row>
    <row r="160" spans="2:13" ht="12.75" customHeight="1" x14ac:dyDescent="0.25">
      <c r="B160" s="13"/>
      <c r="D160" s="13"/>
      <c r="E160" s="13"/>
      <c r="F160" s="14"/>
      <c r="G160" s="14"/>
      <c r="H160" s="13"/>
      <c r="I160" s="13"/>
      <c r="J160" s="14"/>
      <c r="K160" s="13"/>
      <c r="M160" s="13"/>
    </row>
    <row r="161" spans="2:13" ht="12.75" customHeight="1" x14ac:dyDescent="0.25">
      <c r="B161" s="13"/>
      <c r="D161" s="13"/>
      <c r="E161" s="13"/>
      <c r="F161" s="14"/>
      <c r="G161" s="14"/>
      <c r="H161" s="13"/>
      <c r="I161" s="13"/>
      <c r="J161" s="14"/>
      <c r="K161" s="13"/>
      <c r="M161" s="13"/>
    </row>
    <row r="162" spans="2:13" ht="12.75" customHeight="1" x14ac:dyDescent="0.25">
      <c r="B162" s="13"/>
      <c r="D162" s="13"/>
      <c r="E162" s="13"/>
      <c r="F162" s="14"/>
      <c r="G162" s="14"/>
      <c r="H162" s="13"/>
      <c r="I162" s="13"/>
      <c r="J162" s="14"/>
      <c r="K162" s="13"/>
      <c r="M162" s="13"/>
    </row>
    <row r="163" spans="2:13" ht="12.75" customHeight="1" x14ac:dyDescent="0.25">
      <c r="B163" s="13"/>
      <c r="D163" s="13"/>
      <c r="E163" s="13"/>
      <c r="F163" s="14"/>
      <c r="G163" s="14"/>
      <c r="H163" s="13"/>
      <c r="I163" s="13"/>
      <c r="J163" s="14"/>
      <c r="K163" s="13"/>
      <c r="M163" s="13"/>
    </row>
    <row r="164" spans="2:13" ht="12.75" customHeight="1" x14ac:dyDescent="0.25">
      <c r="B164" s="13"/>
      <c r="D164" s="13"/>
      <c r="E164" s="13"/>
      <c r="F164" s="14"/>
      <c r="G164" s="14"/>
      <c r="H164" s="13"/>
      <c r="I164" s="13"/>
      <c r="J164" s="14"/>
      <c r="K164" s="13"/>
      <c r="M164" s="13"/>
    </row>
    <row r="165" spans="2:13" ht="12.75" customHeight="1" x14ac:dyDescent="0.25">
      <c r="B165" s="13"/>
      <c r="D165" s="13"/>
      <c r="E165" s="13"/>
      <c r="F165" s="14"/>
      <c r="G165" s="14"/>
      <c r="H165" s="13"/>
      <c r="I165" s="13"/>
      <c r="J165" s="14"/>
      <c r="K165" s="13"/>
      <c r="M165" s="13"/>
    </row>
    <row r="166" spans="2:13" ht="12.75" customHeight="1" x14ac:dyDescent="0.25">
      <c r="B166" s="13"/>
      <c r="D166" s="13"/>
      <c r="E166" s="13"/>
      <c r="F166" s="14"/>
      <c r="G166" s="14"/>
      <c r="H166" s="13"/>
      <c r="I166" s="13"/>
      <c r="J166" s="14"/>
      <c r="K166" s="13"/>
      <c r="M166" s="13"/>
    </row>
    <row r="167" spans="2:13" ht="12.75" customHeight="1" x14ac:dyDescent="0.25">
      <c r="B167" s="13"/>
      <c r="D167" s="13"/>
      <c r="E167" s="13"/>
      <c r="F167" s="14"/>
      <c r="G167" s="14"/>
      <c r="H167" s="13"/>
      <c r="I167" s="13"/>
      <c r="J167" s="14"/>
      <c r="K167" s="13"/>
      <c r="M167" s="13"/>
    </row>
    <row r="168" spans="2:13" ht="12.75" customHeight="1" x14ac:dyDescent="0.25">
      <c r="B168" s="13"/>
      <c r="D168" s="13"/>
      <c r="E168" s="13"/>
      <c r="F168" s="14"/>
      <c r="G168" s="14"/>
      <c r="H168" s="13"/>
      <c r="I168" s="13"/>
      <c r="J168" s="14"/>
      <c r="K168" s="13"/>
      <c r="M168" s="13"/>
    </row>
    <row r="169" spans="2:13" ht="12.75" customHeight="1" x14ac:dyDescent="0.25">
      <c r="B169" s="13"/>
      <c r="D169" s="13"/>
      <c r="E169" s="13"/>
      <c r="F169" s="14"/>
      <c r="G169" s="14"/>
      <c r="H169" s="13"/>
      <c r="I169" s="13"/>
      <c r="J169" s="14"/>
      <c r="K169" s="13"/>
      <c r="M169" s="13"/>
    </row>
    <row r="170" spans="2:13" ht="12.75" customHeight="1" x14ac:dyDescent="0.25">
      <c r="B170" s="13"/>
      <c r="D170" s="13"/>
      <c r="E170" s="13"/>
      <c r="F170" s="14"/>
      <c r="G170" s="14"/>
      <c r="H170" s="13"/>
      <c r="I170" s="13"/>
      <c r="J170" s="14"/>
      <c r="K170" s="13"/>
      <c r="M170" s="13"/>
    </row>
    <row r="171" spans="2:13" ht="12.75" customHeight="1" x14ac:dyDescent="0.25">
      <c r="B171" s="13"/>
      <c r="D171" s="13"/>
      <c r="E171" s="13"/>
      <c r="F171" s="14"/>
      <c r="G171" s="14"/>
      <c r="H171" s="13"/>
      <c r="I171" s="13"/>
      <c r="J171" s="14"/>
      <c r="K171" s="13"/>
      <c r="M171" s="13"/>
    </row>
    <row r="172" spans="2:13" ht="12.75" customHeight="1" x14ac:dyDescent="0.25">
      <c r="B172" s="13"/>
      <c r="D172" s="13"/>
      <c r="E172" s="13"/>
      <c r="F172" s="14"/>
      <c r="G172" s="14"/>
      <c r="H172" s="13"/>
      <c r="I172" s="13"/>
      <c r="J172" s="14"/>
      <c r="K172" s="13"/>
      <c r="M172" s="13"/>
    </row>
    <row r="173" spans="2:13" ht="12.75" customHeight="1" x14ac:dyDescent="0.25">
      <c r="B173" s="13"/>
      <c r="D173" s="13"/>
      <c r="E173" s="13"/>
      <c r="F173" s="14"/>
      <c r="G173" s="14"/>
      <c r="H173" s="13"/>
      <c r="I173" s="13"/>
      <c r="J173" s="14"/>
      <c r="K173" s="13"/>
      <c r="M173" s="13"/>
    </row>
    <row r="174" spans="2:13" ht="12.75" customHeight="1" x14ac:dyDescent="0.25">
      <c r="B174" s="13"/>
      <c r="D174" s="13"/>
      <c r="E174" s="13"/>
      <c r="F174" s="14"/>
      <c r="G174" s="14"/>
      <c r="H174" s="13"/>
      <c r="I174" s="13"/>
      <c r="J174" s="14"/>
      <c r="K174" s="13"/>
      <c r="M174" s="13"/>
    </row>
    <row r="175" spans="2:13" ht="12.75" customHeight="1" x14ac:dyDescent="0.25">
      <c r="B175" s="13"/>
      <c r="D175" s="13"/>
      <c r="E175" s="13"/>
      <c r="F175" s="14"/>
      <c r="G175" s="14"/>
      <c r="H175" s="13"/>
      <c r="I175" s="13"/>
      <c r="J175" s="14"/>
      <c r="K175" s="13"/>
      <c r="M175" s="13"/>
    </row>
    <row r="176" spans="2:13" ht="12.75" customHeight="1" x14ac:dyDescent="0.25">
      <c r="B176" s="13"/>
      <c r="D176" s="13"/>
      <c r="E176" s="13"/>
      <c r="F176" s="14"/>
      <c r="G176" s="14"/>
      <c r="H176" s="13"/>
      <c r="I176" s="13"/>
      <c r="J176" s="14"/>
      <c r="K176" s="13"/>
      <c r="M176" s="13"/>
    </row>
    <row r="177" spans="2:13" ht="12.75" customHeight="1" x14ac:dyDescent="0.25">
      <c r="B177" s="13"/>
      <c r="D177" s="13"/>
      <c r="E177" s="13"/>
      <c r="F177" s="14"/>
      <c r="G177" s="14"/>
      <c r="H177" s="13"/>
      <c r="I177" s="13"/>
      <c r="J177" s="14"/>
      <c r="K177" s="13"/>
      <c r="M177" s="13"/>
    </row>
    <row r="178" spans="2:13" ht="12.75" customHeight="1" x14ac:dyDescent="0.25">
      <c r="B178" s="13"/>
      <c r="D178" s="13"/>
      <c r="E178" s="13"/>
      <c r="F178" s="14"/>
      <c r="G178" s="14"/>
      <c r="H178" s="13"/>
      <c r="I178" s="13"/>
      <c r="J178" s="14"/>
      <c r="K178" s="13"/>
      <c r="M178" s="13"/>
    </row>
    <row r="179" spans="2:13" ht="12.75" customHeight="1" x14ac:dyDescent="0.25">
      <c r="B179" s="13"/>
      <c r="D179" s="13"/>
      <c r="E179" s="13"/>
      <c r="F179" s="14"/>
      <c r="G179" s="14"/>
      <c r="H179" s="13"/>
      <c r="I179" s="13"/>
      <c r="J179" s="14"/>
      <c r="K179" s="13"/>
      <c r="M179" s="13"/>
    </row>
    <row r="180" spans="2:13" ht="12.75" customHeight="1" x14ac:dyDescent="0.25">
      <c r="B180" s="13"/>
      <c r="D180" s="13"/>
      <c r="E180" s="13"/>
      <c r="F180" s="14"/>
      <c r="G180" s="14"/>
      <c r="H180" s="13"/>
      <c r="I180" s="13"/>
      <c r="J180" s="14"/>
      <c r="K180" s="13"/>
      <c r="M180" s="13"/>
    </row>
    <row r="181" spans="2:13" ht="12.75" customHeight="1" x14ac:dyDescent="0.25">
      <c r="B181" s="13"/>
      <c r="D181" s="13"/>
      <c r="E181" s="13"/>
      <c r="F181" s="14"/>
      <c r="G181" s="14"/>
      <c r="H181" s="13"/>
      <c r="I181" s="13"/>
      <c r="J181" s="14"/>
      <c r="K181" s="13"/>
      <c r="M181" s="13"/>
    </row>
    <row r="182" spans="2:13" ht="12.75" customHeight="1" x14ac:dyDescent="0.25">
      <c r="B182" s="13"/>
      <c r="D182" s="13"/>
      <c r="E182" s="13"/>
      <c r="F182" s="14"/>
      <c r="G182" s="14"/>
      <c r="H182" s="13"/>
      <c r="I182" s="13"/>
      <c r="J182" s="14"/>
      <c r="K182" s="13"/>
      <c r="M182" s="13"/>
    </row>
    <row r="183" spans="2:13" ht="12.75" customHeight="1" x14ac:dyDescent="0.25">
      <c r="B183" s="13"/>
      <c r="D183" s="13"/>
      <c r="E183" s="13"/>
      <c r="F183" s="14"/>
      <c r="G183" s="14"/>
      <c r="H183" s="13"/>
      <c r="I183" s="13"/>
      <c r="J183" s="14"/>
      <c r="K183" s="13"/>
      <c r="M183" s="13"/>
    </row>
    <row r="184" spans="2:13" ht="12.75" customHeight="1" x14ac:dyDescent="0.25">
      <c r="B184" s="13"/>
      <c r="D184" s="13"/>
      <c r="E184" s="13"/>
      <c r="F184" s="14"/>
      <c r="G184" s="14"/>
      <c r="H184" s="13"/>
      <c r="I184" s="13"/>
      <c r="J184" s="14"/>
      <c r="K184" s="13"/>
      <c r="M184" s="13"/>
    </row>
    <row r="185" spans="2:13" ht="12.75" customHeight="1" x14ac:dyDescent="0.25">
      <c r="B185" s="13"/>
      <c r="D185" s="13"/>
      <c r="E185" s="13"/>
      <c r="F185" s="14"/>
      <c r="G185" s="14"/>
      <c r="H185" s="13"/>
      <c r="I185" s="13"/>
      <c r="J185" s="14"/>
      <c r="K185" s="13"/>
      <c r="M185" s="13"/>
    </row>
    <row r="186" spans="2:13" ht="12.75" customHeight="1" x14ac:dyDescent="0.25">
      <c r="B186" s="13"/>
      <c r="D186" s="13"/>
      <c r="E186" s="13"/>
      <c r="F186" s="14"/>
      <c r="G186" s="14"/>
      <c r="H186" s="13"/>
      <c r="I186" s="13"/>
      <c r="J186" s="14"/>
      <c r="K186" s="13"/>
      <c r="M186" s="13"/>
    </row>
    <row r="187" spans="2:13" ht="12.75" customHeight="1" x14ac:dyDescent="0.25">
      <c r="B187" s="13"/>
      <c r="D187" s="13"/>
      <c r="E187" s="13"/>
      <c r="F187" s="14"/>
      <c r="G187" s="14"/>
      <c r="H187" s="13"/>
      <c r="I187" s="13"/>
      <c r="J187" s="14"/>
      <c r="K187" s="13"/>
      <c r="M187" s="13"/>
    </row>
    <row r="188" spans="2:13" ht="12.75" customHeight="1" x14ac:dyDescent="0.25">
      <c r="B188" s="13"/>
      <c r="D188" s="13"/>
      <c r="E188" s="13"/>
      <c r="F188" s="14"/>
      <c r="G188" s="14"/>
      <c r="H188" s="13"/>
      <c r="I188" s="13"/>
      <c r="J188" s="14"/>
      <c r="K188" s="13"/>
      <c r="M188" s="13"/>
    </row>
    <row r="189" spans="2:13" ht="12.75" customHeight="1" x14ac:dyDescent="0.25">
      <c r="B189" s="13"/>
      <c r="D189" s="13"/>
      <c r="E189" s="13"/>
      <c r="F189" s="14"/>
      <c r="G189" s="14"/>
      <c r="H189" s="13"/>
      <c r="I189" s="13"/>
      <c r="J189" s="14"/>
      <c r="K189" s="13"/>
      <c r="M189" s="13"/>
    </row>
    <row r="190" spans="2:13" ht="12.75" customHeight="1" x14ac:dyDescent="0.25">
      <c r="B190" s="13"/>
      <c r="D190" s="13"/>
      <c r="E190" s="13"/>
      <c r="F190" s="14"/>
      <c r="G190" s="14"/>
      <c r="H190" s="13"/>
      <c r="I190" s="13"/>
      <c r="J190" s="14"/>
      <c r="K190" s="13"/>
      <c r="M190" s="13"/>
    </row>
    <row r="191" spans="2:13" ht="12.75" customHeight="1" x14ac:dyDescent="0.25">
      <c r="B191" s="13"/>
      <c r="D191" s="13"/>
      <c r="E191" s="13"/>
      <c r="F191" s="14"/>
      <c r="G191" s="14"/>
      <c r="H191" s="13"/>
      <c r="I191" s="13"/>
      <c r="J191" s="14"/>
      <c r="K191" s="13"/>
      <c r="M191" s="13"/>
    </row>
    <row r="192" spans="2:13" ht="12.75" customHeight="1" x14ac:dyDescent="0.25">
      <c r="B192" s="13"/>
      <c r="D192" s="13"/>
      <c r="E192" s="13"/>
      <c r="F192" s="14"/>
      <c r="G192" s="14"/>
      <c r="H192" s="13"/>
      <c r="I192" s="13"/>
      <c r="J192" s="14"/>
      <c r="K192" s="13"/>
      <c r="M192" s="13"/>
    </row>
    <row r="193" spans="2:13" ht="12.75" customHeight="1" x14ac:dyDescent="0.25">
      <c r="B193" s="13"/>
      <c r="D193" s="13"/>
      <c r="E193" s="13"/>
      <c r="F193" s="14"/>
      <c r="G193" s="14"/>
      <c r="H193" s="13"/>
      <c r="I193" s="13"/>
      <c r="J193" s="14"/>
      <c r="K193" s="13"/>
      <c r="M193" s="13"/>
    </row>
    <row r="194" spans="2:13" ht="12.75" customHeight="1" x14ac:dyDescent="0.25">
      <c r="B194" s="13"/>
      <c r="D194" s="13"/>
      <c r="E194" s="13"/>
      <c r="F194" s="14"/>
      <c r="G194" s="14"/>
      <c r="H194" s="13"/>
      <c r="I194" s="13"/>
      <c r="J194" s="14"/>
      <c r="K194" s="13"/>
      <c r="M194" s="13"/>
    </row>
    <row r="195" spans="2:13" ht="12.75" customHeight="1" x14ac:dyDescent="0.25">
      <c r="B195" s="13"/>
      <c r="D195" s="13"/>
      <c r="E195" s="13"/>
      <c r="F195" s="14"/>
      <c r="G195" s="14"/>
      <c r="H195" s="13"/>
      <c r="I195" s="13"/>
      <c r="J195" s="14"/>
      <c r="K195" s="13"/>
      <c r="M195" s="13"/>
    </row>
    <row r="196" spans="2:13" ht="12.75" customHeight="1" x14ac:dyDescent="0.25">
      <c r="B196" s="13"/>
      <c r="D196" s="13"/>
      <c r="E196" s="13"/>
      <c r="F196" s="14"/>
      <c r="G196" s="14"/>
      <c r="H196" s="13"/>
      <c r="I196" s="13"/>
      <c r="J196" s="14"/>
      <c r="K196" s="13"/>
      <c r="M196" s="13"/>
    </row>
    <row r="197" spans="2:13" ht="12.75" customHeight="1" x14ac:dyDescent="0.25">
      <c r="B197" s="13"/>
      <c r="D197" s="13"/>
      <c r="E197" s="13"/>
      <c r="F197" s="14"/>
      <c r="G197" s="14"/>
      <c r="H197" s="13"/>
      <c r="I197" s="13"/>
      <c r="J197" s="14"/>
      <c r="K197" s="13"/>
      <c r="M197" s="13"/>
    </row>
    <row r="198" spans="2:13" ht="12.75" customHeight="1" x14ac:dyDescent="0.25">
      <c r="B198" s="13"/>
      <c r="D198" s="13"/>
      <c r="E198" s="13"/>
      <c r="F198" s="14"/>
      <c r="G198" s="14"/>
      <c r="H198" s="13"/>
      <c r="I198" s="13"/>
      <c r="J198" s="14"/>
      <c r="K198" s="13"/>
      <c r="M198" s="13"/>
    </row>
    <row r="199" spans="2:13" ht="12.75" customHeight="1" x14ac:dyDescent="0.25">
      <c r="B199" s="13"/>
      <c r="D199" s="13"/>
      <c r="E199" s="13"/>
      <c r="F199" s="14"/>
      <c r="G199" s="14"/>
      <c r="H199" s="13"/>
      <c r="I199" s="13"/>
      <c r="J199" s="14"/>
      <c r="K199" s="13"/>
      <c r="M199" s="13"/>
    </row>
    <row r="200" spans="2:13" ht="12.75" customHeight="1" x14ac:dyDescent="0.25">
      <c r="B200" s="13"/>
      <c r="D200" s="13"/>
      <c r="E200" s="13"/>
      <c r="F200" s="14"/>
      <c r="G200" s="14"/>
      <c r="H200" s="13"/>
      <c r="I200" s="13"/>
      <c r="J200" s="14"/>
      <c r="K200" s="13"/>
      <c r="M200" s="13"/>
    </row>
    <row r="201" spans="2:13" ht="12.75" customHeight="1" x14ac:dyDescent="0.25">
      <c r="B201" s="13"/>
      <c r="D201" s="13"/>
      <c r="E201" s="13"/>
      <c r="F201" s="14"/>
      <c r="G201" s="14"/>
      <c r="H201" s="13"/>
      <c r="I201" s="13"/>
      <c r="J201" s="14"/>
      <c r="K201" s="13"/>
      <c r="M201" s="13"/>
    </row>
    <row r="202" spans="2:13" ht="12.75" customHeight="1" x14ac:dyDescent="0.25">
      <c r="B202" s="13"/>
      <c r="D202" s="13"/>
      <c r="E202" s="13"/>
      <c r="F202" s="14"/>
      <c r="G202" s="14"/>
      <c r="H202" s="13"/>
      <c r="I202" s="13"/>
      <c r="J202" s="14"/>
      <c r="K202" s="13"/>
      <c r="M202" s="13"/>
    </row>
    <row r="203" spans="2:13" ht="12.75" customHeight="1" x14ac:dyDescent="0.25">
      <c r="B203" s="13"/>
      <c r="D203" s="13"/>
      <c r="E203" s="13"/>
      <c r="F203" s="14"/>
      <c r="G203" s="14"/>
      <c r="H203" s="13"/>
      <c r="I203" s="13"/>
      <c r="J203" s="14"/>
      <c r="K203" s="13"/>
      <c r="M203" s="13"/>
    </row>
    <row r="204" spans="2:13" ht="12.75" customHeight="1" x14ac:dyDescent="0.25">
      <c r="B204" s="13"/>
      <c r="D204" s="13"/>
      <c r="E204" s="13"/>
      <c r="F204" s="14"/>
      <c r="G204" s="14"/>
      <c r="H204" s="13"/>
      <c r="I204" s="13"/>
      <c r="J204" s="14"/>
      <c r="K204" s="13"/>
      <c r="M204" s="13"/>
    </row>
    <row r="205" spans="2:13" ht="12.75" customHeight="1" x14ac:dyDescent="0.25">
      <c r="B205" s="13"/>
      <c r="D205" s="13"/>
      <c r="E205" s="13"/>
      <c r="F205" s="14"/>
      <c r="G205" s="14"/>
      <c r="H205" s="13"/>
      <c r="I205" s="13"/>
      <c r="J205" s="14"/>
      <c r="K205" s="13"/>
      <c r="M205" s="13"/>
    </row>
    <row r="206" spans="2:13" ht="12.75" customHeight="1" x14ac:dyDescent="0.25">
      <c r="B206" s="13"/>
      <c r="D206" s="13"/>
      <c r="E206" s="13"/>
      <c r="F206" s="14"/>
      <c r="G206" s="14"/>
      <c r="H206" s="13"/>
      <c r="I206" s="13"/>
      <c r="J206" s="14"/>
      <c r="K206" s="13"/>
      <c r="M206" s="13"/>
    </row>
    <row r="207" spans="2:13" ht="12.75" customHeight="1" x14ac:dyDescent="0.25">
      <c r="B207" s="13"/>
      <c r="D207" s="13"/>
      <c r="E207" s="13"/>
      <c r="F207" s="14"/>
      <c r="G207" s="14"/>
      <c r="H207" s="13"/>
      <c r="I207" s="13"/>
      <c r="J207" s="14"/>
      <c r="K207" s="13"/>
      <c r="M207" s="13"/>
    </row>
    <row r="208" spans="2:13" ht="12.75" customHeight="1" x14ac:dyDescent="0.25">
      <c r="B208" s="13"/>
      <c r="D208" s="13"/>
      <c r="E208" s="13"/>
      <c r="F208" s="14"/>
      <c r="G208" s="14"/>
      <c r="H208" s="13"/>
      <c r="I208" s="13"/>
      <c r="J208" s="14"/>
      <c r="K208" s="13"/>
      <c r="M208" s="13"/>
    </row>
    <row r="209" spans="2:13" ht="12.75" customHeight="1" x14ac:dyDescent="0.25">
      <c r="B209" s="13"/>
      <c r="D209" s="13"/>
      <c r="E209" s="13"/>
      <c r="F209" s="14"/>
      <c r="G209" s="14"/>
      <c r="H209" s="13"/>
      <c r="I209" s="13"/>
      <c r="J209" s="14"/>
      <c r="K209" s="13"/>
      <c r="M209" s="13"/>
    </row>
    <row r="210" spans="2:13" ht="12.75" customHeight="1" x14ac:dyDescent="0.25">
      <c r="B210" s="13"/>
      <c r="D210" s="13"/>
      <c r="E210" s="13"/>
      <c r="F210" s="14"/>
      <c r="G210" s="14"/>
      <c r="H210" s="13"/>
      <c r="I210" s="13"/>
      <c r="J210" s="14"/>
      <c r="K210" s="13"/>
      <c r="M210" s="13"/>
    </row>
    <row r="211" spans="2:13" ht="12.75" customHeight="1" x14ac:dyDescent="0.25">
      <c r="B211" s="13"/>
      <c r="D211" s="13"/>
      <c r="E211" s="13"/>
      <c r="F211" s="14"/>
      <c r="G211" s="14"/>
      <c r="H211" s="13"/>
      <c r="I211" s="13"/>
      <c r="J211" s="14"/>
      <c r="K211" s="13"/>
      <c r="M211" s="13"/>
    </row>
    <row r="212" spans="2:13" ht="12.75" customHeight="1" x14ac:dyDescent="0.25">
      <c r="B212" s="13"/>
      <c r="D212" s="13"/>
      <c r="E212" s="13"/>
      <c r="F212" s="14"/>
      <c r="G212" s="14"/>
      <c r="H212" s="13"/>
      <c r="I212" s="13"/>
      <c r="J212" s="14"/>
      <c r="K212" s="13"/>
      <c r="M212" s="13"/>
    </row>
    <row r="213" spans="2:13" ht="12.75" customHeight="1" x14ac:dyDescent="0.25">
      <c r="B213" s="13"/>
      <c r="D213" s="13"/>
      <c r="E213" s="13"/>
      <c r="F213" s="14"/>
      <c r="G213" s="14"/>
      <c r="H213" s="13"/>
      <c r="I213" s="13"/>
      <c r="J213" s="14"/>
      <c r="K213" s="13"/>
      <c r="M213" s="13"/>
    </row>
    <row r="214" spans="2:13" ht="12.75" customHeight="1" x14ac:dyDescent="0.25">
      <c r="B214" s="13"/>
      <c r="D214" s="13"/>
      <c r="E214" s="13"/>
      <c r="F214" s="14"/>
      <c r="G214" s="14"/>
      <c r="H214" s="13"/>
      <c r="I214" s="13"/>
      <c r="J214" s="14"/>
      <c r="K214" s="13"/>
      <c r="M214" s="13"/>
    </row>
    <row r="215" spans="2:13" ht="12.75" customHeight="1" x14ac:dyDescent="0.25">
      <c r="B215" s="13"/>
      <c r="D215" s="13"/>
      <c r="E215" s="13"/>
      <c r="F215" s="14"/>
      <c r="G215" s="14"/>
      <c r="H215" s="13"/>
      <c r="I215" s="13"/>
      <c r="J215" s="14"/>
      <c r="K215" s="13"/>
      <c r="M215" s="13"/>
    </row>
    <row r="216" spans="2:13" ht="12.75" customHeight="1" x14ac:dyDescent="0.25">
      <c r="B216" s="13"/>
      <c r="D216" s="13"/>
      <c r="E216" s="13"/>
      <c r="F216" s="14"/>
      <c r="G216" s="14"/>
      <c r="H216" s="13"/>
      <c r="I216" s="13"/>
      <c r="J216" s="14"/>
      <c r="K216" s="13"/>
      <c r="M216" s="13"/>
    </row>
    <row r="217" spans="2:13" ht="12.75" customHeight="1" x14ac:dyDescent="0.25">
      <c r="B217" s="13"/>
      <c r="D217" s="13"/>
      <c r="E217" s="13"/>
      <c r="F217" s="14"/>
      <c r="G217" s="14"/>
      <c r="H217" s="13"/>
      <c r="I217" s="13"/>
      <c r="J217" s="14"/>
      <c r="K217" s="13"/>
      <c r="M217" s="13"/>
    </row>
    <row r="218" spans="2:13" ht="12.75" customHeight="1" x14ac:dyDescent="0.25">
      <c r="B218" s="13"/>
      <c r="D218" s="13"/>
      <c r="E218" s="13"/>
      <c r="F218" s="14"/>
      <c r="G218" s="14"/>
      <c r="H218" s="13"/>
      <c r="I218" s="13"/>
      <c r="J218" s="14"/>
      <c r="K218" s="13"/>
      <c r="M218" s="13"/>
    </row>
    <row r="219" spans="2:13" ht="12.75" customHeight="1" x14ac:dyDescent="0.25">
      <c r="B219" s="13"/>
      <c r="D219" s="13"/>
      <c r="E219" s="13"/>
      <c r="F219" s="14"/>
      <c r="G219" s="14"/>
      <c r="H219" s="13"/>
      <c r="I219" s="13"/>
      <c r="J219" s="14"/>
      <c r="K219" s="13"/>
      <c r="M219" s="13"/>
    </row>
    <row r="220" spans="2:13" ht="12.75" customHeight="1" x14ac:dyDescent="0.25">
      <c r="B220" s="13"/>
      <c r="D220" s="13"/>
      <c r="E220" s="13"/>
      <c r="F220" s="14"/>
      <c r="G220" s="14"/>
      <c r="H220" s="13"/>
      <c r="I220" s="13"/>
      <c r="J220" s="14"/>
      <c r="K220" s="13"/>
      <c r="M220" s="13"/>
    </row>
    <row r="221" spans="2:13" ht="12.75" customHeight="1" x14ac:dyDescent="0.25">
      <c r="B221" s="13"/>
      <c r="D221" s="13"/>
      <c r="E221" s="13"/>
      <c r="F221" s="14"/>
      <c r="G221" s="14"/>
      <c r="H221" s="13"/>
      <c r="I221" s="13"/>
      <c r="J221" s="14"/>
      <c r="K221" s="13"/>
      <c r="M221" s="13"/>
    </row>
    <row r="222" spans="2:13" ht="12.75" customHeight="1" x14ac:dyDescent="0.25">
      <c r="B222" s="13"/>
      <c r="D222" s="13"/>
      <c r="E222" s="13"/>
      <c r="F222" s="14"/>
      <c r="G222" s="14"/>
      <c r="H222" s="13"/>
      <c r="I222" s="13"/>
      <c r="J222" s="14"/>
      <c r="K222" s="13"/>
      <c r="M222" s="13"/>
    </row>
    <row r="223" spans="2:13" ht="12.75" customHeight="1" x14ac:dyDescent="0.25">
      <c r="B223" s="13"/>
      <c r="D223" s="13"/>
      <c r="E223" s="13"/>
      <c r="F223" s="14"/>
      <c r="G223" s="14"/>
      <c r="H223" s="13"/>
      <c r="I223" s="13"/>
      <c r="J223" s="14"/>
      <c r="K223" s="13"/>
      <c r="M223" s="13"/>
    </row>
    <row r="224" spans="2:13" ht="12.75" customHeight="1" x14ac:dyDescent="0.25">
      <c r="B224" s="13"/>
      <c r="D224" s="13"/>
      <c r="E224" s="13"/>
      <c r="F224" s="14"/>
      <c r="G224" s="14"/>
      <c r="H224" s="13"/>
      <c r="I224" s="13"/>
      <c r="J224" s="14"/>
      <c r="K224" s="13"/>
      <c r="M224" s="13"/>
    </row>
    <row r="225" spans="2:13" ht="12.75" customHeight="1" x14ac:dyDescent="0.25">
      <c r="B225" s="13"/>
      <c r="D225" s="13"/>
      <c r="E225" s="13"/>
      <c r="F225" s="14"/>
      <c r="G225" s="14"/>
      <c r="H225" s="13"/>
      <c r="I225" s="13"/>
      <c r="J225" s="14"/>
      <c r="K225" s="13"/>
      <c r="M225" s="13"/>
    </row>
    <row r="226" spans="2:13" ht="12.75" customHeight="1" x14ac:dyDescent="0.25">
      <c r="B226" s="13"/>
      <c r="D226" s="13"/>
      <c r="E226" s="13"/>
      <c r="F226" s="14"/>
      <c r="G226" s="14"/>
      <c r="H226" s="13"/>
      <c r="I226" s="13"/>
      <c r="J226" s="14"/>
      <c r="K226" s="13"/>
      <c r="M226" s="13"/>
    </row>
    <row r="227" spans="2:13" ht="12.75" customHeight="1" x14ac:dyDescent="0.25">
      <c r="B227" s="13"/>
      <c r="D227" s="13"/>
      <c r="E227" s="13"/>
      <c r="F227" s="14"/>
      <c r="G227" s="14"/>
      <c r="H227" s="13"/>
      <c r="I227" s="13"/>
      <c r="J227" s="14"/>
      <c r="K227" s="13"/>
      <c r="M227" s="13"/>
    </row>
    <row r="228" spans="2:13" ht="12.75" customHeight="1" x14ac:dyDescent="0.25">
      <c r="B228" s="13"/>
      <c r="D228" s="13"/>
      <c r="E228" s="13"/>
      <c r="F228" s="14"/>
      <c r="G228" s="14"/>
      <c r="H228" s="13"/>
      <c r="I228" s="13"/>
      <c r="J228" s="14"/>
      <c r="K228" s="13"/>
      <c r="M228" s="13"/>
    </row>
    <row r="229" spans="2:13" ht="12.75" customHeight="1" x14ac:dyDescent="0.25">
      <c r="B229" s="13"/>
      <c r="D229" s="13"/>
      <c r="E229" s="13"/>
      <c r="F229" s="14"/>
      <c r="G229" s="14"/>
      <c r="H229" s="13"/>
      <c r="I229" s="13"/>
      <c r="J229" s="14"/>
      <c r="K229" s="13"/>
      <c r="M229" s="13"/>
    </row>
    <row r="230" spans="2:13" ht="12.75" customHeight="1" x14ac:dyDescent="0.25">
      <c r="B230" s="13"/>
      <c r="D230" s="13"/>
      <c r="E230" s="13"/>
      <c r="F230" s="14"/>
      <c r="G230" s="14"/>
      <c r="H230" s="13"/>
      <c r="I230" s="13"/>
      <c r="J230" s="14"/>
      <c r="K230" s="13"/>
      <c r="M230" s="13"/>
    </row>
    <row r="231" spans="2:13" ht="12.75" customHeight="1" x14ac:dyDescent="0.25">
      <c r="B231" s="13"/>
      <c r="D231" s="13"/>
      <c r="E231" s="13"/>
      <c r="F231" s="14"/>
      <c r="G231" s="14"/>
      <c r="H231" s="13"/>
      <c r="I231" s="13"/>
      <c r="J231" s="14"/>
      <c r="K231" s="13"/>
      <c r="M231" s="13"/>
    </row>
    <row r="232" spans="2:13" ht="12.75" customHeight="1" x14ac:dyDescent="0.25">
      <c r="B232" s="13"/>
      <c r="D232" s="13"/>
      <c r="E232" s="13"/>
      <c r="F232" s="14"/>
      <c r="G232" s="14"/>
      <c r="H232" s="13"/>
      <c r="I232" s="13"/>
      <c r="J232" s="14"/>
      <c r="K232" s="13"/>
      <c r="M232" s="13"/>
    </row>
    <row r="233" spans="2:13" ht="12.75" customHeight="1" x14ac:dyDescent="0.25">
      <c r="B233" s="13"/>
      <c r="D233" s="13"/>
      <c r="E233" s="13"/>
      <c r="F233" s="14"/>
      <c r="G233" s="14"/>
      <c r="H233" s="13"/>
      <c r="I233" s="13"/>
      <c r="J233" s="14"/>
      <c r="K233" s="13"/>
      <c r="M233" s="13"/>
    </row>
    <row r="234" spans="2:13" ht="12.75" customHeight="1" x14ac:dyDescent="0.25">
      <c r="B234" s="13"/>
      <c r="D234" s="13"/>
      <c r="E234" s="13"/>
      <c r="F234" s="14"/>
      <c r="G234" s="14"/>
      <c r="H234" s="13"/>
      <c r="I234" s="13"/>
      <c r="J234" s="14"/>
      <c r="K234" s="13"/>
      <c r="M234" s="13"/>
    </row>
    <row r="235" spans="2:13" ht="12.75" customHeight="1" x14ac:dyDescent="0.25">
      <c r="B235" s="13"/>
      <c r="D235" s="13"/>
      <c r="E235" s="13"/>
      <c r="F235" s="14"/>
      <c r="G235" s="14"/>
      <c r="H235" s="13"/>
      <c r="I235" s="13"/>
      <c r="J235" s="14"/>
      <c r="K235" s="13"/>
      <c r="M235" s="13"/>
    </row>
    <row r="236" spans="2:13" ht="12.75" customHeight="1" x14ac:dyDescent="0.25">
      <c r="B236" s="13"/>
      <c r="D236" s="13"/>
      <c r="E236" s="13"/>
      <c r="F236" s="14"/>
      <c r="G236" s="14"/>
      <c r="H236" s="13"/>
      <c r="I236" s="13"/>
      <c r="J236" s="14"/>
      <c r="K236" s="13"/>
      <c r="M236" s="13"/>
    </row>
    <row r="237" spans="2:13" ht="12.75" customHeight="1" x14ac:dyDescent="0.25">
      <c r="B237" s="13"/>
      <c r="D237" s="13"/>
      <c r="E237" s="13"/>
      <c r="F237" s="14"/>
      <c r="G237" s="14"/>
      <c r="H237" s="13"/>
      <c r="I237" s="13"/>
      <c r="J237" s="14"/>
      <c r="K237" s="13"/>
      <c r="M237" s="13"/>
    </row>
    <row r="238" spans="2:13" ht="12.75" customHeight="1" x14ac:dyDescent="0.25">
      <c r="B238" s="13"/>
      <c r="D238" s="13"/>
      <c r="E238" s="13"/>
      <c r="F238" s="14"/>
      <c r="G238" s="14"/>
      <c r="H238" s="13"/>
      <c r="I238" s="13"/>
      <c r="J238" s="14"/>
      <c r="K238" s="13"/>
      <c r="M238" s="13"/>
    </row>
    <row r="239" spans="2:13" ht="12.75" customHeight="1" x14ac:dyDescent="0.25">
      <c r="B239" s="13"/>
      <c r="D239" s="13"/>
      <c r="E239" s="13"/>
      <c r="F239" s="14"/>
      <c r="G239" s="14"/>
      <c r="H239" s="13"/>
      <c r="I239" s="13"/>
      <c r="J239" s="14"/>
      <c r="K239" s="13"/>
      <c r="M239" s="13"/>
    </row>
    <row r="240" spans="2:13" ht="12.75" customHeight="1" x14ac:dyDescent="0.25">
      <c r="B240" s="13"/>
      <c r="D240" s="13"/>
      <c r="E240" s="13"/>
      <c r="F240" s="14"/>
      <c r="G240" s="14"/>
      <c r="H240" s="13"/>
      <c r="I240" s="13"/>
      <c r="J240" s="14"/>
      <c r="K240" s="13"/>
      <c r="M240" s="13"/>
    </row>
    <row r="241" spans="2:13" ht="12.75" customHeight="1" x14ac:dyDescent="0.25">
      <c r="B241" s="13"/>
      <c r="D241" s="13"/>
      <c r="E241" s="13"/>
      <c r="F241" s="14"/>
      <c r="G241" s="14"/>
      <c r="H241" s="13"/>
      <c r="I241" s="13"/>
      <c r="J241" s="14"/>
      <c r="K241" s="13"/>
      <c r="M241" s="13"/>
    </row>
    <row r="242" spans="2:13" ht="12.75" customHeight="1" x14ac:dyDescent="0.25">
      <c r="B242" s="13"/>
      <c r="D242" s="13"/>
      <c r="E242" s="13"/>
      <c r="F242" s="14"/>
      <c r="G242" s="14"/>
      <c r="H242" s="13"/>
      <c r="I242" s="13"/>
      <c r="J242" s="14"/>
      <c r="K242" s="13"/>
      <c r="M242" s="13"/>
    </row>
    <row r="243" spans="2:13" ht="12.75" customHeight="1" x14ac:dyDescent="0.25">
      <c r="B243" s="13"/>
      <c r="D243" s="13"/>
      <c r="E243" s="13"/>
      <c r="F243" s="14"/>
      <c r="G243" s="14"/>
      <c r="H243" s="13"/>
      <c r="I243" s="13"/>
      <c r="J243" s="14"/>
      <c r="K243" s="13"/>
      <c r="M243" s="13"/>
    </row>
    <row r="244" spans="2:13" ht="12.75" customHeight="1" x14ac:dyDescent="0.25">
      <c r="B244" s="13"/>
      <c r="D244" s="13"/>
      <c r="E244" s="13"/>
      <c r="F244" s="14"/>
      <c r="G244" s="14"/>
      <c r="H244" s="13"/>
      <c r="I244" s="13"/>
      <c r="J244" s="14"/>
      <c r="K244" s="13"/>
      <c r="M244" s="13"/>
    </row>
    <row r="245" spans="2:13" ht="12.75" customHeight="1" x14ac:dyDescent="0.25">
      <c r="B245" s="13"/>
      <c r="D245" s="13"/>
      <c r="E245" s="13"/>
      <c r="F245" s="14"/>
      <c r="G245" s="14"/>
      <c r="H245" s="13"/>
      <c r="I245" s="13"/>
      <c r="J245" s="14"/>
      <c r="K245" s="13"/>
      <c r="M245" s="13"/>
    </row>
    <row r="246" spans="2:13" ht="12.75" customHeight="1" x14ac:dyDescent="0.25">
      <c r="B246" s="13"/>
      <c r="D246" s="13"/>
      <c r="E246" s="13"/>
      <c r="F246" s="14"/>
      <c r="G246" s="14"/>
      <c r="H246" s="13"/>
      <c r="I246" s="13"/>
      <c r="J246" s="14"/>
      <c r="K246" s="13"/>
      <c r="M246" s="13"/>
    </row>
    <row r="247" spans="2:13" ht="12.75" customHeight="1" x14ac:dyDescent="0.25">
      <c r="B247" s="13"/>
      <c r="D247" s="13"/>
      <c r="E247" s="13"/>
      <c r="F247" s="14"/>
      <c r="G247" s="14"/>
      <c r="H247" s="13"/>
      <c r="I247" s="13"/>
      <c r="J247" s="14"/>
      <c r="K247" s="13"/>
      <c r="M247" s="13"/>
    </row>
    <row r="248" spans="2:13" ht="12.75" customHeight="1" x14ac:dyDescent="0.25">
      <c r="B248" s="13"/>
      <c r="D248" s="13"/>
      <c r="E248" s="13"/>
      <c r="F248" s="14"/>
      <c r="G248" s="14"/>
      <c r="H248" s="13"/>
      <c r="I248" s="13"/>
      <c r="J248" s="14"/>
      <c r="K248" s="13"/>
      <c r="M248" s="13"/>
    </row>
    <row r="249" spans="2:13" ht="12.75" customHeight="1" x14ac:dyDescent="0.25">
      <c r="B249" s="13"/>
      <c r="D249" s="13"/>
      <c r="E249" s="13"/>
      <c r="F249" s="14"/>
      <c r="G249" s="14"/>
      <c r="H249" s="13"/>
      <c r="I249" s="13"/>
      <c r="J249" s="14"/>
      <c r="K249" s="13"/>
      <c r="M249" s="13"/>
    </row>
    <row r="250" spans="2:13" ht="12.75" customHeight="1" x14ac:dyDescent="0.25">
      <c r="B250" s="13"/>
      <c r="D250" s="13"/>
      <c r="E250" s="13"/>
      <c r="F250" s="14"/>
      <c r="G250" s="14"/>
      <c r="H250" s="13"/>
      <c r="I250" s="13"/>
      <c r="J250" s="14"/>
      <c r="K250" s="13"/>
      <c r="M250" s="13"/>
    </row>
    <row r="251" spans="2:13" ht="12.75" customHeight="1" x14ac:dyDescent="0.25">
      <c r="B251" s="13"/>
      <c r="D251" s="13"/>
      <c r="E251" s="13"/>
      <c r="F251" s="14"/>
      <c r="G251" s="14"/>
      <c r="H251" s="13"/>
      <c r="I251" s="13"/>
      <c r="J251" s="14"/>
      <c r="K251" s="13"/>
      <c r="M251" s="13"/>
    </row>
    <row r="252" spans="2:13" ht="12.75" customHeight="1" x14ac:dyDescent="0.25">
      <c r="B252" s="13"/>
      <c r="D252" s="13"/>
      <c r="E252" s="13"/>
      <c r="F252" s="14"/>
      <c r="G252" s="14"/>
      <c r="H252" s="13"/>
      <c r="I252" s="13"/>
      <c r="J252" s="14"/>
      <c r="K252" s="13"/>
      <c r="M252" s="13"/>
    </row>
    <row r="253" spans="2:13" ht="12.75" customHeight="1" x14ac:dyDescent="0.25">
      <c r="B253" s="13"/>
      <c r="D253" s="13"/>
      <c r="E253" s="13"/>
      <c r="F253" s="14"/>
      <c r="G253" s="14"/>
      <c r="H253" s="13"/>
      <c r="I253" s="13"/>
      <c r="J253" s="14"/>
      <c r="K253" s="13"/>
      <c r="M253" s="13"/>
    </row>
    <row r="254" spans="2:13" ht="12.75" customHeight="1" x14ac:dyDescent="0.25">
      <c r="B254" s="13"/>
      <c r="D254" s="13"/>
      <c r="E254" s="13"/>
      <c r="F254" s="14"/>
      <c r="G254" s="14"/>
      <c r="H254" s="13"/>
      <c r="I254" s="13"/>
      <c r="J254" s="14"/>
      <c r="K254" s="13"/>
      <c r="M254" s="13"/>
    </row>
    <row r="255" spans="2:13" ht="12.75" customHeight="1" x14ac:dyDescent="0.25">
      <c r="B255" s="13"/>
      <c r="D255" s="13"/>
      <c r="E255" s="13"/>
      <c r="F255" s="14"/>
      <c r="G255" s="14"/>
      <c r="H255" s="13"/>
      <c r="I255" s="13"/>
      <c r="J255" s="14"/>
      <c r="K255" s="13"/>
      <c r="M255" s="13"/>
    </row>
    <row r="256" spans="2:13" ht="12.75" customHeight="1" x14ac:dyDescent="0.25">
      <c r="B256" s="13"/>
      <c r="D256" s="13"/>
      <c r="E256" s="13"/>
      <c r="F256" s="14"/>
      <c r="G256" s="14"/>
      <c r="H256" s="13"/>
      <c r="I256" s="13"/>
      <c r="J256" s="14"/>
      <c r="K256" s="13"/>
      <c r="M256" s="13"/>
    </row>
    <row r="257" spans="2:13" ht="12.75" customHeight="1" x14ac:dyDescent="0.25">
      <c r="B257" s="13"/>
      <c r="D257" s="13"/>
      <c r="E257" s="13"/>
      <c r="F257" s="14"/>
      <c r="G257" s="14"/>
      <c r="H257" s="13"/>
      <c r="I257" s="13"/>
      <c r="J257" s="14"/>
      <c r="K257" s="13"/>
      <c r="M257" s="13"/>
    </row>
    <row r="258" spans="2:13" ht="12.75" customHeight="1" x14ac:dyDescent="0.25">
      <c r="B258" s="13"/>
      <c r="D258" s="13"/>
      <c r="E258" s="13"/>
      <c r="F258" s="14"/>
      <c r="G258" s="14"/>
      <c r="H258" s="13"/>
      <c r="I258" s="13"/>
      <c r="J258" s="14"/>
      <c r="K258" s="13"/>
      <c r="M258" s="13"/>
    </row>
    <row r="259" spans="2:13" ht="12.75" customHeight="1" x14ac:dyDescent="0.25">
      <c r="B259" s="13"/>
      <c r="D259" s="13"/>
      <c r="E259" s="13"/>
      <c r="F259" s="14"/>
      <c r="G259" s="14"/>
      <c r="H259" s="13"/>
      <c r="I259" s="13"/>
      <c r="J259" s="14"/>
      <c r="K259" s="13"/>
      <c r="M259" s="13"/>
    </row>
    <row r="260" spans="2:13" ht="12.75" customHeight="1" x14ac:dyDescent="0.25">
      <c r="B260" s="13"/>
      <c r="D260" s="13"/>
      <c r="E260" s="13"/>
      <c r="F260" s="14"/>
      <c r="G260" s="14"/>
      <c r="H260" s="13"/>
      <c r="I260" s="13"/>
      <c r="J260" s="14"/>
      <c r="K260" s="13"/>
      <c r="M260" s="13"/>
    </row>
    <row r="261" spans="2:13" ht="12.75" customHeight="1" x14ac:dyDescent="0.25">
      <c r="B261" s="13"/>
      <c r="D261" s="13"/>
      <c r="E261" s="13"/>
      <c r="F261" s="14"/>
      <c r="G261" s="14"/>
      <c r="H261" s="13"/>
      <c r="I261" s="13"/>
      <c r="J261" s="14"/>
      <c r="K261" s="13"/>
      <c r="M261" s="13"/>
    </row>
    <row r="262" spans="2:13" ht="12.75" customHeight="1" x14ac:dyDescent="0.25">
      <c r="B262" s="13"/>
      <c r="D262" s="13"/>
      <c r="E262" s="13"/>
      <c r="F262" s="14"/>
      <c r="G262" s="14"/>
      <c r="H262" s="13"/>
      <c r="I262" s="13"/>
      <c r="J262" s="14"/>
      <c r="K262" s="13"/>
      <c r="M262" s="13"/>
    </row>
    <row r="263" spans="2:13" ht="12.75" customHeight="1" x14ac:dyDescent="0.25">
      <c r="B263" s="13"/>
      <c r="D263" s="13"/>
      <c r="E263" s="13"/>
      <c r="F263" s="14"/>
      <c r="G263" s="14"/>
      <c r="H263" s="13"/>
      <c r="I263" s="13"/>
      <c r="J263" s="14"/>
      <c r="K263" s="13"/>
      <c r="M263" s="13"/>
    </row>
    <row r="264" spans="2:13" ht="12.75" customHeight="1" x14ac:dyDescent="0.25">
      <c r="B264" s="13"/>
      <c r="D264" s="13"/>
      <c r="E264" s="13"/>
      <c r="F264" s="14"/>
      <c r="G264" s="14"/>
      <c r="H264" s="13"/>
      <c r="I264" s="13"/>
      <c r="J264" s="14"/>
      <c r="K264" s="13"/>
      <c r="M264" s="13"/>
    </row>
    <row r="265" spans="2:13" ht="12.75" customHeight="1" x14ac:dyDescent="0.25">
      <c r="B265" s="13"/>
      <c r="D265" s="13"/>
      <c r="E265" s="13"/>
      <c r="F265" s="14"/>
      <c r="G265" s="14"/>
      <c r="H265" s="13"/>
      <c r="I265" s="13"/>
      <c r="J265" s="14"/>
      <c r="K265" s="13"/>
      <c r="M265" s="13"/>
    </row>
    <row r="266" spans="2:13" ht="12.75" customHeight="1" x14ac:dyDescent="0.25">
      <c r="B266" s="13"/>
      <c r="D266" s="13"/>
      <c r="E266" s="13"/>
      <c r="F266" s="14"/>
      <c r="G266" s="14"/>
      <c r="H266" s="13"/>
      <c r="I266" s="13"/>
      <c r="J266" s="14"/>
      <c r="K266" s="13"/>
      <c r="M266" s="13"/>
    </row>
    <row r="267" spans="2:13" ht="12.75" customHeight="1" x14ac:dyDescent="0.25">
      <c r="B267" s="13"/>
      <c r="D267" s="13"/>
      <c r="E267" s="13"/>
      <c r="F267" s="14"/>
      <c r="G267" s="14"/>
      <c r="H267" s="13"/>
      <c r="I267" s="13"/>
      <c r="J267" s="14"/>
      <c r="K267" s="13"/>
      <c r="M267" s="13"/>
    </row>
    <row r="268" spans="2:13" ht="12.75" customHeight="1" x14ac:dyDescent="0.25">
      <c r="B268" s="13"/>
      <c r="D268" s="13"/>
      <c r="E268" s="13"/>
      <c r="F268" s="14"/>
      <c r="G268" s="14"/>
      <c r="H268" s="13"/>
      <c r="I268" s="13"/>
      <c r="J268" s="14"/>
      <c r="K268" s="13"/>
      <c r="M268" s="13"/>
    </row>
    <row r="269" spans="2:13" ht="12.75" customHeight="1" x14ac:dyDescent="0.25">
      <c r="B269" s="13"/>
      <c r="D269" s="13"/>
      <c r="E269" s="13"/>
      <c r="F269" s="14"/>
      <c r="G269" s="14"/>
      <c r="H269" s="13"/>
      <c r="I269" s="13"/>
      <c r="J269" s="14"/>
      <c r="K269" s="13"/>
      <c r="M269" s="13"/>
    </row>
    <row r="270" spans="2:13" ht="12.75" customHeight="1" x14ac:dyDescent="0.25">
      <c r="B270" s="13"/>
      <c r="D270" s="13"/>
      <c r="E270" s="13"/>
      <c r="F270" s="14"/>
      <c r="G270" s="14"/>
      <c r="H270" s="13"/>
      <c r="I270" s="13"/>
      <c r="J270" s="14"/>
      <c r="K270" s="13"/>
      <c r="M270" s="13"/>
    </row>
    <row r="271" spans="2:13" ht="12.75" customHeight="1" x14ac:dyDescent="0.25">
      <c r="B271" s="13"/>
      <c r="D271" s="13"/>
      <c r="E271" s="13"/>
      <c r="F271" s="14"/>
      <c r="G271" s="14"/>
      <c r="H271" s="13"/>
      <c r="I271" s="13"/>
      <c r="J271" s="14"/>
      <c r="K271" s="13"/>
      <c r="M271" s="13"/>
    </row>
    <row r="272" spans="2:13" ht="12.75" customHeight="1" x14ac:dyDescent="0.25">
      <c r="B272" s="13"/>
      <c r="D272" s="13"/>
      <c r="E272" s="13"/>
      <c r="F272" s="14"/>
      <c r="G272" s="14"/>
      <c r="H272" s="13"/>
      <c r="I272" s="13"/>
      <c r="J272" s="14"/>
      <c r="K272" s="13"/>
      <c r="M272" s="13"/>
    </row>
    <row r="273" spans="2:13" ht="12.75" customHeight="1" x14ac:dyDescent="0.25">
      <c r="B273" s="13"/>
      <c r="D273" s="13"/>
      <c r="E273" s="13"/>
      <c r="F273" s="14"/>
      <c r="G273" s="14"/>
      <c r="H273" s="13"/>
      <c r="I273" s="13"/>
      <c r="J273" s="14"/>
      <c r="K273" s="13"/>
      <c r="M273" s="13"/>
    </row>
    <row r="274" spans="2:13" ht="12.75" customHeight="1" x14ac:dyDescent="0.25">
      <c r="B274" s="13"/>
      <c r="D274" s="13"/>
      <c r="E274" s="13"/>
      <c r="F274" s="14"/>
      <c r="G274" s="14"/>
      <c r="H274" s="13"/>
      <c r="I274" s="13"/>
      <c r="J274" s="14"/>
      <c r="K274" s="13"/>
      <c r="M274" s="13"/>
    </row>
    <row r="275" spans="2:13" ht="12.75" customHeight="1" x14ac:dyDescent="0.25">
      <c r="B275" s="13"/>
      <c r="D275" s="13"/>
      <c r="E275" s="13"/>
      <c r="F275" s="14"/>
      <c r="G275" s="14"/>
      <c r="H275" s="13"/>
      <c r="I275" s="13"/>
      <c r="J275" s="14"/>
      <c r="K275" s="13"/>
      <c r="M275" s="13"/>
    </row>
    <row r="276" spans="2:13" ht="12.75" customHeight="1" x14ac:dyDescent="0.25">
      <c r="B276" s="13"/>
      <c r="D276" s="13"/>
      <c r="E276" s="13"/>
      <c r="F276" s="14"/>
      <c r="G276" s="14"/>
      <c r="H276" s="13"/>
      <c r="I276" s="13"/>
      <c r="J276" s="14"/>
      <c r="K276" s="13"/>
      <c r="M276" s="13"/>
    </row>
    <row r="277" spans="2:13" ht="12.75" customHeight="1" x14ac:dyDescent="0.25">
      <c r="B277" s="13"/>
      <c r="D277" s="13"/>
      <c r="E277" s="13"/>
      <c r="F277" s="14"/>
      <c r="G277" s="14"/>
      <c r="H277" s="13"/>
      <c r="I277" s="13"/>
      <c r="J277" s="14"/>
      <c r="K277" s="13"/>
      <c r="M277" s="13"/>
    </row>
    <row r="278" spans="2:13" ht="12.75" customHeight="1" x14ac:dyDescent="0.25">
      <c r="B278" s="13"/>
      <c r="D278" s="13"/>
      <c r="E278" s="13"/>
      <c r="F278" s="14"/>
      <c r="G278" s="14"/>
      <c r="H278" s="13"/>
      <c r="I278" s="13"/>
      <c r="J278" s="14"/>
      <c r="K278" s="13"/>
      <c r="M278" s="13"/>
    </row>
    <row r="279" spans="2:13" ht="12.75" customHeight="1" x14ac:dyDescent="0.25">
      <c r="B279" s="13"/>
      <c r="D279" s="13"/>
      <c r="E279" s="13"/>
      <c r="F279" s="14"/>
      <c r="G279" s="14"/>
      <c r="H279" s="13"/>
      <c r="I279" s="13"/>
      <c r="J279" s="14"/>
      <c r="K279" s="13"/>
      <c r="M279" s="13"/>
    </row>
    <row r="280" spans="2:13" ht="12.75" customHeight="1" x14ac:dyDescent="0.25">
      <c r="B280" s="13"/>
      <c r="D280" s="13"/>
      <c r="E280" s="13"/>
      <c r="F280" s="14"/>
      <c r="G280" s="14"/>
      <c r="H280" s="13"/>
      <c r="I280" s="13"/>
      <c r="J280" s="14"/>
      <c r="K280" s="13"/>
      <c r="M280" s="13"/>
    </row>
    <row r="281" spans="2:13" ht="12.75" customHeight="1" x14ac:dyDescent="0.25">
      <c r="B281" s="13"/>
      <c r="D281" s="13"/>
      <c r="E281" s="13"/>
      <c r="F281" s="14"/>
      <c r="G281" s="14"/>
      <c r="H281" s="13"/>
      <c r="I281" s="13"/>
      <c r="J281" s="14"/>
      <c r="K281" s="13"/>
      <c r="M281" s="13"/>
    </row>
    <row r="282" spans="2:13" ht="12.75" customHeight="1" x14ac:dyDescent="0.25">
      <c r="B282" s="13"/>
      <c r="D282" s="13"/>
      <c r="E282" s="13"/>
      <c r="F282" s="14"/>
      <c r="G282" s="14"/>
      <c r="H282" s="13"/>
      <c r="I282" s="13"/>
      <c r="J282" s="14"/>
      <c r="K282" s="13"/>
      <c r="M282" s="13"/>
    </row>
    <row r="283" spans="2:13" ht="12.75" customHeight="1" x14ac:dyDescent="0.25">
      <c r="B283" s="13"/>
      <c r="D283" s="13"/>
      <c r="E283" s="13"/>
      <c r="F283" s="14"/>
      <c r="G283" s="14"/>
      <c r="H283" s="13"/>
      <c r="I283" s="13"/>
      <c r="J283" s="14"/>
      <c r="K283" s="13"/>
      <c r="M283" s="13"/>
    </row>
    <row r="284" spans="2:13" ht="12.75" customHeight="1" x14ac:dyDescent="0.25">
      <c r="B284" s="13"/>
      <c r="D284" s="13"/>
      <c r="E284" s="13"/>
      <c r="F284" s="14"/>
      <c r="G284" s="14"/>
      <c r="H284" s="13"/>
      <c r="I284" s="13"/>
      <c r="J284" s="14"/>
      <c r="K284" s="13"/>
      <c r="M284" s="13"/>
    </row>
    <row r="285" spans="2:13" ht="12.75" customHeight="1" x14ac:dyDescent="0.25">
      <c r="B285" s="13"/>
      <c r="D285" s="13"/>
      <c r="E285" s="13"/>
      <c r="F285" s="14"/>
      <c r="G285" s="14"/>
      <c r="H285" s="13"/>
      <c r="I285" s="13"/>
      <c r="J285" s="14"/>
      <c r="K285" s="13"/>
      <c r="M285" s="13"/>
    </row>
    <row r="286" spans="2:13" ht="12.75" customHeight="1" x14ac:dyDescent="0.25">
      <c r="B286" s="13"/>
      <c r="D286" s="13"/>
      <c r="E286" s="13"/>
      <c r="F286" s="14"/>
      <c r="G286" s="14"/>
      <c r="H286" s="13"/>
      <c r="I286" s="13"/>
      <c r="J286" s="14"/>
      <c r="K286" s="13"/>
      <c r="M286" s="13"/>
    </row>
    <row r="287" spans="2:13" ht="12.75" customHeight="1" x14ac:dyDescent="0.25">
      <c r="B287" s="13"/>
      <c r="D287" s="13"/>
      <c r="E287" s="13"/>
      <c r="F287" s="14"/>
      <c r="G287" s="14"/>
      <c r="H287" s="13"/>
      <c r="I287" s="13"/>
      <c r="J287" s="14"/>
      <c r="K287" s="13"/>
      <c r="M287" s="13"/>
    </row>
    <row r="288" spans="2:13" ht="12.75" customHeight="1" x14ac:dyDescent="0.25">
      <c r="B288" s="13"/>
      <c r="D288" s="13"/>
      <c r="E288" s="13"/>
      <c r="F288" s="14"/>
      <c r="G288" s="14"/>
      <c r="H288" s="13"/>
      <c r="I288" s="13"/>
      <c r="J288" s="14"/>
      <c r="K288" s="13"/>
      <c r="M288" s="13"/>
    </row>
    <row r="289" spans="2:13" ht="12.75" customHeight="1" x14ac:dyDescent="0.25">
      <c r="B289" s="13"/>
      <c r="D289" s="13"/>
      <c r="E289" s="13"/>
      <c r="F289" s="14"/>
      <c r="G289" s="14"/>
      <c r="H289" s="13"/>
      <c r="I289" s="13"/>
      <c r="J289" s="14"/>
      <c r="K289" s="13"/>
      <c r="M289" s="13"/>
    </row>
    <row r="290" spans="2:13" ht="12.75" customHeight="1" x14ac:dyDescent="0.25">
      <c r="B290" s="13"/>
      <c r="D290" s="13"/>
      <c r="E290" s="13"/>
      <c r="F290" s="14"/>
      <c r="G290" s="14"/>
      <c r="H290" s="13"/>
      <c r="I290" s="13"/>
      <c r="J290" s="14"/>
      <c r="K290" s="13"/>
      <c r="M290" s="13"/>
    </row>
    <row r="291" spans="2:13" ht="12.75" customHeight="1" x14ac:dyDescent="0.25">
      <c r="B291" s="13"/>
      <c r="D291" s="13"/>
      <c r="E291" s="13"/>
      <c r="F291" s="14"/>
      <c r="G291" s="14"/>
      <c r="H291" s="13"/>
      <c r="I291" s="13"/>
      <c r="J291" s="14"/>
      <c r="K291" s="13"/>
      <c r="M291" s="13"/>
    </row>
    <row r="292" spans="2:13" ht="12.75" customHeight="1" x14ac:dyDescent="0.25">
      <c r="B292" s="13"/>
      <c r="D292" s="13"/>
      <c r="E292" s="13"/>
      <c r="F292" s="14"/>
      <c r="G292" s="14"/>
      <c r="H292" s="13"/>
      <c r="I292" s="13"/>
      <c r="J292" s="14"/>
      <c r="K292" s="13"/>
      <c r="M292" s="13"/>
    </row>
    <row r="293" spans="2:13" ht="12.75" customHeight="1" x14ac:dyDescent="0.25">
      <c r="B293" s="13"/>
      <c r="D293" s="13"/>
      <c r="E293" s="13"/>
      <c r="F293" s="14"/>
      <c r="G293" s="14"/>
      <c r="H293" s="13"/>
      <c r="I293" s="13"/>
      <c r="J293" s="14"/>
      <c r="K293" s="13"/>
      <c r="M293" s="13"/>
    </row>
    <row r="294" spans="2:13" ht="12.75" customHeight="1" x14ac:dyDescent="0.25">
      <c r="B294" s="13"/>
      <c r="D294" s="13"/>
      <c r="E294" s="13"/>
      <c r="F294" s="14"/>
      <c r="G294" s="14"/>
      <c r="H294" s="13"/>
      <c r="I294" s="13"/>
      <c r="J294" s="14"/>
      <c r="K294" s="13"/>
      <c r="M294" s="13"/>
    </row>
    <row r="295" spans="2:13" ht="12.75" customHeight="1" x14ac:dyDescent="0.25">
      <c r="B295" s="13"/>
      <c r="D295" s="13"/>
      <c r="E295" s="13"/>
      <c r="F295" s="14"/>
      <c r="G295" s="14"/>
      <c r="H295" s="13"/>
      <c r="I295" s="13"/>
      <c r="J295" s="14"/>
      <c r="K295" s="13"/>
      <c r="M295" s="13"/>
    </row>
    <row r="296" spans="2:13" ht="12.75" customHeight="1" x14ac:dyDescent="0.25">
      <c r="B296" s="13"/>
      <c r="D296" s="13"/>
      <c r="E296" s="13"/>
      <c r="F296" s="14"/>
      <c r="G296" s="14"/>
      <c r="H296" s="13"/>
      <c r="I296" s="13"/>
      <c r="J296" s="14"/>
      <c r="K296" s="13"/>
      <c r="M296" s="13"/>
    </row>
    <row r="297" spans="2:13" ht="12.75" customHeight="1" x14ac:dyDescent="0.25">
      <c r="B297" s="13"/>
      <c r="D297" s="13"/>
      <c r="E297" s="13"/>
      <c r="F297" s="14"/>
      <c r="G297" s="14"/>
      <c r="H297" s="13"/>
      <c r="I297" s="13"/>
      <c r="J297" s="14"/>
      <c r="K297" s="13"/>
      <c r="M297" s="13"/>
    </row>
    <row r="298" spans="2:13" ht="12.75" customHeight="1" x14ac:dyDescent="0.25">
      <c r="B298" s="13"/>
      <c r="D298" s="13"/>
      <c r="E298" s="13"/>
      <c r="F298" s="14"/>
      <c r="G298" s="14"/>
      <c r="H298" s="13"/>
      <c r="I298" s="13"/>
      <c r="J298" s="14"/>
      <c r="K298" s="13"/>
      <c r="M298" s="13"/>
    </row>
    <row r="299" spans="2:13" ht="12.75" customHeight="1" x14ac:dyDescent="0.25">
      <c r="B299" s="13"/>
      <c r="D299" s="13"/>
      <c r="E299" s="13"/>
      <c r="F299" s="14"/>
      <c r="G299" s="14"/>
      <c r="H299" s="13"/>
      <c r="I299" s="13"/>
      <c r="J299" s="14"/>
      <c r="K299" s="13"/>
      <c r="M299" s="13"/>
    </row>
    <row r="300" spans="2:13" ht="12.75" customHeight="1" x14ac:dyDescent="0.25">
      <c r="B300" s="13"/>
      <c r="D300" s="13"/>
      <c r="E300" s="13"/>
      <c r="F300" s="14"/>
      <c r="G300" s="14"/>
      <c r="H300" s="13"/>
      <c r="I300" s="13"/>
      <c r="J300" s="14"/>
      <c r="K300" s="13"/>
      <c r="M300" s="13"/>
    </row>
    <row r="301" spans="2:13" ht="12.75" customHeight="1" x14ac:dyDescent="0.25">
      <c r="B301" s="13"/>
      <c r="D301" s="13"/>
      <c r="E301" s="13"/>
      <c r="F301" s="14"/>
      <c r="G301" s="14"/>
      <c r="H301" s="13"/>
      <c r="I301" s="13"/>
      <c r="J301" s="14"/>
      <c r="K301" s="13"/>
      <c r="M301" s="13"/>
    </row>
    <row r="302" spans="2:13" ht="12.75" customHeight="1" x14ac:dyDescent="0.25">
      <c r="B302" s="13"/>
      <c r="D302" s="13"/>
      <c r="E302" s="13"/>
      <c r="F302" s="14"/>
      <c r="G302" s="14"/>
      <c r="H302" s="13"/>
      <c r="I302" s="13"/>
      <c r="J302" s="14"/>
      <c r="K302" s="13"/>
      <c r="M302" s="13"/>
    </row>
    <row r="303" spans="2:13" ht="12.75" customHeight="1" x14ac:dyDescent="0.25">
      <c r="B303" s="13"/>
      <c r="D303" s="13"/>
      <c r="E303" s="13"/>
      <c r="F303" s="14"/>
      <c r="G303" s="14"/>
      <c r="H303" s="13"/>
      <c r="I303" s="13"/>
      <c r="J303" s="14"/>
      <c r="K303" s="13"/>
      <c r="M303" s="13"/>
    </row>
    <row r="304" spans="2:13" ht="12.75" customHeight="1" x14ac:dyDescent="0.25">
      <c r="B304" s="13"/>
      <c r="D304" s="13"/>
      <c r="E304" s="13"/>
      <c r="F304" s="14"/>
      <c r="G304" s="14"/>
      <c r="H304" s="13"/>
      <c r="I304" s="13"/>
      <c r="J304" s="14"/>
      <c r="K304" s="13"/>
      <c r="M304" s="13"/>
    </row>
    <row r="305" spans="2:13" ht="12.75" customHeight="1" x14ac:dyDescent="0.25">
      <c r="B305" s="13"/>
      <c r="D305" s="13"/>
      <c r="E305" s="13"/>
      <c r="F305" s="14"/>
      <c r="G305" s="14"/>
      <c r="H305" s="13"/>
      <c r="I305" s="13"/>
      <c r="J305" s="14"/>
      <c r="K305" s="13"/>
      <c r="M305" s="13"/>
    </row>
    <row r="306" spans="2:13" ht="12.75" customHeight="1" x14ac:dyDescent="0.25">
      <c r="B306" s="13"/>
      <c r="D306" s="13"/>
      <c r="E306" s="13"/>
      <c r="F306" s="14"/>
      <c r="G306" s="14"/>
      <c r="H306" s="13"/>
      <c r="I306" s="13"/>
      <c r="J306" s="14"/>
      <c r="K306" s="13"/>
      <c r="M306" s="13"/>
    </row>
    <row r="307" spans="2:13" ht="12.75" customHeight="1" x14ac:dyDescent="0.25">
      <c r="B307" s="13"/>
      <c r="D307" s="13"/>
      <c r="E307" s="13"/>
      <c r="F307" s="14"/>
      <c r="G307" s="14"/>
      <c r="H307" s="13"/>
      <c r="I307" s="13"/>
      <c r="J307" s="14"/>
      <c r="K307" s="13"/>
      <c r="M307" s="13"/>
    </row>
    <row r="308" spans="2:13" ht="12.75" customHeight="1" x14ac:dyDescent="0.25">
      <c r="B308" s="13"/>
      <c r="D308" s="13"/>
      <c r="E308" s="13"/>
      <c r="F308" s="14"/>
      <c r="G308" s="14"/>
      <c r="H308" s="13"/>
      <c r="I308" s="13"/>
      <c r="J308" s="14"/>
      <c r="K308" s="13"/>
      <c r="M308" s="13"/>
    </row>
    <row r="309" spans="2:13" ht="12.75" customHeight="1" x14ac:dyDescent="0.25">
      <c r="B309" s="13"/>
      <c r="D309" s="13"/>
      <c r="E309" s="13"/>
      <c r="F309" s="14"/>
      <c r="G309" s="14"/>
      <c r="H309" s="13"/>
      <c r="I309" s="13"/>
      <c r="J309" s="14"/>
      <c r="K309" s="13"/>
      <c r="M309" s="13"/>
    </row>
    <row r="310" spans="2:13" ht="12.75" customHeight="1" x14ac:dyDescent="0.25">
      <c r="B310" s="13"/>
      <c r="D310" s="13"/>
      <c r="E310" s="13"/>
      <c r="F310" s="14"/>
      <c r="G310" s="14"/>
      <c r="H310" s="13"/>
      <c r="I310" s="13"/>
      <c r="J310" s="14"/>
      <c r="K310" s="13"/>
      <c r="M310" s="13"/>
    </row>
    <row r="311" spans="2:13" ht="12.75" customHeight="1" x14ac:dyDescent="0.25">
      <c r="B311" s="13"/>
      <c r="D311" s="13"/>
      <c r="E311" s="13"/>
      <c r="F311" s="14"/>
      <c r="G311" s="14"/>
      <c r="H311" s="13"/>
      <c r="I311" s="13"/>
      <c r="J311" s="14"/>
      <c r="K311" s="13"/>
      <c r="M311" s="13"/>
    </row>
    <row r="312" spans="2:13" ht="12.75" customHeight="1" x14ac:dyDescent="0.25">
      <c r="B312" s="13"/>
      <c r="D312" s="13"/>
      <c r="E312" s="13"/>
      <c r="F312" s="14"/>
      <c r="G312" s="14"/>
      <c r="H312" s="13"/>
      <c r="I312" s="13"/>
      <c r="J312" s="14"/>
      <c r="K312" s="13"/>
      <c r="M312" s="13"/>
    </row>
    <row r="313" spans="2:13" ht="12.75" customHeight="1" x14ac:dyDescent="0.25">
      <c r="B313" s="13"/>
      <c r="D313" s="13"/>
      <c r="E313" s="13"/>
      <c r="F313" s="14"/>
      <c r="G313" s="14"/>
      <c r="H313" s="13"/>
      <c r="I313" s="13"/>
      <c r="J313" s="14"/>
      <c r="K313" s="13"/>
      <c r="M313" s="13"/>
    </row>
    <row r="314" spans="2:13" ht="12.75" customHeight="1" x14ac:dyDescent="0.25">
      <c r="B314" s="13"/>
      <c r="D314" s="13"/>
      <c r="E314" s="13"/>
      <c r="F314" s="14"/>
      <c r="G314" s="14"/>
      <c r="H314" s="13"/>
      <c r="I314" s="13"/>
      <c r="J314" s="14"/>
      <c r="K314" s="13"/>
      <c r="M314" s="13"/>
    </row>
    <row r="315" spans="2:13" ht="12.75" customHeight="1" x14ac:dyDescent="0.25">
      <c r="B315" s="13"/>
      <c r="D315" s="13"/>
      <c r="E315" s="13"/>
      <c r="F315" s="14"/>
      <c r="G315" s="14"/>
      <c r="H315" s="13"/>
      <c r="I315" s="13"/>
      <c r="J315" s="14"/>
      <c r="K315" s="13"/>
      <c r="M315" s="13"/>
    </row>
    <row r="316" spans="2:13" ht="12.75" customHeight="1" x14ac:dyDescent="0.25">
      <c r="B316" s="13"/>
      <c r="D316" s="13"/>
      <c r="E316" s="13"/>
      <c r="F316" s="14"/>
      <c r="G316" s="14"/>
      <c r="H316" s="13"/>
      <c r="I316" s="13"/>
      <c r="J316" s="14"/>
      <c r="K316" s="13"/>
      <c r="M316" s="13"/>
    </row>
    <row r="317" spans="2:13" ht="12.75" customHeight="1" x14ac:dyDescent="0.25">
      <c r="B317" s="13"/>
      <c r="D317" s="13"/>
      <c r="E317" s="13"/>
      <c r="F317" s="14"/>
      <c r="G317" s="14"/>
      <c r="H317" s="13"/>
      <c r="I317" s="13"/>
      <c r="J317" s="14"/>
      <c r="K317" s="13"/>
      <c r="M317" s="13"/>
    </row>
    <row r="318" spans="2:13" ht="12.75" customHeight="1" x14ac:dyDescent="0.25">
      <c r="B318" s="13"/>
      <c r="D318" s="13"/>
      <c r="E318" s="13"/>
      <c r="F318" s="14"/>
      <c r="G318" s="14"/>
      <c r="H318" s="13"/>
      <c r="I318" s="13"/>
      <c r="J318" s="14"/>
      <c r="K318" s="13"/>
      <c r="M318" s="13"/>
    </row>
    <row r="319" spans="2:13" ht="12.75" customHeight="1" x14ac:dyDescent="0.25">
      <c r="B319" s="13"/>
      <c r="D319" s="13"/>
      <c r="E319" s="13"/>
      <c r="F319" s="14"/>
      <c r="G319" s="14"/>
      <c r="H319" s="13"/>
      <c r="I319" s="13"/>
      <c r="J319" s="14"/>
      <c r="K319" s="13"/>
      <c r="M319" s="13"/>
    </row>
    <row r="320" spans="2:13" ht="12.75" customHeight="1" x14ac:dyDescent="0.25">
      <c r="B320" s="13"/>
      <c r="D320" s="13"/>
      <c r="E320" s="13"/>
      <c r="F320" s="14"/>
      <c r="G320" s="14"/>
      <c r="H320" s="13"/>
      <c r="I320" s="13"/>
      <c r="J320" s="14"/>
      <c r="K320" s="13"/>
      <c r="M320" s="13"/>
    </row>
    <row r="321" spans="2:13" ht="12.75" customHeight="1" x14ac:dyDescent="0.25">
      <c r="B321" s="13"/>
      <c r="D321" s="13"/>
      <c r="E321" s="13"/>
      <c r="F321" s="14"/>
      <c r="G321" s="14"/>
      <c r="H321" s="13"/>
      <c r="I321" s="13"/>
      <c r="J321" s="14"/>
      <c r="K321" s="13"/>
      <c r="M321" s="13"/>
    </row>
    <row r="322" spans="2:13" ht="12.75" customHeight="1" x14ac:dyDescent="0.25">
      <c r="B322" s="13"/>
      <c r="D322" s="13"/>
      <c r="E322" s="13"/>
      <c r="F322" s="14"/>
      <c r="G322" s="14"/>
      <c r="H322" s="13"/>
      <c r="I322" s="13"/>
      <c r="J322" s="14"/>
      <c r="K322" s="13"/>
      <c r="M322" s="13"/>
    </row>
    <row r="323" spans="2:13" ht="12.75" customHeight="1" x14ac:dyDescent="0.25">
      <c r="B323" s="13"/>
      <c r="D323" s="13"/>
      <c r="E323" s="13"/>
      <c r="F323" s="14"/>
      <c r="G323" s="14"/>
      <c r="H323" s="13"/>
      <c r="I323" s="13"/>
      <c r="J323" s="14"/>
      <c r="K323" s="13"/>
      <c r="M323" s="13"/>
    </row>
    <row r="324" spans="2:13" ht="12.75" customHeight="1" x14ac:dyDescent="0.25">
      <c r="B324" s="13"/>
      <c r="D324" s="13"/>
      <c r="E324" s="13"/>
      <c r="F324" s="14"/>
      <c r="G324" s="14"/>
      <c r="H324" s="13"/>
      <c r="I324" s="13"/>
      <c r="J324" s="14"/>
      <c r="K324" s="13"/>
      <c r="M324" s="13"/>
    </row>
    <row r="325" spans="2:13" ht="12.75" customHeight="1" x14ac:dyDescent="0.25">
      <c r="B325" s="13"/>
      <c r="D325" s="13"/>
      <c r="E325" s="13"/>
      <c r="F325" s="14"/>
      <c r="G325" s="14"/>
      <c r="H325" s="13"/>
      <c r="I325" s="13"/>
      <c r="J325" s="14"/>
      <c r="K325" s="13"/>
      <c r="M325" s="13"/>
    </row>
    <row r="326" spans="2:13" ht="12.75" customHeight="1" x14ac:dyDescent="0.25">
      <c r="B326" s="13"/>
      <c r="D326" s="13"/>
      <c r="E326" s="13"/>
      <c r="F326" s="14"/>
      <c r="G326" s="14"/>
      <c r="H326" s="13"/>
      <c r="I326" s="13"/>
      <c r="J326" s="14"/>
      <c r="K326" s="13"/>
      <c r="M326" s="13"/>
    </row>
    <row r="327" spans="2:13" ht="12.75" customHeight="1" x14ac:dyDescent="0.25">
      <c r="B327" s="13"/>
      <c r="D327" s="13"/>
      <c r="E327" s="13"/>
      <c r="F327" s="14"/>
      <c r="G327" s="14"/>
      <c r="H327" s="13"/>
      <c r="I327" s="13"/>
      <c r="J327" s="14"/>
      <c r="K327" s="13"/>
      <c r="M327" s="13"/>
    </row>
    <row r="328" spans="2:13" ht="12.75" customHeight="1" x14ac:dyDescent="0.25">
      <c r="B328" s="13"/>
      <c r="D328" s="13"/>
      <c r="E328" s="13"/>
      <c r="F328" s="14"/>
      <c r="G328" s="14"/>
      <c r="H328" s="13"/>
      <c r="I328" s="13"/>
      <c r="J328" s="14"/>
      <c r="K328" s="13"/>
      <c r="M328" s="13"/>
    </row>
    <row r="329" spans="2:13" ht="12.75" customHeight="1" x14ac:dyDescent="0.25">
      <c r="B329" s="13"/>
      <c r="D329" s="13"/>
      <c r="E329" s="13"/>
      <c r="F329" s="14"/>
      <c r="G329" s="14"/>
      <c r="H329" s="13"/>
      <c r="I329" s="13"/>
      <c r="J329" s="14"/>
      <c r="K329" s="13"/>
      <c r="M329" s="13"/>
    </row>
    <row r="330" spans="2:13" ht="12.75" customHeight="1" x14ac:dyDescent="0.25">
      <c r="B330" s="13"/>
      <c r="D330" s="13"/>
      <c r="E330" s="13"/>
      <c r="F330" s="14"/>
      <c r="G330" s="14"/>
      <c r="H330" s="13"/>
      <c r="I330" s="13"/>
      <c r="J330" s="14"/>
      <c r="K330" s="13"/>
      <c r="M330" s="13"/>
    </row>
    <row r="331" spans="2:13" ht="12.75" customHeight="1" x14ac:dyDescent="0.25">
      <c r="B331" s="13"/>
      <c r="D331" s="13"/>
      <c r="E331" s="13"/>
      <c r="F331" s="14"/>
      <c r="G331" s="14"/>
      <c r="H331" s="13"/>
      <c r="I331" s="13"/>
      <c r="J331" s="14"/>
      <c r="K331" s="13"/>
      <c r="M331" s="13"/>
    </row>
    <row r="332" spans="2:13" ht="12.75" customHeight="1" x14ac:dyDescent="0.25">
      <c r="B332" s="13"/>
      <c r="D332" s="13"/>
      <c r="E332" s="13"/>
      <c r="F332" s="14"/>
      <c r="G332" s="14"/>
      <c r="H332" s="13"/>
      <c r="I332" s="13"/>
      <c r="J332" s="14"/>
      <c r="K332" s="13"/>
      <c r="M332" s="13"/>
    </row>
    <row r="333" spans="2:13" ht="12.75" customHeight="1" x14ac:dyDescent="0.25">
      <c r="B333" s="13"/>
      <c r="D333" s="13"/>
      <c r="E333" s="13"/>
      <c r="F333" s="14"/>
      <c r="G333" s="14"/>
      <c r="H333" s="13"/>
      <c r="I333" s="13"/>
      <c r="J333" s="14"/>
      <c r="K333" s="13"/>
      <c r="M333" s="13"/>
    </row>
    <row r="334" spans="2:13" ht="12.75" customHeight="1" x14ac:dyDescent="0.25">
      <c r="B334" s="13"/>
      <c r="D334" s="13"/>
      <c r="E334" s="13"/>
      <c r="F334" s="14"/>
      <c r="G334" s="14"/>
      <c r="H334" s="13"/>
      <c r="I334" s="13"/>
      <c r="J334" s="14"/>
      <c r="K334" s="13"/>
      <c r="M334" s="13"/>
    </row>
    <row r="335" spans="2:13" ht="12.75" customHeight="1" x14ac:dyDescent="0.25">
      <c r="B335" s="13"/>
      <c r="D335" s="13"/>
      <c r="E335" s="13"/>
      <c r="F335" s="14"/>
      <c r="G335" s="14"/>
      <c r="H335" s="13"/>
      <c r="I335" s="13"/>
      <c r="J335" s="14"/>
      <c r="K335" s="13"/>
      <c r="M335" s="13"/>
    </row>
    <row r="336" spans="2:13" ht="12.75" customHeight="1" x14ac:dyDescent="0.25">
      <c r="B336" s="13"/>
      <c r="D336" s="13"/>
      <c r="E336" s="13"/>
      <c r="F336" s="14"/>
      <c r="G336" s="14"/>
      <c r="H336" s="13"/>
      <c r="I336" s="13"/>
      <c r="J336" s="14"/>
      <c r="K336" s="13"/>
      <c r="M336" s="13"/>
    </row>
    <row r="337" spans="2:13" ht="12.75" customHeight="1" x14ac:dyDescent="0.25">
      <c r="B337" s="13"/>
      <c r="D337" s="13"/>
      <c r="E337" s="13"/>
      <c r="F337" s="14"/>
      <c r="G337" s="14"/>
      <c r="H337" s="13"/>
      <c r="I337" s="13"/>
      <c r="J337" s="14"/>
      <c r="K337" s="13"/>
      <c r="M337" s="13"/>
    </row>
    <row r="338" spans="2:13" ht="12.75" customHeight="1" x14ac:dyDescent="0.25">
      <c r="B338" s="13"/>
      <c r="D338" s="13"/>
      <c r="E338" s="13"/>
      <c r="F338" s="14"/>
      <c r="G338" s="14"/>
      <c r="H338" s="13"/>
      <c r="I338" s="13"/>
      <c r="J338" s="14"/>
      <c r="K338" s="13"/>
      <c r="M338" s="13"/>
    </row>
    <row r="339" spans="2:13" ht="12.75" customHeight="1" x14ac:dyDescent="0.25">
      <c r="B339" s="13"/>
      <c r="D339" s="13"/>
      <c r="E339" s="13"/>
      <c r="F339" s="14"/>
      <c r="G339" s="14"/>
      <c r="H339" s="13"/>
      <c r="I339" s="13"/>
      <c r="J339" s="14"/>
      <c r="K339" s="13"/>
      <c r="M339" s="13"/>
    </row>
    <row r="340" spans="2:13" ht="12.75" customHeight="1" x14ac:dyDescent="0.25">
      <c r="B340" s="13"/>
      <c r="D340" s="13"/>
      <c r="E340" s="13"/>
      <c r="F340" s="14"/>
      <c r="G340" s="14"/>
      <c r="H340" s="13"/>
      <c r="I340" s="13"/>
      <c r="J340" s="14"/>
      <c r="K340" s="13"/>
      <c r="M340" s="13"/>
    </row>
    <row r="341" spans="2:13" ht="12.75" customHeight="1" x14ac:dyDescent="0.25">
      <c r="B341" s="13"/>
      <c r="D341" s="13"/>
      <c r="E341" s="13"/>
      <c r="F341" s="14"/>
      <c r="G341" s="14"/>
      <c r="H341" s="13"/>
      <c r="I341" s="13"/>
      <c r="J341" s="14"/>
      <c r="K341" s="13"/>
      <c r="M341" s="13"/>
    </row>
    <row r="342" spans="2:13" ht="12.75" customHeight="1" x14ac:dyDescent="0.25">
      <c r="B342" s="13"/>
      <c r="D342" s="13"/>
      <c r="E342" s="13"/>
      <c r="F342" s="14"/>
      <c r="G342" s="14"/>
      <c r="H342" s="13"/>
      <c r="I342" s="13"/>
      <c r="J342" s="14"/>
      <c r="K342" s="13"/>
      <c r="M342" s="13"/>
    </row>
    <row r="343" spans="2:13" ht="12.75" customHeight="1" x14ac:dyDescent="0.25">
      <c r="B343" s="13"/>
      <c r="D343" s="13"/>
      <c r="E343" s="13"/>
      <c r="F343" s="14"/>
      <c r="G343" s="14"/>
      <c r="H343" s="13"/>
      <c r="I343" s="13"/>
      <c r="J343" s="14"/>
      <c r="K343" s="13"/>
      <c r="M343" s="13"/>
    </row>
    <row r="344" spans="2:13" ht="12.75" customHeight="1" x14ac:dyDescent="0.25">
      <c r="B344" s="13"/>
      <c r="D344" s="13"/>
      <c r="E344" s="13"/>
      <c r="F344" s="14"/>
      <c r="G344" s="14"/>
      <c r="H344" s="13"/>
      <c r="I344" s="13"/>
      <c r="J344" s="14"/>
      <c r="K344" s="13"/>
      <c r="M344" s="13"/>
    </row>
    <row r="345" spans="2:13" ht="12.75" customHeight="1" x14ac:dyDescent="0.25">
      <c r="B345" s="13"/>
      <c r="D345" s="13"/>
      <c r="E345" s="13"/>
      <c r="F345" s="14"/>
      <c r="G345" s="14"/>
      <c r="H345" s="13"/>
      <c r="I345" s="13"/>
      <c r="J345" s="14"/>
      <c r="K345" s="13"/>
      <c r="M345" s="13"/>
    </row>
    <row r="346" spans="2:13" ht="12.75" customHeight="1" x14ac:dyDescent="0.25">
      <c r="B346" s="13"/>
      <c r="D346" s="13"/>
      <c r="E346" s="13"/>
      <c r="F346" s="14"/>
      <c r="G346" s="14"/>
      <c r="H346" s="13"/>
      <c r="I346" s="13"/>
      <c r="J346" s="14"/>
      <c r="K346" s="13"/>
      <c r="M346" s="13"/>
    </row>
    <row r="347" spans="2:13" ht="12.75" customHeight="1" x14ac:dyDescent="0.25">
      <c r="B347" s="13"/>
      <c r="D347" s="13"/>
      <c r="E347" s="13"/>
      <c r="F347" s="14"/>
      <c r="G347" s="14"/>
      <c r="H347" s="13"/>
      <c r="I347" s="13"/>
      <c r="J347" s="14"/>
      <c r="K347" s="13"/>
      <c r="M347" s="13"/>
    </row>
    <row r="348" spans="2:13" ht="12.75" customHeight="1" x14ac:dyDescent="0.25">
      <c r="B348" s="13"/>
      <c r="D348" s="13"/>
      <c r="E348" s="13"/>
      <c r="F348" s="14"/>
      <c r="G348" s="14"/>
      <c r="H348" s="13"/>
      <c r="I348" s="13"/>
      <c r="J348" s="14"/>
      <c r="K348" s="13"/>
      <c r="M348" s="13"/>
    </row>
    <row r="349" spans="2:13" ht="12.75" customHeight="1" x14ac:dyDescent="0.25">
      <c r="B349" s="13"/>
      <c r="D349" s="13"/>
      <c r="E349" s="13"/>
      <c r="F349" s="14"/>
      <c r="G349" s="14"/>
      <c r="H349" s="13"/>
      <c r="I349" s="13"/>
      <c r="J349" s="14"/>
      <c r="K349" s="13"/>
      <c r="M349" s="13"/>
    </row>
    <row r="350" spans="2:13" ht="12.75" customHeight="1" x14ac:dyDescent="0.25">
      <c r="B350" s="13"/>
      <c r="D350" s="13"/>
      <c r="E350" s="13"/>
      <c r="F350" s="14"/>
      <c r="G350" s="14"/>
      <c r="H350" s="13"/>
      <c r="I350" s="13"/>
      <c r="J350" s="14"/>
      <c r="K350" s="13"/>
      <c r="M350" s="13"/>
    </row>
    <row r="351" spans="2:13" ht="12.75" customHeight="1" x14ac:dyDescent="0.25">
      <c r="B351" s="13"/>
      <c r="D351" s="13"/>
      <c r="E351" s="13"/>
      <c r="F351" s="14"/>
      <c r="G351" s="14"/>
      <c r="H351" s="13"/>
      <c r="I351" s="13"/>
      <c r="J351" s="14"/>
      <c r="K351" s="13"/>
      <c r="M351" s="13"/>
    </row>
    <row r="352" spans="2:13" ht="12.75" customHeight="1" x14ac:dyDescent="0.25">
      <c r="B352" s="13"/>
      <c r="D352" s="13"/>
      <c r="E352" s="13"/>
      <c r="F352" s="14"/>
      <c r="G352" s="14"/>
      <c r="H352" s="13"/>
      <c r="I352" s="13"/>
      <c r="J352" s="14"/>
      <c r="K352" s="13"/>
      <c r="M352" s="13"/>
    </row>
    <row r="353" spans="2:13" ht="12.75" customHeight="1" x14ac:dyDescent="0.25">
      <c r="B353" s="13"/>
      <c r="D353" s="13"/>
      <c r="E353" s="13"/>
      <c r="F353" s="14"/>
      <c r="G353" s="14"/>
      <c r="H353" s="13"/>
      <c r="I353" s="13"/>
      <c r="J353" s="14"/>
      <c r="K353" s="13"/>
      <c r="M353" s="13"/>
    </row>
    <row r="354" spans="2:13" ht="12.75" customHeight="1" x14ac:dyDescent="0.25">
      <c r="B354" s="13"/>
      <c r="D354" s="13"/>
      <c r="E354" s="13"/>
      <c r="F354" s="14"/>
      <c r="G354" s="14"/>
      <c r="H354" s="13"/>
      <c r="I354" s="13"/>
      <c r="J354" s="14"/>
      <c r="K354" s="13"/>
      <c r="M354" s="13"/>
    </row>
    <row r="355" spans="2:13" ht="12.75" customHeight="1" x14ac:dyDescent="0.25">
      <c r="B355" s="13"/>
      <c r="D355" s="13"/>
      <c r="E355" s="13"/>
      <c r="F355" s="14"/>
      <c r="G355" s="14"/>
      <c r="H355" s="13"/>
      <c r="I355" s="13"/>
      <c r="J355" s="14"/>
      <c r="K355" s="13"/>
      <c r="M355" s="13"/>
    </row>
    <row r="356" spans="2:13" ht="12.75" customHeight="1" x14ac:dyDescent="0.25">
      <c r="B356" s="13"/>
      <c r="D356" s="13"/>
      <c r="E356" s="13"/>
      <c r="F356" s="14"/>
      <c r="G356" s="14"/>
      <c r="H356" s="13"/>
      <c r="I356" s="13"/>
      <c r="J356" s="14"/>
      <c r="K356" s="13"/>
      <c r="M356" s="13"/>
    </row>
    <row r="357" spans="2:13" ht="12.75" customHeight="1" x14ac:dyDescent="0.25">
      <c r="B357" s="13"/>
      <c r="D357" s="13"/>
      <c r="E357" s="13"/>
      <c r="F357" s="14"/>
      <c r="G357" s="14"/>
      <c r="H357" s="13"/>
      <c r="I357" s="13"/>
      <c r="J357" s="14"/>
      <c r="K357" s="13"/>
      <c r="M357" s="13"/>
    </row>
    <row r="358" spans="2:13" ht="12.75" customHeight="1" x14ac:dyDescent="0.25">
      <c r="B358" s="13"/>
      <c r="D358" s="13"/>
      <c r="E358" s="13"/>
      <c r="F358" s="14"/>
      <c r="G358" s="14"/>
      <c r="H358" s="13"/>
      <c r="I358" s="13"/>
      <c r="J358" s="14"/>
      <c r="K358" s="13"/>
      <c r="M358" s="13"/>
    </row>
    <row r="359" spans="2:13" ht="12.75" customHeight="1" x14ac:dyDescent="0.25">
      <c r="B359" s="13"/>
      <c r="D359" s="13"/>
      <c r="E359" s="13"/>
      <c r="F359" s="14"/>
      <c r="G359" s="14"/>
      <c r="H359" s="13"/>
      <c r="I359" s="13"/>
      <c r="J359" s="14"/>
      <c r="K359" s="13"/>
      <c r="M359" s="13"/>
    </row>
    <row r="360" spans="2:13" ht="12.75" customHeight="1" x14ac:dyDescent="0.25">
      <c r="B360" s="13"/>
      <c r="D360" s="13"/>
      <c r="E360" s="13"/>
      <c r="F360" s="14"/>
      <c r="G360" s="14"/>
      <c r="H360" s="13"/>
      <c r="I360" s="13"/>
      <c r="J360" s="14"/>
      <c r="K360" s="13"/>
      <c r="M360" s="13"/>
    </row>
    <row r="361" spans="2:13" ht="12.75" customHeight="1" x14ac:dyDescent="0.25">
      <c r="B361" s="13"/>
      <c r="D361" s="13"/>
      <c r="E361" s="13"/>
      <c r="F361" s="14"/>
      <c r="G361" s="14"/>
      <c r="H361" s="13"/>
      <c r="I361" s="13"/>
      <c r="J361" s="14"/>
      <c r="K361" s="13"/>
      <c r="M361" s="13"/>
    </row>
    <row r="362" spans="2:13" ht="12.75" customHeight="1" x14ac:dyDescent="0.25">
      <c r="B362" s="13"/>
      <c r="D362" s="13"/>
      <c r="E362" s="13"/>
      <c r="F362" s="14"/>
      <c r="G362" s="14"/>
      <c r="H362" s="13"/>
      <c r="I362" s="13"/>
      <c r="J362" s="14"/>
      <c r="K362" s="13"/>
      <c r="M362" s="13"/>
    </row>
    <row r="363" spans="2:13" ht="12.75" customHeight="1" x14ac:dyDescent="0.25">
      <c r="B363" s="13"/>
      <c r="D363" s="13"/>
      <c r="E363" s="13"/>
      <c r="F363" s="14"/>
      <c r="G363" s="14"/>
      <c r="H363" s="13"/>
      <c r="I363" s="13"/>
      <c r="J363" s="14"/>
      <c r="K363" s="13"/>
      <c r="M363" s="13"/>
    </row>
    <row r="364" spans="2:13" ht="12.75" customHeight="1" x14ac:dyDescent="0.25">
      <c r="B364" s="13"/>
      <c r="D364" s="13"/>
      <c r="E364" s="13"/>
      <c r="F364" s="14"/>
      <c r="G364" s="14"/>
      <c r="H364" s="13"/>
      <c r="I364" s="13"/>
      <c r="J364" s="14"/>
      <c r="K364" s="13"/>
      <c r="M364" s="13"/>
    </row>
    <row r="365" spans="2:13" ht="12.75" customHeight="1" x14ac:dyDescent="0.25">
      <c r="B365" s="13"/>
      <c r="D365" s="13"/>
      <c r="E365" s="13"/>
      <c r="F365" s="14"/>
      <c r="G365" s="14"/>
      <c r="H365" s="13"/>
      <c r="I365" s="13"/>
      <c r="J365" s="14"/>
      <c r="K365" s="13"/>
      <c r="M365" s="13"/>
    </row>
    <row r="366" spans="2:13" ht="12.75" customHeight="1" x14ac:dyDescent="0.25">
      <c r="B366" s="13"/>
      <c r="D366" s="13"/>
      <c r="E366" s="13"/>
      <c r="F366" s="14"/>
      <c r="G366" s="14"/>
      <c r="H366" s="13"/>
      <c r="I366" s="13"/>
      <c r="J366" s="14"/>
      <c r="K366" s="13"/>
      <c r="M366" s="13"/>
    </row>
    <row r="367" spans="2:13" ht="12.75" customHeight="1" x14ac:dyDescent="0.25">
      <c r="B367" s="13"/>
      <c r="D367" s="13"/>
      <c r="E367" s="13"/>
      <c r="F367" s="14"/>
      <c r="G367" s="14"/>
      <c r="H367" s="13"/>
      <c r="I367" s="13"/>
      <c r="J367" s="14"/>
      <c r="K367" s="13"/>
      <c r="M367" s="13"/>
    </row>
    <row r="368" spans="2:13" ht="12.75" customHeight="1" x14ac:dyDescent="0.25">
      <c r="B368" s="13"/>
      <c r="D368" s="13"/>
      <c r="E368" s="13"/>
      <c r="F368" s="14"/>
      <c r="G368" s="14"/>
      <c r="H368" s="13"/>
      <c r="I368" s="13"/>
      <c r="J368" s="14"/>
      <c r="K368" s="13"/>
      <c r="M368" s="13"/>
    </row>
    <row r="369" spans="2:13" ht="12.75" customHeight="1" x14ac:dyDescent="0.25">
      <c r="B369" s="13"/>
      <c r="D369" s="13"/>
      <c r="E369" s="13"/>
      <c r="F369" s="14"/>
      <c r="G369" s="14"/>
      <c r="H369" s="13"/>
      <c r="I369" s="13"/>
      <c r="J369" s="14"/>
      <c r="K369" s="13"/>
      <c r="M369" s="13"/>
    </row>
    <row r="370" spans="2:13" ht="12.75" customHeight="1" x14ac:dyDescent="0.25">
      <c r="B370" s="13"/>
      <c r="D370" s="13"/>
      <c r="E370" s="13"/>
      <c r="F370" s="14"/>
      <c r="G370" s="14"/>
      <c r="H370" s="13"/>
      <c r="I370" s="13"/>
      <c r="J370" s="14"/>
      <c r="K370" s="13"/>
      <c r="M370" s="13"/>
    </row>
    <row r="371" spans="2:13" ht="12.75" customHeight="1" x14ac:dyDescent="0.25">
      <c r="B371" s="13"/>
      <c r="D371" s="13"/>
      <c r="E371" s="13"/>
      <c r="F371" s="14"/>
      <c r="G371" s="14"/>
      <c r="H371" s="13"/>
      <c r="I371" s="13"/>
      <c r="J371" s="14"/>
      <c r="K371" s="13"/>
      <c r="M371" s="13"/>
    </row>
    <row r="372" spans="2:13" ht="12.75" customHeight="1" x14ac:dyDescent="0.25">
      <c r="B372" s="13"/>
      <c r="D372" s="13"/>
      <c r="E372" s="13"/>
      <c r="F372" s="14"/>
      <c r="G372" s="14"/>
      <c r="H372" s="13"/>
      <c r="I372" s="13"/>
      <c r="J372" s="14"/>
      <c r="K372" s="13"/>
      <c r="M372" s="13"/>
    </row>
    <row r="373" spans="2:13" ht="12.75" customHeight="1" x14ac:dyDescent="0.25">
      <c r="B373" s="13"/>
      <c r="D373" s="13"/>
      <c r="E373" s="13"/>
      <c r="F373" s="14"/>
      <c r="G373" s="14"/>
      <c r="H373" s="13"/>
      <c r="I373" s="13"/>
      <c r="J373" s="14"/>
      <c r="K373" s="13"/>
      <c r="M373" s="13"/>
    </row>
    <row r="374" spans="2:13" ht="12.75" customHeight="1" x14ac:dyDescent="0.25">
      <c r="B374" s="13"/>
      <c r="D374" s="13"/>
      <c r="E374" s="13"/>
      <c r="F374" s="14"/>
      <c r="G374" s="14"/>
      <c r="H374" s="13"/>
      <c r="I374" s="13"/>
      <c r="J374" s="14"/>
      <c r="K374" s="13"/>
      <c r="M374" s="13"/>
    </row>
    <row r="375" spans="2:13" ht="12.75" customHeight="1" x14ac:dyDescent="0.25">
      <c r="B375" s="13"/>
      <c r="D375" s="13"/>
      <c r="E375" s="13"/>
      <c r="F375" s="14"/>
      <c r="G375" s="14"/>
      <c r="H375" s="13"/>
      <c r="I375" s="13"/>
      <c r="J375" s="14"/>
      <c r="K375" s="13"/>
      <c r="M375" s="13"/>
    </row>
    <row r="376" spans="2:13" ht="12.75" customHeight="1" x14ac:dyDescent="0.25">
      <c r="B376" s="13"/>
      <c r="D376" s="13"/>
      <c r="E376" s="13"/>
      <c r="F376" s="14"/>
      <c r="G376" s="14"/>
      <c r="H376" s="13"/>
      <c r="I376" s="13"/>
      <c r="J376" s="14"/>
      <c r="K376" s="13"/>
      <c r="M376" s="13"/>
    </row>
    <row r="377" spans="2:13" ht="12.75" customHeight="1" x14ac:dyDescent="0.25">
      <c r="B377" s="13"/>
      <c r="D377" s="13"/>
      <c r="E377" s="13"/>
      <c r="F377" s="14"/>
      <c r="G377" s="14"/>
      <c r="H377" s="13"/>
      <c r="I377" s="13"/>
      <c r="J377" s="14"/>
      <c r="K377" s="13"/>
      <c r="M377" s="13"/>
    </row>
    <row r="378" spans="2:13" ht="12.75" customHeight="1" x14ac:dyDescent="0.25">
      <c r="B378" s="13"/>
      <c r="D378" s="13"/>
      <c r="E378" s="13"/>
      <c r="F378" s="14"/>
      <c r="G378" s="14"/>
      <c r="H378" s="13"/>
      <c r="I378" s="13"/>
      <c r="J378" s="14"/>
      <c r="K378" s="13"/>
      <c r="M378" s="13"/>
    </row>
    <row r="379" spans="2:13" ht="12.75" customHeight="1" x14ac:dyDescent="0.25">
      <c r="B379" s="13"/>
      <c r="D379" s="13"/>
      <c r="E379" s="13"/>
      <c r="F379" s="14"/>
      <c r="G379" s="14"/>
      <c r="H379" s="13"/>
      <c r="I379" s="13"/>
      <c r="J379" s="14"/>
      <c r="K379" s="13"/>
      <c r="M379" s="13"/>
    </row>
    <row r="380" spans="2:13" ht="12.75" customHeight="1" x14ac:dyDescent="0.25">
      <c r="B380" s="13"/>
      <c r="D380" s="13"/>
      <c r="E380" s="13"/>
      <c r="F380" s="14"/>
      <c r="G380" s="14"/>
      <c r="H380" s="13"/>
      <c r="I380" s="13"/>
      <c r="J380" s="14"/>
      <c r="K380" s="13"/>
      <c r="M380" s="13"/>
    </row>
    <row r="381" spans="2:13" ht="12.75" customHeight="1" x14ac:dyDescent="0.25">
      <c r="B381" s="13"/>
      <c r="D381" s="13"/>
      <c r="E381" s="13"/>
      <c r="F381" s="14"/>
      <c r="G381" s="14"/>
      <c r="H381" s="13"/>
      <c r="I381" s="13"/>
      <c r="J381" s="14"/>
      <c r="K381" s="13"/>
      <c r="M381" s="13"/>
    </row>
    <row r="382" spans="2:13" ht="12.75" customHeight="1" x14ac:dyDescent="0.25">
      <c r="B382" s="13"/>
      <c r="D382" s="13"/>
      <c r="E382" s="13"/>
      <c r="F382" s="14"/>
      <c r="G382" s="14"/>
      <c r="H382" s="13"/>
      <c r="I382" s="13"/>
      <c r="J382" s="14"/>
      <c r="K382" s="13"/>
      <c r="M382" s="13"/>
    </row>
    <row r="383" spans="2:13" ht="12.75" customHeight="1" x14ac:dyDescent="0.25">
      <c r="B383" s="13"/>
      <c r="D383" s="13"/>
      <c r="E383" s="13"/>
      <c r="F383" s="14"/>
      <c r="G383" s="14"/>
      <c r="H383" s="13"/>
      <c r="I383" s="13"/>
      <c r="J383" s="14"/>
      <c r="K383" s="13"/>
      <c r="M383" s="13"/>
    </row>
    <row r="384" spans="2:13" ht="12.75" customHeight="1" x14ac:dyDescent="0.25">
      <c r="B384" s="13"/>
      <c r="D384" s="13"/>
      <c r="E384" s="13"/>
      <c r="F384" s="14"/>
      <c r="G384" s="14"/>
      <c r="H384" s="13"/>
      <c r="I384" s="13"/>
      <c r="J384" s="14"/>
      <c r="K384" s="13"/>
      <c r="M384" s="13"/>
    </row>
    <row r="385" spans="2:13" ht="12.75" customHeight="1" x14ac:dyDescent="0.25">
      <c r="B385" s="13"/>
      <c r="D385" s="13"/>
      <c r="E385" s="13"/>
      <c r="F385" s="14"/>
      <c r="G385" s="14"/>
      <c r="H385" s="13"/>
      <c r="I385" s="13"/>
      <c r="J385" s="14"/>
      <c r="K385" s="13"/>
      <c r="M385" s="13"/>
    </row>
    <row r="386" spans="2:13" ht="12.75" customHeight="1" x14ac:dyDescent="0.25">
      <c r="B386" s="13"/>
      <c r="D386" s="13"/>
      <c r="E386" s="13"/>
      <c r="F386" s="14"/>
      <c r="G386" s="14"/>
      <c r="H386" s="13"/>
      <c r="I386" s="13"/>
      <c r="J386" s="14"/>
      <c r="K386" s="13"/>
      <c r="M386" s="13"/>
    </row>
    <row r="387" spans="2:13" ht="12.75" customHeight="1" x14ac:dyDescent="0.25">
      <c r="B387" s="13"/>
      <c r="D387" s="13"/>
      <c r="E387" s="13"/>
      <c r="F387" s="14"/>
      <c r="G387" s="14"/>
      <c r="H387" s="13"/>
      <c r="I387" s="13"/>
      <c r="J387" s="14"/>
      <c r="K387" s="13"/>
      <c r="M387" s="13"/>
    </row>
    <row r="388" spans="2:13" ht="12.75" customHeight="1" x14ac:dyDescent="0.25">
      <c r="B388" s="13"/>
      <c r="D388" s="13"/>
      <c r="E388" s="13"/>
      <c r="F388" s="14"/>
      <c r="G388" s="14"/>
      <c r="H388" s="13"/>
      <c r="I388" s="13"/>
      <c r="J388" s="14"/>
      <c r="K388" s="13"/>
      <c r="M388" s="13"/>
    </row>
    <row r="389" spans="2:13" ht="12.75" customHeight="1" x14ac:dyDescent="0.25">
      <c r="B389" s="13"/>
      <c r="D389" s="13"/>
      <c r="E389" s="13"/>
      <c r="F389" s="14"/>
      <c r="G389" s="14"/>
      <c r="H389" s="13"/>
      <c r="I389" s="13"/>
      <c r="J389" s="14"/>
      <c r="K389" s="13"/>
      <c r="M389" s="13"/>
    </row>
    <row r="390" spans="2:13" ht="12.75" customHeight="1" x14ac:dyDescent="0.25">
      <c r="B390" s="13"/>
      <c r="D390" s="13"/>
      <c r="E390" s="13"/>
      <c r="F390" s="14"/>
      <c r="G390" s="14"/>
      <c r="H390" s="13"/>
      <c r="I390" s="13"/>
      <c r="J390" s="14"/>
      <c r="K390" s="13"/>
      <c r="M390" s="13"/>
    </row>
    <row r="391" spans="2:13" ht="12.75" customHeight="1" x14ac:dyDescent="0.25">
      <c r="B391" s="13"/>
      <c r="D391" s="13"/>
      <c r="E391" s="13"/>
      <c r="F391" s="14"/>
      <c r="G391" s="14"/>
      <c r="H391" s="13"/>
      <c r="I391" s="13"/>
      <c r="J391" s="14"/>
      <c r="K391" s="13"/>
      <c r="M391" s="13"/>
    </row>
    <row r="392" spans="2:13" ht="12.75" customHeight="1" x14ac:dyDescent="0.25">
      <c r="B392" s="13"/>
      <c r="D392" s="13"/>
      <c r="E392" s="13"/>
      <c r="F392" s="14"/>
      <c r="G392" s="14"/>
      <c r="H392" s="13"/>
      <c r="I392" s="13"/>
      <c r="J392" s="14"/>
      <c r="K392" s="13"/>
      <c r="M392" s="13"/>
    </row>
    <row r="393" spans="2:13" ht="12.75" customHeight="1" x14ac:dyDescent="0.25">
      <c r="B393" s="13"/>
      <c r="D393" s="13"/>
      <c r="E393" s="13"/>
      <c r="F393" s="14"/>
      <c r="G393" s="14"/>
      <c r="H393" s="13"/>
      <c r="I393" s="13"/>
      <c r="J393" s="14"/>
      <c r="K393" s="13"/>
      <c r="M393" s="13"/>
    </row>
    <row r="394" spans="2:13" ht="12.75" customHeight="1" x14ac:dyDescent="0.25">
      <c r="B394" s="13"/>
      <c r="D394" s="13"/>
      <c r="E394" s="13"/>
      <c r="F394" s="14"/>
      <c r="G394" s="14"/>
      <c r="H394" s="13"/>
      <c r="I394" s="13"/>
      <c r="J394" s="14"/>
      <c r="K394" s="13"/>
      <c r="M394" s="13"/>
    </row>
    <row r="395" spans="2:13" ht="12.75" customHeight="1" x14ac:dyDescent="0.25">
      <c r="B395" s="13"/>
      <c r="D395" s="13"/>
      <c r="E395" s="13"/>
      <c r="F395" s="14"/>
      <c r="G395" s="14"/>
      <c r="H395" s="13"/>
      <c r="I395" s="13"/>
      <c r="J395" s="14"/>
      <c r="K395" s="13"/>
      <c r="M395" s="13"/>
    </row>
    <row r="396" spans="2:13" ht="12.75" customHeight="1" x14ac:dyDescent="0.25">
      <c r="B396" s="13"/>
      <c r="D396" s="13"/>
      <c r="E396" s="13"/>
      <c r="F396" s="14"/>
      <c r="G396" s="14"/>
      <c r="H396" s="13"/>
      <c r="I396" s="13"/>
      <c r="J396" s="14"/>
      <c r="K396" s="13"/>
      <c r="M396" s="13"/>
    </row>
    <row r="397" spans="2:13" ht="12.75" customHeight="1" x14ac:dyDescent="0.25">
      <c r="B397" s="13"/>
      <c r="D397" s="13"/>
      <c r="E397" s="13"/>
      <c r="F397" s="14"/>
      <c r="G397" s="14"/>
      <c r="H397" s="13"/>
      <c r="I397" s="13"/>
      <c r="J397" s="14"/>
      <c r="K397" s="13"/>
      <c r="M397" s="13"/>
    </row>
    <row r="398" spans="2:13" ht="12.75" customHeight="1" x14ac:dyDescent="0.25">
      <c r="B398" s="13"/>
      <c r="D398" s="13"/>
      <c r="E398" s="13"/>
      <c r="F398" s="14"/>
      <c r="G398" s="14"/>
      <c r="H398" s="13"/>
      <c r="I398" s="13"/>
      <c r="J398" s="14"/>
      <c r="K398" s="13"/>
      <c r="M398" s="13"/>
    </row>
    <row r="399" spans="2:13" ht="12.75" customHeight="1" x14ac:dyDescent="0.25">
      <c r="B399" s="13"/>
      <c r="D399" s="13"/>
      <c r="E399" s="13"/>
      <c r="F399" s="14"/>
      <c r="G399" s="14"/>
      <c r="H399" s="13"/>
      <c r="I399" s="13"/>
      <c r="J399" s="14"/>
      <c r="K399" s="13"/>
      <c r="M399" s="13"/>
    </row>
    <row r="400" spans="2:13" ht="12.75" customHeight="1" x14ac:dyDescent="0.25">
      <c r="B400" s="13"/>
      <c r="D400" s="13"/>
      <c r="E400" s="13"/>
      <c r="F400" s="14"/>
      <c r="G400" s="14"/>
      <c r="H400" s="13"/>
      <c r="I400" s="13"/>
      <c r="J400" s="14"/>
      <c r="K400" s="13"/>
      <c r="M400" s="13"/>
    </row>
    <row r="401" spans="2:13" ht="12.75" customHeight="1" x14ac:dyDescent="0.25">
      <c r="B401" s="13"/>
      <c r="D401" s="13"/>
      <c r="E401" s="13"/>
      <c r="F401" s="14"/>
      <c r="G401" s="14"/>
      <c r="H401" s="13"/>
      <c r="I401" s="13"/>
      <c r="J401" s="14"/>
      <c r="K401" s="13"/>
      <c r="M401" s="13"/>
    </row>
    <row r="402" spans="2:13" ht="12.75" customHeight="1" x14ac:dyDescent="0.25">
      <c r="B402" s="13"/>
      <c r="D402" s="13"/>
      <c r="E402" s="13"/>
      <c r="F402" s="14"/>
      <c r="G402" s="14"/>
      <c r="H402" s="13"/>
      <c r="I402" s="13"/>
      <c r="J402" s="14"/>
      <c r="K402" s="13"/>
      <c r="M402" s="13"/>
    </row>
    <row r="403" spans="2:13" ht="12.75" customHeight="1" x14ac:dyDescent="0.25">
      <c r="B403" s="13"/>
      <c r="D403" s="13"/>
      <c r="E403" s="13"/>
      <c r="F403" s="14"/>
      <c r="G403" s="14"/>
      <c r="H403" s="13"/>
      <c r="I403" s="13"/>
      <c r="J403" s="14"/>
      <c r="K403" s="13"/>
      <c r="M403" s="13"/>
    </row>
    <row r="404" spans="2:13" ht="12.75" customHeight="1" x14ac:dyDescent="0.25">
      <c r="B404" s="13"/>
      <c r="D404" s="13"/>
      <c r="E404" s="13"/>
      <c r="F404" s="14"/>
      <c r="G404" s="14"/>
      <c r="H404" s="13"/>
      <c r="I404" s="13"/>
      <c r="J404" s="14"/>
      <c r="K404" s="13"/>
      <c r="M404" s="13"/>
    </row>
    <row r="405" spans="2:13" ht="12.75" customHeight="1" x14ac:dyDescent="0.25">
      <c r="B405" s="13"/>
      <c r="D405" s="13"/>
      <c r="E405" s="13"/>
      <c r="F405" s="14"/>
      <c r="G405" s="14"/>
      <c r="H405" s="13"/>
      <c r="I405" s="13"/>
      <c r="J405" s="14"/>
      <c r="K405" s="13"/>
      <c r="M405" s="13"/>
    </row>
    <row r="406" spans="2:13" ht="12.75" customHeight="1" x14ac:dyDescent="0.25">
      <c r="B406" s="13"/>
      <c r="D406" s="13"/>
      <c r="E406" s="13"/>
      <c r="F406" s="14"/>
      <c r="G406" s="14"/>
      <c r="H406" s="13"/>
      <c r="I406" s="13"/>
      <c r="J406" s="14"/>
      <c r="K406" s="13"/>
      <c r="M406" s="13"/>
    </row>
    <row r="407" spans="2:13" ht="12.75" customHeight="1" x14ac:dyDescent="0.25">
      <c r="B407" s="13"/>
      <c r="D407" s="13"/>
      <c r="E407" s="13"/>
      <c r="F407" s="14"/>
      <c r="G407" s="14"/>
      <c r="H407" s="13"/>
      <c r="I407" s="13"/>
      <c r="J407" s="14"/>
      <c r="K407" s="13"/>
      <c r="M407" s="13"/>
    </row>
    <row r="408" spans="2:13" ht="12.75" customHeight="1" x14ac:dyDescent="0.25">
      <c r="B408" s="13"/>
      <c r="D408" s="13"/>
      <c r="E408" s="13"/>
      <c r="F408" s="14"/>
      <c r="G408" s="14"/>
      <c r="H408" s="13"/>
      <c r="I408" s="13"/>
      <c r="J408" s="14"/>
      <c r="K408" s="13"/>
      <c r="M408" s="13"/>
    </row>
    <row r="409" spans="2:13" ht="12.75" customHeight="1" x14ac:dyDescent="0.25">
      <c r="B409" s="13"/>
      <c r="D409" s="13"/>
      <c r="E409" s="13"/>
      <c r="F409" s="14"/>
      <c r="G409" s="14"/>
      <c r="H409" s="13"/>
      <c r="I409" s="13"/>
      <c r="J409" s="14"/>
      <c r="K409" s="13"/>
      <c r="M409" s="13"/>
    </row>
    <row r="410" spans="2:13" ht="12.75" customHeight="1" x14ac:dyDescent="0.25">
      <c r="B410" s="13"/>
      <c r="D410" s="13"/>
      <c r="E410" s="13"/>
      <c r="F410" s="14"/>
      <c r="G410" s="14"/>
      <c r="H410" s="13"/>
      <c r="I410" s="13"/>
      <c r="J410" s="14"/>
      <c r="K410" s="13"/>
      <c r="M410" s="13"/>
    </row>
    <row r="411" spans="2:13" ht="12.75" customHeight="1" x14ac:dyDescent="0.25">
      <c r="B411" s="13"/>
      <c r="D411" s="13"/>
      <c r="E411" s="13"/>
      <c r="F411" s="14"/>
      <c r="G411" s="14"/>
      <c r="H411" s="13"/>
      <c r="I411" s="13"/>
      <c r="J411" s="14"/>
      <c r="K411" s="13"/>
      <c r="M411" s="13"/>
    </row>
    <row r="412" spans="2:13" ht="12.75" customHeight="1" x14ac:dyDescent="0.25">
      <c r="B412" s="13"/>
      <c r="D412" s="13"/>
      <c r="E412" s="13"/>
      <c r="F412" s="14"/>
      <c r="G412" s="14"/>
      <c r="H412" s="13"/>
      <c r="I412" s="13"/>
      <c r="J412" s="14"/>
      <c r="K412" s="13"/>
      <c r="M412" s="13"/>
    </row>
    <row r="413" spans="2:13" ht="12.75" customHeight="1" x14ac:dyDescent="0.25">
      <c r="B413" s="13"/>
      <c r="D413" s="13"/>
      <c r="E413" s="13"/>
      <c r="F413" s="14"/>
      <c r="G413" s="14"/>
      <c r="H413" s="13"/>
      <c r="I413" s="13"/>
      <c r="J413" s="14"/>
      <c r="K413" s="13"/>
      <c r="M413" s="13"/>
    </row>
    <row r="414" spans="2:13" ht="12.75" customHeight="1" x14ac:dyDescent="0.25">
      <c r="B414" s="13"/>
      <c r="D414" s="13"/>
      <c r="E414" s="13"/>
      <c r="F414" s="14"/>
      <c r="G414" s="14"/>
      <c r="H414" s="13"/>
      <c r="I414" s="13"/>
      <c r="J414" s="14"/>
      <c r="K414" s="13"/>
      <c r="M414" s="13"/>
    </row>
    <row r="415" spans="2:13" ht="12.75" customHeight="1" x14ac:dyDescent="0.25">
      <c r="B415" s="13"/>
      <c r="D415" s="13"/>
      <c r="E415" s="13"/>
      <c r="F415" s="14"/>
      <c r="G415" s="14"/>
      <c r="H415" s="13"/>
      <c r="I415" s="13"/>
      <c r="J415" s="14"/>
      <c r="K415" s="13"/>
      <c r="M415" s="13"/>
    </row>
    <row r="416" spans="2:13" ht="12.75" customHeight="1" x14ac:dyDescent="0.25">
      <c r="B416" s="13"/>
      <c r="D416" s="13"/>
      <c r="E416" s="13"/>
      <c r="F416" s="14"/>
      <c r="G416" s="14"/>
      <c r="H416" s="13"/>
      <c r="I416" s="13"/>
      <c r="J416" s="14"/>
      <c r="K416" s="13"/>
      <c r="M416" s="13"/>
    </row>
    <row r="417" spans="2:13" ht="12.75" customHeight="1" x14ac:dyDescent="0.25">
      <c r="B417" s="13"/>
      <c r="D417" s="13"/>
      <c r="E417" s="13"/>
      <c r="F417" s="14"/>
      <c r="G417" s="14"/>
      <c r="H417" s="13"/>
      <c r="I417" s="13"/>
      <c r="J417" s="14"/>
      <c r="K417" s="13"/>
      <c r="M417" s="13"/>
    </row>
    <row r="418" spans="2:13" ht="12.75" customHeight="1" x14ac:dyDescent="0.25">
      <c r="B418" s="13"/>
      <c r="D418" s="13"/>
      <c r="E418" s="13"/>
      <c r="F418" s="14"/>
      <c r="G418" s="14"/>
      <c r="H418" s="13"/>
      <c r="I418" s="13"/>
      <c r="J418" s="14"/>
      <c r="K418" s="13"/>
      <c r="M418" s="13"/>
    </row>
    <row r="419" spans="2:13" ht="12.75" customHeight="1" x14ac:dyDescent="0.25">
      <c r="B419" s="13"/>
      <c r="D419" s="13"/>
      <c r="E419" s="13"/>
      <c r="F419" s="14"/>
      <c r="G419" s="14"/>
      <c r="H419" s="13"/>
      <c r="I419" s="13"/>
      <c r="J419" s="14"/>
      <c r="K419" s="13"/>
      <c r="M419" s="13"/>
    </row>
    <row r="420" spans="2:13" ht="12.75" customHeight="1" x14ac:dyDescent="0.25">
      <c r="B420" s="13"/>
      <c r="D420" s="13"/>
      <c r="E420" s="13"/>
      <c r="F420" s="14"/>
      <c r="G420" s="14"/>
      <c r="H420" s="13"/>
      <c r="I420" s="13"/>
      <c r="J420" s="14"/>
      <c r="K420" s="13"/>
      <c r="M420" s="13"/>
    </row>
    <row r="421" spans="2:13" ht="12.75" customHeight="1" x14ac:dyDescent="0.25">
      <c r="B421" s="13"/>
      <c r="D421" s="13"/>
      <c r="E421" s="13"/>
      <c r="F421" s="14"/>
      <c r="G421" s="14"/>
      <c r="H421" s="13"/>
      <c r="I421" s="13"/>
      <c r="J421" s="14"/>
      <c r="K421" s="13"/>
      <c r="M421" s="13"/>
    </row>
    <row r="422" spans="2:13" ht="12.75" customHeight="1" x14ac:dyDescent="0.25">
      <c r="B422" s="13"/>
      <c r="D422" s="13"/>
      <c r="E422" s="13"/>
      <c r="F422" s="14"/>
      <c r="G422" s="14"/>
      <c r="H422" s="13"/>
      <c r="I422" s="13"/>
      <c r="J422" s="14"/>
      <c r="K422" s="13"/>
      <c r="M422" s="13"/>
    </row>
    <row r="423" spans="2:13" ht="12.75" customHeight="1" x14ac:dyDescent="0.25">
      <c r="B423" s="13"/>
      <c r="D423" s="13"/>
      <c r="E423" s="13"/>
      <c r="F423" s="14"/>
      <c r="G423" s="14"/>
      <c r="H423" s="13"/>
      <c r="I423" s="13"/>
      <c r="J423" s="14"/>
      <c r="K423" s="13"/>
      <c r="M423" s="13"/>
    </row>
    <row r="424" spans="2:13" ht="12.75" customHeight="1" x14ac:dyDescent="0.25">
      <c r="B424" s="13"/>
      <c r="D424" s="13"/>
      <c r="E424" s="13"/>
      <c r="F424" s="14"/>
      <c r="G424" s="14"/>
      <c r="H424" s="13"/>
      <c r="I424" s="13"/>
      <c r="J424" s="14"/>
      <c r="K424" s="13"/>
      <c r="M424" s="13"/>
    </row>
    <row r="425" spans="2:13" ht="12.75" customHeight="1" x14ac:dyDescent="0.25">
      <c r="B425" s="13"/>
      <c r="D425" s="13"/>
      <c r="E425" s="13"/>
      <c r="F425" s="14"/>
      <c r="G425" s="14"/>
      <c r="H425" s="13"/>
      <c r="I425" s="13"/>
      <c r="J425" s="14"/>
      <c r="K425" s="13"/>
      <c r="M425" s="13"/>
    </row>
    <row r="426" spans="2:13" ht="12.75" customHeight="1" x14ac:dyDescent="0.25">
      <c r="B426" s="13"/>
      <c r="D426" s="13"/>
      <c r="E426" s="13"/>
      <c r="F426" s="14"/>
      <c r="G426" s="14"/>
      <c r="H426" s="13"/>
      <c r="I426" s="13"/>
      <c r="J426" s="14"/>
      <c r="K426" s="13"/>
      <c r="M426" s="13"/>
    </row>
    <row r="427" spans="2:13" ht="12.75" customHeight="1" x14ac:dyDescent="0.25">
      <c r="B427" s="13"/>
      <c r="D427" s="13"/>
      <c r="E427" s="13"/>
      <c r="F427" s="14"/>
      <c r="G427" s="14"/>
      <c r="H427" s="13"/>
      <c r="I427" s="13"/>
      <c r="J427" s="14"/>
      <c r="K427" s="13"/>
      <c r="M427" s="13"/>
    </row>
    <row r="428" spans="2:13" ht="12.75" customHeight="1" x14ac:dyDescent="0.25">
      <c r="B428" s="13"/>
      <c r="D428" s="13"/>
      <c r="E428" s="13"/>
      <c r="F428" s="14"/>
      <c r="G428" s="14"/>
      <c r="H428" s="13"/>
      <c r="I428" s="13"/>
      <c r="J428" s="14"/>
      <c r="K428" s="13"/>
      <c r="M428" s="13"/>
    </row>
    <row r="429" spans="2:13" ht="12.75" customHeight="1" x14ac:dyDescent="0.25">
      <c r="B429" s="13"/>
      <c r="D429" s="13"/>
      <c r="E429" s="13"/>
      <c r="F429" s="14"/>
      <c r="G429" s="14"/>
      <c r="H429" s="13"/>
      <c r="I429" s="13"/>
      <c r="J429" s="14"/>
      <c r="K429" s="13"/>
      <c r="M429" s="13"/>
    </row>
    <row r="430" spans="2:13" ht="12.75" customHeight="1" x14ac:dyDescent="0.25">
      <c r="B430" s="13"/>
      <c r="D430" s="13"/>
      <c r="E430" s="13"/>
      <c r="F430" s="14"/>
      <c r="G430" s="14"/>
      <c r="H430" s="13"/>
      <c r="I430" s="13"/>
      <c r="J430" s="14"/>
      <c r="K430" s="13"/>
      <c r="M430" s="13"/>
    </row>
    <row r="431" spans="2:13" ht="12.75" customHeight="1" x14ac:dyDescent="0.25">
      <c r="B431" s="13"/>
      <c r="D431" s="13"/>
      <c r="E431" s="13"/>
      <c r="F431" s="14"/>
      <c r="G431" s="14"/>
      <c r="H431" s="13"/>
      <c r="I431" s="13"/>
      <c r="J431" s="14"/>
      <c r="K431" s="13"/>
      <c r="M431" s="13"/>
    </row>
    <row r="432" spans="2:13" ht="12.75" customHeight="1" x14ac:dyDescent="0.25">
      <c r="B432" s="13"/>
      <c r="D432" s="13"/>
      <c r="E432" s="13"/>
      <c r="F432" s="14"/>
      <c r="G432" s="14"/>
      <c r="H432" s="13"/>
      <c r="I432" s="13"/>
      <c r="J432" s="14"/>
      <c r="K432" s="13"/>
      <c r="M432" s="13"/>
    </row>
    <row r="433" spans="2:13" ht="12.75" customHeight="1" x14ac:dyDescent="0.25">
      <c r="B433" s="13"/>
      <c r="D433" s="13"/>
      <c r="E433" s="13"/>
      <c r="F433" s="14"/>
      <c r="G433" s="14"/>
      <c r="H433" s="13"/>
      <c r="I433" s="13"/>
      <c r="J433" s="14"/>
      <c r="K433" s="13"/>
      <c r="M433" s="13"/>
    </row>
    <row r="434" spans="2:13" ht="12.75" customHeight="1" x14ac:dyDescent="0.25">
      <c r="B434" s="13"/>
      <c r="D434" s="13"/>
      <c r="E434" s="13"/>
      <c r="F434" s="14"/>
      <c r="G434" s="14"/>
      <c r="H434" s="13"/>
      <c r="I434" s="13"/>
      <c r="J434" s="14"/>
      <c r="K434" s="13"/>
      <c r="M434" s="13"/>
    </row>
    <row r="435" spans="2:13" ht="12.75" customHeight="1" x14ac:dyDescent="0.25">
      <c r="B435" s="13"/>
      <c r="D435" s="13"/>
      <c r="E435" s="13"/>
      <c r="F435" s="14"/>
      <c r="G435" s="14"/>
      <c r="H435" s="13"/>
      <c r="I435" s="13"/>
      <c r="J435" s="14"/>
      <c r="K435" s="13"/>
      <c r="M435" s="13"/>
    </row>
    <row r="436" spans="2:13" ht="12.75" customHeight="1" x14ac:dyDescent="0.25">
      <c r="B436" s="13"/>
      <c r="D436" s="13"/>
      <c r="E436" s="13"/>
      <c r="F436" s="14"/>
      <c r="G436" s="14"/>
      <c r="H436" s="13"/>
      <c r="I436" s="13"/>
      <c r="J436" s="14"/>
      <c r="K436" s="13"/>
      <c r="M436" s="13"/>
    </row>
    <row r="437" spans="2:13" ht="12.75" customHeight="1" x14ac:dyDescent="0.25">
      <c r="B437" s="13"/>
      <c r="D437" s="13"/>
      <c r="E437" s="13"/>
      <c r="F437" s="14"/>
      <c r="G437" s="14"/>
      <c r="H437" s="13"/>
      <c r="I437" s="13"/>
      <c r="J437" s="14"/>
      <c r="K437" s="13"/>
      <c r="M437" s="13"/>
    </row>
    <row r="438" spans="2:13" ht="12.75" customHeight="1" x14ac:dyDescent="0.25">
      <c r="B438" s="13"/>
      <c r="D438" s="13"/>
      <c r="E438" s="13"/>
      <c r="F438" s="14"/>
      <c r="G438" s="14"/>
      <c r="H438" s="13"/>
      <c r="I438" s="13"/>
      <c r="J438" s="14"/>
      <c r="K438" s="13"/>
      <c r="M438" s="13"/>
    </row>
    <row r="439" spans="2:13" ht="12.75" customHeight="1" x14ac:dyDescent="0.25">
      <c r="B439" s="13"/>
      <c r="D439" s="13"/>
      <c r="E439" s="13"/>
      <c r="F439" s="14"/>
      <c r="G439" s="14"/>
      <c r="H439" s="13"/>
      <c r="I439" s="13"/>
      <c r="J439" s="14"/>
      <c r="K439" s="13"/>
      <c r="M439" s="13"/>
    </row>
    <row r="440" spans="2:13" ht="12.75" customHeight="1" x14ac:dyDescent="0.25">
      <c r="B440" s="13"/>
      <c r="D440" s="13"/>
      <c r="E440" s="13"/>
      <c r="F440" s="14"/>
      <c r="G440" s="14"/>
      <c r="H440" s="13"/>
      <c r="I440" s="13"/>
      <c r="J440" s="14"/>
      <c r="K440" s="13"/>
      <c r="M440" s="13"/>
    </row>
    <row r="441" spans="2:13" ht="12.75" customHeight="1" x14ac:dyDescent="0.25">
      <c r="B441" s="13"/>
      <c r="D441" s="13"/>
      <c r="E441" s="13"/>
      <c r="F441" s="14"/>
      <c r="G441" s="14"/>
      <c r="H441" s="13"/>
      <c r="I441" s="13"/>
      <c r="J441" s="14"/>
      <c r="K441" s="13"/>
      <c r="M441" s="13"/>
    </row>
    <row r="442" spans="2:13" ht="12.75" customHeight="1" x14ac:dyDescent="0.25">
      <c r="B442" s="13"/>
      <c r="D442" s="13"/>
      <c r="E442" s="13"/>
      <c r="F442" s="14"/>
      <c r="G442" s="14"/>
      <c r="H442" s="13"/>
      <c r="I442" s="13"/>
      <c r="J442" s="14"/>
      <c r="K442" s="13"/>
      <c r="M442" s="13"/>
    </row>
    <row r="443" spans="2:13" ht="12.75" customHeight="1" x14ac:dyDescent="0.25">
      <c r="B443" s="13"/>
      <c r="D443" s="13"/>
      <c r="E443" s="13"/>
      <c r="F443" s="14"/>
      <c r="G443" s="14"/>
      <c r="H443" s="13"/>
      <c r="I443" s="13"/>
      <c r="J443" s="14"/>
      <c r="K443" s="13"/>
      <c r="M443" s="13"/>
    </row>
    <row r="444" spans="2:13" ht="12.75" customHeight="1" x14ac:dyDescent="0.25">
      <c r="B444" s="13"/>
      <c r="D444" s="13"/>
      <c r="E444" s="13"/>
      <c r="F444" s="14"/>
      <c r="G444" s="14"/>
      <c r="H444" s="13"/>
      <c r="I444" s="13"/>
      <c r="J444" s="14"/>
      <c r="K444" s="13"/>
      <c r="M444" s="13"/>
    </row>
    <row r="445" spans="2:13" ht="12.75" customHeight="1" x14ac:dyDescent="0.25">
      <c r="B445" s="13"/>
      <c r="D445" s="13"/>
      <c r="E445" s="13"/>
      <c r="F445" s="14"/>
      <c r="G445" s="14"/>
      <c r="H445" s="13"/>
      <c r="I445" s="13"/>
      <c r="J445" s="14"/>
      <c r="K445" s="13"/>
      <c r="M445" s="13"/>
    </row>
    <row r="446" spans="2:13" ht="12.75" customHeight="1" x14ac:dyDescent="0.25">
      <c r="B446" s="13"/>
      <c r="D446" s="13"/>
      <c r="E446" s="13"/>
      <c r="F446" s="14"/>
      <c r="G446" s="14"/>
      <c r="H446" s="13"/>
      <c r="I446" s="13"/>
      <c r="J446" s="14"/>
      <c r="K446" s="13"/>
      <c r="M446" s="13"/>
    </row>
    <row r="447" spans="2:13" ht="12.75" customHeight="1" x14ac:dyDescent="0.25">
      <c r="B447" s="13"/>
      <c r="D447" s="13"/>
      <c r="E447" s="13"/>
      <c r="F447" s="14"/>
      <c r="G447" s="14"/>
      <c r="H447" s="13"/>
      <c r="I447" s="13"/>
      <c r="J447" s="14"/>
      <c r="K447" s="13"/>
      <c r="M447" s="13"/>
    </row>
    <row r="448" spans="2:13" ht="12.75" customHeight="1" x14ac:dyDescent="0.25">
      <c r="B448" s="13"/>
      <c r="D448" s="13"/>
      <c r="E448" s="13"/>
      <c r="F448" s="14"/>
      <c r="G448" s="14"/>
      <c r="H448" s="13"/>
      <c r="I448" s="13"/>
      <c r="J448" s="14"/>
      <c r="K448" s="13"/>
      <c r="M448" s="13"/>
    </row>
    <row r="449" spans="2:13" ht="12.75" customHeight="1" x14ac:dyDescent="0.25">
      <c r="B449" s="13"/>
      <c r="D449" s="13"/>
      <c r="E449" s="13"/>
      <c r="F449" s="14"/>
      <c r="G449" s="14"/>
      <c r="H449" s="13"/>
      <c r="I449" s="13"/>
      <c r="J449" s="14"/>
      <c r="K449" s="13"/>
      <c r="M449" s="13"/>
    </row>
    <row r="450" spans="2:13" ht="12.75" customHeight="1" x14ac:dyDescent="0.25">
      <c r="B450" s="13"/>
      <c r="D450" s="13"/>
      <c r="E450" s="13"/>
      <c r="F450" s="14"/>
      <c r="G450" s="14"/>
      <c r="H450" s="13"/>
      <c r="I450" s="13"/>
      <c r="J450" s="14"/>
      <c r="K450" s="13"/>
      <c r="M450" s="13"/>
    </row>
    <row r="451" spans="2:13" ht="12.75" customHeight="1" x14ac:dyDescent="0.25">
      <c r="B451" s="13"/>
      <c r="D451" s="13"/>
      <c r="E451" s="13"/>
      <c r="F451" s="14"/>
      <c r="G451" s="14"/>
      <c r="H451" s="13"/>
      <c r="I451" s="13"/>
      <c r="J451" s="14"/>
      <c r="K451" s="13"/>
      <c r="M451" s="13"/>
    </row>
    <row r="452" spans="2:13" ht="12.75" customHeight="1" x14ac:dyDescent="0.25">
      <c r="B452" s="13"/>
      <c r="D452" s="13"/>
      <c r="E452" s="13"/>
      <c r="F452" s="14"/>
      <c r="G452" s="14"/>
      <c r="H452" s="13"/>
      <c r="I452" s="13"/>
      <c r="J452" s="14"/>
      <c r="K452" s="13"/>
      <c r="M452" s="13"/>
    </row>
    <row r="453" spans="2:13" ht="12.75" customHeight="1" x14ac:dyDescent="0.25">
      <c r="B453" s="13"/>
      <c r="D453" s="13"/>
      <c r="E453" s="13"/>
      <c r="F453" s="14"/>
      <c r="G453" s="14"/>
      <c r="H453" s="13"/>
      <c r="I453" s="13"/>
      <c r="J453" s="14"/>
      <c r="K453" s="13"/>
      <c r="M453" s="13"/>
    </row>
    <row r="454" spans="2:13" ht="12.75" customHeight="1" x14ac:dyDescent="0.25">
      <c r="B454" s="13"/>
      <c r="D454" s="13"/>
      <c r="E454" s="13"/>
      <c r="F454" s="14"/>
      <c r="G454" s="14"/>
      <c r="H454" s="13"/>
      <c r="I454" s="13"/>
      <c r="J454" s="14"/>
      <c r="K454" s="13"/>
      <c r="M454" s="13"/>
    </row>
    <row r="455" spans="2:13" ht="12.75" customHeight="1" x14ac:dyDescent="0.25">
      <c r="B455" s="13"/>
      <c r="D455" s="13"/>
      <c r="E455" s="13"/>
      <c r="F455" s="14"/>
      <c r="G455" s="14"/>
      <c r="H455" s="13"/>
      <c r="I455" s="13"/>
      <c r="J455" s="14"/>
      <c r="K455" s="13"/>
      <c r="M455" s="13"/>
    </row>
    <row r="456" spans="2:13" ht="12.75" customHeight="1" x14ac:dyDescent="0.25">
      <c r="B456" s="13"/>
      <c r="D456" s="13"/>
      <c r="E456" s="13"/>
      <c r="F456" s="14"/>
      <c r="G456" s="14"/>
      <c r="H456" s="13"/>
      <c r="I456" s="13"/>
      <c r="J456" s="14"/>
      <c r="K456" s="13"/>
      <c r="M456" s="13"/>
    </row>
    <row r="457" spans="2:13" ht="12.75" customHeight="1" x14ac:dyDescent="0.25">
      <c r="B457" s="13"/>
      <c r="D457" s="13"/>
      <c r="E457" s="13"/>
      <c r="F457" s="14"/>
      <c r="G457" s="14"/>
      <c r="H457" s="13"/>
      <c r="I457" s="13"/>
      <c r="J457" s="14"/>
      <c r="K457" s="13"/>
      <c r="M457" s="13"/>
    </row>
    <row r="458" spans="2:13" ht="12.75" customHeight="1" x14ac:dyDescent="0.25">
      <c r="B458" s="13"/>
      <c r="D458" s="13"/>
      <c r="E458" s="13"/>
      <c r="F458" s="14"/>
      <c r="G458" s="14"/>
      <c r="H458" s="13"/>
      <c r="I458" s="13"/>
      <c r="J458" s="14"/>
      <c r="K458" s="13"/>
      <c r="M458" s="13"/>
    </row>
    <row r="459" spans="2:13" ht="12.75" customHeight="1" x14ac:dyDescent="0.25">
      <c r="B459" s="13"/>
      <c r="D459" s="13"/>
      <c r="E459" s="13"/>
      <c r="F459" s="14"/>
      <c r="G459" s="14"/>
      <c r="H459" s="13"/>
      <c r="I459" s="13"/>
      <c r="J459" s="14"/>
      <c r="K459" s="13"/>
      <c r="M459" s="13"/>
    </row>
    <row r="460" spans="2:13" ht="12.75" customHeight="1" x14ac:dyDescent="0.25">
      <c r="B460" s="13"/>
      <c r="D460" s="13"/>
      <c r="E460" s="13"/>
      <c r="F460" s="14"/>
      <c r="G460" s="14"/>
      <c r="H460" s="13"/>
      <c r="I460" s="13"/>
      <c r="J460" s="14"/>
      <c r="K460" s="13"/>
      <c r="M460" s="13"/>
    </row>
    <row r="461" spans="2:13" ht="12.75" customHeight="1" x14ac:dyDescent="0.25">
      <c r="B461" s="13"/>
      <c r="D461" s="13"/>
      <c r="E461" s="13"/>
      <c r="F461" s="14"/>
      <c r="G461" s="14"/>
      <c r="H461" s="13"/>
      <c r="I461" s="13"/>
      <c r="J461" s="14"/>
      <c r="K461" s="13"/>
      <c r="M461" s="13"/>
    </row>
    <row r="462" spans="2:13" ht="12.75" customHeight="1" x14ac:dyDescent="0.25">
      <c r="B462" s="13"/>
      <c r="D462" s="13"/>
      <c r="E462" s="13"/>
      <c r="F462" s="14"/>
      <c r="G462" s="14"/>
      <c r="H462" s="13"/>
      <c r="I462" s="13"/>
      <c r="J462" s="14"/>
      <c r="K462" s="13"/>
      <c r="M462" s="13"/>
    </row>
    <row r="463" spans="2:13" ht="12.75" customHeight="1" x14ac:dyDescent="0.25">
      <c r="B463" s="13"/>
      <c r="D463" s="13"/>
      <c r="E463" s="13"/>
      <c r="F463" s="14"/>
      <c r="G463" s="14"/>
      <c r="H463" s="13"/>
      <c r="I463" s="13"/>
      <c r="J463" s="14"/>
      <c r="K463" s="13"/>
      <c r="M463" s="13"/>
    </row>
    <row r="464" spans="2:13" ht="12.75" customHeight="1" x14ac:dyDescent="0.25">
      <c r="B464" s="13"/>
      <c r="D464" s="13"/>
      <c r="E464" s="13"/>
      <c r="F464" s="14"/>
      <c r="G464" s="14"/>
      <c r="H464" s="13"/>
      <c r="I464" s="13"/>
      <c r="J464" s="14"/>
      <c r="K464" s="13"/>
      <c r="M464" s="13"/>
    </row>
    <row r="465" spans="2:13" ht="12.75" customHeight="1" x14ac:dyDescent="0.25">
      <c r="B465" s="13"/>
      <c r="D465" s="13"/>
      <c r="E465" s="13"/>
      <c r="F465" s="14"/>
      <c r="G465" s="14"/>
      <c r="H465" s="13"/>
      <c r="I465" s="13"/>
      <c r="J465" s="14"/>
      <c r="K465" s="13"/>
      <c r="M465" s="13"/>
    </row>
    <row r="466" spans="2:13" ht="12.75" customHeight="1" x14ac:dyDescent="0.25">
      <c r="B466" s="13"/>
      <c r="D466" s="13"/>
      <c r="E466" s="13"/>
      <c r="F466" s="14"/>
      <c r="G466" s="14"/>
      <c r="H466" s="13"/>
      <c r="I466" s="13"/>
      <c r="J466" s="14"/>
      <c r="K466" s="13"/>
      <c r="M466" s="13"/>
    </row>
    <row r="467" spans="2:13" ht="12.75" customHeight="1" x14ac:dyDescent="0.25">
      <c r="B467" s="13"/>
      <c r="D467" s="13"/>
      <c r="E467" s="13"/>
      <c r="F467" s="14"/>
      <c r="G467" s="14"/>
      <c r="H467" s="13"/>
      <c r="I467" s="13"/>
      <c r="J467" s="14"/>
      <c r="K467" s="13"/>
      <c r="M467" s="13"/>
    </row>
    <row r="468" spans="2:13" ht="12.75" customHeight="1" x14ac:dyDescent="0.25">
      <c r="B468" s="13"/>
      <c r="D468" s="13"/>
      <c r="E468" s="13"/>
      <c r="F468" s="14"/>
      <c r="G468" s="14"/>
      <c r="H468" s="13"/>
      <c r="I468" s="13"/>
      <c r="J468" s="14"/>
      <c r="K468" s="13"/>
      <c r="M468" s="13"/>
    </row>
    <row r="469" spans="2:13" ht="12.75" customHeight="1" x14ac:dyDescent="0.25">
      <c r="B469" s="13"/>
      <c r="D469" s="13"/>
      <c r="E469" s="13"/>
      <c r="F469" s="14"/>
      <c r="G469" s="14"/>
      <c r="H469" s="13"/>
      <c r="I469" s="13"/>
      <c r="J469" s="14"/>
      <c r="K469" s="13"/>
      <c r="M469" s="13"/>
    </row>
    <row r="470" spans="2:13" ht="12.75" customHeight="1" x14ac:dyDescent="0.25">
      <c r="B470" s="13"/>
      <c r="D470" s="13"/>
      <c r="E470" s="13"/>
      <c r="F470" s="14"/>
      <c r="G470" s="14"/>
      <c r="H470" s="13"/>
      <c r="I470" s="13"/>
      <c r="J470" s="14"/>
      <c r="K470" s="13"/>
      <c r="M470" s="13"/>
    </row>
    <row r="471" spans="2:13" ht="12.75" customHeight="1" x14ac:dyDescent="0.25">
      <c r="B471" s="13"/>
      <c r="D471" s="13"/>
      <c r="E471" s="13"/>
      <c r="F471" s="14"/>
      <c r="G471" s="14"/>
      <c r="H471" s="13"/>
      <c r="I471" s="13"/>
      <c r="J471" s="14"/>
      <c r="K471" s="13"/>
      <c r="M471" s="13"/>
    </row>
    <row r="472" spans="2:13" ht="12.75" customHeight="1" x14ac:dyDescent="0.25">
      <c r="B472" s="13"/>
      <c r="D472" s="13"/>
      <c r="E472" s="13"/>
      <c r="F472" s="14"/>
      <c r="G472" s="14"/>
      <c r="H472" s="13"/>
      <c r="I472" s="13"/>
      <c r="J472" s="14"/>
      <c r="K472" s="13"/>
      <c r="M472" s="13"/>
    </row>
    <row r="473" spans="2:13" ht="12.75" customHeight="1" x14ac:dyDescent="0.25">
      <c r="B473" s="13"/>
      <c r="D473" s="13"/>
      <c r="E473" s="13"/>
      <c r="F473" s="14"/>
      <c r="G473" s="14"/>
      <c r="H473" s="13"/>
      <c r="I473" s="13"/>
      <c r="J473" s="14"/>
      <c r="K473" s="13"/>
      <c r="M473" s="13"/>
    </row>
    <row r="474" spans="2:13" ht="12.75" customHeight="1" x14ac:dyDescent="0.25">
      <c r="B474" s="13"/>
      <c r="D474" s="13"/>
      <c r="E474" s="13"/>
      <c r="F474" s="14"/>
      <c r="G474" s="14"/>
      <c r="H474" s="13"/>
      <c r="I474" s="13"/>
      <c r="J474" s="14"/>
      <c r="K474" s="13"/>
      <c r="M474" s="13"/>
    </row>
    <row r="475" spans="2:13" ht="12.75" customHeight="1" x14ac:dyDescent="0.25">
      <c r="B475" s="13"/>
      <c r="D475" s="13"/>
      <c r="E475" s="13"/>
      <c r="F475" s="14"/>
      <c r="G475" s="14"/>
      <c r="H475" s="13"/>
      <c r="I475" s="13"/>
      <c r="J475" s="14"/>
      <c r="K475" s="13"/>
      <c r="M475" s="13"/>
    </row>
    <row r="476" spans="2:13" ht="12.75" customHeight="1" x14ac:dyDescent="0.25">
      <c r="B476" s="13"/>
      <c r="D476" s="13"/>
      <c r="E476" s="13"/>
      <c r="F476" s="14"/>
      <c r="G476" s="14"/>
      <c r="H476" s="13"/>
      <c r="I476" s="13"/>
      <c r="J476" s="14"/>
      <c r="K476" s="13"/>
      <c r="M476" s="13"/>
    </row>
    <row r="477" spans="2:13" ht="12.75" customHeight="1" x14ac:dyDescent="0.25">
      <c r="B477" s="13"/>
      <c r="D477" s="13"/>
      <c r="E477" s="13"/>
      <c r="F477" s="14"/>
      <c r="G477" s="14"/>
      <c r="H477" s="13"/>
      <c r="I477" s="13"/>
      <c r="J477" s="14"/>
      <c r="K477" s="13"/>
      <c r="M477" s="13"/>
    </row>
    <row r="478" spans="2:13" ht="12.75" customHeight="1" x14ac:dyDescent="0.25">
      <c r="B478" s="13"/>
      <c r="D478" s="13"/>
      <c r="E478" s="13"/>
      <c r="F478" s="14"/>
      <c r="G478" s="14"/>
      <c r="H478" s="13"/>
      <c r="I478" s="13"/>
      <c r="J478" s="14"/>
      <c r="K478" s="13"/>
      <c r="M478" s="13"/>
    </row>
    <row r="479" spans="2:13" ht="12.75" customHeight="1" x14ac:dyDescent="0.25">
      <c r="B479" s="13"/>
      <c r="D479" s="13"/>
      <c r="E479" s="13"/>
      <c r="F479" s="14"/>
      <c r="G479" s="14"/>
      <c r="H479" s="13"/>
      <c r="I479" s="13"/>
      <c r="J479" s="14"/>
      <c r="K479" s="13"/>
      <c r="M479" s="13"/>
    </row>
    <row r="480" spans="2:13" ht="12.75" customHeight="1" x14ac:dyDescent="0.25">
      <c r="B480" s="13"/>
      <c r="D480" s="13"/>
      <c r="E480" s="13"/>
      <c r="F480" s="14"/>
      <c r="G480" s="14"/>
      <c r="H480" s="13"/>
      <c r="I480" s="13"/>
      <c r="J480" s="14"/>
      <c r="K480" s="13"/>
      <c r="M480" s="13"/>
    </row>
    <row r="481" spans="2:13" ht="12.75" customHeight="1" x14ac:dyDescent="0.25">
      <c r="B481" s="13"/>
      <c r="D481" s="13"/>
      <c r="E481" s="13"/>
      <c r="F481" s="14"/>
      <c r="G481" s="14"/>
      <c r="H481" s="13"/>
      <c r="I481" s="13"/>
      <c r="J481" s="14"/>
      <c r="K481" s="13"/>
      <c r="M481" s="13"/>
    </row>
    <row r="482" spans="2:13" ht="12.75" customHeight="1" x14ac:dyDescent="0.25">
      <c r="B482" s="13"/>
      <c r="D482" s="13"/>
      <c r="E482" s="13"/>
      <c r="F482" s="14"/>
      <c r="G482" s="14"/>
      <c r="H482" s="13"/>
      <c r="I482" s="13"/>
      <c r="J482" s="14"/>
      <c r="K482" s="13"/>
      <c r="M482" s="13"/>
    </row>
    <row r="483" spans="2:13" ht="12.75" customHeight="1" x14ac:dyDescent="0.25">
      <c r="B483" s="13"/>
      <c r="D483" s="13"/>
      <c r="E483" s="13"/>
      <c r="F483" s="14"/>
      <c r="G483" s="14"/>
      <c r="H483" s="13"/>
      <c r="I483" s="13"/>
      <c r="J483" s="14"/>
      <c r="K483" s="13"/>
      <c r="M483" s="13"/>
    </row>
    <row r="484" spans="2:13" ht="12.75" customHeight="1" x14ac:dyDescent="0.25">
      <c r="B484" s="13"/>
      <c r="D484" s="13"/>
      <c r="E484" s="13"/>
      <c r="F484" s="14"/>
      <c r="G484" s="14"/>
      <c r="H484" s="13"/>
      <c r="I484" s="13"/>
      <c r="J484" s="14"/>
      <c r="K484" s="13"/>
      <c r="M484" s="13"/>
    </row>
    <row r="485" spans="2:13" ht="12.75" customHeight="1" x14ac:dyDescent="0.25">
      <c r="B485" s="13"/>
      <c r="D485" s="13"/>
      <c r="E485" s="13"/>
      <c r="F485" s="14"/>
      <c r="G485" s="14"/>
      <c r="H485" s="13"/>
      <c r="I485" s="13"/>
      <c r="J485" s="14"/>
      <c r="K485" s="13"/>
      <c r="M485" s="13"/>
    </row>
    <row r="486" spans="2:13" ht="12.75" customHeight="1" x14ac:dyDescent="0.25">
      <c r="B486" s="13"/>
      <c r="D486" s="13"/>
      <c r="E486" s="13"/>
      <c r="F486" s="14"/>
      <c r="G486" s="14"/>
      <c r="H486" s="13"/>
      <c r="I486" s="13"/>
      <c r="J486" s="14"/>
      <c r="K486" s="13"/>
      <c r="M486" s="13"/>
    </row>
    <row r="487" spans="2:13" ht="12.75" customHeight="1" x14ac:dyDescent="0.25">
      <c r="B487" s="13"/>
      <c r="D487" s="13"/>
      <c r="E487" s="13"/>
      <c r="F487" s="14"/>
      <c r="G487" s="14"/>
      <c r="H487" s="13"/>
      <c r="I487" s="13"/>
      <c r="J487" s="14"/>
      <c r="K487" s="13"/>
      <c r="M487" s="13"/>
    </row>
    <row r="488" spans="2:13" ht="12.75" customHeight="1" x14ac:dyDescent="0.25">
      <c r="B488" s="13"/>
      <c r="D488" s="13"/>
      <c r="E488" s="13"/>
      <c r="F488" s="14"/>
      <c r="G488" s="14"/>
      <c r="H488" s="13"/>
      <c r="I488" s="13"/>
      <c r="J488" s="14"/>
      <c r="K488" s="13"/>
      <c r="M488" s="13"/>
    </row>
    <row r="489" spans="2:13" ht="12.75" customHeight="1" x14ac:dyDescent="0.25">
      <c r="B489" s="13"/>
      <c r="D489" s="13"/>
      <c r="E489" s="13"/>
      <c r="F489" s="14"/>
      <c r="G489" s="14"/>
      <c r="H489" s="13"/>
      <c r="I489" s="13"/>
      <c r="J489" s="14"/>
      <c r="K489" s="13"/>
      <c r="M489" s="13"/>
    </row>
    <row r="490" spans="2:13" ht="12.75" customHeight="1" x14ac:dyDescent="0.25">
      <c r="B490" s="13"/>
      <c r="D490" s="13"/>
      <c r="E490" s="13"/>
      <c r="F490" s="14"/>
      <c r="G490" s="14"/>
      <c r="H490" s="13"/>
      <c r="I490" s="13"/>
      <c r="J490" s="14"/>
      <c r="K490" s="13"/>
      <c r="M490" s="13"/>
    </row>
    <row r="491" spans="2:13" ht="12.75" customHeight="1" x14ac:dyDescent="0.25">
      <c r="B491" s="13"/>
      <c r="D491" s="13"/>
      <c r="E491" s="13"/>
      <c r="F491" s="14"/>
      <c r="G491" s="14"/>
      <c r="H491" s="13"/>
      <c r="I491" s="13"/>
      <c r="J491" s="14"/>
      <c r="K491" s="13"/>
      <c r="M491" s="13"/>
    </row>
    <row r="492" spans="2:13" ht="12.75" customHeight="1" x14ac:dyDescent="0.25">
      <c r="B492" s="13"/>
      <c r="D492" s="13"/>
      <c r="E492" s="13"/>
      <c r="F492" s="14"/>
      <c r="G492" s="14"/>
      <c r="H492" s="13"/>
      <c r="I492" s="13"/>
      <c r="J492" s="14"/>
      <c r="K492" s="13"/>
      <c r="M492" s="13"/>
    </row>
    <row r="493" spans="2:13" ht="12.75" customHeight="1" x14ac:dyDescent="0.25">
      <c r="B493" s="13"/>
      <c r="D493" s="13"/>
      <c r="E493" s="13"/>
      <c r="F493" s="14"/>
      <c r="G493" s="14"/>
      <c r="H493" s="13"/>
      <c r="I493" s="13"/>
      <c r="J493" s="14"/>
      <c r="K493" s="13"/>
      <c r="M493" s="13"/>
    </row>
    <row r="494" spans="2:13" ht="12.75" customHeight="1" x14ac:dyDescent="0.25">
      <c r="B494" s="13"/>
      <c r="D494" s="13"/>
      <c r="E494" s="13"/>
      <c r="F494" s="14"/>
      <c r="G494" s="14"/>
      <c r="H494" s="13"/>
      <c r="I494" s="13"/>
      <c r="J494" s="14"/>
      <c r="K494" s="13"/>
      <c r="M494" s="13"/>
    </row>
    <row r="495" spans="2:13" ht="12.75" customHeight="1" x14ac:dyDescent="0.25">
      <c r="B495" s="13"/>
      <c r="D495" s="13"/>
      <c r="E495" s="13"/>
      <c r="F495" s="14"/>
      <c r="G495" s="14"/>
      <c r="H495" s="13"/>
      <c r="I495" s="13"/>
      <c r="J495" s="14"/>
      <c r="K495" s="13"/>
      <c r="M495" s="13"/>
    </row>
    <row r="496" spans="2:13" ht="12.75" customHeight="1" x14ac:dyDescent="0.25">
      <c r="B496" s="13"/>
      <c r="D496" s="13"/>
      <c r="E496" s="13"/>
      <c r="F496" s="14"/>
      <c r="G496" s="14"/>
      <c r="H496" s="13"/>
      <c r="I496" s="13"/>
      <c r="J496" s="14"/>
      <c r="K496" s="13"/>
      <c r="M496" s="13"/>
    </row>
    <row r="497" spans="2:13" ht="12.75" customHeight="1" x14ac:dyDescent="0.25">
      <c r="B497" s="13"/>
      <c r="D497" s="13"/>
      <c r="E497" s="13"/>
      <c r="F497" s="14"/>
      <c r="G497" s="14"/>
      <c r="H497" s="13"/>
      <c r="I497" s="13"/>
      <c r="J497" s="14"/>
      <c r="K497" s="13"/>
      <c r="M497" s="13"/>
    </row>
    <row r="498" spans="2:13" ht="12.75" customHeight="1" x14ac:dyDescent="0.25">
      <c r="B498" s="13"/>
      <c r="D498" s="13"/>
      <c r="E498" s="13"/>
      <c r="F498" s="14"/>
      <c r="G498" s="14"/>
      <c r="H498" s="13"/>
      <c r="I498" s="13"/>
      <c r="J498" s="14"/>
      <c r="K498" s="13"/>
      <c r="M498" s="13"/>
    </row>
    <row r="499" spans="2:13" ht="12.75" customHeight="1" x14ac:dyDescent="0.25">
      <c r="B499" s="13"/>
      <c r="D499" s="13"/>
      <c r="E499" s="13"/>
      <c r="F499" s="14"/>
      <c r="G499" s="14"/>
      <c r="H499" s="13"/>
      <c r="I499" s="13"/>
      <c r="J499" s="14"/>
      <c r="K499" s="13"/>
      <c r="M499" s="13"/>
    </row>
    <row r="500" spans="2:13" ht="12.75" customHeight="1" x14ac:dyDescent="0.25">
      <c r="B500" s="13"/>
      <c r="D500" s="13"/>
      <c r="E500" s="13"/>
      <c r="F500" s="14"/>
      <c r="G500" s="14"/>
      <c r="H500" s="13"/>
      <c r="I500" s="13"/>
      <c r="J500" s="14"/>
      <c r="K500" s="13"/>
      <c r="M500" s="13"/>
    </row>
    <row r="501" spans="2:13" ht="12.75" customHeight="1" x14ac:dyDescent="0.25">
      <c r="B501" s="13"/>
      <c r="D501" s="13"/>
      <c r="E501" s="13"/>
      <c r="F501" s="14"/>
      <c r="G501" s="14"/>
      <c r="H501" s="13"/>
      <c r="I501" s="13"/>
      <c r="J501" s="14"/>
      <c r="K501" s="13"/>
      <c r="M501" s="13"/>
    </row>
    <row r="502" spans="2:13" ht="12.75" customHeight="1" x14ac:dyDescent="0.25">
      <c r="B502" s="13"/>
      <c r="D502" s="13"/>
      <c r="E502" s="13"/>
      <c r="F502" s="14"/>
      <c r="G502" s="14"/>
      <c r="H502" s="13"/>
      <c r="I502" s="13"/>
      <c r="J502" s="14"/>
      <c r="K502" s="13"/>
      <c r="M502" s="13"/>
    </row>
    <row r="503" spans="2:13" ht="12.75" customHeight="1" x14ac:dyDescent="0.25">
      <c r="B503" s="13"/>
      <c r="D503" s="13"/>
      <c r="E503" s="13"/>
      <c r="F503" s="14"/>
      <c r="G503" s="14"/>
      <c r="H503" s="13"/>
      <c r="I503" s="13"/>
      <c r="J503" s="14"/>
      <c r="K503" s="13"/>
      <c r="M503" s="13"/>
    </row>
    <row r="504" spans="2:13" ht="12.75" customHeight="1" x14ac:dyDescent="0.25">
      <c r="B504" s="13"/>
      <c r="D504" s="13"/>
      <c r="E504" s="13"/>
      <c r="F504" s="14"/>
      <c r="G504" s="14"/>
      <c r="H504" s="13"/>
      <c r="I504" s="13"/>
      <c r="J504" s="14"/>
      <c r="K504" s="13"/>
      <c r="M504" s="13"/>
    </row>
    <row r="505" spans="2:13" ht="12.75" customHeight="1" x14ac:dyDescent="0.25">
      <c r="B505" s="13"/>
      <c r="D505" s="13"/>
      <c r="E505" s="13"/>
      <c r="F505" s="14"/>
      <c r="G505" s="14"/>
      <c r="H505" s="13"/>
      <c r="I505" s="13"/>
      <c r="J505" s="14"/>
      <c r="K505" s="13"/>
      <c r="M505" s="13"/>
    </row>
    <row r="506" spans="2:13" ht="12.75" customHeight="1" x14ac:dyDescent="0.25">
      <c r="B506" s="13"/>
      <c r="D506" s="13"/>
      <c r="E506" s="13"/>
      <c r="F506" s="14"/>
      <c r="G506" s="14"/>
      <c r="H506" s="13"/>
      <c r="I506" s="13"/>
      <c r="J506" s="14"/>
      <c r="K506" s="13"/>
      <c r="M506" s="13"/>
    </row>
    <row r="507" spans="2:13" ht="12.75" customHeight="1" x14ac:dyDescent="0.25">
      <c r="B507" s="13"/>
      <c r="D507" s="13"/>
      <c r="E507" s="13"/>
      <c r="F507" s="14"/>
      <c r="G507" s="14"/>
      <c r="H507" s="13"/>
      <c r="I507" s="13"/>
      <c r="J507" s="14"/>
      <c r="K507" s="13"/>
      <c r="M507" s="13"/>
    </row>
    <row r="508" spans="2:13" ht="12.75" customHeight="1" x14ac:dyDescent="0.25">
      <c r="B508" s="13"/>
      <c r="D508" s="13"/>
      <c r="E508" s="13"/>
      <c r="F508" s="14"/>
      <c r="G508" s="14"/>
      <c r="H508" s="13"/>
      <c r="I508" s="13"/>
      <c r="J508" s="14"/>
      <c r="K508" s="13"/>
      <c r="M508" s="13"/>
    </row>
    <row r="509" spans="2:13" ht="12.75" customHeight="1" x14ac:dyDescent="0.25">
      <c r="B509" s="13"/>
      <c r="D509" s="13"/>
      <c r="E509" s="13"/>
      <c r="F509" s="14"/>
      <c r="G509" s="14"/>
      <c r="H509" s="13"/>
      <c r="I509" s="13"/>
      <c r="J509" s="14"/>
      <c r="K509" s="13"/>
      <c r="M509" s="13"/>
    </row>
    <row r="510" spans="2:13" ht="12.75" customHeight="1" x14ac:dyDescent="0.25">
      <c r="B510" s="13"/>
      <c r="D510" s="13"/>
      <c r="E510" s="13"/>
      <c r="F510" s="14"/>
      <c r="G510" s="14"/>
      <c r="H510" s="13"/>
      <c r="I510" s="13"/>
      <c r="J510" s="14"/>
      <c r="K510" s="13"/>
      <c r="M510" s="13"/>
    </row>
    <row r="511" spans="2:13" ht="12.75" customHeight="1" x14ac:dyDescent="0.25">
      <c r="B511" s="13"/>
      <c r="D511" s="13"/>
      <c r="E511" s="13"/>
      <c r="F511" s="14"/>
      <c r="G511" s="14"/>
      <c r="H511" s="13"/>
      <c r="I511" s="13"/>
      <c r="J511" s="14"/>
      <c r="K511" s="13"/>
      <c r="M511" s="13"/>
    </row>
    <row r="512" spans="2:13" ht="12.75" customHeight="1" x14ac:dyDescent="0.25">
      <c r="B512" s="13"/>
      <c r="D512" s="13"/>
      <c r="E512" s="13"/>
      <c r="F512" s="14"/>
      <c r="G512" s="14"/>
      <c r="H512" s="13"/>
      <c r="I512" s="13"/>
      <c r="J512" s="14"/>
      <c r="K512" s="13"/>
      <c r="M512" s="13"/>
    </row>
    <row r="513" spans="2:13" ht="12.75" customHeight="1" x14ac:dyDescent="0.25">
      <c r="B513" s="13"/>
      <c r="D513" s="13"/>
      <c r="E513" s="13"/>
      <c r="F513" s="14"/>
      <c r="G513" s="14"/>
      <c r="H513" s="13"/>
      <c r="I513" s="13"/>
      <c r="J513" s="14"/>
      <c r="K513" s="13"/>
      <c r="M513" s="13"/>
    </row>
    <row r="514" spans="2:13" ht="12.75" customHeight="1" x14ac:dyDescent="0.25">
      <c r="B514" s="13"/>
      <c r="D514" s="13"/>
      <c r="E514" s="13"/>
      <c r="F514" s="14"/>
      <c r="G514" s="14"/>
      <c r="H514" s="13"/>
      <c r="I514" s="13"/>
      <c r="J514" s="14"/>
      <c r="K514" s="13"/>
      <c r="M514" s="13"/>
    </row>
    <row r="515" spans="2:13" ht="12.75" customHeight="1" x14ac:dyDescent="0.25">
      <c r="B515" s="13"/>
      <c r="D515" s="13"/>
      <c r="E515" s="13"/>
      <c r="F515" s="14"/>
      <c r="G515" s="14"/>
      <c r="H515" s="13"/>
      <c r="I515" s="13"/>
      <c r="J515" s="14"/>
      <c r="K515" s="13"/>
      <c r="M515" s="13"/>
    </row>
    <row r="516" spans="2:13" ht="12.75" customHeight="1" x14ac:dyDescent="0.25">
      <c r="B516" s="13"/>
      <c r="D516" s="13"/>
      <c r="E516" s="13"/>
      <c r="F516" s="14"/>
      <c r="G516" s="14"/>
      <c r="H516" s="13"/>
      <c r="I516" s="13"/>
      <c r="J516" s="14"/>
      <c r="K516" s="13"/>
      <c r="M516" s="13"/>
    </row>
    <row r="517" spans="2:13" ht="12.75" customHeight="1" x14ac:dyDescent="0.25">
      <c r="B517" s="13"/>
      <c r="D517" s="13"/>
      <c r="E517" s="13"/>
      <c r="F517" s="14"/>
      <c r="G517" s="14"/>
      <c r="H517" s="13"/>
      <c r="I517" s="13"/>
      <c r="J517" s="14"/>
      <c r="K517" s="13"/>
      <c r="M517" s="13"/>
    </row>
    <row r="518" spans="2:13" ht="12.75" customHeight="1" x14ac:dyDescent="0.25">
      <c r="B518" s="13"/>
      <c r="D518" s="13"/>
      <c r="E518" s="13"/>
      <c r="F518" s="14"/>
      <c r="G518" s="14"/>
      <c r="H518" s="13"/>
      <c r="I518" s="13"/>
      <c r="J518" s="14"/>
      <c r="K518" s="13"/>
      <c r="M518" s="13"/>
    </row>
    <row r="519" spans="2:13" ht="12.75" customHeight="1" x14ac:dyDescent="0.25">
      <c r="B519" s="13"/>
      <c r="D519" s="13"/>
      <c r="E519" s="13"/>
      <c r="F519" s="14"/>
      <c r="G519" s="14"/>
      <c r="H519" s="13"/>
      <c r="I519" s="13"/>
      <c r="J519" s="14"/>
      <c r="K519" s="13"/>
      <c r="M519" s="13"/>
    </row>
    <row r="520" spans="2:13" ht="12.75" customHeight="1" x14ac:dyDescent="0.25">
      <c r="B520" s="13"/>
      <c r="D520" s="13"/>
      <c r="E520" s="13"/>
      <c r="F520" s="14"/>
      <c r="G520" s="14"/>
      <c r="H520" s="13"/>
      <c r="I520" s="13"/>
      <c r="J520" s="14"/>
      <c r="K520" s="13"/>
      <c r="M520" s="13"/>
    </row>
    <row r="521" spans="2:13" ht="12.75" customHeight="1" x14ac:dyDescent="0.25">
      <c r="B521" s="13"/>
      <c r="D521" s="13"/>
      <c r="E521" s="13"/>
      <c r="F521" s="14"/>
      <c r="G521" s="14"/>
      <c r="H521" s="13"/>
      <c r="I521" s="13"/>
      <c r="J521" s="14"/>
      <c r="K521" s="13"/>
      <c r="M521" s="13"/>
    </row>
    <row r="522" spans="2:13" ht="12.75" customHeight="1" x14ac:dyDescent="0.25">
      <c r="B522" s="13"/>
      <c r="D522" s="13"/>
      <c r="E522" s="13"/>
      <c r="F522" s="14"/>
      <c r="G522" s="14"/>
      <c r="H522" s="13"/>
      <c r="I522" s="13"/>
      <c r="J522" s="14"/>
      <c r="K522" s="13"/>
      <c r="M522" s="13"/>
    </row>
    <row r="523" spans="2:13" ht="12.75" customHeight="1" x14ac:dyDescent="0.25">
      <c r="B523" s="13"/>
      <c r="D523" s="13"/>
      <c r="E523" s="13"/>
      <c r="F523" s="14"/>
      <c r="G523" s="14"/>
      <c r="H523" s="13"/>
      <c r="I523" s="13"/>
      <c r="J523" s="14"/>
      <c r="K523" s="13"/>
      <c r="M523" s="13"/>
    </row>
    <row r="524" spans="2:13" ht="12.75" customHeight="1" x14ac:dyDescent="0.25">
      <c r="B524" s="13"/>
      <c r="D524" s="13"/>
      <c r="E524" s="13"/>
      <c r="F524" s="14"/>
      <c r="G524" s="14"/>
      <c r="H524" s="13"/>
      <c r="I524" s="13"/>
      <c r="J524" s="14"/>
      <c r="K524" s="13"/>
      <c r="M524" s="13"/>
    </row>
    <row r="525" spans="2:13" ht="12.75" customHeight="1" x14ac:dyDescent="0.25">
      <c r="B525" s="13"/>
      <c r="D525" s="13"/>
      <c r="E525" s="13"/>
      <c r="F525" s="14"/>
      <c r="G525" s="14"/>
      <c r="H525" s="13"/>
      <c r="I525" s="13"/>
      <c r="J525" s="14"/>
      <c r="K525" s="13"/>
      <c r="M525" s="13"/>
    </row>
    <row r="526" spans="2:13" ht="12.75" customHeight="1" x14ac:dyDescent="0.25">
      <c r="B526" s="13"/>
      <c r="D526" s="13"/>
      <c r="E526" s="13"/>
      <c r="F526" s="14"/>
      <c r="G526" s="14"/>
      <c r="H526" s="13"/>
      <c r="I526" s="13"/>
      <c r="J526" s="14"/>
      <c r="K526" s="13"/>
      <c r="M526" s="13"/>
    </row>
    <row r="527" spans="2:13" ht="12.75" customHeight="1" x14ac:dyDescent="0.25">
      <c r="B527" s="13"/>
      <c r="D527" s="13"/>
      <c r="E527" s="13"/>
      <c r="F527" s="14"/>
      <c r="G527" s="14"/>
      <c r="H527" s="13"/>
      <c r="I527" s="13"/>
      <c r="J527" s="14"/>
      <c r="K527" s="13"/>
      <c r="M527" s="13"/>
    </row>
    <row r="528" spans="2:13" ht="12.75" customHeight="1" x14ac:dyDescent="0.25">
      <c r="B528" s="13"/>
      <c r="D528" s="13"/>
      <c r="E528" s="13"/>
      <c r="F528" s="14"/>
      <c r="G528" s="14"/>
      <c r="H528" s="13"/>
      <c r="I528" s="13"/>
      <c r="J528" s="14"/>
      <c r="K528" s="13"/>
      <c r="M528" s="13"/>
    </row>
    <row r="529" spans="2:13" ht="12.75" customHeight="1" x14ac:dyDescent="0.25">
      <c r="B529" s="13"/>
      <c r="D529" s="13"/>
      <c r="E529" s="13"/>
      <c r="F529" s="14"/>
      <c r="G529" s="14"/>
      <c r="H529" s="13"/>
      <c r="I529" s="13"/>
      <c r="J529" s="14"/>
      <c r="K529" s="13"/>
      <c r="M529" s="13"/>
    </row>
    <row r="530" spans="2:13" ht="12.75" customHeight="1" x14ac:dyDescent="0.25">
      <c r="B530" s="13"/>
      <c r="D530" s="13"/>
      <c r="E530" s="13"/>
      <c r="F530" s="14"/>
      <c r="G530" s="14"/>
      <c r="H530" s="13"/>
      <c r="I530" s="13"/>
      <c r="J530" s="14"/>
      <c r="K530" s="13"/>
      <c r="M530" s="13"/>
    </row>
    <row r="531" spans="2:13" ht="12.75" customHeight="1" x14ac:dyDescent="0.25">
      <c r="B531" s="13"/>
      <c r="D531" s="13"/>
      <c r="E531" s="13"/>
      <c r="F531" s="14"/>
      <c r="G531" s="14"/>
      <c r="H531" s="13"/>
      <c r="I531" s="13"/>
      <c r="J531" s="14"/>
      <c r="K531" s="13"/>
      <c r="M531" s="13"/>
    </row>
    <row r="532" spans="2:13" ht="12.75" customHeight="1" x14ac:dyDescent="0.25">
      <c r="B532" s="13"/>
      <c r="D532" s="13"/>
      <c r="E532" s="13"/>
      <c r="F532" s="14"/>
      <c r="G532" s="14"/>
      <c r="H532" s="13"/>
      <c r="I532" s="13"/>
      <c r="J532" s="14"/>
      <c r="K532" s="13"/>
      <c r="M532" s="13"/>
    </row>
    <row r="533" spans="2:13" ht="12.75" customHeight="1" x14ac:dyDescent="0.25">
      <c r="B533" s="13"/>
      <c r="D533" s="13"/>
      <c r="E533" s="13"/>
      <c r="F533" s="14"/>
      <c r="G533" s="14"/>
      <c r="H533" s="13"/>
      <c r="I533" s="13"/>
      <c r="J533" s="14"/>
      <c r="K533" s="13"/>
      <c r="M533" s="13"/>
    </row>
    <row r="534" spans="2:13" ht="12.75" customHeight="1" x14ac:dyDescent="0.25">
      <c r="B534" s="13"/>
      <c r="D534" s="13"/>
      <c r="E534" s="13"/>
      <c r="F534" s="14"/>
      <c r="G534" s="14"/>
      <c r="H534" s="13"/>
      <c r="I534" s="13"/>
      <c r="J534" s="14"/>
      <c r="K534" s="13"/>
      <c r="M534" s="13"/>
    </row>
    <row r="535" spans="2:13" ht="12.75" customHeight="1" x14ac:dyDescent="0.25">
      <c r="B535" s="13"/>
      <c r="D535" s="13"/>
      <c r="E535" s="13"/>
      <c r="F535" s="14"/>
      <c r="G535" s="14"/>
      <c r="H535" s="13"/>
      <c r="I535" s="13"/>
      <c r="J535" s="14"/>
      <c r="K535" s="13"/>
      <c r="M535" s="13"/>
    </row>
    <row r="536" spans="2:13" ht="12.75" customHeight="1" x14ac:dyDescent="0.25">
      <c r="B536" s="13"/>
      <c r="D536" s="13"/>
      <c r="E536" s="13"/>
      <c r="F536" s="14"/>
      <c r="G536" s="14"/>
      <c r="H536" s="13"/>
      <c r="I536" s="13"/>
      <c r="J536" s="14"/>
      <c r="K536" s="13"/>
      <c r="M536" s="13"/>
    </row>
    <row r="537" spans="2:13" ht="12.75" customHeight="1" x14ac:dyDescent="0.25">
      <c r="B537" s="13"/>
      <c r="D537" s="13"/>
      <c r="E537" s="13"/>
      <c r="F537" s="14"/>
      <c r="G537" s="14"/>
      <c r="H537" s="13"/>
      <c r="I537" s="13"/>
      <c r="J537" s="14"/>
      <c r="K537" s="13"/>
      <c r="M537" s="13"/>
    </row>
    <row r="538" spans="2:13" ht="12.75" customHeight="1" x14ac:dyDescent="0.25">
      <c r="B538" s="13"/>
      <c r="D538" s="13"/>
      <c r="E538" s="13"/>
      <c r="F538" s="14"/>
      <c r="G538" s="14"/>
      <c r="H538" s="13"/>
      <c r="I538" s="13"/>
      <c r="J538" s="14"/>
      <c r="K538" s="13"/>
      <c r="M538" s="13"/>
    </row>
    <row r="539" spans="2:13" ht="12.75" customHeight="1" x14ac:dyDescent="0.25">
      <c r="B539" s="13"/>
      <c r="D539" s="13"/>
      <c r="E539" s="13"/>
      <c r="F539" s="14"/>
      <c r="G539" s="14"/>
      <c r="H539" s="13"/>
      <c r="I539" s="13"/>
      <c r="J539" s="14"/>
      <c r="K539" s="13"/>
      <c r="M539" s="13"/>
    </row>
    <row r="540" spans="2:13" ht="12.75" customHeight="1" x14ac:dyDescent="0.25">
      <c r="B540" s="13"/>
      <c r="D540" s="13"/>
      <c r="E540" s="13"/>
      <c r="F540" s="14"/>
      <c r="G540" s="14"/>
      <c r="H540" s="13"/>
      <c r="I540" s="13"/>
      <c r="J540" s="14"/>
      <c r="K540" s="13"/>
      <c r="M540" s="13"/>
    </row>
    <row r="541" spans="2:13" ht="12.75" customHeight="1" x14ac:dyDescent="0.25">
      <c r="B541" s="13"/>
      <c r="D541" s="13"/>
      <c r="E541" s="13"/>
      <c r="F541" s="14"/>
      <c r="G541" s="14"/>
      <c r="H541" s="13"/>
      <c r="I541" s="13"/>
      <c r="J541" s="14"/>
      <c r="K541" s="13"/>
      <c r="M541" s="13"/>
    </row>
    <row r="542" spans="2:13" ht="12.75" customHeight="1" x14ac:dyDescent="0.25">
      <c r="B542" s="13"/>
      <c r="D542" s="13"/>
      <c r="E542" s="13"/>
      <c r="F542" s="14"/>
      <c r="G542" s="14"/>
      <c r="H542" s="13"/>
      <c r="I542" s="13"/>
      <c r="J542" s="14"/>
      <c r="K542" s="13"/>
      <c r="M542" s="13"/>
    </row>
    <row r="543" spans="2:13" ht="12.75" customHeight="1" x14ac:dyDescent="0.25">
      <c r="B543" s="13"/>
      <c r="D543" s="13"/>
      <c r="E543" s="13"/>
      <c r="F543" s="14"/>
      <c r="G543" s="14"/>
      <c r="H543" s="13"/>
      <c r="I543" s="13"/>
      <c r="J543" s="14"/>
      <c r="K543" s="13"/>
      <c r="M543" s="13"/>
    </row>
    <row r="544" spans="2:13" ht="12.75" customHeight="1" x14ac:dyDescent="0.25">
      <c r="B544" s="13"/>
      <c r="D544" s="13"/>
      <c r="E544" s="13"/>
      <c r="F544" s="14"/>
      <c r="G544" s="14"/>
      <c r="H544" s="13"/>
      <c r="I544" s="13"/>
      <c r="J544" s="14"/>
      <c r="K544" s="13"/>
      <c r="M544" s="13"/>
    </row>
    <row r="545" spans="2:13" ht="12.75" customHeight="1" x14ac:dyDescent="0.25">
      <c r="B545" s="13"/>
      <c r="D545" s="13"/>
      <c r="E545" s="13"/>
      <c r="F545" s="14"/>
      <c r="G545" s="14"/>
      <c r="H545" s="13"/>
      <c r="I545" s="13"/>
      <c r="J545" s="14"/>
      <c r="K545" s="13"/>
      <c r="M545" s="13"/>
    </row>
    <row r="546" spans="2:13" ht="12.75" customHeight="1" x14ac:dyDescent="0.25">
      <c r="B546" s="13"/>
      <c r="D546" s="13"/>
      <c r="E546" s="13"/>
      <c r="F546" s="14"/>
      <c r="G546" s="14"/>
      <c r="H546" s="13"/>
      <c r="I546" s="13"/>
      <c r="J546" s="14"/>
      <c r="K546" s="13"/>
      <c r="M546" s="13"/>
    </row>
    <row r="547" spans="2:13" ht="12.75" customHeight="1" x14ac:dyDescent="0.25">
      <c r="B547" s="13"/>
      <c r="D547" s="13"/>
      <c r="E547" s="13"/>
      <c r="F547" s="14"/>
      <c r="G547" s="14"/>
      <c r="H547" s="13"/>
      <c r="I547" s="13"/>
      <c r="J547" s="14"/>
      <c r="K547" s="13"/>
      <c r="M547" s="13"/>
    </row>
    <row r="548" spans="2:13" ht="12.75" customHeight="1" x14ac:dyDescent="0.25">
      <c r="B548" s="13"/>
      <c r="D548" s="13"/>
      <c r="E548" s="13"/>
      <c r="F548" s="14"/>
      <c r="G548" s="14"/>
      <c r="H548" s="13"/>
      <c r="I548" s="13"/>
      <c r="J548" s="14"/>
      <c r="K548" s="13"/>
      <c r="M548" s="13"/>
    </row>
    <row r="549" spans="2:13" ht="12.75" customHeight="1" x14ac:dyDescent="0.25">
      <c r="B549" s="13"/>
      <c r="D549" s="13"/>
      <c r="E549" s="13"/>
      <c r="F549" s="14"/>
      <c r="G549" s="14"/>
      <c r="H549" s="13"/>
      <c r="I549" s="13"/>
      <c r="J549" s="14"/>
      <c r="K549" s="13"/>
      <c r="M549" s="13"/>
    </row>
    <row r="550" spans="2:13" ht="12.75" customHeight="1" x14ac:dyDescent="0.25">
      <c r="B550" s="13"/>
      <c r="D550" s="13"/>
      <c r="E550" s="13"/>
      <c r="F550" s="14"/>
      <c r="G550" s="14"/>
      <c r="H550" s="13"/>
      <c r="I550" s="13"/>
      <c r="J550" s="14"/>
      <c r="K550" s="13"/>
      <c r="M550" s="13"/>
    </row>
    <row r="551" spans="2:13" ht="12.75" customHeight="1" x14ac:dyDescent="0.25">
      <c r="B551" s="13"/>
      <c r="D551" s="13"/>
      <c r="E551" s="13"/>
      <c r="F551" s="14"/>
      <c r="G551" s="14"/>
      <c r="H551" s="13"/>
      <c r="I551" s="13"/>
      <c r="J551" s="14"/>
      <c r="K551" s="13"/>
      <c r="M551" s="13"/>
    </row>
    <row r="552" spans="2:13" ht="12.75" customHeight="1" x14ac:dyDescent="0.25">
      <c r="B552" s="13"/>
      <c r="D552" s="13"/>
      <c r="E552" s="13"/>
      <c r="F552" s="14"/>
      <c r="G552" s="14"/>
      <c r="H552" s="13"/>
      <c r="I552" s="13"/>
      <c r="J552" s="14"/>
      <c r="K552" s="13"/>
      <c r="M552" s="13"/>
    </row>
    <row r="553" spans="2:13" ht="12.75" customHeight="1" x14ac:dyDescent="0.25">
      <c r="B553" s="13"/>
      <c r="D553" s="13"/>
      <c r="E553" s="13"/>
      <c r="F553" s="14"/>
      <c r="G553" s="14"/>
      <c r="H553" s="13"/>
      <c r="I553" s="13"/>
      <c r="J553" s="14"/>
      <c r="K553" s="13"/>
      <c r="M553" s="13"/>
    </row>
    <row r="554" spans="2:13" ht="12.75" customHeight="1" x14ac:dyDescent="0.25">
      <c r="B554" s="13"/>
      <c r="D554" s="13"/>
      <c r="E554" s="13"/>
      <c r="F554" s="14"/>
      <c r="G554" s="14"/>
      <c r="H554" s="13"/>
      <c r="I554" s="13"/>
      <c r="J554" s="14"/>
      <c r="K554" s="13"/>
      <c r="M554" s="13"/>
    </row>
    <row r="555" spans="2:13" ht="12.75" customHeight="1" x14ac:dyDescent="0.25">
      <c r="B555" s="13"/>
      <c r="D555" s="13"/>
      <c r="E555" s="13"/>
      <c r="F555" s="14"/>
      <c r="G555" s="14"/>
      <c r="H555" s="13"/>
      <c r="I555" s="13"/>
      <c r="J555" s="14"/>
      <c r="K555" s="13"/>
      <c r="M555" s="13"/>
    </row>
    <row r="556" spans="2:13" ht="12.75" customHeight="1" x14ac:dyDescent="0.25">
      <c r="B556" s="13"/>
      <c r="D556" s="13"/>
      <c r="E556" s="13"/>
      <c r="F556" s="14"/>
      <c r="G556" s="14"/>
      <c r="H556" s="13"/>
      <c r="I556" s="13"/>
      <c r="J556" s="14"/>
      <c r="K556" s="13"/>
      <c r="M556" s="13"/>
    </row>
    <row r="557" spans="2:13" ht="12.75" customHeight="1" x14ac:dyDescent="0.25">
      <c r="B557" s="13"/>
      <c r="D557" s="13"/>
      <c r="E557" s="13"/>
      <c r="F557" s="14"/>
      <c r="G557" s="14"/>
      <c r="H557" s="13"/>
      <c r="I557" s="13"/>
      <c r="J557" s="14"/>
      <c r="K557" s="13"/>
      <c r="M557" s="13"/>
    </row>
    <row r="558" spans="2:13" ht="12.75" customHeight="1" x14ac:dyDescent="0.25">
      <c r="B558" s="13"/>
      <c r="D558" s="13"/>
      <c r="E558" s="13"/>
      <c r="F558" s="14"/>
      <c r="G558" s="14"/>
      <c r="H558" s="13"/>
      <c r="I558" s="13"/>
      <c r="J558" s="14"/>
      <c r="K558" s="13"/>
      <c r="M558" s="13"/>
    </row>
    <row r="559" spans="2:13" ht="12.75" customHeight="1" x14ac:dyDescent="0.25">
      <c r="B559" s="13"/>
      <c r="D559" s="13"/>
      <c r="E559" s="13"/>
      <c r="F559" s="14"/>
      <c r="G559" s="14"/>
      <c r="H559" s="13"/>
      <c r="I559" s="13"/>
      <c r="J559" s="14"/>
      <c r="K559" s="13"/>
      <c r="M559" s="13"/>
    </row>
    <row r="560" spans="2:13" ht="12.75" customHeight="1" x14ac:dyDescent="0.25">
      <c r="B560" s="13"/>
      <c r="D560" s="13"/>
      <c r="E560" s="13"/>
      <c r="F560" s="14"/>
      <c r="G560" s="14"/>
      <c r="H560" s="13"/>
      <c r="I560" s="13"/>
      <c r="J560" s="14"/>
      <c r="K560" s="13"/>
      <c r="M560" s="13"/>
    </row>
    <row r="561" spans="2:13" ht="12.75" customHeight="1" x14ac:dyDescent="0.25">
      <c r="B561" s="13"/>
      <c r="D561" s="13"/>
      <c r="E561" s="13"/>
      <c r="F561" s="14"/>
      <c r="G561" s="14"/>
      <c r="H561" s="13"/>
      <c r="I561" s="13"/>
      <c r="J561" s="14"/>
      <c r="K561" s="13"/>
      <c r="M561" s="13"/>
    </row>
    <row r="562" spans="2:13" ht="12.75" customHeight="1" x14ac:dyDescent="0.25">
      <c r="B562" s="13"/>
      <c r="D562" s="13"/>
      <c r="E562" s="13"/>
      <c r="F562" s="14"/>
      <c r="G562" s="14"/>
      <c r="H562" s="13"/>
      <c r="I562" s="13"/>
      <c r="J562" s="14"/>
      <c r="K562" s="13"/>
      <c r="M562" s="13"/>
    </row>
    <row r="563" spans="2:13" ht="12.75" customHeight="1" x14ac:dyDescent="0.25">
      <c r="B563" s="13"/>
      <c r="D563" s="13"/>
      <c r="E563" s="13"/>
      <c r="F563" s="14"/>
      <c r="G563" s="14"/>
      <c r="H563" s="13"/>
      <c r="I563" s="13"/>
      <c r="J563" s="14"/>
      <c r="K563" s="13"/>
      <c r="M563" s="13"/>
    </row>
    <row r="564" spans="2:13" ht="12.75" customHeight="1" x14ac:dyDescent="0.25">
      <c r="B564" s="13"/>
      <c r="D564" s="13"/>
      <c r="E564" s="13"/>
      <c r="F564" s="14"/>
      <c r="G564" s="14"/>
      <c r="H564" s="13"/>
      <c r="I564" s="13"/>
      <c r="J564" s="14"/>
      <c r="K564" s="13"/>
      <c r="M564" s="13"/>
    </row>
    <row r="565" spans="2:13" ht="12.75" customHeight="1" x14ac:dyDescent="0.25">
      <c r="B565" s="13"/>
      <c r="D565" s="13"/>
      <c r="E565" s="13"/>
      <c r="F565" s="14"/>
      <c r="G565" s="14"/>
      <c r="H565" s="13"/>
      <c r="I565" s="13"/>
      <c r="J565" s="14"/>
      <c r="K565" s="13"/>
      <c r="M565" s="13"/>
    </row>
    <row r="566" spans="2:13" ht="12.75" customHeight="1" x14ac:dyDescent="0.25">
      <c r="B566" s="13"/>
      <c r="D566" s="13"/>
      <c r="E566" s="13"/>
      <c r="F566" s="14"/>
      <c r="G566" s="14"/>
      <c r="H566" s="13"/>
      <c r="I566" s="13"/>
      <c r="J566" s="14"/>
      <c r="K566" s="13"/>
      <c r="M566" s="13"/>
    </row>
    <row r="567" spans="2:13" ht="12.75" customHeight="1" x14ac:dyDescent="0.25">
      <c r="B567" s="13"/>
      <c r="D567" s="13"/>
      <c r="E567" s="13"/>
      <c r="F567" s="14"/>
      <c r="G567" s="14"/>
      <c r="H567" s="13"/>
      <c r="I567" s="13"/>
      <c r="J567" s="14"/>
      <c r="K567" s="13"/>
      <c r="M567" s="13"/>
    </row>
    <row r="568" spans="2:13" ht="12.75" customHeight="1" x14ac:dyDescent="0.25">
      <c r="B568" s="13"/>
      <c r="D568" s="13"/>
      <c r="E568" s="13"/>
      <c r="F568" s="14"/>
      <c r="G568" s="14"/>
      <c r="H568" s="13"/>
      <c r="I568" s="13"/>
      <c r="J568" s="14"/>
      <c r="K568" s="13"/>
      <c r="M568" s="13"/>
    </row>
    <row r="569" spans="2:13" ht="12.75" customHeight="1" x14ac:dyDescent="0.25">
      <c r="B569" s="13"/>
      <c r="D569" s="13"/>
      <c r="E569" s="13"/>
      <c r="F569" s="14"/>
      <c r="G569" s="14"/>
      <c r="H569" s="13"/>
      <c r="I569" s="13"/>
      <c r="J569" s="14"/>
      <c r="K569" s="13"/>
      <c r="M569" s="13"/>
    </row>
    <row r="570" spans="2:13" ht="12.75" customHeight="1" x14ac:dyDescent="0.25">
      <c r="B570" s="13"/>
      <c r="D570" s="13"/>
      <c r="E570" s="13"/>
      <c r="F570" s="14"/>
      <c r="G570" s="14"/>
      <c r="H570" s="13"/>
      <c r="I570" s="13"/>
      <c r="J570" s="14"/>
      <c r="K570" s="13"/>
      <c r="M570" s="13"/>
    </row>
    <row r="571" spans="2:13" ht="12.75" customHeight="1" x14ac:dyDescent="0.25">
      <c r="B571" s="13"/>
      <c r="D571" s="13"/>
      <c r="E571" s="13"/>
      <c r="F571" s="14"/>
      <c r="G571" s="14"/>
      <c r="H571" s="13"/>
      <c r="I571" s="13"/>
      <c r="J571" s="14"/>
      <c r="K571" s="13"/>
      <c r="M571" s="13"/>
    </row>
    <row r="572" spans="2:13" ht="12.75" customHeight="1" x14ac:dyDescent="0.25">
      <c r="B572" s="13"/>
      <c r="D572" s="13"/>
      <c r="E572" s="13"/>
      <c r="F572" s="14"/>
      <c r="G572" s="14"/>
      <c r="H572" s="13"/>
      <c r="I572" s="13"/>
      <c r="J572" s="14"/>
      <c r="K572" s="13"/>
      <c r="M572" s="13"/>
    </row>
    <row r="573" spans="2:13" ht="12.75" customHeight="1" x14ac:dyDescent="0.25">
      <c r="B573" s="13"/>
      <c r="D573" s="13"/>
      <c r="E573" s="13"/>
      <c r="F573" s="14"/>
      <c r="G573" s="14"/>
      <c r="H573" s="13"/>
      <c r="I573" s="13"/>
      <c r="J573" s="14"/>
      <c r="K573" s="13"/>
      <c r="M573" s="13"/>
    </row>
    <row r="574" spans="2:13" ht="12.75" customHeight="1" x14ac:dyDescent="0.25">
      <c r="B574" s="13"/>
      <c r="D574" s="13"/>
      <c r="E574" s="13"/>
      <c r="F574" s="14"/>
      <c r="G574" s="14"/>
      <c r="H574" s="13"/>
      <c r="I574" s="13"/>
      <c r="J574" s="14"/>
      <c r="K574" s="13"/>
      <c r="M574" s="13"/>
    </row>
    <row r="575" spans="2:13" ht="12.75" customHeight="1" x14ac:dyDescent="0.25">
      <c r="B575" s="13"/>
      <c r="D575" s="13"/>
      <c r="E575" s="13"/>
      <c r="F575" s="14"/>
      <c r="G575" s="14"/>
      <c r="H575" s="13"/>
      <c r="I575" s="13"/>
      <c r="J575" s="14"/>
      <c r="K575" s="13"/>
      <c r="M575" s="13"/>
    </row>
    <row r="576" spans="2:13" ht="12.75" customHeight="1" x14ac:dyDescent="0.25">
      <c r="B576" s="13"/>
      <c r="D576" s="13"/>
      <c r="E576" s="13"/>
      <c r="F576" s="14"/>
      <c r="G576" s="14"/>
      <c r="H576" s="13"/>
      <c r="I576" s="13"/>
      <c r="J576" s="14"/>
      <c r="K576" s="13"/>
      <c r="M576" s="13"/>
    </row>
    <row r="577" spans="2:13" ht="12.75" customHeight="1" x14ac:dyDescent="0.25">
      <c r="B577" s="13"/>
      <c r="D577" s="13"/>
      <c r="E577" s="13"/>
      <c r="F577" s="14"/>
      <c r="G577" s="14"/>
      <c r="H577" s="13"/>
      <c r="I577" s="13"/>
      <c r="J577" s="14"/>
      <c r="K577" s="13"/>
      <c r="M577" s="13"/>
    </row>
    <row r="578" spans="2:13" ht="12.75" customHeight="1" x14ac:dyDescent="0.25">
      <c r="B578" s="13"/>
      <c r="D578" s="13"/>
      <c r="E578" s="13"/>
      <c r="F578" s="14"/>
      <c r="G578" s="14"/>
      <c r="H578" s="13"/>
      <c r="I578" s="13"/>
      <c r="J578" s="14"/>
      <c r="K578" s="13"/>
      <c r="M578" s="13"/>
    </row>
    <row r="579" spans="2:13" ht="12.75" customHeight="1" x14ac:dyDescent="0.25">
      <c r="B579" s="13"/>
      <c r="D579" s="13"/>
      <c r="E579" s="13"/>
      <c r="F579" s="14"/>
      <c r="G579" s="14"/>
      <c r="H579" s="13"/>
      <c r="I579" s="13"/>
      <c r="J579" s="14"/>
      <c r="K579" s="13"/>
      <c r="M579" s="13"/>
    </row>
    <row r="580" spans="2:13" ht="12.75" customHeight="1" x14ac:dyDescent="0.25">
      <c r="B580" s="13"/>
      <c r="D580" s="13"/>
      <c r="E580" s="13"/>
      <c r="F580" s="14"/>
      <c r="G580" s="14"/>
      <c r="H580" s="13"/>
      <c r="I580" s="13"/>
      <c r="J580" s="14"/>
      <c r="K580" s="13"/>
      <c r="M580" s="13"/>
    </row>
    <row r="581" spans="2:13" ht="12.75" customHeight="1" x14ac:dyDescent="0.25">
      <c r="B581" s="13"/>
      <c r="D581" s="13"/>
      <c r="E581" s="13"/>
      <c r="F581" s="14"/>
      <c r="G581" s="14"/>
      <c r="H581" s="13"/>
      <c r="I581" s="13"/>
      <c r="J581" s="14"/>
      <c r="K581" s="13"/>
      <c r="M581" s="13"/>
    </row>
    <row r="582" spans="2:13" ht="12.75" customHeight="1" x14ac:dyDescent="0.25">
      <c r="B582" s="13"/>
      <c r="D582" s="13"/>
      <c r="E582" s="13"/>
      <c r="F582" s="14"/>
      <c r="G582" s="14"/>
      <c r="H582" s="13"/>
      <c r="I582" s="13"/>
      <c r="J582" s="14"/>
      <c r="K582" s="13"/>
      <c r="M582" s="13"/>
    </row>
    <row r="583" spans="2:13" ht="12.75" customHeight="1" x14ac:dyDescent="0.25">
      <c r="B583" s="13"/>
      <c r="D583" s="13"/>
      <c r="E583" s="13"/>
      <c r="F583" s="14"/>
      <c r="G583" s="14"/>
      <c r="H583" s="13"/>
      <c r="I583" s="13"/>
      <c r="J583" s="14"/>
      <c r="K583" s="13"/>
      <c r="M583" s="13"/>
    </row>
    <row r="584" spans="2:13" ht="12.75" customHeight="1" x14ac:dyDescent="0.25">
      <c r="B584" s="13"/>
      <c r="D584" s="13"/>
      <c r="E584" s="13"/>
      <c r="F584" s="14"/>
      <c r="G584" s="14"/>
      <c r="H584" s="13"/>
      <c r="I584" s="13"/>
      <c r="J584" s="14"/>
      <c r="K584" s="13"/>
      <c r="M584" s="13"/>
    </row>
    <row r="585" spans="2:13" ht="12.75" customHeight="1" x14ac:dyDescent="0.25">
      <c r="B585" s="13"/>
      <c r="D585" s="13"/>
      <c r="E585" s="13"/>
      <c r="F585" s="14"/>
      <c r="G585" s="14"/>
      <c r="H585" s="13"/>
      <c r="I585" s="13"/>
      <c r="J585" s="14"/>
      <c r="K585" s="13"/>
      <c r="M585" s="13"/>
    </row>
    <row r="586" spans="2:13" ht="12.75" customHeight="1" x14ac:dyDescent="0.25">
      <c r="B586" s="13"/>
      <c r="D586" s="13"/>
      <c r="E586" s="13"/>
      <c r="F586" s="14"/>
      <c r="G586" s="14"/>
      <c r="H586" s="13"/>
      <c r="I586" s="13"/>
      <c r="J586" s="14"/>
      <c r="K586" s="13"/>
      <c r="M586" s="13"/>
    </row>
    <row r="587" spans="2:13" ht="12.75" customHeight="1" x14ac:dyDescent="0.25">
      <c r="B587" s="13"/>
      <c r="D587" s="13"/>
      <c r="E587" s="13"/>
      <c r="F587" s="14"/>
      <c r="G587" s="14"/>
      <c r="H587" s="13"/>
      <c r="I587" s="13"/>
      <c r="J587" s="14"/>
      <c r="K587" s="13"/>
      <c r="M587" s="13"/>
    </row>
    <row r="588" spans="2:13" ht="12.75" customHeight="1" x14ac:dyDescent="0.25">
      <c r="B588" s="13"/>
      <c r="D588" s="13"/>
      <c r="E588" s="13"/>
      <c r="F588" s="14"/>
      <c r="G588" s="14"/>
      <c r="H588" s="13"/>
      <c r="I588" s="13"/>
      <c r="J588" s="14"/>
      <c r="K588" s="13"/>
      <c r="M588" s="13"/>
    </row>
    <row r="589" spans="2:13" ht="12.75" customHeight="1" x14ac:dyDescent="0.25">
      <c r="B589" s="13"/>
      <c r="D589" s="13"/>
      <c r="E589" s="13"/>
      <c r="F589" s="14"/>
      <c r="G589" s="14"/>
      <c r="H589" s="13"/>
      <c r="I589" s="13"/>
      <c r="J589" s="14"/>
      <c r="K589" s="13"/>
      <c r="M589" s="13"/>
    </row>
    <row r="590" spans="2:13" ht="12.75" customHeight="1" x14ac:dyDescent="0.25">
      <c r="B590" s="13"/>
      <c r="D590" s="13"/>
      <c r="E590" s="13"/>
      <c r="F590" s="14"/>
      <c r="G590" s="14"/>
      <c r="H590" s="13"/>
      <c r="I590" s="13"/>
      <c r="J590" s="14"/>
      <c r="K590" s="13"/>
      <c r="M590" s="13"/>
    </row>
    <row r="591" spans="2:13" ht="12.75" customHeight="1" x14ac:dyDescent="0.25">
      <c r="B591" s="13"/>
      <c r="D591" s="13"/>
      <c r="E591" s="13"/>
      <c r="F591" s="14"/>
      <c r="G591" s="14"/>
      <c r="H591" s="13"/>
      <c r="I591" s="13"/>
      <c r="J591" s="14"/>
      <c r="K591" s="13"/>
      <c r="M591" s="13"/>
    </row>
    <row r="592" spans="2:13" ht="12.75" customHeight="1" x14ac:dyDescent="0.25">
      <c r="B592" s="13"/>
      <c r="D592" s="13"/>
      <c r="E592" s="13"/>
      <c r="F592" s="14"/>
      <c r="G592" s="14"/>
      <c r="H592" s="13"/>
      <c r="I592" s="13"/>
      <c r="J592" s="14"/>
      <c r="K592" s="13"/>
      <c r="M592" s="13"/>
    </row>
    <row r="593" spans="2:13" ht="12.75" customHeight="1" x14ac:dyDescent="0.25">
      <c r="B593" s="13"/>
      <c r="D593" s="13"/>
      <c r="E593" s="13"/>
      <c r="F593" s="14"/>
      <c r="G593" s="14"/>
      <c r="H593" s="13"/>
      <c r="I593" s="13"/>
      <c r="J593" s="14"/>
      <c r="K593" s="13"/>
      <c r="M593" s="13"/>
    </row>
    <row r="594" spans="2:13" ht="12.75" customHeight="1" x14ac:dyDescent="0.25">
      <c r="B594" s="13"/>
      <c r="D594" s="13"/>
      <c r="E594" s="13"/>
      <c r="F594" s="14"/>
      <c r="G594" s="14"/>
      <c r="H594" s="13"/>
      <c r="I594" s="13"/>
      <c r="J594" s="14"/>
      <c r="K594" s="13"/>
      <c r="M594" s="13"/>
    </row>
    <row r="595" spans="2:13" ht="12.75" customHeight="1" x14ac:dyDescent="0.25">
      <c r="B595" s="13"/>
      <c r="D595" s="13"/>
      <c r="E595" s="13"/>
      <c r="F595" s="14"/>
      <c r="G595" s="14"/>
      <c r="H595" s="13"/>
      <c r="I595" s="13"/>
      <c r="J595" s="14"/>
      <c r="K595" s="13"/>
      <c r="M595" s="13"/>
    </row>
    <row r="596" spans="2:13" ht="12.75" customHeight="1" x14ac:dyDescent="0.25">
      <c r="B596" s="13"/>
      <c r="D596" s="13"/>
      <c r="E596" s="13"/>
      <c r="F596" s="14"/>
      <c r="G596" s="14"/>
      <c r="H596" s="13"/>
      <c r="I596" s="13"/>
      <c r="J596" s="14"/>
      <c r="K596" s="13"/>
      <c r="M596" s="13"/>
    </row>
    <row r="597" spans="2:13" ht="12.75" customHeight="1" x14ac:dyDescent="0.25">
      <c r="B597" s="13"/>
      <c r="D597" s="13"/>
      <c r="E597" s="13"/>
      <c r="F597" s="14"/>
      <c r="G597" s="14"/>
      <c r="H597" s="13"/>
      <c r="I597" s="13"/>
      <c r="J597" s="14"/>
      <c r="K597" s="13"/>
      <c r="M597" s="13"/>
    </row>
    <row r="598" spans="2:13" ht="12.75" customHeight="1" x14ac:dyDescent="0.25">
      <c r="B598" s="13"/>
      <c r="D598" s="13"/>
      <c r="E598" s="13"/>
      <c r="F598" s="14"/>
      <c r="G598" s="14"/>
      <c r="H598" s="13"/>
      <c r="I598" s="13"/>
      <c r="J598" s="14"/>
      <c r="K598" s="13"/>
      <c r="M598" s="13"/>
    </row>
    <row r="599" spans="2:13" ht="12.75" customHeight="1" x14ac:dyDescent="0.25">
      <c r="B599" s="13"/>
      <c r="D599" s="13"/>
      <c r="E599" s="13"/>
      <c r="F599" s="14"/>
      <c r="G599" s="14"/>
      <c r="H599" s="13"/>
      <c r="I599" s="13"/>
      <c r="J599" s="14"/>
      <c r="K599" s="13"/>
      <c r="M599" s="13"/>
    </row>
    <row r="600" spans="2:13" ht="12.75" customHeight="1" x14ac:dyDescent="0.25">
      <c r="B600" s="13"/>
      <c r="D600" s="13"/>
      <c r="E600" s="13"/>
      <c r="F600" s="14"/>
      <c r="G600" s="14"/>
      <c r="H600" s="13"/>
      <c r="I600" s="13"/>
      <c r="J600" s="14"/>
      <c r="K600" s="13"/>
      <c r="M600" s="13"/>
    </row>
    <row r="601" spans="2:13" ht="12.75" customHeight="1" x14ac:dyDescent="0.25">
      <c r="B601" s="13"/>
      <c r="D601" s="13"/>
      <c r="E601" s="13"/>
      <c r="F601" s="14"/>
      <c r="G601" s="14"/>
      <c r="H601" s="13"/>
      <c r="I601" s="13"/>
      <c r="J601" s="14"/>
      <c r="K601" s="13"/>
      <c r="M601" s="13"/>
    </row>
    <row r="602" spans="2:13" ht="12.75" customHeight="1" x14ac:dyDescent="0.25">
      <c r="B602" s="13"/>
      <c r="D602" s="13"/>
      <c r="E602" s="13"/>
      <c r="F602" s="14"/>
      <c r="G602" s="14"/>
      <c r="H602" s="13"/>
      <c r="I602" s="13"/>
      <c r="J602" s="14"/>
      <c r="K602" s="13"/>
      <c r="M602" s="13"/>
    </row>
    <row r="603" spans="2:13" ht="12.75" customHeight="1" x14ac:dyDescent="0.25">
      <c r="B603" s="13"/>
      <c r="D603" s="13"/>
      <c r="E603" s="13"/>
      <c r="F603" s="14"/>
      <c r="G603" s="14"/>
      <c r="H603" s="13"/>
      <c r="I603" s="13"/>
      <c r="J603" s="14"/>
      <c r="K603" s="13"/>
      <c r="M603" s="13"/>
    </row>
    <row r="604" spans="2:13" ht="12.75" customHeight="1" x14ac:dyDescent="0.25">
      <c r="B604" s="13"/>
      <c r="D604" s="13"/>
      <c r="E604" s="13"/>
      <c r="F604" s="14"/>
      <c r="G604" s="14"/>
      <c r="H604" s="13"/>
      <c r="I604" s="13"/>
      <c r="J604" s="14"/>
      <c r="K604" s="13"/>
      <c r="M604" s="13"/>
    </row>
    <row r="605" spans="2:13" ht="12.75" customHeight="1" x14ac:dyDescent="0.25">
      <c r="B605" s="13"/>
      <c r="D605" s="13"/>
      <c r="E605" s="13"/>
      <c r="F605" s="14"/>
      <c r="G605" s="14"/>
      <c r="H605" s="13"/>
      <c r="I605" s="13"/>
      <c r="J605" s="14"/>
      <c r="K605" s="13"/>
      <c r="M605" s="13"/>
    </row>
    <row r="606" spans="2:13" ht="12.75" customHeight="1" x14ac:dyDescent="0.25">
      <c r="B606" s="13"/>
      <c r="D606" s="13"/>
      <c r="E606" s="13"/>
      <c r="F606" s="14"/>
      <c r="G606" s="14"/>
      <c r="H606" s="13"/>
      <c r="I606" s="13"/>
      <c r="J606" s="14"/>
      <c r="K606" s="13"/>
      <c r="M606" s="13"/>
    </row>
    <row r="607" spans="2:13" ht="12.75" customHeight="1" x14ac:dyDescent="0.25">
      <c r="B607" s="13"/>
      <c r="D607" s="13"/>
      <c r="E607" s="13"/>
      <c r="F607" s="14"/>
      <c r="G607" s="14"/>
      <c r="H607" s="13"/>
      <c r="I607" s="13"/>
      <c r="J607" s="14"/>
      <c r="K607" s="13"/>
      <c r="M607" s="13"/>
    </row>
    <row r="608" spans="2:13" ht="12.75" customHeight="1" x14ac:dyDescent="0.25">
      <c r="B608" s="13"/>
      <c r="D608" s="13"/>
      <c r="E608" s="13"/>
      <c r="F608" s="14"/>
      <c r="G608" s="14"/>
      <c r="H608" s="13"/>
      <c r="I608" s="13"/>
      <c r="J608" s="14"/>
      <c r="K608" s="13"/>
      <c r="M608" s="13"/>
    </row>
    <row r="609" spans="2:13" ht="12.75" customHeight="1" x14ac:dyDescent="0.25">
      <c r="B609" s="13"/>
      <c r="D609" s="13"/>
      <c r="E609" s="13"/>
      <c r="F609" s="14"/>
      <c r="G609" s="14"/>
      <c r="H609" s="13"/>
      <c r="I609" s="13"/>
      <c r="J609" s="14"/>
      <c r="K609" s="13"/>
      <c r="M609" s="13"/>
    </row>
    <row r="610" spans="2:13" ht="12.75" customHeight="1" x14ac:dyDescent="0.25">
      <c r="B610" s="13"/>
      <c r="D610" s="13"/>
      <c r="E610" s="13"/>
      <c r="F610" s="14"/>
      <c r="G610" s="14"/>
      <c r="H610" s="13"/>
      <c r="I610" s="13"/>
      <c r="J610" s="14"/>
      <c r="K610" s="13"/>
      <c r="M610" s="13"/>
    </row>
    <row r="611" spans="2:13" ht="12.75" customHeight="1" x14ac:dyDescent="0.25">
      <c r="B611" s="13"/>
      <c r="D611" s="13"/>
      <c r="E611" s="13"/>
      <c r="F611" s="14"/>
      <c r="G611" s="14"/>
      <c r="H611" s="13"/>
      <c r="I611" s="13"/>
      <c r="J611" s="14"/>
      <c r="K611" s="13"/>
      <c r="M611" s="13"/>
    </row>
    <row r="612" spans="2:13" ht="12.75" customHeight="1" x14ac:dyDescent="0.25">
      <c r="B612" s="13"/>
      <c r="D612" s="13"/>
      <c r="E612" s="13"/>
      <c r="F612" s="14"/>
      <c r="G612" s="14"/>
      <c r="H612" s="13"/>
      <c r="I612" s="13"/>
      <c r="J612" s="14"/>
      <c r="K612" s="13"/>
      <c r="M612" s="13"/>
    </row>
    <row r="613" spans="2:13" ht="12.75" customHeight="1" x14ac:dyDescent="0.25">
      <c r="B613" s="13"/>
      <c r="D613" s="13"/>
      <c r="E613" s="13"/>
      <c r="F613" s="14"/>
      <c r="G613" s="14"/>
      <c r="H613" s="13"/>
      <c r="I613" s="13"/>
      <c r="J613" s="14"/>
      <c r="K613" s="13"/>
      <c r="M613" s="13"/>
    </row>
    <row r="614" spans="2:13" ht="12.75" customHeight="1" x14ac:dyDescent="0.25">
      <c r="B614" s="13"/>
      <c r="D614" s="13"/>
      <c r="E614" s="13"/>
      <c r="F614" s="14"/>
      <c r="G614" s="14"/>
      <c r="H614" s="13"/>
      <c r="I614" s="13"/>
      <c r="J614" s="14"/>
      <c r="K614" s="13"/>
      <c r="M614" s="13"/>
    </row>
    <row r="615" spans="2:13" ht="12.75" customHeight="1" x14ac:dyDescent="0.25">
      <c r="B615" s="13"/>
      <c r="D615" s="13"/>
      <c r="E615" s="13"/>
      <c r="F615" s="14"/>
      <c r="G615" s="14"/>
      <c r="H615" s="13"/>
      <c r="I615" s="13"/>
      <c r="J615" s="14"/>
      <c r="K615" s="13"/>
      <c r="M615" s="13"/>
    </row>
    <row r="616" spans="2:13" ht="12.75" customHeight="1" x14ac:dyDescent="0.25">
      <c r="B616" s="13"/>
      <c r="D616" s="13"/>
      <c r="E616" s="13"/>
      <c r="F616" s="14"/>
      <c r="G616" s="14"/>
      <c r="H616" s="13"/>
      <c r="I616" s="13"/>
      <c r="J616" s="14"/>
      <c r="K616" s="13"/>
      <c r="M616" s="13"/>
    </row>
    <row r="617" spans="2:13" ht="12.75" customHeight="1" x14ac:dyDescent="0.25">
      <c r="B617" s="13"/>
      <c r="D617" s="13"/>
      <c r="E617" s="13"/>
      <c r="F617" s="14"/>
      <c r="G617" s="14"/>
      <c r="H617" s="13"/>
      <c r="I617" s="13"/>
      <c r="J617" s="14"/>
      <c r="K617" s="13"/>
      <c r="M617" s="13"/>
    </row>
    <row r="618" spans="2:13" ht="12.75" customHeight="1" x14ac:dyDescent="0.25">
      <c r="B618" s="13"/>
      <c r="D618" s="13"/>
      <c r="E618" s="13"/>
      <c r="F618" s="14"/>
      <c r="G618" s="14"/>
      <c r="H618" s="13"/>
      <c r="I618" s="13"/>
      <c r="J618" s="14"/>
      <c r="K618" s="13"/>
      <c r="M618" s="13"/>
    </row>
    <row r="619" spans="2:13" ht="12.75" customHeight="1" x14ac:dyDescent="0.25">
      <c r="B619" s="13"/>
      <c r="D619" s="13"/>
      <c r="E619" s="13"/>
      <c r="F619" s="14"/>
      <c r="G619" s="14"/>
      <c r="H619" s="13"/>
      <c r="I619" s="13"/>
      <c r="J619" s="14"/>
      <c r="K619" s="13"/>
      <c r="M619" s="13"/>
    </row>
    <row r="620" spans="2:13" ht="12.75" customHeight="1" x14ac:dyDescent="0.25">
      <c r="B620" s="13"/>
      <c r="D620" s="13"/>
      <c r="E620" s="13"/>
      <c r="F620" s="14"/>
      <c r="G620" s="14"/>
      <c r="H620" s="13"/>
      <c r="I620" s="13"/>
      <c r="J620" s="14"/>
      <c r="K620" s="13"/>
      <c r="M620" s="13"/>
    </row>
    <row r="621" spans="2:13" ht="12.75" customHeight="1" x14ac:dyDescent="0.25">
      <c r="B621" s="13"/>
      <c r="D621" s="13"/>
      <c r="E621" s="13"/>
      <c r="F621" s="14"/>
      <c r="G621" s="14"/>
      <c r="H621" s="13"/>
      <c r="I621" s="13"/>
      <c r="J621" s="14"/>
      <c r="K621" s="13"/>
      <c r="M621" s="13"/>
    </row>
    <row r="622" spans="2:13" ht="12.75" customHeight="1" x14ac:dyDescent="0.25">
      <c r="B622" s="13"/>
      <c r="D622" s="13"/>
      <c r="E622" s="13"/>
      <c r="F622" s="14"/>
      <c r="G622" s="14"/>
      <c r="H622" s="13"/>
      <c r="I622" s="13"/>
      <c r="J622" s="14"/>
      <c r="K622" s="13"/>
      <c r="M622" s="13"/>
    </row>
    <row r="623" spans="2:13" ht="12.75" customHeight="1" x14ac:dyDescent="0.25">
      <c r="B623" s="13"/>
      <c r="D623" s="13"/>
      <c r="E623" s="13"/>
      <c r="F623" s="14"/>
      <c r="G623" s="14"/>
      <c r="H623" s="13"/>
      <c r="I623" s="13"/>
      <c r="J623" s="14"/>
      <c r="K623" s="13"/>
      <c r="M623" s="13"/>
    </row>
    <row r="624" spans="2:13" ht="12.75" customHeight="1" x14ac:dyDescent="0.25">
      <c r="B624" s="13"/>
      <c r="D624" s="13"/>
      <c r="E624" s="13"/>
      <c r="F624" s="14"/>
      <c r="G624" s="14"/>
      <c r="H624" s="13"/>
      <c r="I624" s="13"/>
      <c r="J624" s="14"/>
      <c r="K624" s="13"/>
      <c r="M624" s="13"/>
    </row>
    <row r="625" spans="2:13" ht="12.75" customHeight="1" x14ac:dyDescent="0.25">
      <c r="B625" s="13"/>
      <c r="D625" s="13"/>
      <c r="E625" s="13"/>
      <c r="F625" s="14"/>
      <c r="G625" s="14"/>
      <c r="H625" s="13"/>
      <c r="I625" s="13"/>
      <c r="J625" s="14"/>
      <c r="K625" s="13"/>
      <c r="M625" s="13"/>
    </row>
    <row r="626" spans="2:13" ht="12.75" customHeight="1" x14ac:dyDescent="0.25">
      <c r="B626" s="13"/>
      <c r="D626" s="13"/>
      <c r="E626" s="13"/>
      <c r="F626" s="14"/>
      <c r="G626" s="14"/>
      <c r="H626" s="13"/>
      <c r="I626" s="13"/>
      <c r="J626" s="14"/>
      <c r="K626" s="13"/>
      <c r="M626" s="13"/>
    </row>
    <row r="627" spans="2:13" ht="12.75" customHeight="1" x14ac:dyDescent="0.25">
      <c r="B627" s="13"/>
      <c r="D627" s="13"/>
      <c r="E627" s="13"/>
      <c r="F627" s="14"/>
      <c r="G627" s="14"/>
      <c r="H627" s="13"/>
      <c r="I627" s="13"/>
      <c r="J627" s="14"/>
      <c r="K627" s="13"/>
      <c r="M627" s="13"/>
    </row>
    <row r="628" spans="2:13" ht="12.75" customHeight="1" x14ac:dyDescent="0.25">
      <c r="B628" s="13"/>
      <c r="D628" s="13"/>
      <c r="E628" s="13"/>
      <c r="F628" s="14"/>
      <c r="G628" s="14"/>
      <c r="H628" s="13"/>
      <c r="I628" s="13"/>
      <c r="J628" s="14"/>
      <c r="K628" s="13"/>
      <c r="M628" s="13"/>
    </row>
    <row r="629" spans="2:13" ht="12.75" customHeight="1" x14ac:dyDescent="0.25">
      <c r="B629" s="13"/>
      <c r="D629" s="13"/>
      <c r="E629" s="13"/>
      <c r="F629" s="14"/>
      <c r="G629" s="14"/>
      <c r="H629" s="13"/>
      <c r="I629" s="13"/>
      <c r="J629" s="14"/>
      <c r="K629" s="13"/>
      <c r="M629" s="13"/>
    </row>
    <row r="630" spans="2:13" ht="12.75" customHeight="1" x14ac:dyDescent="0.25">
      <c r="B630" s="13"/>
      <c r="D630" s="13"/>
      <c r="E630" s="13"/>
      <c r="F630" s="14"/>
      <c r="G630" s="14"/>
      <c r="H630" s="13"/>
      <c r="I630" s="13"/>
      <c r="J630" s="14"/>
      <c r="K630" s="13"/>
      <c r="M630" s="13"/>
    </row>
    <row r="631" spans="2:13" ht="12.75" customHeight="1" x14ac:dyDescent="0.25">
      <c r="B631" s="13"/>
      <c r="D631" s="13"/>
      <c r="E631" s="13"/>
      <c r="F631" s="14"/>
      <c r="G631" s="14"/>
      <c r="H631" s="13"/>
      <c r="I631" s="13"/>
      <c r="J631" s="14"/>
      <c r="K631" s="13"/>
      <c r="M631" s="13"/>
    </row>
    <row r="632" spans="2:13" ht="12.75" customHeight="1" x14ac:dyDescent="0.25">
      <c r="B632" s="13"/>
      <c r="D632" s="13"/>
      <c r="E632" s="13"/>
      <c r="F632" s="14"/>
      <c r="G632" s="14"/>
      <c r="H632" s="13"/>
      <c r="I632" s="13"/>
      <c r="J632" s="14"/>
      <c r="K632" s="13"/>
      <c r="M632" s="13"/>
    </row>
    <row r="633" spans="2:13" ht="12.75" customHeight="1" x14ac:dyDescent="0.25">
      <c r="B633" s="13"/>
      <c r="D633" s="13"/>
      <c r="E633" s="13"/>
      <c r="F633" s="14"/>
      <c r="G633" s="14"/>
      <c r="H633" s="13"/>
      <c r="I633" s="13"/>
      <c r="J633" s="14"/>
      <c r="K633" s="13"/>
      <c r="M633" s="13"/>
    </row>
    <row r="634" spans="2:13" ht="12.75" customHeight="1" x14ac:dyDescent="0.25">
      <c r="B634" s="13"/>
      <c r="D634" s="13"/>
      <c r="E634" s="13"/>
      <c r="F634" s="14"/>
      <c r="G634" s="14"/>
      <c r="H634" s="13"/>
      <c r="I634" s="13"/>
      <c r="J634" s="14"/>
      <c r="K634" s="13"/>
      <c r="M634" s="13"/>
    </row>
    <row r="635" spans="2:13" ht="12.75" customHeight="1" x14ac:dyDescent="0.25">
      <c r="B635" s="13"/>
      <c r="D635" s="13"/>
      <c r="E635" s="13"/>
      <c r="F635" s="14"/>
      <c r="G635" s="14"/>
      <c r="H635" s="13"/>
      <c r="I635" s="13"/>
      <c r="J635" s="14"/>
      <c r="K635" s="13"/>
      <c r="M635" s="13"/>
    </row>
    <row r="636" spans="2:13" ht="12.75" customHeight="1" x14ac:dyDescent="0.25">
      <c r="B636" s="13"/>
      <c r="D636" s="13"/>
      <c r="E636" s="13"/>
      <c r="F636" s="14"/>
      <c r="G636" s="14"/>
      <c r="H636" s="13"/>
      <c r="I636" s="13"/>
      <c r="J636" s="14"/>
      <c r="K636" s="13"/>
      <c r="M636" s="13"/>
    </row>
    <row r="637" spans="2:13" ht="12.75" customHeight="1" x14ac:dyDescent="0.25">
      <c r="B637" s="13"/>
      <c r="D637" s="13"/>
      <c r="E637" s="13"/>
      <c r="F637" s="14"/>
      <c r="G637" s="14"/>
      <c r="H637" s="13"/>
      <c r="I637" s="13"/>
      <c r="J637" s="14"/>
      <c r="K637" s="13"/>
      <c r="M637" s="13"/>
    </row>
    <row r="638" spans="2:13" ht="12.75" customHeight="1" x14ac:dyDescent="0.25">
      <c r="B638" s="13"/>
      <c r="D638" s="13"/>
      <c r="E638" s="13"/>
      <c r="F638" s="14"/>
      <c r="G638" s="14"/>
      <c r="H638" s="13"/>
      <c r="I638" s="13"/>
      <c r="J638" s="14"/>
      <c r="K638" s="13"/>
      <c r="M638" s="13"/>
    </row>
    <row r="639" spans="2:13" ht="12.75" customHeight="1" x14ac:dyDescent="0.25">
      <c r="B639" s="13"/>
      <c r="D639" s="13"/>
      <c r="E639" s="13"/>
      <c r="F639" s="14"/>
      <c r="G639" s="14"/>
      <c r="H639" s="13"/>
      <c r="I639" s="13"/>
      <c r="J639" s="14"/>
      <c r="K639" s="13"/>
      <c r="M639" s="13"/>
    </row>
    <row r="640" spans="2:13" ht="12.75" customHeight="1" x14ac:dyDescent="0.25">
      <c r="B640" s="13"/>
      <c r="D640" s="13"/>
      <c r="E640" s="13"/>
      <c r="F640" s="14"/>
      <c r="G640" s="14"/>
      <c r="H640" s="13"/>
      <c r="I640" s="13"/>
      <c r="J640" s="14"/>
      <c r="K640" s="13"/>
      <c r="M640" s="13"/>
    </row>
    <row r="641" spans="2:13" ht="12.75" customHeight="1" x14ac:dyDescent="0.25">
      <c r="B641" s="13"/>
      <c r="D641" s="13"/>
      <c r="E641" s="13"/>
      <c r="F641" s="14"/>
      <c r="G641" s="14"/>
      <c r="H641" s="13"/>
      <c r="I641" s="13"/>
      <c r="J641" s="14"/>
      <c r="K641" s="13"/>
      <c r="M641" s="13"/>
    </row>
    <row r="642" spans="2:13" ht="12.75" customHeight="1" x14ac:dyDescent="0.25">
      <c r="B642" s="13"/>
      <c r="D642" s="13"/>
      <c r="E642" s="13"/>
      <c r="F642" s="14"/>
      <c r="G642" s="14"/>
      <c r="H642" s="13"/>
      <c r="I642" s="13"/>
      <c r="J642" s="14"/>
      <c r="K642" s="13"/>
      <c r="M642" s="13"/>
    </row>
    <row r="643" spans="2:13" ht="12.75" customHeight="1" x14ac:dyDescent="0.25">
      <c r="B643" s="13"/>
      <c r="D643" s="13"/>
      <c r="E643" s="13"/>
      <c r="F643" s="14"/>
      <c r="G643" s="14"/>
      <c r="H643" s="13"/>
      <c r="I643" s="13"/>
      <c r="J643" s="14"/>
      <c r="K643" s="13"/>
      <c r="M643" s="13"/>
    </row>
    <row r="644" spans="2:13" ht="12.75" customHeight="1" x14ac:dyDescent="0.25">
      <c r="B644" s="13"/>
      <c r="D644" s="13"/>
      <c r="E644" s="13"/>
      <c r="F644" s="14"/>
      <c r="G644" s="14"/>
      <c r="H644" s="13"/>
      <c r="I644" s="13"/>
      <c r="J644" s="14"/>
      <c r="K644" s="13"/>
      <c r="M644" s="13"/>
    </row>
    <row r="645" spans="2:13" ht="12.75" customHeight="1" x14ac:dyDescent="0.25">
      <c r="B645" s="13"/>
      <c r="D645" s="13"/>
      <c r="E645" s="13"/>
      <c r="F645" s="14"/>
      <c r="G645" s="14"/>
      <c r="H645" s="13"/>
      <c r="I645" s="13"/>
      <c r="J645" s="14"/>
      <c r="K645" s="13"/>
      <c r="M645" s="13"/>
    </row>
    <row r="646" spans="2:13" ht="12.75" customHeight="1" x14ac:dyDescent="0.25">
      <c r="B646" s="13"/>
      <c r="D646" s="13"/>
      <c r="E646" s="13"/>
      <c r="F646" s="14"/>
      <c r="G646" s="14"/>
      <c r="H646" s="13"/>
      <c r="I646" s="13"/>
      <c r="J646" s="14"/>
      <c r="K646" s="13"/>
      <c r="M646" s="13"/>
    </row>
    <row r="647" spans="2:13" ht="12.75" customHeight="1" x14ac:dyDescent="0.25">
      <c r="B647" s="13"/>
      <c r="D647" s="13"/>
      <c r="E647" s="13"/>
      <c r="F647" s="14"/>
      <c r="G647" s="14"/>
      <c r="H647" s="13"/>
      <c r="I647" s="13"/>
      <c r="J647" s="14"/>
      <c r="K647" s="13"/>
      <c r="M647" s="13"/>
    </row>
    <row r="648" spans="2:13" ht="12.75" customHeight="1" x14ac:dyDescent="0.25">
      <c r="B648" s="13"/>
      <c r="D648" s="13"/>
      <c r="E648" s="13"/>
      <c r="F648" s="14"/>
      <c r="G648" s="14"/>
      <c r="H648" s="13"/>
      <c r="I648" s="13"/>
      <c r="J648" s="14"/>
      <c r="K648" s="13"/>
      <c r="M648" s="13"/>
    </row>
    <row r="649" spans="2:13" ht="12.75" customHeight="1" x14ac:dyDescent="0.25">
      <c r="B649" s="13"/>
      <c r="D649" s="13"/>
      <c r="E649" s="13"/>
      <c r="F649" s="14"/>
      <c r="G649" s="14"/>
      <c r="H649" s="13"/>
      <c r="I649" s="13"/>
      <c r="J649" s="14"/>
      <c r="K649" s="13"/>
      <c r="M649" s="13"/>
    </row>
    <row r="650" spans="2:13" ht="12.75" customHeight="1" x14ac:dyDescent="0.25">
      <c r="B650" s="13"/>
      <c r="D650" s="13"/>
      <c r="E650" s="13"/>
      <c r="F650" s="14"/>
      <c r="G650" s="14"/>
      <c r="H650" s="13"/>
      <c r="I650" s="13"/>
      <c r="J650" s="14"/>
      <c r="K650" s="13"/>
      <c r="M650" s="13"/>
    </row>
    <row r="651" spans="2:13" ht="12.75" customHeight="1" x14ac:dyDescent="0.25">
      <c r="B651" s="13"/>
      <c r="D651" s="13"/>
      <c r="E651" s="13"/>
      <c r="F651" s="14"/>
      <c r="G651" s="14"/>
      <c r="H651" s="13"/>
      <c r="I651" s="13"/>
      <c r="J651" s="14"/>
      <c r="K651" s="13"/>
      <c r="M651" s="13"/>
    </row>
    <row r="652" spans="2:13" ht="12.75" customHeight="1" x14ac:dyDescent="0.25">
      <c r="B652" s="13"/>
      <c r="D652" s="13"/>
      <c r="E652" s="13"/>
      <c r="F652" s="14"/>
      <c r="G652" s="14"/>
      <c r="H652" s="13"/>
      <c r="I652" s="13"/>
      <c r="J652" s="14"/>
      <c r="K652" s="13"/>
      <c r="M652" s="13"/>
    </row>
    <row r="653" spans="2:13" ht="12.75" customHeight="1" x14ac:dyDescent="0.25">
      <c r="B653" s="13"/>
      <c r="D653" s="13"/>
      <c r="E653" s="13"/>
      <c r="F653" s="14"/>
      <c r="G653" s="14"/>
      <c r="H653" s="13"/>
      <c r="I653" s="13"/>
      <c r="J653" s="14"/>
      <c r="K653" s="13"/>
      <c r="M653" s="13"/>
    </row>
    <row r="654" spans="2:13" ht="12.75" customHeight="1" x14ac:dyDescent="0.25">
      <c r="B654" s="13"/>
      <c r="D654" s="13"/>
      <c r="E654" s="13"/>
      <c r="F654" s="14"/>
      <c r="G654" s="14"/>
      <c r="H654" s="13"/>
      <c r="I654" s="13"/>
      <c r="J654" s="14"/>
      <c r="K654" s="13"/>
      <c r="M654" s="13"/>
    </row>
    <row r="655" spans="2:13" ht="12.75" customHeight="1" x14ac:dyDescent="0.25">
      <c r="B655" s="13"/>
      <c r="D655" s="13"/>
      <c r="E655" s="13"/>
      <c r="F655" s="14"/>
      <c r="G655" s="14"/>
      <c r="H655" s="13"/>
      <c r="I655" s="13"/>
      <c r="J655" s="14"/>
      <c r="K655" s="13"/>
      <c r="M655" s="13"/>
    </row>
    <row r="656" spans="2:13" ht="12.75" customHeight="1" x14ac:dyDescent="0.25">
      <c r="B656" s="13"/>
      <c r="D656" s="13"/>
      <c r="E656" s="13"/>
      <c r="F656" s="14"/>
      <c r="G656" s="14"/>
      <c r="H656" s="13"/>
      <c r="I656" s="13"/>
      <c r="J656" s="14"/>
      <c r="K656" s="13"/>
      <c r="M656" s="13"/>
    </row>
    <row r="657" spans="2:13" ht="12.75" customHeight="1" x14ac:dyDescent="0.25">
      <c r="B657" s="13"/>
      <c r="D657" s="13"/>
      <c r="E657" s="13"/>
      <c r="F657" s="14"/>
      <c r="G657" s="14"/>
      <c r="H657" s="13"/>
      <c r="I657" s="13"/>
      <c r="J657" s="14"/>
      <c r="K657" s="13"/>
      <c r="M657" s="13"/>
    </row>
    <row r="658" spans="2:13" ht="12.75" customHeight="1" x14ac:dyDescent="0.25">
      <c r="B658" s="13"/>
      <c r="D658" s="13"/>
      <c r="E658" s="13"/>
      <c r="F658" s="14"/>
      <c r="G658" s="14"/>
      <c r="H658" s="13"/>
      <c r="I658" s="13"/>
      <c r="J658" s="14"/>
      <c r="K658" s="13"/>
      <c r="M658" s="13"/>
    </row>
    <row r="659" spans="2:13" ht="12.75" customHeight="1" x14ac:dyDescent="0.25">
      <c r="B659" s="13"/>
      <c r="D659" s="13"/>
      <c r="E659" s="13"/>
      <c r="F659" s="14"/>
      <c r="G659" s="14"/>
      <c r="H659" s="13"/>
      <c r="I659" s="13"/>
      <c r="J659" s="14"/>
      <c r="K659" s="13"/>
      <c r="M659" s="13"/>
    </row>
    <row r="660" spans="2:13" ht="12.75" customHeight="1" x14ac:dyDescent="0.25">
      <c r="B660" s="13"/>
      <c r="D660" s="13"/>
      <c r="E660" s="13"/>
      <c r="F660" s="14"/>
      <c r="G660" s="14"/>
      <c r="H660" s="13"/>
      <c r="I660" s="13"/>
      <c r="J660" s="14"/>
      <c r="K660" s="13"/>
      <c r="M660" s="13"/>
    </row>
    <row r="661" spans="2:13" ht="12.75" customHeight="1" x14ac:dyDescent="0.25">
      <c r="B661" s="13"/>
      <c r="D661" s="13"/>
      <c r="E661" s="13"/>
      <c r="F661" s="14"/>
      <c r="G661" s="14"/>
      <c r="H661" s="13"/>
      <c r="I661" s="13"/>
      <c r="J661" s="14"/>
      <c r="K661" s="13"/>
      <c r="M661" s="13"/>
    </row>
    <row r="662" spans="2:13" ht="12.75" customHeight="1" x14ac:dyDescent="0.25">
      <c r="B662" s="13"/>
      <c r="D662" s="13"/>
      <c r="E662" s="13"/>
      <c r="F662" s="14"/>
      <c r="G662" s="14"/>
      <c r="H662" s="13"/>
      <c r="I662" s="13"/>
      <c r="J662" s="14"/>
      <c r="K662" s="13"/>
      <c r="M662" s="13"/>
    </row>
    <row r="663" spans="2:13" ht="12.75" customHeight="1" x14ac:dyDescent="0.25">
      <c r="B663" s="13"/>
      <c r="D663" s="13"/>
      <c r="E663" s="13"/>
      <c r="F663" s="14"/>
      <c r="G663" s="14"/>
      <c r="H663" s="13"/>
      <c r="I663" s="13"/>
      <c r="J663" s="14"/>
      <c r="K663" s="13"/>
      <c r="M663" s="13"/>
    </row>
    <row r="664" spans="2:13" ht="12.75" customHeight="1" x14ac:dyDescent="0.25">
      <c r="B664" s="13"/>
      <c r="D664" s="13"/>
      <c r="E664" s="13"/>
      <c r="F664" s="14"/>
      <c r="G664" s="14"/>
      <c r="H664" s="13"/>
      <c r="I664" s="13"/>
      <c r="J664" s="14"/>
      <c r="K664" s="13"/>
      <c r="M664" s="13"/>
    </row>
    <row r="665" spans="2:13" ht="12.75" customHeight="1" x14ac:dyDescent="0.25">
      <c r="B665" s="13"/>
      <c r="D665" s="13"/>
      <c r="E665" s="13"/>
      <c r="F665" s="14"/>
      <c r="G665" s="14"/>
      <c r="H665" s="13"/>
      <c r="I665" s="13"/>
      <c r="J665" s="14"/>
      <c r="K665" s="13"/>
      <c r="M665" s="13"/>
    </row>
    <row r="666" spans="2:13" ht="12.75" customHeight="1" x14ac:dyDescent="0.25">
      <c r="B666" s="13"/>
      <c r="D666" s="13"/>
      <c r="E666" s="13"/>
      <c r="F666" s="14"/>
      <c r="G666" s="14"/>
      <c r="H666" s="13"/>
      <c r="I666" s="13"/>
      <c r="J666" s="14"/>
      <c r="K666" s="13"/>
      <c r="M666" s="13"/>
    </row>
    <row r="667" spans="2:13" ht="12.75" customHeight="1" x14ac:dyDescent="0.25">
      <c r="B667" s="13"/>
      <c r="D667" s="13"/>
      <c r="E667" s="13"/>
      <c r="F667" s="14"/>
      <c r="G667" s="14"/>
      <c r="H667" s="13"/>
      <c r="I667" s="13"/>
      <c r="J667" s="14"/>
      <c r="K667" s="13"/>
      <c r="M667" s="13"/>
    </row>
    <row r="668" spans="2:13" ht="12.75" customHeight="1" x14ac:dyDescent="0.25">
      <c r="B668" s="13"/>
      <c r="D668" s="13"/>
      <c r="E668" s="13"/>
      <c r="F668" s="14"/>
      <c r="G668" s="14"/>
      <c r="H668" s="13"/>
      <c r="I668" s="13"/>
      <c r="J668" s="14"/>
      <c r="K668" s="13"/>
      <c r="M668" s="13"/>
    </row>
    <row r="669" spans="2:13" ht="12.75" customHeight="1" x14ac:dyDescent="0.25">
      <c r="B669" s="13"/>
      <c r="D669" s="13"/>
      <c r="E669" s="13"/>
      <c r="F669" s="14"/>
      <c r="G669" s="14"/>
      <c r="H669" s="13"/>
      <c r="I669" s="13"/>
      <c r="J669" s="14"/>
      <c r="K669" s="13"/>
      <c r="M669" s="13"/>
    </row>
    <row r="670" spans="2:13" ht="12.75" customHeight="1" x14ac:dyDescent="0.25">
      <c r="B670" s="13"/>
      <c r="D670" s="13"/>
      <c r="E670" s="13"/>
      <c r="F670" s="14"/>
      <c r="G670" s="14"/>
      <c r="H670" s="13"/>
      <c r="I670" s="13"/>
      <c r="J670" s="14"/>
      <c r="K670" s="13"/>
      <c r="M670" s="13"/>
    </row>
    <row r="671" spans="2:13" ht="12.75" customHeight="1" x14ac:dyDescent="0.25">
      <c r="B671" s="13"/>
      <c r="D671" s="13"/>
      <c r="E671" s="13"/>
      <c r="F671" s="14"/>
      <c r="G671" s="14"/>
      <c r="H671" s="13"/>
      <c r="I671" s="13"/>
      <c r="J671" s="14"/>
      <c r="K671" s="13"/>
      <c r="M671" s="13"/>
    </row>
    <row r="672" spans="2:13" ht="12.75" customHeight="1" x14ac:dyDescent="0.25">
      <c r="B672" s="13"/>
      <c r="D672" s="13"/>
      <c r="E672" s="13"/>
      <c r="F672" s="14"/>
      <c r="G672" s="14"/>
      <c r="H672" s="13"/>
      <c r="I672" s="13"/>
      <c r="J672" s="14"/>
      <c r="K672" s="13"/>
      <c r="M672" s="13"/>
    </row>
    <row r="673" spans="2:13" ht="12.75" customHeight="1" x14ac:dyDescent="0.25">
      <c r="B673" s="13"/>
      <c r="D673" s="13"/>
      <c r="E673" s="13"/>
      <c r="F673" s="14"/>
      <c r="G673" s="14"/>
      <c r="H673" s="13"/>
      <c r="I673" s="13"/>
      <c r="J673" s="14"/>
      <c r="K673" s="13"/>
      <c r="M673" s="13"/>
    </row>
    <row r="674" spans="2:13" ht="12.75" customHeight="1" x14ac:dyDescent="0.25">
      <c r="B674" s="13"/>
      <c r="D674" s="13"/>
      <c r="E674" s="13"/>
      <c r="F674" s="14"/>
      <c r="G674" s="14"/>
      <c r="H674" s="13"/>
      <c r="I674" s="13"/>
      <c r="J674" s="14"/>
      <c r="K674" s="13"/>
      <c r="M674" s="13"/>
    </row>
    <row r="675" spans="2:13" ht="12.75" customHeight="1" x14ac:dyDescent="0.25">
      <c r="B675" s="13"/>
      <c r="D675" s="13"/>
      <c r="E675" s="13"/>
      <c r="F675" s="14"/>
      <c r="G675" s="14"/>
      <c r="H675" s="13"/>
      <c r="I675" s="13"/>
      <c r="J675" s="14"/>
      <c r="K675" s="13"/>
      <c r="M675" s="13"/>
    </row>
    <row r="676" spans="2:13" ht="12.75" customHeight="1" x14ac:dyDescent="0.25">
      <c r="B676" s="13"/>
      <c r="D676" s="13"/>
      <c r="E676" s="13"/>
      <c r="F676" s="14"/>
      <c r="G676" s="14"/>
      <c r="H676" s="13"/>
      <c r="I676" s="13"/>
      <c r="J676" s="14"/>
      <c r="K676" s="13"/>
      <c r="M676" s="13"/>
    </row>
    <row r="677" spans="2:13" ht="12.75" customHeight="1" x14ac:dyDescent="0.25">
      <c r="B677" s="13"/>
      <c r="D677" s="13"/>
      <c r="E677" s="13"/>
      <c r="F677" s="14"/>
      <c r="G677" s="14"/>
      <c r="H677" s="13"/>
      <c r="I677" s="13"/>
      <c r="J677" s="14"/>
      <c r="K677" s="13"/>
      <c r="M677" s="13"/>
    </row>
    <row r="678" spans="2:13" ht="12.75" customHeight="1" x14ac:dyDescent="0.25">
      <c r="B678" s="13"/>
      <c r="D678" s="13"/>
      <c r="E678" s="13"/>
      <c r="F678" s="14"/>
      <c r="G678" s="14"/>
      <c r="H678" s="13"/>
      <c r="I678" s="13"/>
      <c r="J678" s="14"/>
      <c r="K678" s="13"/>
      <c r="M678" s="13"/>
    </row>
    <row r="679" spans="2:13" ht="12.75" customHeight="1" x14ac:dyDescent="0.25">
      <c r="B679" s="13"/>
      <c r="D679" s="13"/>
      <c r="E679" s="13"/>
      <c r="F679" s="14"/>
      <c r="G679" s="14"/>
      <c r="H679" s="13"/>
      <c r="I679" s="13"/>
      <c r="J679" s="14"/>
      <c r="K679" s="13"/>
      <c r="M679" s="13"/>
    </row>
    <row r="680" spans="2:13" ht="12.75" customHeight="1" x14ac:dyDescent="0.25">
      <c r="B680" s="13"/>
      <c r="D680" s="13"/>
      <c r="E680" s="13"/>
      <c r="F680" s="14"/>
      <c r="G680" s="14"/>
      <c r="H680" s="13"/>
      <c r="I680" s="13"/>
      <c r="J680" s="14"/>
      <c r="K680" s="13"/>
      <c r="M680" s="13"/>
    </row>
    <row r="681" spans="2:13" ht="12.75" customHeight="1" x14ac:dyDescent="0.25">
      <c r="B681" s="13"/>
      <c r="D681" s="13"/>
      <c r="E681" s="13"/>
      <c r="F681" s="14"/>
      <c r="G681" s="14"/>
      <c r="H681" s="13"/>
      <c r="I681" s="13"/>
      <c r="J681" s="14"/>
      <c r="K681" s="13"/>
      <c r="M681" s="13"/>
    </row>
    <row r="682" spans="2:13" ht="12.75" customHeight="1" x14ac:dyDescent="0.25">
      <c r="B682" s="13"/>
      <c r="D682" s="13"/>
      <c r="E682" s="13"/>
      <c r="F682" s="14"/>
      <c r="G682" s="14"/>
      <c r="H682" s="13"/>
      <c r="I682" s="13"/>
      <c r="J682" s="14"/>
      <c r="K682" s="13"/>
      <c r="M682" s="13"/>
    </row>
    <row r="683" spans="2:13" ht="12.75" customHeight="1" x14ac:dyDescent="0.25">
      <c r="B683" s="13"/>
      <c r="D683" s="13"/>
      <c r="E683" s="13"/>
      <c r="F683" s="14"/>
      <c r="G683" s="14"/>
      <c r="H683" s="13"/>
      <c r="I683" s="13"/>
      <c r="J683" s="14"/>
      <c r="K683" s="13"/>
      <c r="M683" s="13"/>
    </row>
    <row r="684" spans="2:13" ht="12.75" customHeight="1" x14ac:dyDescent="0.25">
      <c r="B684" s="13"/>
      <c r="D684" s="13"/>
      <c r="E684" s="13"/>
      <c r="F684" s="14"/>
      <c r="G684" s="14"/>
      <c r="H684" s="13"/>
      <c r="I684" s="13"/>
      <c r="J684" s="14"/>
      <c r="K684" s="13"/>
      <c r="M684" s="13"/>
    </row>
    <row r="685" spans="2:13" ht="12.75" customHeight="1" x14ac:dyDescent="0.25">
      <c r="B685" s="13"/>
      <c r="D685" s="13"/>
      <c r="E685" s="13"/>
      <c r="F685" s="14"/>
      <c r="G685" s="14"/>
      <c r="H685" s="13"/>
      <c r="I685" s="13"/>
      <c r="J685" s="14"/>
      <c r="K685" s="13"/>
      <c r="M685" s="13"/>
    </row>
    <row r="686" spans="2:13" ht="12.75" customHeight="1" x14ac:dyDescent="0.25">
      <c r="B686" s="13"/>
      <c r="D686" s="13"/>
      <c r="E686" s="13"/>
      <c r="F686" s="14"/>
      <c r="G686" s="14"/>
      <c r="H686" s="13"/>
      <c r="I686" s="13"/>
      <c r="J686" s="14"/>
      <c r="K686" s="13"/>
      <c r="M686" s="13"/>
    </row>
    <row r="687" spans="2:13" ht="12.75" customHeight="1" x14ac:dyDescent="0.25">
      <c r="B687" s="13"/>
      <c r="D687" s="13"/>
      <c r="E687" s="13"/>
      <c r="F687" s="14"/>
      <c r="G687" s="14"/>
      <c r="H687" s="13"/>
      <c r="I687" s="13"/>
      <c r="J687" s="14"/>
      <c r="K687" s="13"/>
      <c r="M687" s="13"/>
    </row>
    <row r="688" spans="2:13" ht="12.75" customHeight="1" x14ac:dyDescent="0.25">
      <c r="B688" s="13"/>
      <c r="D688" s="13"/>
      <c r="E688" s="13"/>
      <c r="F688" s="14"/>
      <c r="G688" s="14"/>
      <c r="H688" s="13"/>
      <c r="I688" s="13"/>
      <c r="J688" s="14"/>
      <c r="K688" s="13"/>
      <c r="M688" s="13"/>
    </row>
    <row r="689" spans="2:13" ht="12.75" customHeight="1" x14ac:dyDescent="0.25">
      <c r="B689" s="13"/>
      <c r="D689" s="13"/>
      <c r="E689" s="13"/>
      <c r="F689" s="14"/>
      <c r="G689" s="14"/>
      <c r="H689" s="13"/>
      <c r="I689" s="13"/>
      <c r="J689" s="14"/>
      <c r="K689" s="13"/>
      <c r="M689" s="13"/>
    </row>
    <row r="690" spans="2:13" ht="12.75" customHeight="1" x14ac:dyDescent="0.25">
      <c r="B690" s="13"/>
      <c r="D690" s="13"/>
      <c r="E690" s="13"/>
      <c r="F690" s="14"/>
      <c r="G690" s="14"/>
      <c r="H690" s="13"/>
      <c r="I690" s="13"/>
      <c r="J690" s="14"/>
      <c r="K690" s="13"/>
      <c r="M690" s="13"/>
    </row>
    <row r="691" spans="2:13" ht="12.75" customHeight="1" x14ac:dyDescent="0.25">
      <c r="B691" s="13"/>
      <c r="D691" s="13"/>
      <c r="E691" s="13"/>
      <c r="F691" s="14"/>
      <c r="G691" s="14"/>
      <c r="H691" s="13"/>
      <c r="I691" s="13"/>
      <c r="J691" s="14"/>
      <c r="K691" s="13"/>
      <c r="M691" s="13"/>
    </row>
    <row r="692" spans="2:13" ht="12.75" customHeight="1" x14ac:dyDescent="0.25">
      <c r="B692" s="13"/>
      <c r="D692" s="13"/>
      <c r="E692" s="13"/>
      <c r="F692" s="14"/>
      <c r="G692" s="14"/>
      <c r="H692" s="13"/>
      <c r="I692" s="13"/>
      <c r="J692" s="14"/>
      <c r="K692" s="13"/>
      <c r="M692" s="13"/>
    </row>
    <row r="693" spans="2:13" ht="12.75" customHeight="1" x14ac:dyDescent="0.25">
      <c r="B693" s="13"/>
      <c r="D693" s="13"/>
      <c r="E693" s="13"/>
      <c r="F693" s="14"/>
      <c r="G693" s="14"/>
      <c r="H693" s="13"/>
      <c r="I693" s="13"/>
      <c r="J693" s="14"/>
      <c r="K693" s="13"/>
      <c r="M693" s="13"/>
    </row>
    <row r="694" spans="2:13" ht="12.75" customHeight="1" x14ac:dyDescent="0.25">
      <c r="B694" s="13"/>
      <c r="D694" s="13"/>
      <c r="E694" s="13"/>
      <c r="F694" s="14"/>
      <c r="G694" s="14"/>
      <c r="H694" s="13"/>
      <c r="I694" s="13"/>
      <c r="J694" s="14"/>
      <c r="K694" s="13"/>
      <c r="M694" s="13"/>
    </row>
    <row r="695" spans="2:13" ht="12.75" customHeight="1" x14ac:dyDescent="0.25">
      <c r="B695" s="13"/>
      <c r="D695" s="13"/>
      <c r="E695" s="13"/>
      <c r="F695" s="14"/>
      <c r="G695" s="14"/>
      <c r="H695" s="13"/>
      <c r="I695" s="13"/>
      <c r="J695" s="14"/>
      <c r="K695" s="13"/>
      <c r="M695" s="13"/>
    </row>
    <row r="696" spans="2:13" ht="12.75" customHeight="1" x14ac:dyDescent="0.25">
      <c r="B696" s="13"/>
      <c r="D696" s="13"/>
      <c r="E696" s="13"/>
      <c r="F696" s="14"/>
      <c r="G696" s="14"/>
      <c r="H696" s="13"/>
      <c r="I696" s="13"/>
      <c r="J696" s="14"/>
      <c r="K696" s="13"/>
      <c r="M696" s="13"/>
    </row>
    <row r="697" spans="2:13" ht="12.75" customHeight="1" x14ac:dyDescent="0.25">
      <c r="B697" s="13"/>
      <c r="D697" s="13"/>
      <c r="E697" s="13"/>
      <c r="F697" s="14"/>
      <c r="G697" s="14"/>
      <c r="H697" s="13"/>
      <c r="I697" s="13"/>
      <c r="J697" s="14"/>
      <c r="K697" s="13"/>
      <c r="M697" s="13"/>
    </row>
    <row r="698" spans="2:13" ht="12.75" customHeight="1" x14ac:dyDescent="0.25">
      <c r="B698" s="13"/>
      <c r="D698" s="13"/>
      <c r="E698" s="13"/>
      <c r="F698" s="14"/>
      <c r="G698" s="14"/>
      <c r="H698" s="13"/>
      <c r="I698" s="13"/>
      <c r="J698" s="14"/>
      <c r="K698" s="13"/>
      <c r="M698" s="13"/>
    </row>
    <row r="699" spans="2:13" ht="12.75" customHeight="1" x14ac:dyDescent="0.25">
      <c r="B699" s="13"/>
      <c r="D699" s="13"/>
      <c r="E699" s="13"/>
      <c r="F699" s="14"/>
      <c r="G699" s="14"/>
      <c r="H699" s="13"/>
      <c r="I699" s="13"/>
      <c r="J699" s="14"/>
      <c r="K699" s="13"/>
      <c r="M699" s="13"/>
    </row>
    <row r="700" spans="2:13" ht="12.75" customHeight="1" x14ac:dyDescent="0.25">
      <c r="B700" s="13"/>
      <c r="D700" s="13"/>
      <c r="E700" s="13"/>
      <c r="F700" s="14"/>
      <c r="G700" s="14"/>
      <c r="H700" s="13"/>
      <c r="I700" s="13"/>
      <c r="J700" s="14"/>
      <c r="K700" s="13"/>
      <c r="M700" s="13"/>
    </row>
    <row r="701" spans="2:13" ht="12.75" customHeight="1" x14ac:dyDescent="0.25">
      <c r="B701" s="13"/>
      <c r="D701" s="13"/>
      <c r="E701" s="13"/>
      <c r="F701" s="14"/>
      <c r="G701" s="14"/>
      <c r="H701" s="13"/>
      <c r="I701" s="13"/>
      <c r="J701" s="14"/>
      <c r="K701" s="13"/>
      <c r="M701" s="13"/>
    </row>
    <row r="702" spans="2:13" ht="12.75" customHeight="1" x14ac:dyDescent="0.25">
      <c r="B702" s="13"/>
      <c r="D702" s="13"/>
      <c r="E702" s="13"/>
      <c r="F702" s="14"/>
      <c r="G702" s="14"/>
      <c r="H702" s="13"/>
      <c r="I702" s="13"/>
      <c r="J702" s="14"/>
      <c r="K702" s="13"/>
      <c r="M702" s="13"/>
    </row>
    <row r="703" spans="2:13" ht="12.75" customHeight="1" x14ac:dyDescent="0.25">
      <c r="B703" s="13"/>
      <c r="D703" s="13"/>
      <c r="E703" s="13"/>
      <c r="F703" s="14"/>
      <c r="G703" s="14"/>
      <c r="H703" s="13"/>
      <c r="I703" s="13"/>
      <c r="J703" s="14"/>
      <c r="K703" s="13"/>
      <c r="M703" s="13"/>
    </row>
    <row r="704" spans="2:13" ht="12.75" customHeight="1" x14ac:dyDescent="0.25">
      <c r="B704" s="13"/>
      <c r="D704" s="13"/>
      <c r="E704" s="13"/>
      <c r="F704" s="14"/>
      <c r="G704" s="14"/>
      <c r="H704" s="13"/>
      <c r="I704" s="13"/>
      <c r="J704" s="14"/>
      <c r="K704" s="13"/>
      <c r="M704" s="13"/>
    </row>
    <row r="705" spans="2:13" ht="12.75" customHeight="1" x14ac:dyDescent="0.25">
      <c r="B705" s="13"/>
      <c r="D705" s="13"/>
      <c r="E705" s="13"/>
      <c r="F705" s="14"/>
      <c r="G705" s="14"/>
      <c r="H705" s="13"/>
      <c r="I705" s="13"/>
      <c r="J705" s="14"/>
      <c r="K705" s="13"/>
      <c r="M705" s="13"/>
    </row>
    <row r="706" spans="2:13" ht="12.75" customHeight="1" x14ac:dyDescent="0.25">
      <c r="B706" s="13"/>
      <c r="D706" s="13"/>
      <c r="E706" s="13"/>
      <c r="F706" s="14"/>
      <c r="G706" s="14"/>
      <c r="H706" s="13"/>
      <c r="I706" s="13"/>
      <c r="J706" s="14"/>
      <c r="K706" s="13"/>
      <c r="M706" s="13"/>
    </row>
    <row r="707" spans="2:13" ht="12.75" customHeight="1" x14ac:dyDescent="0.25">
      <c r="B707" s="13"/>
      <c r="D707" s="13"/>
      <c r="E707" s="13"/>
      <c r="F707" s="14"/>
      <c r="G707" s="14"/>
      <c r="H707" s="13"/>
      <c r="I707" s="13"/>
      <c r="J707" s="14"/>
      <c r="K707" s="13"/>
      <c r="M707" s="13"/>
    </row>
    <row r="708" spans="2:13" ht="12.75" customHeight="1" x14ac:dyDescent="0.25">
      <c r="B708" s="13"/>
      <c r="D708" s="13"/>
      <c r="E708" s="13"/>
      <c r="F708" s="14"/>
      <c r="G708" s="14"/>
      <c r="H708" s="13"/>
      <c r="I708" s="13"/>
      <c r="J708" s="14"/>
      <c r="K708" s="13"/>
      <c r="M708" s="13"/>
    </row>
    <row r="709" spans="2:13" ht="12.75" customHeight="1" x14ac:dyDescent="0.25">
      <c r="B709" s="13"/>
      <c r="D709" s="13"/>
      <c r="E709" s="13"/>
      <c r="F709" s="14"/>
      <c r="G709" s="14"/>
      <c r="H709" s="13"/>
      <c r="I709" s="13"/>
      <c r="J709" s="14"/>
      <c r="K709" s="13"/>
      <c r="M709" s="13"/>
    </row>
    <row r="710" spans="2:13" ht="12.75" customHeight="1" x14ac:dyDescent="0.25">
      <c r="B710" s="13"/>
      <c r="D710" s="13"/>
      <c r="E710" s="13"/>
      <c r="F710" s="14"/>
      <c r="G710" s="14"/>
      <c r="H710" s="13"/>
      <c r="I710" s="13"/>
      <c r="J710" s="14"/>
      <c r="K710" s="13"/>
      <c r="M710" s="13"/>
    </row>
    <row r="711" spans="2:13" ht="12.75" customHeight="1" x14ac:dyDescent="0.25">
      <c r="B711" s="13"/>
      <c r="D711" s="13"/>
      <c r="E711" s="13"/>
      <c r="F711" s="14"/>
      <c r="G711" s="14"/>
      <c r="H711" s="13"/>
      <c r="I711" s="13"/>
      <c r="J711" s="14"/>
      <c r="K711" s="13"/>
      <c r="M711" s="13"/>
    </row>
    <row r="712" spans="2:13" ht="12.75" customHeight="1" x14ac:dyDescent="0.25">
      <c r="B712" s="13"/>
      <c r="D712" s="13"/>
      <c r="E712" s="13"/>
      <c r="F712" s="14"/>
      <c r="G712" s="14"/>
      <c r="H712" s="13"/>
      <c r="I712" s="13"/>
      <c r="J712" s="14"/>
      <c r="K712" s="13"/>
      <c r="M712" s="13"/>
    </row>
    <row r="713" spans="2:13" ht="12.75" customHeight="1" x14ac:dyDescent="0.25">
      <c r="B713" s="13"/>
      <c r="D713" s="13"/>
      <c r="E713" s="13"/>
      <c r="F713" s="14"/>
      <c r="G713" s="14"/>
      <c r="H713" s="13"/>
      <c r="I713" s="13"/>
      <c r="J713" s="14"/>
      <c r="K713" s="13"/>
      <c r="M713" s="13"/>
    </row>
    <row r="714" spans="2:13" ht="12.75" customHeight="1" x14ac:dyDescent="0.25">
      <c r="B714" s="13"/>
      <c r="D714" s="13"/>
      <c r="E714" s="13"/>
      <c r="F714" s="14"/>
      <c r="G714" s="14"/>
      <c r="H714" s="13"/>
      <c r="I714" s="13"/>
      <c r="J714" s="14"/>
      <c r="K714" s="13"/>
      <c r="M714" s="13"/>
    </row>
    <row r="715" spans="2:13" ht="12.75" customHeight="1" x14ac:dyDescent="0.25">
      <c r="B715" s="13"/>
      <c r="D715" s="13"/>
      <c r="E715" s="13"/>
      <c r="F715" s="14"/>
      <c r="G715" s="14"/>
      <c r="H715" s="13"/>
      <c r="I715" s="13"/>
      <c r="J715" s="14"/>
      <c r="K715" s="13"/>
      <c r="M715" s="13"/>
    </row>
    <row r="716" spans="2:13" ht="12.75" customHeight="1" x14ac:dyDescent="0.25">
      <c r="B716" s="13"/>
      <c r="D716" s="13"/>
      <c r="E716" s="13"/>
      <c r="F716" s="14"/>
      <c r="G716" s="14"/>
      <c r="H716" s="13"/>
      <c r="I716" s="13"/>
      <c r="J716" s="14"/>
      <c r="K716" s="13"/>
      <c r="M716" s="13"/>
    </row>
    <row r="717" spans="2:13" ht="12.75" customHeight="1" x14ac:dyDescent="0.25">
      <c r="B717" s="13"/>
      <c r="D717" s="13"/>
      <c r="E717" s="13"/>
      <c r="F717" s="14"/>
      <c r="G717" s="14"/>
      <c r="H717" s="13"/>
      <c r="I717" s="13"/>
      <c r="J717" s="14"/>
      <c r="K717" s="13"/>
      <c r="M717" s="13"/>
    </row>
    <row r="718" spans="2:13" ht="12.75" customHeight="1" x14ac:dyDescent="0.25">
      <c r="B718" s="13"/>
      <c r="D718" s="13"/>
      <c r="E718" s="13"/>
      <c r="F718" s="14"/>
      <c r="G718" s="14"/>
      <c r="H718" s="13"/>
      <c r="I718" s="13"/>
      <c r="J718" s="14"/>
      <c r="K718" s="13"/>
      <c r="M718" s="13"/>
    </row>
    <row r="719" spans="2:13" ht="12.75" customHeight="1" x14ac:dyDescent="0.25">
      <c r="B719" s="13"/>
      <c r="D719" s="13"/>
      <c r="E719" s="13"/>
      <c r="F719" s="14"/>
      <c r="G719" s="14"/>
      <c r="H719" s="13"/>
      <c r="I719" s="13"/>
      <c r="J719" s="14"/>
      <c r="K719" s="13"/>
      <c r="M719" s="13"/>
    </row>
    <row r="720" spans="2:13" ht="12.75" customHeight="1" x14ac:dyDescent="0.25">
      <c r="B720" s="13"/>
      <c r="D720" s="13"/>
      <c r="E720" s="13"/>
      <c r="F720" s="14"/>
      <c r="G720" s="14"/>
      <c r="H720" s="13"/>
      <c r="I720" s="13"/>
      <c r="J720" s="14"/>
      <c r="K720" s="13"/>
      <c r="M720" s="13"/>
    </row>
    <row r="721" spans="2:13" ht="12.75" customHeight="1" x14ac:dyDescent="0.25">
      <c r="B721" s="13"/>
      <c r="D721" s="13"/>
      <c r="E721" s="13"/>
      <c r="F721" s="14"/>
      <c r="G721" s="14"/>
      <c r="H721" s="13"/>
      <c r="I721" s="13"/>
      <c r="J721" s="14"/>
      <c r="K721" s="13"/>
      <c r="M721" s="13"/>
    </row>
    <row r="722" spans="2:13" ht="12.75" customHeight="1" x14ac:dyDescent="0.25">
      <c r="B722" s="13"/>
      <c r="D722" s="13"/>
      <c r="E722" s="13"/>
      <c r="F722" s="14"/>
      <c r="G722" s="14"/>
      <c r="H722" s="13"/>
      <c r="I722" s="13"/>
      <c r="J722" s="14"/>
      <c r="K722" s="13"/>
      <c r="M722" s="13"/>
    </row>
    <row r="723" spans="2:13" ht="12.75" customHeight="1" x14ac:dyDescent="0.25">
      <c r="B723" s="13"/>
      <c r="D723" s="13"/>
      <c r="E723" s="13"/>
      <c r="F723" s="14"/>
      <c r="G723" s="14"/>
      <c r="H723" s="13"/>
      <c r="I723" s="13"/>
      <c r="J723" s="14"/>
      <c r="K723" s="13"/>
      <c r="M723" s="13"/>
    </row>
    <row r="724" spans="2:13" ht="12.75" customHeight="1" x14ac:dyDescent="0.25">
      <c r="B724" s="13"/>
      <c r="D724" s="13"/>
      <c r="E724" s="13"/>
      <c r="F724" s="14"/>
      <c r="G724" s="14"/>
      <c r="H724" s="13"/>
      <c r="I724" s="13"/>
      <c r="J724" s="14"/>
      <c r="K724" s="13"/>
      <c r="M724" s="13"/>
    </row>
    <row r="725" spans="2:13" ht="12.75" customHeight="1" x14ac:dyDescent="0.25">
      <c r="B725" s="13"/>
      <c r="D725" s="13"/>
      <c r="E725" s="13"/>
      <c r="F725" s="14"/>
      <c r="G725" s="14"/>
      <c r="H725" s="13"/>
      <c r="I725" s="13"/>
      <c r="J725" s="14"/>
      <c r="K725" s="13"/>
      <c r="M725" s="13"/>
    </row>
    <row r="726" spans="2:13" ht="12.75" customHeight="1" x14ac:dyDescent="0.25">
      <c r="B726" s="13"/>
      <c r="D726" s="13"/>
      <c r="E726" s="13"/>
      <c r="F726" s="14"/>
      <c r="G726" s="14"/>
      <c r="H726" s="13"/>
      <c r="I726" s="13"/>
      <c r="J726" s="14"/>
      <c r="K726" s="13"/>
      <c r="M726" s="13"/>
    </row>
    <row r="727" spans="2:13" ht="12.75" customHeight="1" x14ac:dyDescent="0.25">
      <c r="B727" s="13"/>
      <c r="D727" s="13"/>
      <c r="E727" s="13"/>
      <c r="F727" s="14"/>
      <c r="G727" s="14"/>
      <c r="H727" s="13"/>
      <c r="I727" s="13"/>
      <c r="J727" s="14"/>
      <c r="K727" s="13"/>
      <c r="M727" s="13"/>
    </row>
    <row r="728" spans="2:13" ht="12.75" customHeight="1" x14ac:dyDescent="0.25">
      <c r="B728" s="13"/>
      <c r="D728" s="13"/>
      <c r="E728" s="13"/>
      <c r="F728" s="14"/>
      <c r="G728" s="14"/>
      <c r="H728" s="13"/>
      <c r="I728" s="13"/>
      <c r="J728" s="14"/>
      <c r="K728" s="13"/>
      <c r="M728" s="13"/>
    </row>
    <row r="729" spans="2:13" ht="12.75" customHeight="1" x14ac:dyDescent="0.25">
      <c r="B729" s="13"/>
      <c r="D729" s="13"/>
      <c r="E729" s="13"/>
      <c r="F729" s="14"/>
      <c r="G729" s="14"/>
      <c r="H729" s="13"/>
      <c r="I729" s="13"/>
      <c r="J729" s="14"/>
      <c r="K729" s="13"/>
      <c r="M729" s="13"/>
    </row>
    <row r="730" spans="2:13" ht="12.75" customHeight="1" x14ac:dyDescent="0.25">
      <c r="B730" s="13"/>
      <c r="D730" s="13"/>
      <c r="E730" s="13"/>
      <c r="F730" s="14"/>
      <c r="G730" s="14"/>
      <c r="H730" s="13"/>
      <c r="I730" s="13"/>
      <c r="J730" s="14"/>
      <c r="K730" s="13"/>
      <c r="M730" s="13"/>
    </row>
    <row r="731" spans="2:13" ht="12.75" customHeight="1" x14ac:dyDescent="0.25">
      <c r="B731" s="13"/>
      <c r="D731" s="13"/>
      <c r="E731" s="13"/>
      <c r="F731" s="14"/>
      <c r="G731" s="14"/>
      <c r="H731" s="13"/>
      <c r="I731" s="13"/>
      <c r="J731" s="14"/>
      <c r="K731" s="13"/>
      <c r="M731" s="13"/>
    </row>
    <row r="732" spans="2:13" ht="12.75" customHeight="1" x14ac:dyDescent="0.25">
      <c r="B732" s="13"/>
      <c r="D732" s="13"/>
      <c r="E732" s="13"/>
      <c r="F732" s="14"/>
      <c r="G732" s="14"/>
      <c r="H732" s="13"/>
      <c r="I732" s="13"/>
      <c r="J732" s="14"/>
      <c r="K732" s="13"/>
      <c r="M732" s="13"/>
    </row>
    <row r="733" spans="2:13" ht="12.75" customHeight="1" x14ac:dyDescent="0.25">
      <c r="B733" s="13"/>
      <c r="D733" s="13"/>
      <c r="E733" s="13"/>
      <c r="F733" s="14"/>
      <c r="G733" s="14"/>
      <c r="H733" s="13"/>
      <c r="I733" s="13"/>
      <c r="J733" s="14"/>
      <c r="K733" s="13"/>
      <c r="M733" s="13"/>
    </row>
    <row r="734" spans="2:13" ht="12.75" customHeight="1" x14ac:dyDescent="0.25">
      <c r="B734" s="13"/>
      <c r="D734" s="13"/>
      <c r="E734" s="13"/>
      <c r="F734" s="14"/>
      <c r="G734" s="14"/>
      <c r="H734" s="13"/>
      <c r="I734" s="13"/>
      <c r="J734" s="14"/>
      <c r="K734" s="13"/>
      <c r="M734" s="13"/>
    </row>
    <row r="735" spans="2:13" ht="12.75" customHeight="1" x14ac:dyDescent="0.25">
      <c r="B735" s="13"/>
      <c r="D735" s="13"/>
      <c r="E735" s="13"/>
      <c r="F735" s="14"/>
      <c r="G735" s="14"/>
      <c r="H735" s="13"/>
      <c r="I735" s="13"/>
      <c r="J735" s="14"/>
      <c r="K735" s="13"/>
      <c r="M735" s="13"/>
    </row>
    <row r="736" spans="2:13" ht="12.75" customHeight="1" x14ac:dyDescent="0.25">
      <c r="B736" s="13"/>
      <c r="D736" s="13"/>
      <c r="E736" s="13"/>
      <c r="F736" s="14"/>
      <c r="G736" s="14"/>
      <c r="H736" s="13"/>
      <c r="I736" s="13"/>
      <c r="J736" s="14"/>
      <c r="K736" s="13"/>
      <c r="M736" s="13"/>
    </row>
    <row r="737" spans="2:13" ht="12.75" customHeight="1" x14ac:dyDescent="0.25">
      <c r="B737" s="13"/>
      <c r="D737" s="13"/>
      <c r="E737" s="13"/>
      <c r="F737" s="14"/>
      <c r="G737" s="14"/>
      <c r="H737" s="13"/>
      <c r="I737" s="13"/>
      <c r="J737" s="14"/>
      <c r="K737" s="13"/>
      <c r="M737" s="13"/>
    </row>
    <row r="738" spans="2:13" ht="12.75" customHeight="1" x14ac:dyDescent="0.25">
      <c r="B738" s="13"/>
      <c r="D738" s="13"/>
      <c r="E738" s="13"/>
      <c r="F738" s="14"/>
      <c r="G738" s="14"/>
      <c r="H738" s="13"/>
      <c r="I738" s="13"/>
      <c r="J738" s="14"/>
      <c r="K738" s="13"/>
      <c r="M738" s="13"/>
    </row>
    <row r="739" spans="2:13" ht="12.75" customHeight="1" x14ac:dyDescent="0.25">
      <c r="B739" s="13"/>
      <c r="D739" s="13"/>
      <c r="E739" s="13"/>
      <c r="F739" s="14"/>
      <c r="G739" s="14"/>
      <c r="H739" s="13"/>
      <c r="I739" s="13"/>
      <c r="J739" s="14"/>
      <c r="K739" s="13"/>
      <c r="M739" s="13"/>
    </row>
    <row r="740" spans="2:13" ht="12.75" customHeight="1" x14ac:dyDescent="0.25">
      <c r="B740" s="13"/>
      <c r="D740" s="13"/>
      <c r="E740" s="13"/>
      <c r="F740" s="14"/>
      <c r="G740" s="14"/>
      <c r="H740" s="13"/>
      <c r="I740" s="13"/>
      <c r="J740" s="14"/>
      <c r="K740" s="13"/>
      <c r="M740" s="13"/>
    </row>
    <row r="741" spans="2:13" ht="12.75" customHeight="1" x14ac:dyDescent="0.25">
      <c r="B741" s="13"/>
      <c r="D741" s="13"/>
      <c r="E741" s="13"/>
      <c r="F741" s="14"/>
      <c r="G741" s="14"/>
      <c r="H741" s="13"/>
      <c r="I741" s="13"/>
      <c r="J741" s="14"/>
      <c r="K741" s="13"/>
      <c r="M741" s="13"/>
    </row>
    <row r="742" spans="2:13" ht="12.75" customHeight="1" x14ac:dyDescent="0.25">
      <c r="B742" s="13"/>
      <c r="D742" s="13"/>
      <c r="E742" s="13"/>
      <c r="F742" s="14"/>
      <c r="G742" s="14"/>
      <c r="H742" s="13"/>
      <c r="I742" s="13"/>
      <c r="J742" s="14"/>
      <c r="K742" s="13"/>
      <c r="M742" s="13"/>
    </row>
    <row r="743" spans="2:13" ht="12.75" customHeight="1" x14ac:dyDescent="0.25">
      <c r="B743" s="13"/>
      <c r="D743" s="13"/>
      <c r="E743" s="13"/>
      <c r="F743" s="14"/>
      <c r="G743" s="14"/>
      <c r="H743" s="13"/>
      <c r="I743" s="13"/>
      <c r="J743" s="14"/>
      <c r="K743" s="13"/>
      <c r="M743" s="13"/>
    </row>
    <row r="744" spans="2:13" ht="12.75" customHeight="1" x14ac:dyDescent="0.25">
      <c r="B744" s="13"/>
      <c r="D744" s="13"/>
      <c r="E744" s="13"/>
      <c r="F744" s="14"/>
      <c r="G744" s="14"/>
      <c r="H744" s="13"/>
      <c r="I744" s="13"/>
      <c r="J744" s="14"/>
      <c r="K744" s="13"/>
      <c r="M744" s="13"/>
    </row>
    <row r="745" spans="2:13" ht="12.75" customHeight="1" x14ac:dyDescent="0.25">
      <c r="B745" s="13"/>
      <c r="D745" s="13"/>
      <c r="E745" s="13"/>
      <c r="F745" s="14"/>
      <c r="G745" s="14"/>
      <c r="H745" s="13"/>
      <c r="I745" s="13"/>
      <c r="J745" s="14"/>
      <c r="K745" s="13"/>
      <c r="M745" s="13"/>
    </row>
    <row r="746" spans="2:13" ht="12.75" customHeight="1" x14ac:dyDescent="0.25">
      <c r="B746" s="13"/>
      <c r="D746" s="13"/>
      <c r="E746" s="13"/>
      <c r="F746" s="14"/>
      <c r="G746" s="14"/>
      <c r="H746" s="13"/>
      <c r="I746" s="13"/>
      <c r="J746" s="14"/>
      <c r="K746" s="13"/>
      <c r="M746" s="13"/>
    </row>
    <row r="747" spans="2:13" ht="12.75" customHeight="1" x14ac:dyDescent="0.25">
      <c r="B747" s="13"/>
      <c r="D747" s="13"/>
      <c r="E747" s="13"/>
      <c r="F747" s="14"/>
      <c r="G747" s="14"/>
      <c r="H747" s="13"/>
      <c r="I747" s="13"/>
      <c r="J747" s="14"/>
      <c r="K747" s="13"/>
      <c r="M747" s="13"/>
    </row>
    <row r="748" spans="2:13" ht="12.75" customHeight="1" x14ac:dyDescent="0.25">
      <c r="B748" s="13"/>
      <c r="D748" s="13"/>
      <c r="E748" s="13"/>
      <c r="F748" s="14"/>
      <c r="G748" s="14"/>
      <c r="H748" s="13"/>
      <c r="I748" s="13"/>
      <c r="J748" s="14"/>
      <c r="K748" s="13"/>
      <c r="M748" s="13"/>
    </row>
    <row r="749" spans="2:13" ht="12.75" customHeight="1" x14ac:dyDescent="0.25">
      <c r="B749" s="13"/>
      <c r="D749" s="13"/>
      <c r="E749" s="13"/>
      <c r="F749" s="14"/>
      <c r="G749" s="14"/>
      <c r="H749" s="13"/>
      <c r="I749" s="13"/>
      <c r="J749" s="14"/>
      <c r="K749" s="13"/>
      <c r="M749" s="13"/>
    </row>
    <row r="750" spans="2:13" ht="12.75" customHeight="1" x14ac:dyDescent="0.25">
      <c r="B750" s="13"/>
      <c r="D750" s="13"/>
      <c r="E750" s="13"/>
      <c r="F750" s="14"/>
      <c r="G750" s="14"/>
      <c r="H750" s="13"/>
      <c r="I750" s="13"/>
      <c r="J750" s="14"/>
      <c r="K750" s="13"/>
      <c r="M750" s="13"/>
    </row>
    <row r="751" spans="2:13" ht="12.75" customHeight="1" x14ac:dyDescent="0.25">
      <c r="B751" s="13"/>
      <c r="D751" s="13"/>
      <c r="E751" s="13"/>
      <c r="F751" s="14"/>
      <c r="G751" s="14"/>
      <c r="H751" s="13"/>
      <c r="I751" s="13"/>
      <c r="J751" s="14"/>
      <c r="K751" s="13"/>
      <c r="M751" s="13"/>
    </row>
    <row r="752" spans="2:13" ht="12.75" customHeight="1" x14ac:dyDescent="0.25">
      <c r="B752" s="13"/>
      <c r="D752" s="13"/>
      <c r="E752" s="13"/>
      <c r="F752" s="14"/>
      <c r="G752" s="14"/>
      <c r="H752" s="13"/>
      <c r="I752" s="13"/>
      <c r="J752" s="14"/>
      <c r="K752" s="13"/>
      <c r="M752" s="13"/>
    </row>
    <row r="753" spans="2:13" ht="12.75" customHeight="1" x14ac:dyDescent="0.25">
      <c r="B753" s="13"/>
      <c r="D753" s="13"/>
      <c r="E753" s="13"/>
      <c r="F753" s="14"/>
      <c r="G753" s="14"/>
      <c r="H753" s="13"/>
      <c r="I753" s="13"/>
      <c r="J753" s="14"/>
      <c r="K753" s="13"/>
      <c r="M753" s="13"/>
    </row>
    <row r="754" spans="2:13" ht="12.75" customHeight="1" x14ac:dyDescent="0.25">
      <c r="B754" s="13"/>
      <c r="D754" s="13"/>
      <c r="E754" s="13"/>
      <c r="F754" s="14"/>
      <c r="G754" s="14"/>
      <c r="H754" s="13"/>
      <c r="I754" s="13"/>
      <c r="J754" s="14"/>
      <c r="K754" s="13"/>
      <c r="M754" s="13"/>
    </row>
    <row r="755" spans="2:13" ht="12.75" customHeight="1" x14ac:dyDescent="0.25">
      <c r="B755" s="13"/>
      <c r="D755" s="13"/>
      <c r="E755" s="13"/>
      <c r="F755" s="14"/>
      <c r="G755" s="14"/>
      <c r="H755" s="13"/>
      <c r="I755" s="13"/>
      <c r="J755" s="14"/>
      <c r="K755" s="13"/>
      <c r="M755" s="13"/>
    </row>
    <row r="756" spans="2:13" ht="12.75" customHeight="1" x14ac:dyDescent="0.25">
      <c r="B756" s="13"/>
      <c r="D756" s="13"/>
      <c r="E756" s="13"/>
      <c r="F756" s="14"/>
      <c r="G756" s="14"/>
      <c r="H756" s="13"/>
      <c r="I756" s="13"/>
      <c r="J756" s="14"/>
      <c r="K756" s="13"/>
      <c r="M756" s="13"/>
    </row>
    <row r="757" spans="2:13" ht="12.75" customHeight="1" x14ac:dyDescent="0.25">
      <c r="B757" s="13"/>
      <c r="D757" s="13"/>
      <c r="E757" s="13"/>
      <c r="F757" s="14"/>
      <c r="G757" s="14"/>
      <c r="H757" s="13"/>
      <c r="I757" s="13"/>
      <c r="J757" s="14"/>
      <c r="K757" s="13"/>
      <c r="M757" s="13"/>
    </row>
    <row r="758" spans="2:13" ht="12.75" customHeight="1" x14ac:dyDescent="0.25">
      <c r="B758" s="13"/>
      <c r="D758" s="13"/>
      <c r="E758" s="13"/>
      <c r="F758" s="14"/>
      <c r="G758" s="14"/>
      <c r="H758" s="13"/>
      <c r="I758" s="13"/>
      <c r="J758" s="14"/>
      <c r="K758" s="13"/>
      <c r="M758" s="13"/>
    </row>
    <row r="759" spans="2:13" ht="12.75" customHeight="1" x14ac:dyDescent="0.25">
      <c r="B759" s="13"/>
      <c r="D759" s="13"/>
      <c r="E759" s="13"/>
      <c r="F759" s="14"/>
      <c r="G759" s="14"/>
      <c r="H759" s="13"/>
      <c r="I759" s="13"/>
      <c r="J759" s="14"/>
      <c r="K759" s="13"/>
      <c r="M759" s="13"/>
    </row>
    <row r="760" spans="2:13" ht="12.75" customHeight="1" x14ac:dyDescent="0.25">
      <c r="B760" s="13"/>
      <c r="D760" s="13"/>
      <c r="E760" s="13"/>
      <c r="F760" s="14"/>
      <c r="G760" s="14"/>
      <c r="H760" s="13"/>
      <c r="I760" s="13"/>
      <c r="J760" s="14"/>
      <c r="K760" s="13"/>
      <c r="M760" s="13"/>
    </row>
    <row r="761" spans="2:13" ht="12.75" customHeight="1" x14ac:dyDescent="0.25">
      <c r="B761" s="13"/>
      <c r="D761" s="13"/>
      <c r="E761" s="13"/>
      <c r="F761" s="14"/>
      <c r="G761" s="14"/>
      <c r="H761" s="13"/>
      <c r="I761" s="13"/>
      <c r="J761" s="14"/>
      <c r="K761" s="13"/>
      <c r="M761" s="13"/>
    </row>
    <row r="762" spans="2:13" ht="12.75" customHeight="1" x14ac:dyDescent="0.25">
      <c r="B762" s="13"/>
      <c r="D762" s="13"/>
      <c r="E762" s="13"/>
      <c r="F762" s="14"/>
      <c r="G762" s="14"/>
      <c r="H762" s="13"/>
      <c r="I762" s="13"/>
      <c r="J762" s="14"/>
      <c r="K762" s="13"/>
      <c r="M762" s="13"/>
    </row>
    <row r="763" spans="2:13" ht="12.75" customHeight="1" x14ac:dyDescent="0.25">
      <c r="B763" s="13"/>
      <c r="D763" s="13"/>
      <c r="E763" s="13"/>
      <c r="F763" s="14"/>
      <c r="G763" s="14"/>
      <c r="H763" s="13"/>
      <c r="I763" s="13"/>
      <c r="J763" s="14"/>
      <c r="K763" s="13"/>
      <c r="M763" s="13"/>
    </row>
    <row r="764" spans="2:13" ht="12.75" customHeight="1" x14ac:dyDescent="0.25">
      <c r="B764" s="13"/>
      <c r="D764" s="13"/>
      <c r="E764" s="13"/>
      <c r="F764" s="14"/>
      <c r="G764" s="14"/>
      <c r="H764" s="13"/>
      <c r="I764" s="13"/>
      <c r="J764" s="14"/>
      <c r="K764" s="13"/>
      <c r="M764" s="13"/>
    </row>
    <row r="765" spans="2:13" ht="12.75" customHeight="1" x14ac:dyDescent="0.25">
      <c r="B765" s="13"/>
      <c r="D765" s="13"/>
      <c r="E765" s="13"/>
      <c r="F765" s="14"/>
      <c r="G765" s="14"/>
      <c r="H765" s="13"/>
      <c r="I765" s="13"/>
      <c r="J765" s="14"/>
      <c r="K765" s="13"/>
      <c r="M765" s="13"/>
    </row>
    <row r="766" spans="2:13" ht="12.75" customHeight="1" x14ac:dyDescent="0.25">
      <c r="B766" s="13"/>
      <c r="D766" s="13"/>
      <c r="E766" s="13"/>
      <c r="F766" s="14"/>
      <c r="G766" s="14"/>
      <c r="H766" s="13"/>
      <c r="I766" s="13"/>
      <c r="J766" s="14"/>
      <c r="K766" s="13"/>
      <c r="M766" s="13"/>
    </row>
    <row r="767" spans="2:13" ht="12.75" customHeight="1" x14ac:dyDescent="0.25">
      <c r="B767" s="13"/>
      <c r="D767" s="13"/>
      <c r="E767" s="13"/>
      <c r="F767" s="14"/>
      <c r="G767" s="14"/>
      <c r="H767" s="13"/>
      <c r="I767" s="13"/>
      <c r="J767" s="14"/>
      <c r="K767" s="13"/>
      <c r="M767" s="13"/>
    </row>
    <row r="768" spans="2:13" ht="12.75" customHeight="1" x14ac:dyDescent="0.25">
      <c r="B768" s="13"/>
      <c r="D768" s="13"/>
      <c r="E768" s="13"/>
      <c r="F768" s="14"/>
      <c r="G768" s="14"/>
      <c r="H768" s="13"/>
      <c r="I768" s="13"/>
      <c r="J768" s="14"/>
      <c r="K768" s="13"/>
      <c r="M768" s="13"/>
    </row>
    <row r="769" spans="2:13" ht="12.75" customHeight="1" x14ac:dyDescent="0.25">
      <c r="B769" s="13"/>
      <c r="D769" s="13"/>
      <c r="E769" s="13"/>
      <c r="F769" s="14"/>
      <c r="G769" s="14"/>
      <c r="H769" s="13"/>
      <c r="I769" s="13"/>
      <c r="J769" s="14"/>
      <c r="K769" s="13"/>
      <c r="M769" s="13"/>
    </row>
    <row r="770" spans="2:13" ht="12.75" customHeight="1" x14ac:dyDescent="0.25">
      <c r="B770" s="13"/>
      <c r="D770" s="13"/>
      <c r="E770" s="13"/>
      <c r="F770" s="14"/>
      <c r="G770" s="14"/>
      <c r="H770" s="13"/>
      <c r="I770" s="13"/>
      <c r="J770" s="14"/>
      <c r="K770" s="13"/>
      <c r="M770" s="13"/>
    </row>
    <row r="771" spans="2:13" ht="12.75" customHeight="1" x14ac:dyDescent="0.25">
      <c r="B771" s="13"/>
      <c r="D771" s="13"/>
      <c r="E771" s="13"/>
      <c r="F771" s="14"/>
      <c r="G771" s="14"/>
      <c r="H771" s="13"/>
      <c r="I771" s="13"/>
      <c r="J771" s="14"/>
      <c r="K771" s="13"/>
      <c r="M771" s="13"/>
    </row>
    <row r="772" spans="2:13" ht="12.75" customHeight="1" x14ac:dyDescent="0.25">
      <c r="B772" s="13"/>
      <c r="D772" s="13"/>
      <c r="E772" s="13"/>
      <c r="F772" s="14"/>
      <c r="G772" s="14"/>
      <c r="H772" s="13"/>
      <c r="I772" s="13"/>
      <c r="J772" s="14"/>
      <c r="K772" s="13"/>
      <c r="M772" s="13"/>
    </row>
    <row r="773" spans="2:13" ht="12.75" customHeight="1" x14ac:dyDescent="0.25">
      <c r="B773" s="13"/>
      <c r="D773" s="13"/>
      <c r="E773" s="13"/>
      <c r="F773" s="14"/>
      <c r="G773" s="14"/>
      <c r="H773" s="13"/>
      <c r="I773" s="13"/>
      <c r="J773" s="14"/>
      <c r="K773" s="13"/>
      <c r="M773" s="13"/>
    </row>
    <row r="774" spans="2:13" ht="12.75" customHeight="1" x14ac:dyDescent="0.25">
      <c r="B774" s="13"/>
      <c r="D774" s="13"/>
      <c r="E774" s="13"/>
      <c r="F774" s="14"/>
      <c r="G774" s="14"/>
      <c r="H774" s="13"/>
      <c r="I774" s="13"/>
      <c r="J774" s="14"/>
      <c r="K774" s="13"/>
      <c r="M774" s="13"/>
    </row>
    <row r="775" spans="2:13" ht="12.75" customHeight="1" x14ac:dyDescent="0.25">
      <c r="B775" s="13"/>
      <c r="D775" s="13"/>
      <c r="E775" s="13"/>
      <c r="F775" s="14"/>
      <c r="G775" s="14"/>
      <c r="H775" s="13"/>
      <c r="I775" s="13"/>
      <c r="J775" s="14"/>
      <c r="K775" s="13"/>
      <c r="M775" s="13"/>
    </row>
    <row r="776" spans="2:13" ht="12.75" customHeight="1" x14ac:dyDescent="0.25">
      <c r="B776" s="13"/>
      <c r="D776" s="13"/>
      <c r="E776" s="13"/>
      <c r="F776" s="14"/>
      <c r="G776" s="14"/>
      <c r="H776" s="13"/>
      <c r="I776" s="13"/>
      <c r="J776" s="14"/>
      <c r="K776" s="13"/>
      <c r="M776" s="13"/>
    </row>
    <row r="777" spans="2:13" ht="12.75" customHeight="1" x14ac:dyDescent="0.25">
      <c r="B777" s="13"/>
      <c r="D777" s="13"/>
      <c r="E777" s="13"/>
      <c r="F777" s="14"/>
      <c r="G777" s="14"/>
      <c r="H777" s="13"/>
      <c r="I777" s="13"/>
      <c r="J777" s="14"/>
      <c r="K777" s="13"/>
      <c r="M777" s="13"/>
    </row>
    <row r="778" spans="2:13" ht="12.75" customHeight="1" x14ac:dyDescent="0.25">
      <c r="B778" s="13"/>
      <c r="D778" s="13"/>
      <c r="E778" s="13"/>
      <c r="F778" s="14"/>
      <c r="G778" s="14"/>
      <c r="H778" s="13"/>
      <c r="I778" s="13"/>
      <c r="J778" s="14"/>
      <c r="K778" s="13"/>
      <c r="M778" s="13"/>
    </row>
    <row r="779" spans="2:13" ht="12.75" customHeight="1" x14ac:dyDescent="0.25">
      <c r="B779" s="13"/>
      <c r="D779" s="13"/>
      <c r="E779" s="13"/>
      <c r="F779" s="14"/>
      <c r="G779" s="14"/>
      <c r="H779" s="13"/>
      <c r="I779" s="13"/>
      <c r="J779" s="14"/>
      <c r="K779" s="13"/>
      <c r="M779" s="13"/>
    </row>
    <row r="780" spans="2:13" ht="12.75" customHeight="1" x14ac:dyDescent="0.25">
      <c r="B780" s="13"/>
      <c r="D780" s="13"/>
      <c r="E780" s="13"/>
      <c r="F780" s="14"/>
      <c r="G780" s="14"/>
      <c r="H780" s="13"/>
      <c r="I780" s="13"/>
      <c r="J780" s="14"/>
      <c r="K780" s="13"/>
      <c r="M780" s="13"/>
    </row>
    <row r="781" spans="2:13" ht="12.75" customHeight="1" x14ac:dyDescent="0.25">
      <c r="B781" s="13"/>
      <c r="D781" s="13"/>
      <c r="E781" s="13"/>
      <c r="F781" s="14"/>
      <c r="G781" s="14"/>
      <c r="H781" s="13"/>
      <c r="I781" s="13"/>
      <c r="J781" s="14"/>
      <c r="K781" s="13"/>
      <c r="M781" s="13"/>
    </row>
    <row r="782" spans="2:13" ht="12.75" customHeight="1" x14ac:dyDescent="0.25">
      <c r="B782" s="13"/>
      <c r="D782" s="13"/>
      <c r="E782" s="13"/>
      <c r="F782" s="14"/>
      <c r="G782" s="14"/>
      <c r="H782" s="13"/>
      <c r="I782" s="13"/>
      <c r="J782" s="14"/>
      <c r="K782" s="13"/>
      <c r="M782" s="13"/>
    </row>
    <row r="783" spans="2:13" ht="12.75" customHeight="1" x14ac:dyDescent="0.25">
      <c r="B783" s="13"/>
      <c r="D783" s="13"/>
      <c r="E783" s="13"/>
      <c r="F783" s="14"/>
      <c r="G783" s="14"/>
      <c r="H783" s="13"/>
      <c r="I783" s="13"/>
      <c r="J783" s="14"/>
      <c r="K783" s="13"/>
      <c r="M783" s="13"/>
    </row>
    <row r="784" spans="2:13" ht="12.75" customHeight="1" x14ac:dyDescent="0.25">
      <c r="B784" s="13"/>
      <c r="D784" s="13"/>
      <c r="E784" s="13"/>
      <c r="F784" s="14"/>
      <c r="G784" s="14"/>
      <c r="H784" s="13"/>
      <c r="I784" s="13"/>
      <c r="J784" s="14"/>
      <c r="K784" s="13"/>
      <c r="M784" s="13"/>
    </row>
    <row r="785" spans="2:13" ht="12.75" customHeight="1" x14ac:dyDescent="0.25">
      <c r="B785" s="13"/>
      <c r="D785" s="13"/>
      <c r="E785" s="13"/>
      <c r="F785" s="14"/>
      <c r="G785" s="14"/>
      <c r="H785" s="13"/>
      <c r="I785" s="13"/>
      <c r="J785" s="14"/>
      <c r="K785" s="13"/>
      <c r="M785" s="13"/>
    </row>
    <row r="786" spans="2:13" ht="12.75" customHeight="1" x14ac:dyDescent="0.25">
      <c r="B786" s="13"/>
      <c r="D786" s="13"/>
      <c r="E786" s="13"/>
      <c r="F786" s="14"/>
      <c r="G786" s="14"/>
      <c r="H786" s="13"/>
      <c r="I786" s="13"/>
      <c r="J786" s="14"/>
      <c r="K786" s="13"/>
      <c r="M786" s="13"/>
    </row>
    <row r="787" spans="2:13" ht="12.75" customHeight="1" x14ac:dyDescent="0.25">
      <c r="B787" s="13"/>
      <c r="D787" s="13"/>
      <c r="E787" s="13"/>
      <c r="F787" s="14"/>
      <c r="G787" s="14"/>
      <c r="H787" s="13"/>
      <c r="I787" s="13"/>
      <c r="J787" s="14"/>
      <c r="K787" s="13"/>
      <c r="M787" s="13"/>
    </row>
    <row r="788" spans="2:13" ht="12.75" customHeight="1" x14ac:dyDescent="0.25">
      <c r="B788" s="13"/>
      <c r="D788" s="13"/>
      <c r="E788" s="13"/>
      <c r="F788" s="14"/>
      <c r="G788" s="14"/>
      <c r="H788" s="13"/>
      <c r="I788" s="13"/>
      <c r="J788" s="14"/>
      <c r="K788" s="13"/>
      <c r="M788" s="13"/>
    </row>
    <row r="789" spans="2:13" ht="12.75" customHeight="1" x14ac:dyDescent="0.25">
      <c r="B789" s="13"/>
      <c r="D789" s="13"/>
      <c r="E789" s="13"/>
      <c r="F789" s="14"/>
      <c r="G789" s="14"/>
      <c r="H789" s="13"/>
      <c r="I789" s="13"/>
      <c r="J789" s="14"/>
      <c r="K789" s="13"/>
      <c r="M789" s="13"/>
    </row>
    <row r="790" spans="2:13" ht="12.75" customHeight="1" x14ac:dyDescent="0.25">
      <c r="B790" s="13"/>
      <c r="D790" s="13"/>
      <c r="E790" s="13"/>
      <c r="F790" s="14"/>
      <c r="G790" s="14"/>
      <c r="H790" s="13"/>
      <c r="I790" s="13"/>
      <c r="J790" s="14"/>
      <c r="K790" s="13"/>
      <c r="M790" s="13"/>
    </row>
    <row r="791" spans="2:13" ht="12.75" customHeight="1" x14ac:dyDescent="0.25">
      <c r="B791" s="13"/>
      <c r="D791" s="13"/>
      <c r="E791" s="13"/>
      <c r="F791" s="14"/>
      <c r="G791" s="14"/>
      <c r="H791" s="13"/>
      <c r="I791" s="13"/>
      <c r="J791" s="14"/>
      <c r="K791" s="13"/>
      <c r="M791" s="13"/>
    </row>
    <row r="792" spans="2:13" ht="12.75" customHeight="1" x14ac:dyDescent="0.25">
      <c r="B792" s="13"/>
      <c r="D792" s="13"/>
      <c r="E792" s="13"/>
      <c r="F792" s="14"/>
      <c r="G792" s="14"/>
      <c r="H792" s="13"/>
      <c r="I792" s="13"/>
      <c r="J792" s="14"/>
      <c r="K792" s="13"/>
      <c r="M792" s="13"/>
    </row>
    <row r="793" spans="2:13" ht="12.75" customHeight="1" x14ac:dyDescent="0.25">
      <c r="B793" s="13"/>
      <c r="D793" s="13"/>
      <c r="E793" s="13"/>
      <c r="F793" s="14"/>
      <c r="G793" s="14"/>
      <c r="H793" s="13"/>
      <c r="I793" s="13"/>
      <c r="J793" s="14"/>
      <c r="K793" s="13"/>
      <c r="M793" s="13"/>
    </row>
    <row r="794" spans="2:13" ht="12.75" customHeight="1" x14ac:dyDescent="0.25">
      <c r="B794" s="13"/>
      <c r="D794" s="13"/>
      <c r="E794" s="13"/>
      <c r="F794" s="14"/>
      <c r="G794" s="14"/>
      <c r="H794" s="13"/>
      <c r="I794" s="13"/>
      <c r="J794" s="14"/>
      <c r="K794" s="13"/>
      <c r="M794" s="13"/>
    </row>
    <row r="795" spans="2:13" ht="12.75" customHeight="1" x14ac:dyDescent="0.25">
      <c r="B795" s="13"/>
      <c r="D795" s="13"/>
      <c r="E795" s="13"/>
      <c r="F795" s="14"/>
      <c r="G795" s="14"/>
      <c r="H795" s="13"/>
      <c r="I795" s="13"/>
      <c r="J795" s="14"/>
      <c r="K795" s="13"/>
      <c r="M795" s="13"/>
    </row>
    <row r="796" spans="2:13" ht="12.75" customHeight="1" x14ac:dyDescent="0.25">
      <c r="B796" s="13"/>
      <c r="D796" s="13"/>
      <c r="E796" s="13"/>
      <c r="F796" s="14"/>
      <c r="G796" s="14"/>
      <c r="H796" s="13"/>
      <c r="I796" s="13"/>
      <c r="J796" s="14"/>
      <c r="K796" s="13"/>
      <c r="M796" s="13"/>
    </row>
    <row r="797" spans="2:13" ht="12.75" customHeight="1" x14ac:dyDescent="0.25">
      <c r="B797" s="13"/>
      <c r="D797" s="13"/>
      <c r="E797" s="13"/>
      <c r="F797" s="14"/>
      <c r="G797" s="14"/>
      <c r="H797" s="13"/>
      <c r="I797" s="13"/>
      <c r="J797" s="14"/>
      <c r="K797" s="13"/>
      <c r="M797" s="13"/>
    </row>
    <row r="798" spans="2:13" ht="12.75" customHeight="1" x14ac:dyDescent="0.25">
      <c r="B798" s="13"/>
      <c r="D798" s="13"/>
      <c r="E798" s="13"/>
      <c r="F798" s="14"/>
      <c r="G798" s="14"/>
      <c r="H798" s="13"/>
      <c r="I798" s="13"/>
      <c r="J798" s="14"/>
      <c r="K798" s="13"/>
      <c r="M798" s="13"/>
    </row>
    <row r="799" spans="2:13" ht="12.75" customHeight="1" x14ac:dyDescent="0.25">
      <c r="B799" s="13"/>
      <c r="D799" s="13"/>
      <c r="E799" s="13"/>
      <c r="F799" s="14"/>
      <c r="G799" s="14"/>
      <c r="H799" s="13"/>
      <c r="I799" s="13"/>
      <c r="J799" s="14"/>
      <c r="K799" s="13"/>
      <c r="M799" s="13"/>
    </row>
    <row r="800" spans="2:13" ht="12.75" customHeight="1" x14ac:dyDescent="0.25">
      <c r="B800" s="13"/>
      <c r="D800" s="13"/>
      <c r="E800" s="13"/>
      <c r="F800" s="14"/>
      <c r="G800" s="14"/>
      <c r="H800" s="13"/>
      <c r="I800" s="13"/>
      <c r="J800" s="14"/>
      <c r="K800" s="13"/>
      <c r="M800" s="13"/>
    </row>
    <row r="801" spans="2:13" ht="12.75" customHeight="1" x14ac:dyDescent="0.25">
      <c r="B801" s="13"/>
      <c r="D801" s="13"/>
      <c r="E801" s="13"/>
      <c r="F801" s="14"/>
      <c r="G801" s="14"/>
      <c r="H801" s="13"/>
      <c r="I801" s="13"/>
      <c r="J801" s="14"/>
      <c r="K801" s="13"/>
      <c r="M801" s="13"/>
    </row>
    <row r="802" spans="2:13" ht="12.75" customHeight="1" x14ac:dyDescent="0.25">
      <c r="B802" s="13"/>
      <c r="D802" s="13"/>
      <c r="E802" s="13"/>
      <c r="F802" s="14"/>
      <c r="G802" s="14"/>
      <c r="H802" s="13"/>
      <c r="I802" s="13"/>
      <c r="J802" s="14"/>
      <c r="K802" s="13"/>
      <c r="M802" s="13"/>
    </row>
    <row r="803" spans="2:13" ht="12.75" customHeight="1" x14ac:dyDescent="0.25">
      <c r="B803" s="13"/>
      <c r="D803" s="13"/>
      <c r="E803" s="13"/>
      <c r="F803" s="14"/>
      <c r="G803" s="14"/>
      <c r="H803" s="13"/>
      <c r="I803" s="13"/>
      <c r="J803" s="14"/>
      <c r="K803" s="13"/>
      <c r="M803" s="13"/>
    </row>
    <row r="804" spans="2:13" ht="12.75" customHeight="1" x14ac:dyDescent="0.25">
      <c r="B804" s="13"/>
      <c r="D804" s="13"/>
      <c r="E804" s="13"/>
      <c r="F804" s="14"/>
      <c r="G804" s="14"/>
      <c r="H804" s="13"/>
      <c r="I804" s="13"/>
      <c r="J804" s="14"/>
      <c r="K804" s="13"/>
      <c r="M804" s="13"/>
    </row>
    <row r="805" spans="2:13" ht="12.75" customHeight="1" x14ac:dyDescent="0.25">
      <c r="B805" s="13"/>
      <c r="D805" s="13"/>
      <c r="E805" s="13"/>
      <c r="F805" s="14"/>
      <c r="G805" s="14"/>
      <c r="H805" s="13"/>
      <c r="I805" s="13"/>
      <c r="J805" s="14"/>
      <c r="K805" s="13"/>
      <c r="M805" s="13"/>
    </row>
    <row r="806" spans="2:13" ht="12.75" customHeight="1" x14ac:dyDescent="0.25">
      <c r="B806" s="13"/>
      <c r="D806" s="13"/>
      <c r="E806" s="13"/>
      <c r="F806" s="14"/>
      <c r="G806" s="14"/>
      <c r="H806" s="13"/>
      <c r="I806" s="13"/>
      <c r="J806" s="14"/>
      <c r="K806" s="13"/>
      <c r="M806" s="13"/>
    </row>
    <row r="807" spans="2:13" ht="12.75" customHeight="1" x14ac:dyDescent="0.25">
      <c r="B807" s="13"/>
      <c r="D807" s="13"/>
      <c r="E807" s="13"/>
      <c r="F807" s="14"/>
      <c r="G807" s="14"/>
      <c r="H807" s="13"/>
      <c r="I807" s="13"/>
      <c r="J807" s="14"/>
      <c r="K807" s="13"/>
      <c r="M807" s="13"/>
    </row>
    <row r="808" spans="2:13" ht="12.75" customHeight="1" x14ac:dyDescent="0.25">
      <c r="B808" s="13"/>
      <c r="D808" s="13"/>
      <c r="E808" s="13"/>
      <c r="F808" s="14"/>
      <c r="G808" s="14"/>
      <c r="H808" s="13"/>
      <c r="I808" s="13"/>
      <c r="J808" s="14"/>
      <c r="K808" s="13"/>
      <c r="M808" s="13"/>
    </row>
    <row r="809" spans="2:13" ht="12.75" customHeight="1" x14ac:dyDescent="0.25">
      <c r="B809" s="13"/>
      <c r="D809" s="13"/>
      <c r="E809" s="13"/>
      <c r="F809" s="14"/>
      <c r="G809" s="14"/>
      <c r="H809" s="13"/>
      <c r="I809" s="13"/>
      <c r="J809" s="14"/>
      <c r="K809" s="13"/>
      <c r="M809" s="13"/>
    </row>
    <row r="810" spans="2:13" ht="12.75" customHeight="1" x14ac:dyDescent="0.25">
      <c r="B810" s="13"/>
      <c r="D810" s="13"/>
      <c r="E810" s="13"/>
      <c r="F810" s="14"/>
      <c r="G810" s="14"/>
      <c r="H810" s="13"/>
      <c r="I810" s="13"/>
      <c r="J810" s="14"/>
      <c r="K810" s="13"/>
      <c r="M810" s="13"/>
    </row>
    <row r="811" spans="2:13" ht="12.75" customHeight="1" x14ac:dyDescent="0.25">
      <c r="B811" s="13"/>
      <c r="D811" s="13"/>
      <c r="E811" s="13"/>
      <c r="F811" s="14"/>
      <c r="G811" s="14"/>
      <c r="H811" s="13"/>
      <c r="I811" s="13"/>
      <c r="J811" s="14"/>
      <c r="K811" s="13"/>
      <c r="M811" s="13"/>
    </row>
    <row r="812" spans="2:13" ht="12.75" customHeight="1" x14ac:dyDescent="0.25">
      <c r="B812" s="13"/>
      <c r="D812" s="13"/>
      <c r="E812" s="13"/>
      <c r="F812" s="14"/>
      <c r="G812" s="14"/>
      <c r="H812" s="13"/>
      <c r="I812" s="13"/>
      <c r="J812" s="14"/>
      <c r="K812" s="13"/>
      <c r="M812" s="13"/>
    </row>
    <row r="813" spans="2:13" ht="12.75" customHeight="1" x14ac:dyDescent="0.25">
      <c r="B813" s="13"/>
      <c r="D813" s="13"/>
      <c r="E813" s="13"/>
      <c r="F813" s="14"/>
      <c r="G813" s="14"/>
      <c r="H813" s="13"/>
      <c r="I813" s="13"/>
      <c r="J813" s="14"/>
      <c r="K813" s="13"/>
      <c r="M813" s="13"/>
    </row>
    <row r="814" spans="2:13" ht="12.75" customHeight="1" x14ac:dyDescent="0.25">
      <c r="B814" s="13"/>
      <c r="D814" s="13"/>
      <c r="E814" s="13"/>
      <c r="F814" s="14"/>
      <c r="G814" s="14"/>
      <c r="H814" s="13"/>
      <c r="I814" s="13"/>
      <c r="J814" s="14"/>
      <c r="K814" s="13"/>
      <c r="M814" s="13"/>
    </row>
    <row r="815" spans="2:13" ht="12.75" customHeight="1" x14ac:dyDescent="0.25">
      <c r="B815" s="13"/>
      <c r="D815" s="13"/>
      <c r="E815" s="13"/>
      <c r="F815" s="14"/>
      <c r="G815" s="14"/>
      <c r="H815" s="13"/>
      <c r="I815" s="13"/>
      <c r="J815" s="14"/>
      <c r="K815" s="13"/>
      <c r="M815" s="13"/>
    </row>
    <row r="816" spans="2:13" ht="12.75" customHeight="1" x14ac:dyDescent="0.25">
      <c r="B816" s="13"/>
      <c r="D816" s="13"/>
      <c r="E816" s="13"/>
      <c r="F816" s="14"/>
      <c r="G816" s="14"/>
      <c r="H816" s="13"/>
      <c r="I816" s="13"/>
      <c r="J816" s="14"/>
      <c r="K816" s="13"/>
      <c r="M816" s="13"/>
    </row>
    <row r="817" spans="2:13" ht="12.75" customHeight="1" x14ac:dyDescent="0.25">
      <c r="B817" s="13"/>
      <c r="D817" s="13"/>
      <c r="E817" s="13"/>
      <c r="F817" s="14"/>
      <c r="G817" s="14"/>
      <c r="H817" s="13"/>
      <c r="I817" s="13"/>
      <c r="J817" s="14"/>
      <c r="K817" s="13"/>
      <c r="M817" s="13"/>
    </row>
    <row r="818" spans="2:13" ht="12.75" customHeight="1" x14ac:dyDescent="0.25">
      <c r="B818" s="13"/>
      <c r="D818" s="13"/>
      <c r="E818" s="13"/>
      <c r="F818" s="14"/>
      <c r="G818" s="14"/>
      <c r="H818" s="13"/>
      <c r="I818" s="13"/>
      <c r="J818" s="14"/>
      <c r="K818" s="13"/>
      <c r="M818" s="13"/>
    </row>
    <row r="819" spans="2:13" ht="12.75" customHeight="1" x14ac:dyDescent="0.25">
      <c r="B819" s="13"/>
      <c r="D819" s="13"/>
      <c r="E819" s="13"/>
      <c r="F819" s="14"/>
      <c r="G819" s="14"/>
      <c r="H819" s="13"/>
      <c r="I819" s="13"/>
      <c r="J819" s="14"/>
      <c r="K819" s="13"/>
      <c r="M819" s="13"/>
    </row>
    <row r="820" spans="2:13" ht="12.75" customHeight="1" x14ac:dyDescent="0.25">
      <c r="B820" s="13"/>
      <c r="D820" s="13"/>
      <c r="E820" s="13"/>
      <c r="F820" s="14"/>
      <c r="G820" s="14"/>
      <c r="H820" s="13"/>
      <c r="I820" s="13"/>
      <c r="J820" s="14"/>
      <c r="K820" s="13"/>
      <c r="M820" s="13"/>
    </row>
    <row r="821" spans="2:13" ht="12.75" customHeight="1" x14ac:dyDescent="0.25">
      <c r="B821" s="13"/>
      <c r="D821" s="13"/>
      <c r="E821" s="13"/>
      <c r="F821" s="14"/>
      <c r="G821" s="14"/>
      <c r="H821" s="13"/>
      <c r="I821" s="13"/>
      <c r="J821" s="14"/>
      <c r="K821" s="13"/>
      <c r="M821" s="13"/>
    </row>
    <row r="822" spans="2:13" ht="12.75" customHeight="1" x14ac:dyDescent="0.25">
      <c r="B822" s="13"/>
      <c r="D822" s="13"/>
      <c r="E822" s="13"/>
      <c r="F822" s="14"/>
      <c r="G822" s="14"/>
      <c r="H822" s="13"/>
      <c r="I822" s="13"/>
      <c r="J822" s="14"/>
      <c r="K822" s="13"/>
      <c r="M822" s="13"/>
    </row>
    <row r="823" spans="2:13" ht="12.75" customHeight="1" x14ac:dyDescent="0.25">
      <c r="B823" s="13"/>
      <c r="D823" s="13"/>
      <c r="E823" s="13"/>
      <c r="F823" s="14"/>
      <c r="G823" s="14"/>
      <c r="H823" s="13"/>
      <c r="I823" s="13"/>
      <c r="J823" s="14"/>
      <c r="K823" s="13"/>
      <c r="M823" s="13"/>
    </row>
    <row r="824" spans="2:13" ht="12.75" customHeight="1" x14ac:dyDescent="0.25">
      <c r="B824" s="13"/>
      <c r="D824" s="13"/>
      <c r="E824" s="13"/>
      <c r="F824" s="14"/>
      <c r="G824" s="14"/>
      <c r="H824" s="13"/>
      <c r="I824" s="13"/>
      <c r="J824" s="14"/>
      <c r="K824" s="13"/>
      <c r="M824" s="13"/>
    </row>
    <row r="825" spans="2:13" ht="12.75" customHeight="1" x14ac:dyDescent="0.25">
      <c r="B825" s="13"/>
      <c r="D825" s="13"/>
      <c r="E825" s="13"/>
      <c r="F825" s="14"/>
      <c r="G825" s="14"/>
      <c r="H825" s="13"/>
      <c r="I825" s="13"/>
      <c r="J825" s="14"/>
      <c r="K825" s="13"/>
      <c r="M825" s="13"/>
    </row>
    <row r="826" spans="2:13" ht="12.75" customHeight="1" x14ac:dyDescent="0.25">
      <c r="B826" s="13"/>
      <c r="D826" s="13"/>
      <c r="E826" s="13"/>
      <c r="F826" s="14"/>
      <c r="G826" s="14"/>
      <c r="H826" s="13"/>
      <c r="I826" s="13"/>
      <c r="J826" s="14"/>
      <c r="K826" s="13"/>
      <c r="M826" s="13"/>
    </row>
    <row r="827" spans="2:13" ht="12.75" customHeight="1" x14ac:dyDescent="0.25">
      <c r="B827" s="13"/>
      <c r="D827" s="13"/>
      <c r="E827" s="13"/>
      <c r="F827" s="14"/>
      <c r="G827" s="14"/>
      <c r="H827" s="13"/>
      <c r="I827" s="13"/>
      <c r="J827" s="14"/>
      <c r="K827" s="13"/>
      <c r="M827" s="13"/>
    </row>
    <row r="828" spans="2:13" ht="12.75" customHeight="1" x14ac:dyDescent="0.25">
      <c r="B828" s="13"/>
      <c r="D828" s="13"/>
      <c r="E828" s="13"/>
      <c r="F828" s="14"/>
      <c r="G828" s="14"/>
      <c r="H828" s="13"/>
      <c r="I828" s="13"/>
      <c r="J828" s="14"/>
      <c r="K828" s="13"/>
      <c r="M828" s="13"/>
    </row>
    <row r="829" spans="2:13" ht="12.75" customHeight="1" x14ac:dyDescent="0.25">
      <c r="B829" s="13"/>
      <c r="D829" s="13"/>
      <c r="E829" s="13"/>
      <c r="F829" s="14"/>
      <c r="G829" s="14"/>
      <c r="H829" s="13"/>
      <c r="I829" s="13"/>
      <c r="J829" s="14"/>
      <c r="K829" s="13"/>
      <c r="M829" s="13"/>
    </row>
    <row r="830" spans="2:13" ht="12.75" customHeight="1" x14ac:dyDescent="0.25">
      <c r="B830" s="13"/>
      <c r="D830" s="13"/>
      <c r="E830" s="13"/>
      <c r="F830" s="14"/>
      <c r="G830" s="14"/>
      <c r="H830" s="13"/>
      <c r="I830" s="13"/>
      <c r="J830" s="14"/>
      <c r="K830" s="13"/>
      <c r="M830" s="13"/>
    </row>
    <row r="831" spans="2:13" ht="12.75" customHeight="1" x14ac:dyDescent="0.25">
      <c r="B831" s="13"/>
      <c r="D831" s="13"/>
      <c r="E831" s="13"/>
      <c r="F831" s="14"/>
      <c r="G831" s="14"/>
      <c r="H831" s="13"/>
      <c r="I831" s="13"/>
      <c r="J831" s="14"/>
      <c r="K831" s="13"/>
      <c r="M831" s="13"/>
    </row>
    <row r="832" spans="2:13" ht="12.75" customHeight="1" x14ac:dyDescent="0.25">
      <c r="B832" s="13"/>
      <c r="D832" s="13"/>
      <c r="E832" s="13"/>
      <c r="F832" s="14"/>
      <c r="G832" s="14"/>
      <c r="H832" s="13"/>
      <c r="I832" s="13"/>
      <c r="J832" s="14"/>
      <c r="K832" s="13"/>
      <c r="M832" s="13"/>
    </row>
    <row r="833" spans="2:13" ht="12.75" customHeight="1" x14ac:dyDescent="0.25">
      <c r="B833" s="13"/>
      <c r="D833" s="13"/>
      <c r="E833" s="13"/>
      <c r="F833" s="14"/>
      <c r="G833" s="14"/>
      <c r="H833" s="13"/>
      <c r="I833" s="13"/>
      <c r="J833" s="14"/>
      <c r="K833" s="13"/>
      <c r="M833" s="13"/>
    </row>
    <row r="834" spans="2:13" ht="12.75" customHeight="1" x14ac:dyDescent="0.25">
      <c r="B834" s="13"/>
      <c r="D834" s="13"/>
      <c r="E834" s="13"/>
      <c r="F834" s="14"/>
      <c r="G834" s="14"/>
      <c r="H834" s="13"/>
      <c r="I834" s="13"/>
      <c r="J834" s="14"/>
      <c r="K834" s="13"/>
      <c r="M834" s="13"/>
    </row>
    <row r="835" spans="2:13" ht="12.75" customHeight="1" x14ac:dyDescent="0.25">
      <c r="B835" s="13"/>
      <c r="D835" s="13"/>
      <c r="E835" s="13"/>
      <c r="F835" s="14"/>
      <c r="G835" s="14"/>
      <c r="H835" s="13"/>
      <c r="I835" s="13"/>
      <c r="J835" s="14"/>
      <c r="K835" s="13"/>
      <c r="M835" s="13"/>
    </row>
    <row r="836" spans="2:13" ht="12.75" customHeight="1" x14ac:dyDescent="0.25">
      <c r="B836" s="13"/>
      <c r="D836" s="13"/>
      <c r="E836" s="13"/>
      <c r="F836" s="14"/>
      <c r="G836" s="14"/>
      <c r="H836" s="13"/>
      <c r="I836" s="13"/>
      <c r="J836" s="14"/>
      <c r="K836" s="13"/>
      <c r="M836" s="13"/>
    </row>
    <row r="837" spans="2:13" ht="12.75" customHeight="1" x14ac:dyDescent="0.25">
      <c r="B837" s="13"/>
      <c r="D837" s="13"/>
      <c r="E837" s="13"/>
      <c r="F837" s="14"/>
      <c r="G837" s="14"/>
      <c r="H837" s="13"/>
      <c r="I837" s="13"/>
      <c r="J837" s="14"/>
      <c r="K837" s="13"/>
      <c r="M837" s="13"/>
    </row>
    <row r="838" spans="2:13" ht="12.75" customHeight="1" x14ac:dyDescent="0.25">
      <c r="B838" s="13"/>
      <c r="D838" s="13"/>
      <c r="E838" s="13"/>
      <c r="F838" s="14"/>
      <c r="G838" s="14"/>
      <c r="H838" s="13"/>
      <c r="I838" s="13"/>
      <c r="J838" s="14"/>
      <c r="K838" s="13"/>
      <c r="M838" s="13"/>
    </row>
    <row r="839" spans="2:13" ht="12.75" customHeight="1" x14ac:dyDescent="0.25">
      <c r="B839" s="13"/>
      <c r="D839" s="13"/>
      <c r="E839" s="13"/>
      <c r="F839" s="14"/>
      <c r="G839" s="14"/>
      <c r="H839" s="13"/>
      <c r="I839" s="13"/>
      <c r="J839" s="14"/>
      <c r="K839" s="13"/>
      <c r="M839" s="13"/>
    </row>
    <row r="840" spans="2:13" ht="12.75" customHeight="1" x14ac:dyDescent="0.25">
      <c r="B840" s="13"/>
      <c r="D840" s="13"/>
      <c r="E840" s="13"/>
      <c r="F840" s="14"/>
      <c r="G840" s="14"/>
      <c r="H840" s="13"/>
      <c r="I840" s="13"/>
      <c r="J840" s="14"/>
      <c r="K840" s="13"/>
      <c r="M840" s="13"/>
    </row>
    <row r="841" spans="2:13" ht="12.75" customHeight="1" x14ac:dyDescent="0.25">
      <c r="B841" s="13"/>
      <c r="D841" s="13"/>
      <c r="E841" s="13"/>
      <c r="F841" s="14"/>
      <c r="G841" s="14"/>
      <c r="H841" s="13"/>
      <c r="I841" s="13"/>
      <c r="J841" s="14"/>
      <c r="K841" s="13"/>
      <c r="M841" s="13"/>
    </row>
    <row r="842" spans="2:13" ht="12.75" customHeight="1" x14ac:dyDescent="0.25">
      <c r="B842" s="13"/>
      <c r="D842" s="13"/>
      <c r="E842" s="13"/>
      <c r="F842" s="14"/>
      <c r="G842" s="14"/>
      <c r="H842" s="13"/>
      <c r="I842" s="13"/>
      <c r="J842" s="14"/>
      <c r="K842" s="13"/>
      <c r="M842" s="13"/>
    </row>
    <row r="843" spans="2:13" ht="12.75" customHeight="1" x14ac:dyDescent="0.25">
      <c r="B843" s="13"/>
      <c r="D843" s="13"/>
      <c r="E843" s="13"/>
      <c r="F843" s="14"/>
      <c r="G843" s="14"/>
      <c r="H843" s="13"/>
      <c r="I843" s="13"/>
      <c r="J843" s="14"/>
      <c r="K843" s="13"/>
      <c r="M843" s="13"/>
    </row>
    <row r="844" spans="2:13" ht="12.75" customHeight="1" x14ac:dyDescent="0.25">
      <c r="B844" s="13"/>
      <c r="D844" s="13"/>
      <c r="E844" s="13"/>
      <c r="F844" s="14"/>
      <c r="G844" s="14"/>
      <c r="H844" s="13"/>
      <c r="I844" s="13"/>
      <c r="J844" s="14"/>
      <c r="K844" s="13"/>
      <c r="M844" s="13"/>
    </row>
    <row r="845" spans="2:13" ht="12.75" customHeight="1" x14ac:dyDescent="0.25">
      <c r="B845" s="13"/>
      <c r="D845" s="13"/>
      <c r="E845" s="13"/>
      <c r="F845" s="14"/>
      <c r="G845" s="14"/>
      <c r="H845" s="13"/>
      <c r="I845" s="13"/>
      <c r="J845" s="14"/>
      <c r="K845" s="13"/>
      <c r="M845" s="13"/>
    </row>
    <row r="846" spans="2:13" ht="12.75" customHeight="1" x14ac:dyDescent="0.25">
      <c r="B846" s="13"/>
      <c r="D846" s="13"/>
      <c r="E846" s="13"/>
      <c r="F846" s="14"/>
      <c r="G846" s="14"/>
      <c r="H846" s="13"/>
      <c r="I846" s="13"/>
      <c r="J846" s="14"/>
      <c r="K846" s="13"/>
      <c r="M846" s="13"/>
    </row>
    <row r="847" spans="2:13" ht="12.75" customHeight="1" x14ac:dyDescent="0.25">
      <c r="B847" s="13"/>
      <c r="D847" s="13"/>
      <c r="E847" s="13"/>
      <c r="F847" s="14"/>
      <c r="G847" s="14"/>
      <c r="H847" s="13"/>
      <c r="I847" s="13"/>
      <c r="J847" s="14"/>
      <c r="K847" s="13"/>
      <c r="M847" s="13"/>
    </row>
    <row r="848" spans="2:13" ht="12.75" customHeight="1" x14ac:dyDescent="0.25">
      <c r="B848" s="13"/>
      <c r="D848" s="13"/>
      <c r="E848" s="13"/>
      <c r="F848" s="14"/>
      <c r="G848" s="14"/>
      <c r="H848" s="13"/>
      <c r="I848" s="13"/>
      <c r="J848" s="14"/>
      <c r="K848" s="13"/>
      <c r="M848" s="13"/>
    </row>
    <row r="849" spans="2:13" ht="12.75" customHeight="1" x14ac:dyDescent="0.25">
      <c r="B849" s="13"/>
      <c r="D849" s="13"/>
      <c r="E849" s="13"/>
      <c r="F849" s="14"/>
      <c r="G849" s="14"/>
      <c r="H849" s="13"/>
      <c r="I849" s="13"/>
      <c r="J849" s="14"/>
      <c r="K849" s="13"/>
      <c r="M849" s="13"/>
    </row>
    <row r="850" spans="2:13" ht="12.75" customHeight="1" x14ac:dyDescent="0.25">
      <c r="B850" s="13"/>
      <c r="D850" s="13"/>
      <c r="E850" s="13"/>
      <c r="F850" s="14"/>
      <c r="G850" s="14"/>
      <c r="H850" s="13"/>
      <c r="I850" s="13"/>
      <c r="J850" s="14"/>
      <c r="K850" s="13"/>
      <c r="M850" s="13"/>
    </row>
    <row r="851" spans="2:13" ht="12.75" customHeight="1" x14ac:dyDescent="0.25">
      <c r="B851" s="13"/>
      <c r="D851" s="13"/>
      <c r="E851" s="13"/>
      <c r="F851" s="14"/>
      <c r="G851" s="14"/>
      <c r="H851" s="13"/>
      <c r="I851" s="13"/>
      <c r="J851" s="14"/>
      <c r="K851" s="13"/>
      <c r="M851" s="13"/>
    </row>
    <row r="852" spans="2:13" ht="12.75" customHeight="1" x14ac:dyDescent="0.25">
      <c r="B852" s="13"/>
      <c r="D852" s="13"/>
      <c r="E852" s="13"/>
      <c r="F852" s="14"/>
      <c r="G852" s="14"/>
      <c r="H852" s="13"/>
      <c r="I852" s="13"/>
      <c r="J852" s="14"/>
      <c r="K852" s="13"/>
      <c r="M852" s="13"/>
    </row>
    <row r="853" spans="2:13" ht="12.75" customHeight="1" x14ac:dyDescent="0.25">
      <c r="B853" s="13"/>
      <c r="D853" s="13"/>
      <c r="E853" s="13"/>
      <c r="F853" s="14"/>
      <c r="G853" s="14"/>
      <c r="H853" s="13"/>
      <c r="I853" s="13"/>
      <c r="J853" s="14"/>
      <c r="K853" s="13"/>
      <c r="M853" s="13"/>
    </row>
    <row r="854" spans="2:13" ht="12.75" customHeight="1" x14ac:dyDescent="0.25">
      <c r="B854" s="13"/>
      <c r="D854" s="13"/>
      <c r="E854" s="13"/>
      <c r="F854" s="14"/>
      <c r="G854" s="14"/>
      <c r="H854" s="13"/>
      <c r="I854" s="13"/>
      <c r="J854" s="14"/>
      <c r="K854" s="13"/>
      <c r="M854" s="13"/>
    </row>
    <row r="855" spans="2:13" ht="12.75" customHeight="1" x14ac:dyDescent="0.25">
      <c r="B855" s="13"/>
      <c r="D855" s="13"/>
      <c r="E855" s="13"/>
      <c r="F855" s="14"/>
      <c r="G855" s="14"/>
      <c r="H855" s="13"/>
      <c r="I855" s="13"/>
      <c r="J855" s="14"/>
      <c r="K855" s="13"/>
      <c r="M855" s="13"/>
    </row>
    <row r="856" spans="2:13" ht="12.75" customHeight="1" x14ac:dyDescent="0.25">
      <c r="B856" s="13"/>
      <c r="D856" s="13"/>
      <c r="E856" s="13"/>
      <c r="F856" s="14"/>
      <c r="G856" s="14"/>
      <c r="H856" s="13"/>
      <c r="I856" s="13"/>
      <c r="J856" s="14"/>
      <c r="K856" s="13"/>
      <c r="M856" s="13"/>
    </row>
    <row r="857" spans="2:13" ht="12.75" customHeight="1" x14ac:dyDescent="0.25">
      <c r="B857" s="13"/>
      <c r="D857" s="13"/>
      <c r="E857" s="13"/>
      <c r="F857" s="14"/>
      <c r="G857" s="14"/>
      <c r="H857" s="13"/>
      <c r="I857" s="13"/>
      <c r="J857" s="14"/>
      <c r="K857" s="13"/>
      <c r="M857" s="13"/>
    </row>
    <row r="858" spans="2:13" ht="12.75" customHeight="1" x14ac:dyDescent="0.25">
      <c r="B858" s="13"/>
      <c r="D858" s="13"/>
      <c r="E858" s="13"/>
      <c r="F858" s="14"/>
      <c r="G858" s="14"/>
      <c r="H858" s="13"/>
      <c r="I858" s="13"/>
      <c r="J858" s="14"/>
      <c r="K858" s="13"/>
      <c r="M858" s="13"/>
    </row>
    <row r="859" spans="2:13" ht="12.75" customHeight="1" x14ac:dyDescent="0.25">
      <c r="B859" s="13"/>
      <c r="D859" s="13"/>
      <c r="E859" s="13"/>
      <c r="F859" s="14"/>
      <c r="G859" s="14"/>
      <c r="H859" s="13"/>
      <c r="I859" s="13"/>
      <c r="J859" s="14"/>
      <c r="K859" s="13"/>
      <c r="M859" s="13"/>
    </row>
    <row r="860" spans="2:13" ht="12.75" customHeight="1" x14ac:dyDescent="0.25">
      <c r="B860" s="13"/>
      <c r="D860" s="13"/>
      <c r="E860" s="13"/>
      <c r="F860" s="14"/>
      <c r="G860" s="14"/>
      <c r="H860" s="13"/>
      <c r="I860" s="13"/>
      <c r="J860" s="14"/>
      <c r="K860" s="13"/>
      <c r="M860" s="13"/>
    </row>
    <row r="861" spans="2:13" ht="12.75" customHeight="1" x14ac:dyDescent="0.25">
      <c r="B861" s="13"/>
      <c r="D861" s="13"/>
      <c r="E861" s="13"/>
      <c r="F861" s="14"/>
      <c r="G861" s="14"/>
      <c r="H861" s="13"/>
      <c r="I861" s="13"/>
      <c r="J861" s="14"/>
      <c r="K861" s="13"/>
      <c r="M861" s="13"/>
    </row>
    <row r="862" spans="2:13" ht="12.75" customHeight="1" x14ac:dyDescent="0.25">
      <c r="B862" s="13"/>
      <c r="D862" s="13"/>
      <c r="E862" s="13"/>
      <c r="F862" s="14"/>
      <c r="G862" s="14"/>
      <c r="H862" s="13"/>
      <c r="I862" s="13"/>
      <c r="J862" s="14"/>
      <c r="K862" s="13"/>
      <c r="M862" s="13"/>
    </row>
    <row r="863" spans="2:13" ht="12.75" customHeight="1" x14ac:dyDescent="0.25">
      <c r="B863" s="13"/>
      <c r="D863" s="13"/>
      <c r="E863" s="13"/>
      <c r="F863" s="14"/>
      <c r="G863" s="14"/>
      <c r="H863" s="13"/>
      <c r="I863" s="13"/>
      <c r="J863" s="14"/>
      <c r="K863" s="13"/>
      <c r="M863" s="13"/>
    </row>
    <row r="864" spans="2:13" ht="12.75" customHeight="1" x14ac:dyDescent="0.25">
      <c r="B864" s="13"/>
      <c r="D864" s="13"/>
      <c r="E864" s="13"/>
      <c r="F864" s="14"/>
      <c r="G864" s="14"/>
      <c r="H864" s="13"/>
      <c r="I864" s="13"/>
      <c r="J864" s="14"/>
      <c r="K864" s="13"/>
      <c r="M864" s="13"/>
    </row>
    <row r="865" spans="2:13" ht="12.75" customHeight="1" x14ac:dyDescent="0.25">
      <c r="B865" s="13"/>
      <c r="D865" s="13"/>
      <c r="E865" s="13"/>
      <c r="F865" s="14"/>
      <c r="G865" s="14"/>
      <c r="H865" s="13"/>
      <c r="I865" s="13"/>
      <c r="J865" s="14"/>
      <c r="K865" s="13"/>
      <c r="M865" s="13"/>
    </row>
    <row r="866" spans="2:13" ht="12.75" customHeight="1" x14ac:dyDescent="0.25">
      <c r="B866" s="13"/>
      <c r="D866" s="13"/>
      <c r="E866" s="13"/>
      <c r="F866" s="14"/>
      <c r="G866" s="14"/>
      <c r="H866" s="13"/>
      <c r="I866" s="13"/>
      <c r="J866" s="14"/>
      <c r="K866" s="13"/>
      <c r="M866" s="13"/>
    </row>
    <row r="867" spans="2:13" ht="12.75" customHeight="1" x14ac:dyDescent="0.25">
      <c r="B867" s="13"/>
      <c r="D867" s="13"/>
      <c r="E867" s="13"/>
      <c r="F867" s="14"/>
      <c r="G867" s="14"/>
      <c r="H867" s="13"/>
      <c r="I867" s="13"/>
      <c r="J867" s="14"/>
      <c r="K867" s="13"/>
      <c r="M867" s="13"/>
    </row>
    <row r="868" spans="2:13" ht="12.75" customHeight="1" x14ac:dyDescent="0.25">
      <c r="B868" s="13"/>
      <c r="D868" s="13"/>
      <c r="E868" s="13"/>
      <c r="F868" s="14"/>
      <c r="G868" s="14"/>
      <c r="H868" s="13"/>
      <c r="I868" s="13"/>
      <c r="J868" s="14"/>
      <c r="K868" s="13"/>
      <c r="M868" s="13"/>
    </row>
    <row r="869" spans="2:13" ht="12.75" customHeight="1" x14ac:dyDescent="0.25">
      <c r="B869" s="13"/>
      <c r="D869" s="13"/>
      <c r="E869" s="13"/>
      <c r="F869" s="14"/>
      <c r="G869" s="14"/>
      <c r="H869" s="13"/>
      <c r="I869" s="13"/>
      <c r="J869" s="14"/>
      <c r="K869" s="13"/>
      <c r="M869" s="13"/>
    </row>
    <row r="870" spans="2:13" ht="12.75" customHeight="1" x14ac:dyDescent="0.25">
      <c r="B870" s="13"/>
      <c r="D870" s="13"/>
      <c r="E870" s="13"/>
      <c r="F870" s="14"/>
      <c r="G870" s="14"/>
      <c r="H870" s="13"/>
      <c r="I870" s="13"/>
      <c r="J870" s="14"/>
      <c r="K870" s="13"/>
      <c r="M870" s="13"/>
    </row>
    <row r="871" spans="2:13" ht="12.75" customHeight="1" x14ac:dyDescent="0.25">
      <c r="B871" s="13"/>
      <c r="D871" s="13"/>
      <c r="E871" s="13"/>
      <c r="F871" s="14"/>
      <c r="G871" s="14"/>
      <c r="H871" s="13"/>
      <c r="I871" s="13"/>
      <c r="J871" s="14"/>
      <c r="K871" s="13"/>
      <c r="M871" s="13"/>
    </row>
    <row r="872" spans="2:13" ht="12.75" customHeight="1" x14ac:dyDescent="0.25">
      <c r="B872" s="13"/>
      <c r="D872" s="13"/>
      <c r="E872" s="13"/>
      <c r="F872" s="14"/>
      <c r="G872" s="14"/>
      <c r="H872" s="13"/>
      <c r="I872" s="13"/>
      <c r="J872" s="14"/>
      <c r="K872" s="13"/>
      <c r="M872" s="13"/>
    </row>
    <row r="873" spans="2:13" ht="12.75" customHeight="1" x14ac:dyDescent="0.25">
      <c r="B873" s="13"/>
      <c r="D873" s="13"/>
      <c r="E873" s="13"/>
      <c r="F873" s="14"/>
      <c r="G873" s="14"/>
      <c r="H873" s="13"/>
      <c r="I873" s="13"/>
      <c r="J873" s="14"/>
      <c r="K873" s="13"/>
      <c r="M873" s="13"/>
    </row>
    <row r="874" spans="2:13" ht="12.75" customHeight="1" x14ac:dyDescent="0.25">
      <c r="B874" s="13"/>
      <c r="D874" s="13"/>
      <c r="E874" s="13"/>
      <c r="F874" s="14"/>
      <c r="G874" s="14"/>
      <c r="H874" s="13"/>
      <c r="I874" s="13"/>
      <c r="J874" s="14"/>
      <c r="K874" s="13"/>
      <c r="M874" s="13"/>
    </row>
    <row r="875" spans="2:13" ht="12.75" customHeight="1" x14ac:dyDescent="0.25">
      <c r="B875" s="13"/>
      <c r="D875" s="13"/>
      <c r="E875" s="13"/>
      <c r="F875" s="14"/>
      <c r="G875" s="14"/>
      <c r="H875" s="13"/>
      <c r="I875" s="13"/>
      <c r="J875" s="14"/>
      <c r="K875" s="13"/>
      <c r="M875" s="13"/>
    </row>
    <row r="876" spans="2:13" ht="12.75" customHeight="1" x14ac:dyDescent="0.25">
      <c r="B876" s="13"/>
      <c r="D876" s="13"/>
      <c r="E876" s="13"/>
      <c r="F876" s="14"/>
      <c r="G876" s="14"/>
      <c r="H876" s="13"/>
      <c r="I876" s="13"/>
      <c r="J876" s="14"/>
      <c r="K876" s="13"/>
      <c r="M876" s="13"/>
    </row>
    <row r="877" spans="2:13" ht="12.75" customHeight="1" x14ac:dyDescent="0.25">
      <c r="B877" s="13"/>
      <c r="D877" s="13"/>
      <c r="E877" s="13"/>
      <c r="F877" s="14"/>
      <c r="G877" s="14"/>
      <c r="H877" s="13"/>
      <c r="I877" s="13"/>
      <c r="J877" s="14"/>
      <c r="K877" s="13"/>
      <c r="M877" s="13"/>
    </row>
    <row r="878" spans="2:13" ht="12.75" customHeight="1" x14ac:dyDescent="0.25">
      <c r="B878" s="13"/>
      <c r="D878" s="13"/>
      <c r="E878" s="13"/>
      <c r="F878" s="14"/>
      <c r="G878" s="14"/>
      <c r="H878" s="13"/>
      <c r="I878" s="13"/>
      <c r="J878" s="14"/>
      <c r="K878" s="13"/>
      <c r="M878" s="13"/>
    </row>
    <row r="879" spans="2:13" ht="12.75" customHeight="1" x14ac:dyDescent="0.25">
      <c r="B879" s="13"/>
      <c r="D879" s="13"/>
      <c r="E879" s="13"/>
      <c r="F879" s="14"/>
      <c r="G879" s="14"/>
      <c r="H879" s="13"/>
      <c r="I879" s="13"/>
      <c r="J879" s="14"/>
      <c r="K879" s="13"/>
      <c r="M879" s="13"/>
    </row>
    <row r="880" spans="2:13" ht="12.75" customHeight="1" x14ac:dyDescent="0.25">
      <c r="B880" s="13"/>
      <c r="D880" s="13"/>
      <c r="E880" s="13"/>
      <c r="F880" s="14"/>
      <c r="G880" s="14"/>
      <c r="H880" s="13"/>
      <c r="I880" s="13"/>
      <c r="J880" s="14"/>
      <c r="K880" s="13"/>
      <c r="M880" s="13"/>
    </row>
    <row r="881" spans="2:13" ht="12.75" customHeight="1" x14ac:dyDescent="0.25">
      <c r="B881" s="13"/>
      <c r="D881" s="13"/>
      <c r="E881" s="13"/>
      <c r="F881" s="14"/>
      <c r="G881" s="14"/>
      <c r="H881" s="13"/>
      <c r="I881" s="13"/>
      <c r="J881" s="14"/>
      <c r="K881" s="13"/>
      <c r="M881" s="13"/>
    </row>
    <row r="882" spans="2:13" ht="12.75" customHeight="1" x14ac:dyDescent="0.25">
      <c r="B882" s="13"/>
      <c r="D882" s="13"/>
      <c r="E882" s="13"/>
      <c r="F882" s="14"/>
      <c r="G882" s="14"/>
      <c r="H882" s="13"/>
      <c r="I882" s="13"/>
      <c r="J882" s="14"/>
      <c r="K882" s="13"/>
      <c r="M882" s="13"/>
    </row>
    <row r="883" spans="2:13" ht="12.75" customHeight="1" x14ac:dyDescent="0.25">
      <c r="B883" s="13"/>
      <c r="D883" s="13"/>
      <c r="E883" s="13"/>
      <c r="F883" s="14"/>
      <c r="G883" s="14"/>
      <c r="H883" s="13"/>
      <c r="I883" s="13"/>
      <c r="J883" s="14"/>
      <c r="K883" s="13"/>
      <c r="M883" s="13"/>
    </row>
    <row r="884" spans="2:13" ht="12.75" customHeight="1" x14ac:dyDescent="0.25">
      <c r="B884" s="13"/>
      <c r="D884" s="13"/>
      <c r="E884" s="13"/>
      <c r="F884" s="14"/>
      <c r="G884" s="14"/>
      <c r="H884" s="13"/>
      <c r="I884" s="13"/>
      <c r="J884" s="14"/>
      <c r="K884" s="13"/>
      <c r="M884" s="13"/>
    </row>
    <row r="885" spans="2:13" ht="12.75" customHeight="1" x14ac:dyDescent="0.25">
      <c r="B885" s="13"/>
      <c r="D885" s="13"/>
      <c r="E885" s="13"/>
      <c r="F885" s="14"/>
      <c r="G885" s="14"/>
      <c r="H885" s="13"/>
      <c r="I885" s="13"/>
      <c r="J885" s="14"/>
      <c r="K885" s="13"/>
      <c r="M885" s="13"/>
    </row>
    <row r="886" spans="2:13" ht="12.75" customHeight="1" x14ac:dyDescent="0.25">
      <c r="B886" s="13"/>
      <c r="D886" s="13"/>
      <c r="E886" s="13"/>
      <c r="F886" s="14"/>
      <c r="G886" s="14"/>
      <c r="H886" s="13"/>
      <c r="I886" s="13"/>
      <c r="J886" s="14"/>
      <c r="K886" s="13"/>
      <c r="M886" s="13"/>
    </row>
    <row r="887" spans="2:13" ht="12.75" customHeight="1" x14ac:dyDescent="0.25">
      <c r="B887" s="13"/>
      <c r="D887" s="13"/>
      <c r="E887" s="13"/>
      <c r="F887" s="14"/>
      <c r="G887" s="14"/>
      <c r="H887" s="13"/>
      <c r="I887" s="13"/>
      <c r="J887" s="14"/>
      <c r="K887" s="13"/>
      <c r="M887" s="13"/>
    </row>
    <row r="888" spans="2:13" ht="12.75" customHeight="1" x14ac:dyDescent="0.25">
      <c r="B888" s="13"/>
      <c r="D888" s="13"/>
      <c r="E888" s="13"/>
      <c r="F888" s="14"/>
      <c r="G888" s="14"/>
      <c r="H888" s="13"/>
      <c r="I888" s="13"/>
      <c r="J888" s="14"/>
      <c r="K888" s="13"/>
      <c r="M888" s="13"/>
    </row>
    <row r="889" spans="2:13" ht="12.75" customHeight="1" x14ac:dyDescent="0.25">
      <c r="B889" s="13"/>
      <c r="D889" s="13"/>
      <c r="E889" s="13"/>
      <c r="F889" s="14"/>
      <c r="G889" s="14"/>
      <c r="H889" s="13"/>
      <c r="I889" s="13"/>
      <c r="J889" s="14"/>
      <c r="K889" s="13"/>
      <c r="M889" s="13"/>
    </row>
    <row r="890" spans="2:13" ht="12.75" customHeight="1" x14ac:dyDescent="0.25">
      <c r="B890" s="13"/>
      <c r="D890" s="13"/>
      <c r="E890" s="13"/>
      <c r="F890" s="14"/>
      <c r="G890" s="14"/>
      <c r="H890" s="13"/>
      <c r="I890" s="13"/>
      <c r="J890" s="14"/>
      <c r="K890" s="13"/>
      <c r="M890" s="13"/>
    </row>
    <row r="891" spans="2:13" ht="12.75" customHeight="1" x14ac:dyDescent="0.25">
      <c r="B891" s="13"/>
      <c r="D891" s="13"/>
      <c r="E891" s="13"/>
      <c r="F891" s="14"/>
      <c r="G891" s="14"/>
      <c r="H891" s="13"/>
      <c r="I891" s="13"/>
      <c r="J891" s="14"/>
      <c r="K891" s="13"/>
      <c r="M891" s="13"/>
    </row>
    <row r="892" spans="2:13" ht="12.75" customHeight="1" x14ac:dyDescent="0.25">
      <c r="B892" s="13"/>
      <c r="D892" s="13"/>
      <c r="E892" s="13"/>
      <c r="F892" s="14"/>
      <c r="G892" s="14"/>
      <c r="H892" s="13"/>
      <c r="I892" s="13"/>
      <c r="J892" s="14"/>
      <c r="K892" s="13"/>
      <c r="M892" s="13"/>
    </row>
    <row r="893" spans="2:13" ht="12.75" customHeight="1" x14ac:dyDescent="0.25">
      <c r="B893" s="13"/>
      <c r="D893" s="13"/>
      <c r="E893" s="13"/>
      <c r="F893" s="14"/>
      <c r="G893" s="14"/>
      <c r="H893" s="13"/>
      <c r="I893" s="13"/>
      <c r="J893" s="14"/>
      <c r="K893" s="13"/>
      <c r="M893" s="13"/>
    </row>
    <row r="894" spans="2:13" ht="12.75" customHeight="1" x14ac:dyDescent="0.25">
      <c r="B894" s="13"/>
      <c r="D894" s="13"/>
      <c r="E894" s="13"/>
      <c r="F894" s="14"/>
      <c r="G894" s="14"/>
      <c r="H894" s="13"/>
      <c r="I894" s="13"/>
      <c r="J894" s="14"/>
      <c r="K894" s="13"/>
      <c r="M894" s="13"/>
    </row>
    <row r="895" spans="2:13" ht="12.75" customHeight="1" x14ac:dyDescent="0.25">
      <c r="B895" s="13"/>
      <c r="D895" s="13"/>
      <c r="E895" s="13"/>
      <c r="F895" s="14"/>
      <c r="G895" s="14"/>
      <c r="H895" s="13"/>
      <c r="I895" s="13"/>
      <c r="J895" s="14"/>
      <c r="K895" s="13"/>
      <c r="M895" s="13"/>
    </row>
    <row r="896" spans="2:13" ht="12.75" customHeight="1" x14ac:dyDescent="0.25">
      <c r="B896" s="13"/>
      <c r="D896" s="13"/>
      <c r="E896" s="13"/>
      <c r="F896" s="14"/>
      <c r="G896" s="14"/>
      <c r="H896" s="13"/>
      <c r="I896" s="13"/>
      <c r="J896" s="14"/>
      <c r="K896" s="13"/>
      <c r="M896" s="13"/>
    </row>
    <row r="897" spans="2:13" ht="12.75" customHeight="1" x14ac:dyDescent="0.25">
      <c r="B897" s="13"/>
      <c r="D897" s="13"/>
      <c r="E897" s="13"/>
      <c r="F897" s="14"/>
      <c r="G897" s="14"/>
      <c r="H897" s="13"/>
      <c r="I897" s="13"/>
      <c r="J897" s="14"/>
      <c r="K897" s="13"/>
      <c r="M897" s="13"/>
    </row>
    <row r="898" spans="2:13" ht="12.75" customHeight="1" x14ac:dyDescent="0.25">
      <c r="B898" s="13"/>
      <c r="D898" s="13"/>
      <c r="E898" s="13"/>
      <c r="F898" s="14"/>
      <c r="G898" s="14"/>
      <c r="H898" s="13"/>
      <c r="I898" s="13"/>
      <c r="J898" s="14"/>
      <c r="K898" s="13"/>
      <c r="M898" s="13"/>
    </row>
    <row r="899" spans="2:13" ht="12.75" customHeight="1" x14ac:dyDescent="0.25">
      <c r="B899" s="13"/>
      <c r="D899" s="13"/>
      <c r="E899" s="13"/>
      <c r="F899" s="14"/>
      <c r="G899" s="14"/>
      <c r="H899" s="13"/>
      <c r="I899" s="13"/>
      <c r="J899" s="14"/>
      <c r="K899" s="13"/>
      <c r="M899" s="13"/>
    </row>
    <row r="900" spans="2:13" ht="12.75" customHeight="1" x14ac:dyDescent="0.25">
      <c r="B900" s="13"/>
      <c r="D900" s="13"/>
      <c r="E900" s="13"/>
      <c r="F900" s="14"/>
      <c r="G900" s="14"/>
      <c r="H900" s="13"/>
      <c r="I900" s="13"/>
      <c r="J900" s="14"/>
      <c r="K900" s="13"/>
      <c r="M900" s="13"/>
    </row>
    <row r="901" spans="2:13" ht="12.75" customHeight="1" x14ac:dyDescent="0.25">
      <c r="B901" s="13"/>
      <c r="D901" s="13"/>
      <c r="E901" s="13"/>
      <c r="F901" s="14"/>
      <c r="G901" s="14"/>
      <c r="H901" s="13"/>
      <c r="I901" s="13"/>
      <c r="J901" s="14"/>
      <c r="K901" s="13"/>
      <c r="M901" s="13"/>
    </row>
    <row r="902" spans="2:13" ht="12.75" customHeight="1" x14ac:dyDescent="0.25">
      <c r="B902" s="13"/>
      <c r="D902" s="13"/>
      <c r="E902" s="13"/>
      <c r="F902" s="14"/>
      <c r="G902" s="14"/>
      <c r="H902" s="13"/>
      <c r="I902" s="13"/>
      <c r="J902" s="14"/>
      <c r="K902" s="13"/>
      <c r="M902" s="13"/>
    </row>
    <row r="903" spans="2:13" ht="12.75" customHeight="1" x14ac:dyDescent="0.25">
      <c r="B903" s="13"/>
      <c r="D903" s="13"/>
      <c r="E903" s="13"/>
      <c r="F903" s="14"/>
      <c r="G903" s="14"/>
      <c r="H903" s="13"/>
      <c r="I903" s="13"/>
      <c r="J903" s="14"/>
      <c r="K903" s="13"/>
      <c r="M903" s="13"/>
    </row>
    <row r="904" spans="2:13" ht="12.75" customHeight="1" x14ac:dyDescent="0.25">
      <c r="B904" s="13"/>
      <c r="D904" s="13"/>
      <c r="E904" s="13"/>
      <c r="F904" s="14"/>
      <c r="G904" s="14"/>
      <c r="H904" s="13"/>
      <c r="I904" s="13"/>
      <c r="J904" s="14"/>
      <c r="K904" s="13"/>
      <c r="M904" s="13"/>
    </row>
    <row r="905" spans="2:13" ht="12.75" customHeight="1" x14ac:dyDescent="0.25">
      <c r="B905" s="13"/>
      <c r="D905" s="13"/>
      <c r="E905" s="13"/>
      <c r="F905" s="14"/>
      <c r="G905" s="14"/>
      <c r="H905" s="13"/>
      <c r="I905" s="13"/>
      <c r="J905" s="14"/>
      <c r="K905" s="13"/>
      <c r="M905" s="13"/>
    </row>
    <row r="906" spans="2:13" ht="12.75" customHeight="1" x14ac:dyDescent="0.25">
      <c r="B906" s="13"/>
      <c r="D906" s="13"/>
      <c r="E906" s="13"/>
      <c r="F906" s="14"/>
      <c r="G906" s="14"/>
      <c r="H906" s="13"/>
      <c r="I906" s="13"/>
      <c r="J906" s="14"/>
      <c r="K906" s="13"/>
      <c r="M906" s="13"/>
    </row>
    <row r="907" spans="2:13" ht="12.75" customHeight="1" x14ac:dyDescent="0.25">
      <c r="B907" s="13"/>
      <c r="D907" s="13"/>
      <c r="E907" s="13"/>
      <c r="F907" s="14"/>
      <c r="G907" s="14"/>
      <c r="H907" s="13"/>
      <c r="I907" s="13"/>
      <c r="J907" s="14"/>
      <c r="K907" s="13"/>
      <c r="M907" s="13"/>
    </row>
    <row r="908" spans="2:13" ht="12.75" customHeight="1" x14ac:dyDescent="0.25">
      <c r="B908" s="13"/>
      <c r="D908" s="13"/>
      <c r="E908" s="13"/>
      <c r="F908" s="14"/>
      <c r="G908" s="14"/>
      <c r="H908" s="13"/>
      <c r="I908" s="13"/>
      <c r="J908" s="14"/>
      <c r="K908" s="13"/>
      <c r="M908" s="13"/>
    </row>
    <row r="909" spans="2:13" ht="12.75" customHeight="1" x14ac:dyDescent="0.25">
      <c r="B909" s="13"/>
      <c r="D909" s="13"/>
      <c r="E909" s="13"/>
      <c r="F909" s="14"/>
      <c r="G909" s="14"/>
      <c r="H909" s="13"/>
      <c r="I909" s="13"/>
      <c r="J909" s="14"/>
      <c r="K909" s="13"/>
      <c r="M909" s="13"/>
    </row>
    <row r="910" spans="2:13" ht="12.75" customHeight="1" x14ac:dyDescent="0.25">
      <c r="B910" s="13"/>
      <c r="D910" s="13"/>
      <c r="E910" s="13"/>
      <c r="F910" s="14"/>
      <c r="G910" s="14"/>
      <c r="H910" s="13"/>
      <c r="I910" s="13"/>
      <c r="J910" s="14"/>
      <c r="K910" s="13"/>
      <c r="M910" s="13"/>
    </row>
    <row r="911" spans="2:13" ht="12.75" customHeight="1" x14ac:dyDescent="0.25">
      <c r="B911" s="13"/>
      <c r="D911" s="13"/>
      <c r="E911" s="13"/>
      <c r="F911" s="14"/>
      <c r="G911" s="14"/>
      <c r="H911" s="13"/>
      <c r="I911" s="13"/>
      <c r="J911" s="14"/>
      <c r="K911" s="13"/>
      <c r="M911" s="13"/>
    </row>
    <row r="912" spans="2:13" ht="12.75" customHeight="1" x14ac:dyDescent="0.25">
      <c r="B912" s="13"/>
      <c r="D912" s="13"/>
      <c r="E912" s="13"/>
      <c r="F912" s="14"/>
      <c r="G912" s="14"/>
      <c r="H912" s="13"/>
      <c r="I912" s="13"/>
      <c r="J912" s="14"/>
      <c r="K912" s="13"/>
      <c r="M912" s="13"/>
    </row>
    <row r="913" spans="2:13" ht="12.75" customHeight="1" x14ac:dyDescent="0.25">
      <c r="B913" s="13"/>
      <c r="D913" s="13"/>
      <c r="E913" s="13"/>
      <c r="F913" s="14"/>
      <c r="G913" s="14"/>
      <c r="H913" s="13"/>
      <c r="I913" s="13"/>
      <c r="J913" s="14"/>
      <c r="K913" s="13"/>
      <c r="M913" s="13"/>
    </row>
    <row r="914" spans="2:13" ht="12.75" customHeight="1" x14ac:dyDescent="0.25">
      <c r="B914" s="13"/>
      <c r="D914" s="13"/>
      <c r="E914" s="13"/>
      <c r="F914" s="14"/>
      <c r="G914" s="14"/>
      <c r="H914" s="13"/>
      <c r="I914" s="13"/>
      <c r="J914" s="14"/>
      <c r="K914" s="13"/>
      <c r="M914" s="13"/>
    </row>
    <row r="915" spans="2:13" ht="12.75" customHeight="1" x14ac:dyDescent="0.25">
      <c r="B915" s="13"/>
      <c r="D915" s="13"/>
      <c r="E915" s="13"/>
      <c r="F915" s="14"/>
      <c r="G915" s="14"/>
      <c r="H915" s="13"/>
      <c r="I915" s="13"/>
      <c r="J915" s="14"/>
      <c r="K915" s="13"/>
      <c r="M915" s="13"/>
    </row>
    <row r="916" spans="2:13" ht="12.75" customHeight="1" x14ac:dyDescent="0.25">
      <c r="B916" s="13"/>
      <c r="D916" s="13"/>
      <c r="E916" s="13"/>
      <c r="F916" s="14"/>
      <c r="G916" s="14"/>
      <c r="H916" s="13"/>
      <c r="I916" s="13"/>
      <c r="J916" s="14"/>
      <c r="K916" s="13"/>
      <c r="M916" s="13"/>
    </row>
    <row r="917" spans="2:13" ht="12.75" customHeight="1" x14ac:dyDescent="0.25">
      <c r="B917" s="13"/>
      <c r="D917" s="13"/>
      <c r="E917" s="13"/>
      <c r="F917" s="14"/>
      <c r="G917" s="14"/>
      <c r="H917" s="13"/>
      <c r="I917" s="13"/>
      <c r="J917" s="14"/>
      <c r="K917" s="13"/>
      <c r="M917" s="13"/>
    </row>
    <row r="918" spans="2:13" ht="12.75" customHeight="1" x14ac:dyDescent="0.25">
      <c r="B918" s="13"/>
      <c r="D918" s="13"/>
      <c r="E918" s="13"/>
      <c r="F918" s="14"/>
      <c r="G918" s="14"/>
      <c r="H918" s="13"/>
      <c r="I918" s="13"/>
      <c r="J918" s="14"/>
      <c r="K918" s="13"/>
      <c r="M918" s="13"/>
    </row>
    <row r="919" spans="2:13" ht="12.75" customHeight="1" x14ac:dyDescent="0.25">
      <c r="B919" s="13"/>
      <c r="D919" s="13"/>
      <c r="E919" s="13"/>
      <c r="F919" s="14"/>
      <c r="G919" s="14"/>
      <c r="H919" s="13"/>
      <c r="I919" s="13"/>
      <c r="J919" s="14"/>
      <c r="K919" s="13"/>
      <c r="M919" s="13"/>
    </row>
    <row r="920" spans="2:13" ht="12.75" customHeight="1" x14ac:dyDescent="0.25">
      <c r="B920" s="13"/>
      <c r="D920" s="13"/>
      <c r="E920" s="13"/>
      <c r="F920" s="14"/>
      <c r="G920" s="14"/>
      <c r="H920" s="13"/>
      <c r="I920" s="13"/>
      <c r="J920" s="14"/>
      <c r="K920" s="13"/>
      <c r="M920" s="13"/>
    </row>
    <row r="921" spans="2:13" ht="12.75" customHeight="1" x14ac:dyDescent="0.25">
      <c r="B921" s="13"/>
      <c r="D921" s="13"/>
      <c r="E921" s="13"/>
      <c r="F921" s="14"/>
      <c r="G921" s="14"/>
      <c r="H921" s="13"/>
      <c r="I921" s="13"/>
      <c r="J921" s="14"/>
      <c r="K921" s="13"/>
      <c r="M921" s="13"/>
    </row>
    <row r="922" spans="2:13" ht="12.75" customHeight="1" x14ac:dyDescent="0.25">
      <c r="B922" s="13"/>
      <c r="D922" s="13"/>
      <c r="E922" s="13"/>
      <c r="F922" s="14"/>
      <c r="G922" s="14"/>
      <c r="H922" s="13"/>
      <c r="I922" s="13"/>
      <c r="J922" s="14"/>
      <c r="K922" s="13"/>
      <c r="M922" s="13"/>
    </row>
    <row r="923" spans="2:13" ht="12.75" customHeight="1" x14ac:dyDescent="0.25">
      <c r="B923" s="13"/>
      <c r="D923" s="13"/>
      <c r="E923" s="13"/>
      <c r="F923" s="14"/>
      <c r="G923" s="14"/>
      <c r="H923" s="13"/>
      <c r="I923" s="13"/>
      <c r="J923" s="14"/>
      <c r="K923" s="13"/>
      <c r="M923" s="13"/>
    </row>
    <row r="924" spans="2:13" ht="12.75" customHeight="1" x14ac:dyDescent="0.25">
      <c r="B924" s="13"/>
      <c r="D924" s="13"/>
      <c r="E924" s="13"/>
      <c r="F924" s="14"/>
      <c r="G924" s="14"/>
      <c r="H924" s="13"/>
      <c r="I924" s="13"/>
      <c r="J924" s="14"/>
      <c r="K924" s="13"/>
      <c r="M924" s="13"/>
    </row>
    <row r="925" spans="2:13" ht="12.75" customHeight="1" x14ac:dyDescent="0.25">
      <c r="B925" s="13"/>
      <c r="D925" s="13"/>
      <c r="E925" s="13"/>
      <c r="F925" s="14"/>
      <c r="G925" s="14"/>
      <c r="H925" s="13"/>
      <c r="I925" s="13"/>
      <c r="J925" s="14"/>
      <c r="K925" s="13"/>
      <c r="M925" s="13"/>
    </row>
    <row r="926" spans="2:13" ht="12.75" customHeight="1" x14ac:dyDescent="0.25">
      <c r="B926" s="13"/>
      <c r="D926" s="13"/>
      <c r="E926" s="13"/>
      <c r="F926" s="14"/>
      <c r="G926" s="14"/>
      <c r="H926" s="13"/>
      <c r="I926" s="13"/>
      <c r="J926" s="14"/>
      <c r="K926" s="13"/>
      <c r="M926" s="13"/>
    </row>
    <row r="927" spans="2:13" ht="12.75" customHeight="1" x14ac:dyDescent="0.25">
      <c r="B927" s="13"/>
      <c r="D927" s="13"/>
      <c r="E927" s="13"/>
      <c r="F927" s="14"/>
      <c r="G927" s="14"/>
      <c r="H927" s="13"/>
      <c r="I927" s="13"/>
      <c r="J927" s="14"/>
      <c r="K927" s="13"/>
      <c r="M927" s="13"/>
    </row>
    <row r="928" spans="2:13" ht="12.75" customHeight="1" x14ac:dyDescent="0.25">
      <c r="B928" s="13"/>
      <c r="D928" s="13"/>
      <c r="E928" s="13"/>
      <c r="F928" s="14"/>
      <c r="G928" s="14"/>
      <c r="H928" s="13"/>
      <c r="I928" s="13"/>
      <c r="J928" s="14"/>
      <c r="K928" s="13"/>
      <c r="M928" s="13"/>
    </row>
    <row r="929" spans="2:13" ht="12.75" customHeight="1" x14ac:dyDescent="0.25">
      <c r="B929" s="13"/>
      <c r="D929" s="13"/>
      <c r="E929" s="13"/>
      <c r="F929" s="14"/>
      <c r="G929" s="14"/>
      <c r="H929" s="13"/>
      <c r="I929" s="13"/>
      <c r="J929" s="14"/>
      <c r="K929" s="13"/>
      <c r="M929" s="13"/>
    </row>
    <row r="930" spans="2:13" ht="12.75" customHeight="1" x14ac:dyDescent="0.25">
      <c r="B930" s="13"/>
      <c r="D930" s="13"/>
      <c r="E930" s="13"/>
      <c r="F930" s="14"/>
      <c r="G930" s="14"/>
      <c r="H930" s="13"/>
      <c r="I930" s="13"/>
      <c r="J930" s="14"/>
      <c r="K930" s="13"/>
      <c r="M930" s="13"/>
    </row>
    <row r="931" spans="2:13" ht="12.75" customHeight="1" x14ac:dyDescent="0.25">
      <c r="B931" s="13"/>
      <c r="D931" s="13"/>
      <c r="E931" s="13"/>
      <c r="F931" s="14"/>
      <c r="G931" s="14"/>
      <c r="H931" s="13"/>
      <c r="I931" s="13"/>
      <c r="J931" s="14"/>
      <c r="K931" s="13"/>
      <c r="M931" s="13"/>
    </row>
    <row r="932" spans="2:13" ht="12.75" customHeight="1" x14ac:dyDescent="0.25">
      <c r="B932" s="13"/>
      <c r="D932" s="13"/>
      <c r="E932" s="13"/>
      <c r="F932" s="14"/>
      <c r="G932" s="14"/>
      <c r="H932" s="13"/>
      <c r="I932" s="13"/>
      <c r="J932" s="14"/>
      <c r="K932" s="13"/>
      <c r="M932" s="13"/>
    </row>
    <row r="933" spans="2:13" ht="12.75" customHeight="1" x14ac:dyDescent="0.25">
      <c r="B933" s="13"/>
      <c r="D933" s="13"/>
      <c r="E933" s="13"/>
      <c r="F933" s="14"/>
      <c r="G933" s="14"/>
      <c r="H933" s="13"/>
      <c r="I933" s="13"/>
      <c r="J933" s="14"/>
      <c r="K933" s="13"/>
      <c r="M933" s="13"/>
    </row>
    <row r="934" spans="2:13" ht="12.75" customHeight="1" x14ac:dyDescent="0.25">
      <c r="B934" s="13"/>
      <c r="D934" s="13"/>
      <c r="E934" s="13"/>
      <c r="F934" s="14"/>
      <c r="G934" s="14"/>
      <c r="H934" s="13"/>
      <c r="I934" s="13"/>
      <c r="J934" s="14"/>
      <c r="K934" s="13"/>
      <c r="M934" s="13"/>
    </row>
    <row r="935" spans="2:13" ht="12.75" customHeight="1" x14ac:dyDescent="0.25">
      <c r="B935" s="13"/>
      <c r="D935" s="13"/>
      <c r="E935" s="13"/>
      <c r="F935" s="14"/>
      <c r="G935" s="14"/>
      <c r="H935" s="13"/>
      <c r="I935" s="13"/>
      <c r="J935" s="14"/>
      <c r="K935" s="13"/>
      <c r="M935" s="13"/>
    </row>
    <row r="936" spans="2:13" ht="12.75" customHeight="1" x14ac:dyDescent="0.25">
      <c r="B936" s="13"/>
      <c r="D936" s="13"/>
      <c r="E936" s="13"/>
      <c r="F936" s="14"/>
      <c r="G936" s="14"/>
      <c r="H936" s="13"/>
      <c r="I936" s="13"/>
      <c r="J936" s="14"/>
      <c r="K936" s="13"/>
      <c r="M936" s="13"/>
    </row>
    <row r="937" spans="2:13" ht="12.75" customHeight="1" x14ac:dyDescent="0.25">
      <c r="B937" s="13"/>
      <c r="D937" s="13"/>
      <c r="E937" s="13"/>
      <c r="F937" s="14"/>
      <c r="G937" s="14"/>
      <c r="H937" s="13"/>
      <c r="I937" s="13"/>
      <c r="J937" s="14"/>
      <c r="K937" s="13"/>
      <c r="M937" s="13"/>
    </row>
    <row r="938" spans="2:13" ht="12.75" customHeight="1" x14ac:dyDescent="0.25">
      <c r="B938" s="13"/>
      <c r="D938" s="13"/>
      <c r="E938" s="13"/>
      <c r="F938" s="14"/>
      <c r="G938" s="14"/>
      <c r="H938" s="13"/>
      <c r="I938" s="13"/>
      <c r="J938" s="14"/>
      <c r="K938" s="13"/>
      <c r="M938" s="13"/>
    </row>
    <row r="939" spans="2:13" ht="12.75" customHeight="1" x14ac:dyDescent="0.25">
      <c r="B939" s="13"/>
      <c r="D939" s="13"/>
      <c r="E939" s="13"/>
      <c r="F939" s="14"/>
      <c r="G939" s="14"/>
      <c r="H939" s="13"/>
      <c r="I939" s="13"/>
      <c r="J939" s="14"/>
      <c r="K939" s="13"/>
      <c r="M939" s="13"/>
    </row>
    <row r="940" spans="2:13" ht="12.75" customHeight="1" x14ac:dyDescent="0.25">
      <c r="B940" s="13"/>
      <c r="D940" s="13"/>
      <c r="E940" s="13"/>
      <c r="F940" s="14"/>
      <c r="G940" s="14"/>
      <c r="H940" s="13"/>
      <c r="I940" s="13"/>
      <c r="J940" s="14"/>
      <c r="K940" s="13"/>
      <c r="M940" s="13"/>
    </row>
    <row r="941" spans="2:13" ht="12.75" customHeight="1" x14ac:dyDescent="0.25">
      <c r="B941" s="13"/>
      <c r="D941" s="13"/>
      <c r="E941" s="13"/>
      <c r="F941" s="14"/>
      <c r="G941" s="14"/>
      <c r="H941" s="13"/>
      <c r="I941" s="13"/>
      <c r="J941" s="14"/>
      <c r="K941" s="13"/>
      <c r="M941" s="13"/>
    </row>
    <row r="942" spans="2:13" ht="12.75" customHeight="1" x14ac:dyDescent="0.25">
      <c r="B942" s="13"/>
      <c r="D942" s="13"/>
      <c r="E942" s="13"/>
      <c r="F942" s="14"/>
      <c r="G942" s="14"/>
      <c r="H942" s="13"/>
      <c r="I942" s="13"/>
      <c r="J942" s="14"/>
      <c r="K942" s="13"/>
      <c r="M942" s="13"/>
    </row>
    <row r="943" spans="2:13" ht="12.75" customHeight="1" x14ac:dyDescent="0.25">
      <c r="B943" s="13"/>
      <c r="D943" s="13"/>
      <c r="E943" s="13"/>
      <c r="F943" s="14"/>
      <c r="G943" s="14"/>
      <c r="H943" s="13"/>
      <c r="I943" s="13"/>
      <c r="J943" s="14"/>
      <c r="K943" s="13"/>
      <c r="M943" s="13"/>
    </row>
    <row r="944" spans="2:13" ht="12.75" customHeight="1" x14ac:dyDescent="0.25">
      <c r="B944" s="13"/>
      <c r="D944" s="13"/>
      <c r="E944" s="13"/>
      <c r="F944" s="14"/>
      <c r="G944" s="14"/>
      <c r="H944" s="13"/>
      <c r="I944" s="13"/>
      <c r="J944" s="14"/>
      <c r="K944" s="13"/>
      <c r="M944" s="13"/>
    </row>
    <row r="945" spans="2:13" ht="12.75" customHeight="1" x14ac:dyDescent="0.25">
      <c r="B945" s="13"/>
      <c r="D945" s="13"/>
      <c r="E945" s="13"/>
      <c r="F945" s="14"/>
      <c r="G945" s="14"/>
      <c r="H945" s="13"/>
      <c r="I945" s="13"/>
      <c r="J945" s="14"/>
      <c r="K945" s="13"/>
      <c r="M945" s="13"/>
    </row>
    <row r="946" spans="2:13" ht="12.75" customHeight="1" x14ac:dyDescent="0.25">
      <c r="B946" s="13"/>
      <c r="D946" s="13"/>
      <c r="E946" s="13"/>
      <c r="F946" s="14"/>
      <c r="G946" s="14"/>
      <c r="H946" s="13"/>
      <c r="I946" s="13"/>
      <c r="J946" s="14"/>
      <c r="K946" s="13"/>
      <c r="M946" s="13"/>
    </row>
    <row r="947" spans="2:13" ht="12.75" customHeight="1" x14ac:dyDescent="0.25">
      <c r="B947" s="13"/>
      <c r="D947" s="13"/>
      <c r="E947" s="13"/>
      <c r="F947" s="14"/>
      <c r="G947" s="14"/>
      <c r="H947" s="13"/>
      <c r="I947" s="13"/>
      <c r="J947" s="14"/>
      <c r="K947" s="13"/>
      <c r="M947" s="13"/>
    </row>
    <row r="948" spans="2:13" ht="12.75" customHeight="1" x14ac:dyDescent="0.25">
      <c r="B948" s="13"/>
      <c r="D948" s="13"/>
      <c r="E948" s="13"/>
      <c r="F948" s="14"/>
      <c r="G948" s="14"/>
      <c r="H948" s="13"/>
      <c r="I948" s="13"/>
      <c r="J948" s="14"/>
      <c r="K948" s="13"/>
      <c r="M948" s="13"/>
    </row>
    <row r="949" spans="2:13" ht="12.75" customHeight="1" x14ac:dyDescent="0.25">
      <c r="B949" s="13"/>
      <c r="D949" s="13"/>
      <c r="E949" s="13"/>
      <c r="F949" s="14"/>
      <c r="G949" s="14"/>
      <c r="H949" s="13"/>
      <c r="I949" s="13"/>
      <c r="J949" s="14"/>
      <c r="K949" s="13"/>
      <c r="M949" s="13"/>
    </row>
    <row r="950" spans="2:13" ht="12.75" customHeight="1" x14ac:dyDescent="0.25">
      <c r="B950" s="13"/>
      <c r="D950" s="13"/>
      <c r="E950" s="13"/>
      <c r="F950" s="14"/>
      <c r="G950" s="14"/>
      <c r="H950" s="13"/>
      <c r="I950" s="13"/>
      <c r="J950" s="14"/>
      <c r="K950" s="13"/>
      <c r="M950" s="13"/>
    </row>
    <row r="951" spans="2:13" ht="12.75" customHeight="1" x14ac:dyDescent="0.25">
      <c r="B951" s="13"/>
      <c r="D951" s="13"/>
      <c r="E951" s="13"/>
      <c r="F951" s="14"/>
      <c r="G951" s="14"/>
      <c r="H951" s="13"/>
      <c r="I951" s="13"/>
      <c r="J951" s="14"/>
      <c r="K951" s="13"/>
      <c r="M951" s="13"/>
    </row>
    <row r="952" spans="2:13" ht="12.75" customHeight="1" x14ac:dyDescent="0.25">
      <c r="B952" s="13"/>
      <c r="D952" s="13"/>
      <c r="E952" s="13"/>
      <c r="F952" s="14"/>
      <c r="G952" s="14"/>
      <c r="H952" s="13"/>
      <c r="I952" s="13"/>
      <c r="J952" s="14"/>
      <c r="K952" s="13"/>
      <c r="M952" s="13"/>
    </row>
    <row r="953" spans="2:13" ht="12.75" customHeight="1" x14ac:dyDescent="0.25">
      <c r="B953" s="13"/>
      <c r="D953" s="13"/>
      <c r="E953" s="13"/>
      <c r="F953" s="14"/>
      <c r="G953" s="14"/>
      <c r="H953" s="13"/>
      <c r="I953" s="13"/>
      <c r="J953" s="14"/>
      <c r="K953" s="13"/>
      <c r="M953" s="13"/>
    </row>
    <row r="954" spans="2:13" ht="12.75" customHeight="1" x14ac:dyDescent="0.25">
      <c r="B954" s="13"/>
      <c r="D954" s="13"/>
      <c r="E954" s="13"/>
      <c r="F954" s="14"/>
      <c r="G954" s="14"/>
      <c r="H954" s="13"/>
      <c r="I954" s="13"/>
      <c r="J954" s="14"/>
      <c r="K954" s="13"/>
      <c r="M954" s="13"/>
    </row>
    <row r="955" spans="2:13" ht="12.75" customHeight="1" x14ac:dyDescent="0.25">
      <c r="B955" s="13"/>
      <c r="D955" s="13"/>
      <c r="E955" s="13"/>
      <c r="F955" s="14"/>
      <c r="G955" s="14"/>
      <c r="H955" s="13"/>
      <c r="I955" s="13"/>
      <c r="J955" s="14"/>
      <c r="K955" s="13"/>
      <c r="M955" s="13"/>
    </row>
    <row r="956" spans="2:13" ht="12.75" customHeight="1" x14ac:dyDescent="0.25">
      <c r="B956" s="13"/>
      <c r="D956" s="13"/>
      <c r="E956" s="13"/>
      <c r="F956" s="14"/>
      <c r="G956" s="14"/>
      <c r="H956" s="13"/>
      <c r="I956" s="13"/>
      <c r="J956" s="14"/>
      <c r="K956" s="13"/>
      <c r="M956" s="13"/>
    </row>
    <row r="957" spans="2:13" ht="12.75" customHeight="1" x14ac:dyDescent="0.25">
      <c r="B957" s="13"/>
      <c r="D957" s="13"/>
      <c r="E957" s="13"/>
      <c r="F957" s="14"/>
      <c r="G957" s="14"/>
      <c r="H957" s="13"/>
      <c r="I957" s="13"/>
      <c r="J957" s="14"/>
      <c r="K957" s="13"/>
      <c r="M957" s="13"/>
    </row>
    <row r="958" spans="2:13" ht="12.75" customHeight="1" x14ac:dyDescent="0.25">
      <c r="B958" s="13"/>
      <c r="D958" s="13"/>
      <c r="E958" s="13"/>
      <c r="F958" s="14"/>
      <c r="G958" s="14"/>
      <c r="H958" s="13"/>
      <c r="I958" s="13"/>
      <c r="J958" s="14"/>
      <c r="K958" s="13"/>
      <c r="M958" s="13"/>
    </row>
    <row r="959" spans="2:13" ht="12.75" customHeight="1" x14ac:dyDescent="0.25">
      <c r="B959" s="13"/>
      <c r="D959" s="13"/>
      <c r="E959" s="13"/>
      <c r="F959" s="14"/>
      <c r="G959" s="14"/>
      <c r="H959" s="13"/>
      <c r="I959" s="13"/>
      <c r="J959" s="14"/>
      <c r="K959" s="13"/>
      <c r="M959" s="13"/>
    </row>
    <row r="960" spans="2:13" ht="12.75" customHeight="1" x14ac:dyDescent="0.25">
      <c r="B960" s="13"/>
      <c r="D960" s="13"/>
      <c r="E960" s="13"/>
      <c r="F960" s="14"/>
      <c r="G960" s="14"/>
      <c r="H960" s="13"/>
      <c r="I960" s="13"/>
      <c r="J960" s="14"/>
      <c r="K960" s="13"/>
      <c r="M960" s="13"/>
    </row>
    <row r="961" spans="2:13" ht="12.75" customHeight="1" x14ac:dyDescent="0.25">
      <c r="B961" s="13"/>
      <c r="D961" s="13"/>
      <c r="E961" s="13"/>
      <c r="F961" s="14"/>
      <c r="G961" s="14"/>
      <c r="H961" s="13"/>
      <c r="I961" s="13"/>
      <c r="J961" s="14"/>
      <c r="K961" s="13"/>
      <c r="M961" s="13"/>
    </row>
    <row r="962" spans="2:13" ht="12.75" customHeight="1" x14ac:dyDescent="0.25">
      <c r="B962" s="13"/>
      <c r="D962" s="13"/>
      <c r="E962" s="13"/>
      <c r="F962" s="14"/>
      <c r="G962" s="14"/>
      <c r="H962" s="13"/>
      <c r="I962" s="13"/>
      <c r="J962" s="14"/>
      <c r="K962" s="13"/>
      <c r="M962" s="13"/>
    </row>
    <row r="963" spans="2:13" ht="12.75" customHeight="1" x14ac:dyDescent="0.25">
      <c r="B963" s="13"/>
      <c r="D963" s="13"/>
      <c r="E963" s="13"/>
      <c r="F963" s="14"/>
      <c r="G963" s="14"/>
      <c r="H963" s="13"/>
      <c r="I963" s="13"/>
      <c r="J963" s="14"/>
      <c r="K963" s="13"/>
      <c r="M963" s="13"/>
    </row>
    <row r="964" spans="2:13" ht="12.75" customHeight="1" x14ac:dyDescent="0.25">
      <c r="B964" s="13"/>
      <c r="D964" s="13"/>
      <c r="E964" s="13"/>
      <c r="F964" s="14"/>
      <c r="G964" s="14"/>
      <c r="H964" s="13"/>
      <c r="I964" s="13"/>
      <c r="J964" s="14"/>
      <c r="K964" s="13"/>
      <c r="M964" s="13"/>
    </row>
    <row r="965" spans="2:13" ht="12.75" customHeight="1" x14ac:dyDescent="0.25">
      <c r="B965" s="13"/>
      <c r="D965" s="13"/>
      <c r="E965" s="13"/>
      <c r="F965" s="14"/>
      <c r="G965" s="14"/>
      <c r="H965" s="13"/>
      <c r="I965" s="13"/>
      <c r="J965" s="14"/>
      <c r="K965" s="13"/>
      <c r="M965" s="13"/>
    </row>
    <row r="966" spans="2:13" ht="12.75" customHeight="1" x14ac:dyDescent="0.25">
      <c r="B966" s="13"/>
      <c r="D966" s="13"/>
      <c r="E966" s="13"/>
      <c r="F966" s="14"/>
      <c r="G966" s="14"/>
      <c r="H966" s="13"/>
      <c r="I966" s="13"/>
      <c r="J966" s="14"/>
      <c r="K966" s="13"/>
      <c r="M966" s="13"/>
    </row>
    <row r="967" spans="2:13" ht="12.75" customHeight="1" x14ac:dyDescent="0.25">
      <c r="B967" s="13"/>
      <c r="D967" s="13"/>
      <c r="E967" s="13"/>
      <c r="F967" s="14"/>
      <c r="G967" s="14"/>
      <c r="H967" s="13"/>
      <c r="I967" s="13"/>
      <c r="J967" s="14"/>
      <c r="K967" s="13"/>
      <c r="M967" s="13"/>
    </row>
    <row r="968" spans="2:13" ht="12.75" customHeight="1" x14ac:dyDescent="0.25">
      <c r="B968" s="13"/>
      <c r="D968" s="13"/>
      <c r="E968" s="13"/>
      <c r="F968" s="14"/>
      <c r="G968" s="14"/>
      <c r="H968" s="13"/>
      <c r="I968" s="13"/>
      <c r="J968" s="14"/>
      <c r="K968" s="13"/>
      <c r="M968" s="13"/>
    </row>
    <row r="969" spans="2:13" ht="12.75" customHeight="1" x14ac:dyDescent="0.25">
      <c r="B969" s="13"/>
      <c r="D969" s="13"/>
      <c r="E969" s="13"/>
      <c r="F969" s="14"/>
      <c r="G969" s="14"/>
      <c r="H969" s="13"/>
      <c r="I969" s="13"/>
      <c r="J969" s="14"/>
      <c r="K969" s="13"/>
      <c r="M969" s="13"/>
    </row>
    <row r="970" spans="2:13" ht="12.75" customHeight="1" x14ac:dyDescent="0.25">
      <c r="B970" s="13"/>
      <c r="D970" s="13"/>
      <c r="E970" s="13"/>
      <c r="F970" s="14"/>
      <c r="G970" s="14"/>
      <c r="H970" s="13"/>
      <c r="I970" s="13"/>
      <c r="J970" s="14"/>
      <c r="K970" s="13"/>
      <c r="M970" s="13"/>
    </row>
    <row r="971" spans="2:13" ht="12.75" customHeight="1" x14ac:dyDescent="0.25">
      <c r="B971" s="13"/>
      <c r="D971" s="13"/>
      <c r="E971" s="13"/>
      <c r="F971" s="14"/>
      <c r="G971" s="14"/>
      <c r="H971" s="13"/>
      <c r="I971" s="13"/>
      <c r="J971" s="14"/>
      <c r="K971" s="13"/>
      <c r="M971" s="13"/>
    </row>
    <row r="972" spans="2:13" ht="12.75" customHeight="1" x14ac:dyDescent="0.25">
      <c r="B972" s="13"/>
      <c r="D972" s="13"/>
      <c r="E972" s="13"/>
      <c r="F972" s="14"/>
      <c r="G972" s="14"/>
      <c r="H972" s="13"/>
      <c r="I972" s="13"/>
      <c r="J972" s="14"/>
      <c r="K972" s="13"/>
      <c r="M972" s="13"/>
    </row>
    <row r="973" spans="2:13" ht="12.75" customHeight="1" x14ac:dyDescent="0.25">
      <c r="B973" s="13"/>
      <c r="D973" s="13"/>
      <c r="E973" s="13"/>
      <c r="F973" s="14"/>
      <c r="G973" s="14"/>
      <c r="H973" s="13"/>
      <c r="I973" s="13"/>
      <c r="J973" s="14"/>
      <c r="K973" s="13"/>
      <c r="M973" s="13"/>
    </row>
    <row r="974" spans="2:13" ht="12.75" customHeight="1" x14ac:dyDescent="0.25">
      <c r="B974" s="13"/>
      <c r="D974" s="13"/>
      <c r="E974" s="13"/>
      <c r="F974" s="14"/>
      <c r="G974" s="14"/>
      <c r="H974" s="13"/>
      <c r="I974" s="13"/>
      <c r="J974" s="14"/>
      <c r="K974" s="13"/>
      <c r="M974" s="13"/>
    </row>
    <row r="975" spans="2:13" ht="12.75" customHeight="1" x14ac:dyDescent="0.25">
      <c r="B975" s="13"/>
      <c r="D975" s="13"/>
      <c r="E975" s="13"/>
      <c r="F975" s="14"/>
      <c r="G975" s="14"/>
      <c r="H975" s="13"/>
      <c r="I975" s="13"/>
      <c r="J975" s="14"/>
      <c r="K975" s="13"/>
      <c r="M975" s="13"/>
    </row>
    <row r="976" spans="2:13" ht="12.75" customHeight="1" x14ac:dyDescent="0.25">
      <c r="B976" s="13"/>
      <c r="D976" s="13"/>
      <c r="E976" s="13"/>
      <c r="F976" s="14"/>
      <c r="G976" s="14"/>
      <c r="H976" s="13"/>
      <c r="I976" s="13"/>
      <c r="J976" s="14"/>
      <c r="K976" s="13"/>
      <c r="M976" s="13"/>
    </row>
    <row r="977" spans="2:13" ht="12.75" customHeight="1" x14ac:dyDescent="0.25">
      <c r="B977" s="13"/>
      <c r="D977" s="13"/>
      <c r="E977" s="13"/>
      <c r="F977" s="14"/>
      <c r="G977" s="14"/>
      <c r="H977" s="13"/>
      <c r="I977" s="13"/>
      <c r="J977" s="14"/>
      <c r="K977" s="13"/>
      <c r="M977" s="13"/>
    </row>
    <row r="978" spans="2:13" ht="12.75" customHeight="1" x14ac:dyDescent="0.25">
      <c r="B978" s="13"/>
      <c r="D978" s="13"/>
      <c r="E978" s="13"/>
      <c r="F978" s="14"/>
      <c r="G978" s="14"/>
      <c r="H978" s="13"/>
      <c r="I978" s="13"/>
      <c r="J978" s="14"/>
      <c r="K978" s="13"/>
      <c r="M978" s="13"/>
    </row>
    <row r="979" spans="2:13" ht="12.75" customHeight="1" x14ac:dyDescent="0.25">
      <c r="B979" s="13"/>
      <c r="D979" s="13"/>
      <c r="E979" s="13"/>
      <c r="F979" s="14"/>
      <c r="G979" s="14"/>
      <c r="H979" s="13"/>
      <c r="I979" s="13"/>
      <c r="J979" s="14"/>
      <c r="K979" s="13"/>
      <c r="M979" s="13"/>
    </row>
    <row r="980" spans="2:13" ht="12.75" customHeight="1" x14ac:dyDescent="0.25">
      <c r="B980" s="13"/>
      <c r="D980" s="13"/>
      <c r="E980" s="13"/>
      <c r="F980" s="14"/>
      <c r="G980" s="14"/>
      <c r="H980" s="13"/>
      <c r="I980" s="13"/>
      <c r="J980" s="14"/>
      <c r="K980" s="13"/>
      <c r="M980" s="13"/>
    </row>
    <row r="981" spans="2:13" ht="12.75" customHeight="1" x14ac:dyDescent="0.25">
      <c r="B981" s="13"/>
      <c r="D981" s="13"/>
      <c r="E981" s="13"/>
      <c r="F981" s="14"/>
      <c r="G981" s="14"/>
      <c r="H981" s="13"/>
      <c r="I981" s="13"/>
      <c r="J981" s="14"/>
      <c r="K981" s="13"/>
      <c r="M981" s="13"/>
    </row>
    <row r="982" spans="2:13" ht="12.75" customHeight="1" x14ac:dyDescent="0.25">
      <c r="B982" s="13"/>
      <c r="D982" s="13"/>
      <c r="E982" s="13"/>
      <c r="F982" s="14"/>
      <c r="G982" s="14"/>
      <c r="H982" s="13"/>
      <c r="I982" s="13"/>
      <c r="J982" s="14"/>
      <c r="K982" s="13"/>
      <c r="M982" s="13"/>
    </row>
    <row r="983" spans="2:13" ht="12.75" customHeight="1" x14ac:dyDescent="0.25">
      <c r="B983" s="13"/>
      <c r="D983" s="13"/>
      <c r="E983" s="13"/>
      <c r="F983" s="14"/>
      <c r="G983" s="14"/>
      <c r="H983" s="13"/>
      <c r="I983" s="13"/>
      <c r="J983" s="14"/>
      <c r="K983" s="13"/>
      <c r="M983" s="13"/>
    </row>
    <row r="984" spans="2:13" ht="12.75" customHeight="1" x14ac:dyDescent="0.25">
      <c r="B984" s="13"/>
      <c r="D984" s="13"/>
      <c r="E984" s="13"/>
      <c r="F984" s="14"/>
      <c r="G984" s="14"/>
      <c r="H984" s="13"/>
      <c r="I984" s="13"/>
      <c r="J984" s="14"/>
      <c r="K984" s="13"/>
      <c r="M984" s="13"/>
    </row>
    <row r="985" spans="2:13" ht="12.75" customHeight="1" x14ac:dyDescent="0.25">
      <c r="B985" s="13"/>
      <c r="D985" s="13"/>
      <c r="E985" s="13"/>
      <c r="F985" s="14"/>
      <c r="G985" s="14"/>
      <c r="H985" s="13"/>
      <c r="I985" s="13"/>
      <c r="J985" s="14"/>
      <c r="K985" s="13"/>
      <c r="M985" s="13"/>
    </row>
    <row r="986" spans="2:13" ht="12.75" customHeight="1" x14ac:dyDescent="0.25">
      <c r="B986" s="13"/>
      <c r="D986" s="13"/>
      <c r="E986" s="13"/>
      <c r="F986" s="14"/>
      <c r="G986" s="14"/>
      <c r="H986" s="13"/>
      <c r="I986" s="13"/>
      <c r="J986" s="14"/>
      <c r="K986" s="13"/>
      <c r="M986" s="13"/>
    </row>
    <row r="987" spans="2:13" ht="12.75" customHeight="1" x14ac:dyDescent="0.25">
      <c r="B987" s="13"/>
      <c r="D987" s="13"/>
      <c r="E987" s="13"/>
      <c r="F987" s="14"/>
      <c r="G987" s="14"/>
      <c r="H987" s="13"/>
      <c r="I987" s="13"/>
      <c r="J987" s="14"/>
      <c r="K987" s="13"/>
      <c r="M987" s="13"/>
    </row>
    <row r="988" spans="2:13" ht="12.75" customHeight="1" x14ac:dyDescent="0.25">
      <c r="B988" s="13"/>
      <c r="D988" s="13"/>
      <c r="E988" s="13"/>
      <c r="F988" s="14"/>
      <c r="G988" s="14"/>
      <c r="H988" s="13"/>
      <c r="I988" s="13"/>
      <c r="J988" s="14"/>
      <c r="K988" s="13"/>
      <c r="M988" s="13"/>
    </row>
    <row r="989" spans="2:13" ht="12.75" customHeight="1" x14ac:dyDescent="0.25">
      <c r="B989" s="13"/>
      <c r="D989" s="13"/>
      <c r="E989" s="13"/>
      <c r="F989" s="14"/>
      <c r="G989" s="14"/>
      <c r="H989" s="13"/>
      <c r="I989" s="13"/>
      <c r="J989" s="14"/>
      <c r="K989" s="13"/>
      <c r="M989" s="13"/>
    </row>
    <row r="990" spans="2:13" ht="12.75" customHeight="1" x14ac:dyDescent="0.25">
      <c r="B990" s="13"/>
      <c r="D990" s="13"/>
      <c r="E990" s="13"/>
      <c r="F990" s="14"/>
      <c r="G990" s="14"/>
      <c r="H990" s="13"/>
      <c r="I990" s="13"/>
      <c r="J990" s="14"/>
      <c r="K990" s="13"/>
      <c r="M990" s="13"/>
    </row>
    <row r="991" spans="2:13" ht="12.75" customHeight="1" x14ac:dyDescent="0.25">
      <c r="B991" s="13"/>
      <c r="D991" s="13"/>
      <c r="E991" s="13"/>
      <c r="F991" s="14"/>
      <c r="G991" s="14"/>
      <c r="H991" s="13"/>
      <c r="I991" s="13"/>
      <c r="J991" s="14"/>
      <c r="K991" s="13"/>
      <c r="M991" s="13"/>
    </row>
    <row r="992" spans="2:13" ht="12.75" customHeight="1" x14ac:dyDescent="0.25">
      <c r="B992" s="13"/>
      <c r="D992" s="13"/>
      <c r="E992" s="13"/>
      <c r="F992" s="14"/>
      <c r="G992" s="14"/>
      <c r="H992" s="13"/>
      <c r="I992" s="13"/>
      <c r="J992" s="14"/>
      <c r="K992" s="13"/>
      <c r="M992" s="13"/>
    </row>
    <row r="993" spans="2:13" ht="12.75" customHeight="1" x14ac:dyDescent="0.25">
      <c r="B993" s="13"/>
      <c r="D993" s="13"/>
      <c r="E993" s="13"/>
      <c r="F993" s="14"/>
      <c r="G993" s="14"/>
      <c r="H993" s="13"/>
      <c r="I993" s="13"/>
      <c r="J993" s="14"/>
      <c r="K993" s="13"/>
      <c r="M993" s="13"/>
    </row>
    <row r="994" spans="2:13" ht="12.75" customHeight="1" x14ac:dyDescent="0.25">
      <c r="B994" s="13"/>
      <c r="D994" s="13"/>
      <c r="E994" s="13"/>
      <c r="F994" s="14"/>
      <c r="G994" s="14"/>
      <c r="H994" s="13"/>
      <c r="I994" s="13"/>
      <c r="J994" s="14"/>
      <c r="K994" s="13"/>
      <c r="M994" s="13"/>
    </row>
    <row r="995" spans="2:13" ht="12.75" customHeight="1" x14ac:dyDescent="0.25">
      <c r="B995" s="13"/>
      <c r="D995" s="13"/>
      <c r="E995" s="13"/>
      <c r="F995" s="14"/>
      <c r="G995" s="14"/>
      <c r="H995" s="13"/>
      <c r="I995" s="13"/>
      <c r="J995" s="14"/>
      <c r="K995" s="13"/>
      <c r="M995" s="13"/>
    </row>
  </sheetData>
  <pageMargins left="0.7" right="0.7" top="0.75" bottom="0.75" header="0.3" footer="0.3"/>
  <pageSetup orientation="portrait" horizontalDpi="4294967293" verticalDpi="4294967293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0"/>
  <sheetViews>
    <sheetView topLeftCell="A7" workbookViewId="0">
      <selection activeCell="C2" sqref="C2"/>
    </sheetView>
  </sheetViews>
  <sheetFormatPr defaultRowHeight="13.2" x14ac:dyDescent="0.25"/>
  <cols>
    <col min="1" max="1" width="18.33203125" customWidth="1"/>
  </cols>
  <sheetData>
    <row r="1" spans="1:2" x14ac:dyDescent="0.25">
      <c r="A1" s="250" t="s">
        <v>167</v>
      </c>
      <c r="B1" s="253">
        <v>1</v>
      </c>
    </row>
    <row r="2" spans="1:2" ht="41.25" customHeight="1" x14ac:dyDescent="0.25">
      <c r="A2" s="251" t="s">
        <v>170</v>
      </c>
      <c r="B2" s="341">
        <v>3</v>
      </c>
    </row>
    <row r="3" spans="1:2" ht="15.75" customHeight="1" x14ac:dyDescent="0.25">
      <c r="A3" s="267" t="s">
        <v>171</v>
      </c>
      <c r="B3" s="341">
        <v>1</v>
      </c>
    </row>
    <row r="4" spans="1:2" ht="17.25" customHeight="1" x14ac:dyDescent="0.25">
      <c r="A4" s="266" t="s">
        <v>176</v>
      </c>
      <c r="B4" s="292">
        <v>50</v>
      </c>
    </row>
    <row r="5" spans="1:2" x14ac:dyDescent="0.25">
      <c r="A5" s="336" t="s">
        <v>184</v>
      </c>
      <c r="B5" s="340">
        <v>50</v>
      </c>
    </row>
    <row r="6" spans="1:2" ht="13.5" customHeight="1" x14ac:dyDescent="0.25">
      <c r="A6" s="266" t="s">
        <v>165</v>
      </c>
      <c r="B6" s="338">
        <v>6</v>
      </c>
    </row>
    <row r="7" spans="1:2" x14ac:dyDescent="0.25">
      <c r="A7" s="336" t="s">
        <v>175</v>
      </c>
      <c r="B7" s="340">
        <v>1</v>
      </c>
    </row>
    <row r="8" spans="1:2" x14ac:dyDescent="0.25">
      <c r="A8" s="266" t="s">
        <v>178</v>
      </c>
      <c r="B8" s="277">
        <v>1</v>
      </c>
    </row>
    <row r="9" spans="1:2" ht="23.25" customHeight="1" x14ac:dyDescent="0.25">
      <c r="A9" s="266" t="s">
        <v>169</v>
      </c>
      <c r="B9" s="269">
        <v>1</v>
      </c>
    </row>
    <row r="10" spans="1:2" x14ac:dyDescent="0.25">
      <c r="A10" s="336" t="s">
        <v>214</v>
      </c>
      <c r="B10" s="339">
        <v>1</v>
      </c>
    </row>
    <row r="11" spans="1:2" x14ac:dyDescent="0.25">
      <c r="A11" s="271" t="s">
        <v>180</v>
      </c>
      <c r="B11" s="342">
        <v>1</v>
      </c>
    </row>
    <row r="12" spans="1:2" ht="13.5" customHeight="1" x14ac:dyDescent="0.25">
      <c r="A12" s="337" t="s">
        <v>189</v>
      </c>
      <c r="B12" s="258">
        <v>1</v>
      </c>
    </row>
    <row r="13" spans="1:2" ht="25.5" customHeight="1" x14ac:dyDescent="0.25">
      <c r="A13" s="266" t="s">
        <v>177</v>
      </c>
      <c r="B13" s="277">
        <v>2</v>
      </c>
    </row>
    <row r="14" spans="1:2" x14ac:dyDescent="0.25">
      <c r="A14" s="266" t="s">
        <v>217</v>
      </c>
      <c r="B14" s="277">
        <v>1</v>
      </c>
    </row>
    <row r="15" spans="1:2" ht="20.399999999999999" x14ac:dyDescent="0.25">
      <c r="A15" s="273" t="s">
        <v>166</v>
      </c>
      <c r="B15" s="272">
        <v>1</v>
      </c>
    </row>
    <row r="16" spans="1:2" ht="15" customHeight="1" x14ac:dyDescent="0.25">
      <c r="A16" s="337" t="s">
        <v>183</v>
      </c>
      <c r="B16" s="339">
        <v>1</v>
      </c>
    </row>
    <row r="17" spans="1:2" ht="24.75" customHeight="1" x14ac:dyDescent="0.25">
      <c r="A17" s="267" t="s">
        <v>187</v>
      </c>
      <c r="B17" s="277">
        <v>2</v>
      </c>
    </row>
    <row r="18" spans="1:2" x14ac:dyDescent="0.25">
      <c r="A18" s="267" t="s">
        <v>179</v>
      </c>
      <c r="B18" s="292">
        <v>1</v>
      </c>
    </row>
    <row r="19" spans="1:2" ht="16.5" customHeight="1" x14ac:dyDescent="0.25">
      <c r="A19" s="256" t="s">
        <v>188</v>
      </c>
      <c r="B19" s="296">
        <v>1</v>
      </c>
    </row>
    <row r="20" spans="1:2" ht="28.5" customHeight="1" x14ac:dyDescent="0.25">
      <c r="A20" s="276" t="s">
        <v>186</v>
      </c>
      <c r="B20" s="341">
        <v>2</v>
      </c>
    </row>
  </sheetData>
  <sortState ref="A2:B66">
    <sortCondition ref="A2:A66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67"/>
  <sheetViews>
    <sheetView topLeftCell="A52" zoomScale="55" zoomScaleNormal="55" workbookViewId="0">
      <selection activeCell="H46" sqref="H46"/>
    </sheetView>
  </sheetViews>
  <sheetFormatPr defaultRowHeight="13.2" x14ac:dyDescent="0.25"/>
  <cols>
    <col min="1" max="1" width="37.33203125" style="44" customWidth="1"/>
    <col min="2" max="2" width="14.5546875" style="44" customWidth="1"/>
    <col min="3" max="3" width="19" style="44" customWidth="1"/>
    <col min="4" max="4" width="13.6640625" style="44" customWidth="1"/>
    <col min="5" max="5" width="8.88671875" style="44"/>
    <col min="6" max="6" width="54.109375" style="44" customWidth="1"/>
    <col min="7" max="7" width="16.109375" style="44" customWidth="1"/>
    <col min="8" max="8" width="21.109375" style="44" customWidth="1"/>
  </cols>
  <sheetData>
    <row r="1" spans="1:8" ht="53.4" customHeight="1" x14ac:dyDescent="0.25">
      <c r="A1" s="223" t="s">
        <v>304</v>
      </c>
      <c r="B1" s="223" t="s">
        <v>106</v>
      </c>
      <c r="C1" s="223" t="s">
        <v>302</v>
      </c>
      <c r="D1" s="223" t="s">
        <v>3</v>
      </c>
      <c r="E1" s="223" t="s">
        <v>303</v>
      </c>
      <c r="F1" s="223" t="s">
        <v>305</v>
      </c>
      <c r="G1" s="224" t="s">
        <v>307</v>
      </c>
      <c r="H1" s="225" t="s">
        <v>306</v>
      </c>
    </row>
    <row r="2" spans="1:8" ht="31.2" x14ac:dyDescent="0.25">
      <c r="A2" s="219" t="str">
        <f>Threats!B1</f>
        <v>Threats to The Level of Service</v>
      </c>
      <c r="B2" s="220" t="str">
        <f>Threats!A1</f>
        <v>T1-Power Loss</v>
      </c>
      <c r="C2" s="105">
        <f>'AHP Likelihood Calculation'!AD34</f>
        <v>0.24294982396184614</v>
      </c>
      <c r="D2" s="218">
        <f>'AHP Severity Calculation'!AE35</f>
        <v>10.613217223638992</v>
      </c>
      <c r="E2" s="221">
        <f>C2*D2</f>
        <v>2.5784792561519265</v>
      </c>
      <c r="F2" s="222" t="str">
        <f>'LP Optimization 1'!I2</f>
        <v>P1-Install USB</v>
      </c>
      <c r="G2" s="226">
        <f>'LP Optimization 2'!E2</f>
        <v>1.0681703604114981E-2</v>
      </c>
      <c r="H2" s="217">
        <f>'LP Optimization 1'!M2</f>
        <v>4000</v>
      </c>
    </row>
    <row r="3" spans="1:8" ht="46.8" x14ac:dyDescent="0.25">
      <c r="A3" s="219" t="str">
        <f>Threats!B2</f>
        <v>Threats to The Level of Service</v>
      </c>
      <c r="B3" s="220" t="str">
        <f>Threats!A2</f>
        <v>T2-Hardware Failure</v>
      </c>
      <c r="C3" s="105">
        <f>'AHP Likelihood Calculation'!AD35</f>
        <v>2.3492987243136903E-2</v>
      </c>
      <c r="D3" s="218">
        <f>'AHP Severity Calculation'!AE36</f>
        <v>9.4128583764372404</v>
      </c>
      <c r="E3" s="221">
        <f t="shared" ref="E3:E23" si="0">C3*D3</f>
        <v>0.22113616175909442</v>
      </c>
      <c r="F3" s="222" t="str">
        <f>'LP Optimization 1'!I3</f>
        <v>P2-Replicate Servers</v>
      </c>
      <c r="G3" s="226">
        <f>'LP Optimization 1'!E3</f>
        <v>0</v>
      </c>
      <c r="H3" s="217">
        <f>'LP Optimization 1'!M3</f>
        <v>0</v>
      </c>
    </row>
    <row r="4" spans="1:8" ht="31.2" x14ac:dyDescent="0.25">
      <c r="A4" s="219" t="str">
        <f>Threats!B3</f>
        <v>Threats to The Level of Service</v>
      </c>
      <c r="B4" s="220" t="str">
        <f>Threats!A3</f>
        <v>T3-Software Crash</v>
      </c>
      <c r="C4" s="105">
        <f>'AHP Likelihood Calculation'!AD36</f>
        <v>8.9952409245753914E-2</v>
      </c>
      <c r="D4" s="218">
        <f>'AHP Severity Calculation'!AE37</f>
        <v>10.038458252192566</v>
      </c>
      <c r="E4" s="221">
        <f t="shared" si="0"/>
        <v>0.90298350489764123</v>
      </c>
      <c r="F4" s="222" t="str">
        <f>'LP Optimization 1'!I4</f>
        <v>P18-Regular Software Patches</v>
      </c>
      <c r="G4" s="226">
        <f>'LP Optimization 1'!E4</f>
        <v>5.0350393313196894E-3</v>
      </c>
      <c r="H4" s="217">
        <f>'LP Optimization 1'!M4</f>
        <v>0</v>
      </c>
    </row>
    <row r="5" spans="1:8" ht="31.2" x14ac:dyDescent="0.25">
      <c r="A5" s="219" t="str">
        <f>Threats!B4</f>
        <v>Threats to The Level of Service</v>
      </c>
      <c r="B5" s="220" t="str">
        <f>Threats!A4</f>
        <v>T4-Operator Errors</v>
      </c>
      <c r="C5" s="105">
        <f>'AHP Likelihood Calculation'!AD37</f>
        <v>6.7227326913070706E-2</v>
      </c>
      <c r="D5" s="218">
        <f>'AHP Severity Calculation'!AE38</f>
        <v>11.578031610471333</v>
      </c>
      <c r="E5" s="221">
        <f t="shared" si="0"/>
        <v>0.77836011608702282</v>
      </c>
      <c r="F5" s="222" t="str">
        <f>'LP Optimization 1'!I5</f>
        <v>P4-Education and Assessment of Security Personal</v>
      </c>
      <c r="G5" s="226">
        <f>'LP Optimization 1'!E5</f>
        <v>6.2378403220160559E-3</v>
      </c>
      <c r="H5" s="217">
        <f>'LP Optimization 1'!M5</f>
        <v>36000</v>
      </c>
    </row>
    <row r="6" spans="1:8" ht="62.4" x14ac:dyDescent="0.25">
      <c r="A6" s="219" t="str">
        <f>Threats!B5</f>
        <v>Threats to The Level of Service</v>
      </c>
      <c r="B6" s="220" t="str">
        <f>Threats!A5</f>
        <v>T5-Malicious Inside Action</v>
      </c>
      <c r="C6" s="105">
        <f>'AHP Likelihood Calculation'!AD38</f>
        <v>4.4492642577803276E-2</v>
      </c>
      <c r="D6" s="218">
        <f>'AHP Severity Calculation'!AE39</f>
        <v>10.892287844474085</v>
      </c>
      <c r="E6" s="221">
        <f t="shared" si="0"/>
        <v>0.48462666991873676</v>
      </c>
      <c r="F6" s="222" t="str">
        <f>'LP Optimization 1'!I6</f>
        <v>P5-Functional Isolation</v>
      </c>
      <c r="G6" s="226">
        <f>'LP Optimization 1'!E6</f>
        <v>7.2007311086486068E-3</v>
      </c>
      <c r="H6" s="217">
        <f>'LP Optimization 1'!M6</f>
        <v>0</v>
      </c>
    </row>
    <row r="7" spans="1:8" ht="31.2" x14ac:dyDescent="0.25">
      <c r="A7" s="219" t="str">
        <f>Threats!B6</f>
        <v>Threats to The Level of Service</v>
      </c>
      <c r="B7" s="220" t="str">
        <f>Threats!A6</f>
        <v>T6-Trojan and Worms</v>
      </c>
      <c r="C7" s="105">
        <f>'AHP Likelihood Calculation'!AD39</f>
        <v>0.10407757204157696</v>
      </c>
      <c r="D7" s="218">
        <f>'AHP Severity Calculation'!AE40</f>
        <v>12.146807626184986</v>
      </c>
      <c r="E7" s="221">
        <f t="shared" si="0"/>
        <v>1.2642102457894442</v>
      </c>
      <c r="F7" s="222" t="str">
        <f>'LP Optimization 1'!I7</f>
        <v>P33-Limit Transfer of Executables</v>
      </c>
      <c r="G7" s="226">
        <f>'LP Optimization 1'!E7</f>
        <v>9.845049378712176E-3</v>
      </c>
      <c r="H7" s="217">
        <f>'LP Optimization 1'!M7</f>
        <v>0</v>
      </c>
    </row>
    <row r="8" spans="1:8" ht="15.6" x14ac:dyDescent="0.25">
      <c r="A8" s="219" t="str">
        <f>Threats!B7</f>
        <v>Threats to The Level of Service</v>
      </c>
      <c r="B8" s="220" t="str">
        <f>Threats!A7</f>
        <v>T7-Fire</v>
      </c>
      <c r="C8" s="105">
        <f>'AHP Likelihood Calculation'!AD40</f>
        <v>1.6665052229327772E-2</v>
      </c>
      <c r="D8" s="218">
        <f>'AHP Severity Calculation'!AE41</f>
        <v>12.191282029056886</v>
      </c>
      <c r="E8" s="221">
        <f t="shared" si="0"/>
        <v>0.20316835175669806</v>
      </c>
      <c r="F8" s="222" t="str">
        <f>'LP Optimization 1'!I8</f>
        <v>P9-FHM System</v>
      </c>
      <c r="G8" s="226">
        <f>'LP Optimization 1'!E8</f>
        <v>0</v>
      </c>
      <c r="H8" s="217">
        <f>'LP Optimization 1'!M8</f>
        <v>0</v>
      </c>
    </row>
    <row r="9" spans="1:8" ht="46.8" x14ac:dyDescent="0.25">
      <c r="A9" s="219" t="str">
        <f>Threats!B8</f>
        <v>Threats to The Level of Service</v>
      </c>
      <c r="B9" s="220" t="str">
        <f>Threats!A8</f>
        <v>T8-Other Enviromental Disasters</v>
      </c>
      <c r="C9" s="105">
        <f>'AHP Likelihood Calculation'!AD41</f>
        <v>1.2039520225759709E-2</v>
      </c>
      <c r="D9" s="218">
        <f>'AHP Severity Calculation'!AE42</f>
        <v>12.129639210147253</v>
      </c>
      <c r="E9" s="221">
        <f t="shared" si="0"/>
        <v>0.14603503660173589</v>
      </c>
      <c r="F9" s="222" t="str">
        <f>'LP Optimization 1'!I9</f>
        <v>P8-Disaster Recovery on Cloud</v>
      </c>
      <c r="G9" s="226">
        <f>'LP Optimization 1'!E9</f>
        <v>0</v>
      </c>
      <c r="H9" s="217">
        <f>'LP Optimization 1'!M9</f>
        <v>0</v>
      </c>
    </row>
    <row r="10" spans="1:8" ht="62.4" x14ac:dyDescent="0.25">
      <c r="A10" s="219" t="str">
        <f>Threats!B9</f>
        <v>Threats to The Level of Service</v>
      </c>
      <c r="B10" s="220" t="str">
        <f>Threats!A9</f>
        <v>T9-Availability Threats(DDOS)</v>
      </c>
      <c r="C10" s="105">
        <f>'AHP Likelihood Calculation'!AD42</f>
        <v>2.3550794265172554E-2</v>
      </c>
      <c r="D10" s="218">
        <f>'AHP Severity Calculation'!AE43</f>
        <v>6.4964999759679465</v>
      </c>
      <c r="E10" s="221">
        <f t="shared" si="0"/>
        <v>0.15299773437771955</v>
      </c>
      <c r="F10" s="222" t="str">
        <f>'LP Optimization 1'!I10</f>
        <v>P10-Increase Bandwidth</v>
      </c>
      <c r="G10" s="226">
        <f>'LP Optimization 1'!E10</f>
        <v>0</v>
      </c>
      <c r="H10" s="217">
        <f>'LP Optimization 1'!M10</f>
        <v>0</v>
      </c>
    </row>
    <row r="11" spans="1:8" ht="31.2" x14ac:dyDescent="0.25">
      <c r="A11" s="219" t="str">
        <f>Threats!B10</f>
        <v>Threats to the Information Base</v>
      </c>
      <c r="B11" s="220" t="str">
        <f>Threats!A10</f>
        <v>T10-Disk Failure</v>
      </c>
      <c r="C11" s="105">
        <f>'AHP Likelihood Calculation'!AD43</f>
        <v>7.291793331983723E-2</v>
      </c>
      <c r="D11" s="218">
        <f>'AHP Severity Calculation'!AE44</f>
        <v>7.5276755814544218</v>
      </c>
      <c r="E11" s="221">
        <f t="shared" si="0"/>
        <v>0.54890254610186051</v>
      </c>
      <c r="F11" s="222" t="str">
        <f>'LP Optimization 1'!I11</f>
        <v>P13-Backup Tapes</v>
      </c>
      <c r="G11" s="226">
        <f>'LP Optimization 1'!E11</f>
        <v>8.4769337159762113E-3</v>
      </c>
      <c r="H11" s="217">
        <f>'LP Optimization 1'!M11</f>
        <v>3000</v>
      </c>
    </row>
    <row r="12" spans="1:8" ht="31.2" x14ac:dyDescent="0.25">
      <c r="A12" s="219" t="str">
        <f>Threats!B11</f>
        <v>Threats to the Information Base</v>
      </c>
      <c r="B12" s="220" t="str">
        <f>Threats!A11</f>
        <v>T11-Data Corruption</v>
      </c>
      <c r="C12" s="105">
        <f>'AHP Likelihood Calculation'!AD44</f>
        <v>9.3795170093336891E-2</v>
      </c>
      <c r="D12" s="218">
        <f>'AHP Severity Calculation'!AE45</f>
        <v>6.0211041391251729</v>
      </c>
      <c r="E12" s="221">
        <f t="shared" si="0"/>
        <v>0.56475048687894036</v>
      </c>
      <c r="F12" s="222" t="str">
        <f>'LP Optimization 1'!I12</f>
        <v>P6-AntiVirus</v>
      </c>
      <c r="G12" s="226">
        <f>'LP Optimization 1'!E12</f>
        <v>4.8787360697017963E-3</v>
      </c>
      <c r="H12" s="217">
        <f>'LP Optimization 1'!M12</f>
        <v>3750</v>
      </c>
    </row>
    <row r="13" spans="1:8" ht="46.8" x14ac:dyDescent="0.25">
      <c r="A13" s="219" t="str">
        <f>Threats!B12</f>
        <v>Threats to the Information Base</v>
      </c>
      <c r="B13" s="220" t="str">
        <f>Threats!A12</f>
        <v>T12-Inaccurrate Data</v>
      </c>
      <c r="C13" s="105">
        <f>'AHP Likelihood Calculation'!AD45</f>
        <v>7.3606513466022649E-2</v>
      </c>
      <c r="D13" s="218">
        <f>'AHP Severity Calculation'!AE46</f>
        <v>6.8689179197053472</v>
      </c>
      <c r="E13" s="221">
        <f t="shared" si="0"/>
        <v>0.50559709935379593</v>
      </c>
      <c r="F13" s="222" t="str">
        <f>'LP Optimization 1'!I13</f>
        <v>P3-Add validation to forms</v>
      </c>
      <c r="G13" s="226">
        <f>'LP Optimization 1'!E13</f>
        <v>0</v>
      </c>
      <c r="H13" s="217">
        <f>'LP Optimization 1'!M13</f>
        <v>0</v>
      </c>
    </row>
    <row r="14" spans="1:8" ht="46.8" x14ac:dyDescent="0.25">
      <c r="A14" s="219" t="str">
        <f>Threats!B13</f>
        <v>Threats to the Information Base</v>
      </c>
      <c r="B14" s="220" t="str">
        <f>Threats!A13</f>
        <v>T13-Un-authorized Access</v>
      </c>
      <c r="C14" s="105">
        <f>'AHP Likelihood Calculation'!AD46</f>
        <v>0.26976623313860026</v>
      </c>
      <c r="D14" s="218">
        <f>'AHP Severity Calculation'!AE47</f>
        <v>6.6001333408927136</v>
      </c>
      <c r="E14" s="221">
        <f t="shared" si="0"/>
        <v>1.7804931095851124</v>
      </c>
      <c r="F14" s="222" t="str">
        <f>'LP Optimization 1'!I14</f>
        <v>P27-Identity and Access Management System</v>
      </c>
      <c r="G14" s="226">
        <f>'LP Optimization 1'!E14</f>
        <v>4.227915592209501E-2</v>
      </c>
      <c r="H14" s="217">
        <f>'LP Optimization 1'!M14</f>
        <v>10000</v>
      </c>
    </row>
    <row r="15" spans="1:8" ht="46.8" x14ac:dyDescent="0.25">
      <c r="A15" s="219" t="str">
        <f>Threats!B14</f>
        <v>Threats to the Information Base</v>
      </c>
      <c r="B15" s="220" t="str">
        <f>Threats!A14</f>
        <v>T14-Virus and Spyware</v>
      </c>
      <c r="C15" s="105">
        <f>'AHP Likelihood Calculation'!AD47</f>
        <v>0.70636436643241918</v>
      </c>
      <c r="D15" s="218">
        <f>'AHP Severity Calculation'!AE48</f>
        <v>8.441538406590734</v>
      </c>
      <c r="E15" s="221">
        <f t="shared" si="0"/>
        <v>5.9628019282863969</v>
      </c>
      <c r="F15" s="222" t="str">
        <f>'LP Optimization 1'!I15</f>
        <v>P6-AntiVirus</v>
      </c>
      <c r="G15" s="226">
        <f>'LP Optimization 1'!E15</f>
        <v>4.4775142827016987E-2</v>
      </c>
      <c r="H15" s="217">
        <f>'LP Optimization 1'!M15</f>
        <v>3750</v>
      </c>
    </row>
    <row r="16" spans="1:8" ht="15.6" x14ac:dyDescent="0.25">
      <c r="A16" s="219" t="str">
        <f>Threats!B15</f>
        <v>Threats to Information Leakage</v>
      </c>
      <c r="B16" s="220" t="str">
        <f>Threats!A15</f>
        <v>T15-Hacking</v>
      </c>
      <c r="C16" s="105">
        <f>'AHP Likelihood Calculation'!AD48</f>
        <v>9.5674681970019146E-2</v>
      </c>
      <c r="D16" s="218">
        <f>'AHP Severity Calculation'!AE49</f>
        <v>8.2339380545426568</v>
      </c>
      <c r="E16" s="221">
        <f t="shared" si="0"/>
        <v>0.78777940472920682</v>
      </c>
      <c r="F16" s="222" t="str">
        <f>'LP Optimization 1'!I16</f>
        <v>P17-Strong Passwords</v>
      </c>
      <c r="G16" s="226">
        <f>'LP Optimization 1'!E16</f>
        <v>1.3237660492317047E-2</v>
      </c>
      <c r="H16" s="217">
        <f>'LP Optimization 1'!M16</f>
        <v>2000</v>
      </c>
    </row>
    <row r="17" spans="1:8" ht="31.2" x14ac:dyDescent="0.25">
      <c r="A17" s="219" t="str">
        <f>Threats!B16</f>
        <v>Threats to Information Leakage</v>
      </c>
      <c r="B17" s="220" t="str">
        <f>Threats!A16</f>
        <v>T16-Media Leakage</v>
      </c>
      <c r="C17" s="105">
        <f>'AHP Likelihood Calculation'!AD49</f>
        <v>5.8604824167280453E-2</v>
      </c>
      <c r="D17" s="218">
        <f>'AHP Severity Calculation'!AE50</f>
        <v>8.3977019664680004</v>
      </c>
      <c r="E17" s="221">
        <f t="shared" si="0"/>
        <v>0.49214584715408244</v>
      </c>
      <c r="F17" s="222" t="str">
        <f>'LP Optimization 1'!I17</f>
        <v>P22-Increase Physical Security</v>
      </c>
      <c r="G17" s="226">
        <f>'LP Optimization 1'!E17</f>
        <v>8.1032962121138283E-4</v>
      </c>
      <c r="H17" s="217">
        <f>'LP Optimization 1'!M17</f>
        <v>500</v>
      </c>
    </row>
    <row r="18" spans="1:8" ht="93.6" x14ac:dyDescent="0.25">
      <c r="A18" s="219" t="str">
        <f>Threats!B17</f>
        <v>Threats to Information Leakage</v>
      </c>
      <c r="B18" s="220" t="str">
        <f>Threats!A17</f>
        <v>T17-Communication Preventers(Botnet, Dialer)</v>
      </c>
      <c r="C18" s="105">
        <f>'AHP Likelihood Calculation'!AD50</f>
        <v>0.27124323692319202</v>
      </c>
      <c r="D18" s="218">
        <f>'AHP Severity Calculation'!AE51</f>
        <v>8.4413389011697877</v>
      </c>
      <c r="E18" s="221">
        <f t="shared" si="0"/>
        <v>2.2896560875189542</v>
      </c>
      <c r="F18" s="222" t="str">
        <f>'LP Optimization 1'!I18</f>
        <v>P29-Intrusion Detection System</v>
      </c>
      <c r="G18" s="226">
        <f>'LP Optimization 1'!E18</f>
        <v>0</v>
      </c>
      <c r="H18" s="217">
        <f>'LP Optimization 1'!M18</f>
        <v>0</v>
      </c>
    </row>
    <row r="19" spans="1:8" ht="46.8" x14ac:dyDescent="0.25">
      <c r="A19" s="219" t="str">
        <f>Threats!B18</f>
        <v>Threats to Information Leakage</v>
      </c>
      <c r="B19" s="220" t="str">
        <f>Threats!A18</f>
        <v>T18-Authentication Threats</v>
      </c>
      <c r="C19" s="105">
        <f>'AHP Likelihood Calculation'!AD51</f>
        <v>0.58184563157288882</v>
      </c>
      <c r="D19" s="218">
        <f>'AHP Severity Calculation'!AE52</f>
        <v>8.2991718636394793</v>
      </c>
      <c r="E19" s="221">
        <f t="shared" si="0"/>
        <v>4.8288368945312614</v>
      </c>
      <c r="F19" s="222" t="str">
        <f>'LP Optimization 1'!I19</f>
        <v>P30-Digital Signatures</v>
      </c>
      <c r="G19" s="226">
        <f>'LP Optimization 1'!E19</f>
        <v>2.4334993937835739E-2</v>
      </c>
      <c r="H19" s="217">
        <f>'LP Optimization 1'!M19</f>
        <v>7500</v>
      </c>
    </row>
    <row r="20" spans="1:8" ht="46.8" x14ac:dyDescent="0.25">
      <c r="A20" s="219" t="str">
        <f>Threats!B19</f>
        <v>Threats to Information Leakage</v>
      </c>
      <c r="B20" s="220" t="str">
        <f>Threats!A19</f>
        <v>T19-Non Repudiation Threats</v>
      </c>
      <c r="C20" s="105">
        <f>'AHP Likelihood Calculation'!AD52</f>
        <v>0.28643382192337691</v>
      </c>
      <c r="D20" s="218">
        <f>'AHP Severity Calculation'!AE53</f>
        <v>8.0690371763924471</v>
      </c>
      <c r="E20" s="221">
        <f t="shared" si="0"/>
        <v>2.3112451576759021</v>
      </c>
      <c r="F20" s="222" t="str">
        <f>'LP Optimization 1'!I20</f>
        <v>P28-Cryptologic Solutions(Digital Signatures)</v>
      </c>
      <c r="G20" s="226">
        <f>'LP Optimization 1'!E20</f>
        <v>0</v>
      </c>
      <c r="H20" s="217">
        <f>'LP Optimization 1'!M20</f>
        <v>0</v>
      </c>
    </row>
    <row r="21" spans="1:8" ht="46.8" x14ac:dyDescent="0.25">
      <c r="A21" s="219" t="str">
        <f>Threats!B20</f>
        <v>Threats to Information Leakage</v>
      </c>
      <c r="B21" s="220" t="str">
        <f>Threats!A20</f>
        <v>T20-Separation of Duties</v>
      </c>
      <c r="C21" s="105">
        <f>'AHP Likelihood Calculation'!AD53</f>
        <v>0.3317214128842092</v>
      </c>
      <c r="D21" s="218">
        <f>'AHP Severity Calculation'!AE54</f>
        <v>8.4836205519710202</v>
      </c>
      <c r="E21" s="221">
        <f t="shared" si="0"/>
        <v>2.8141985958733415</v>
      </c>
      <c r="F21" s="222" t="str">
        <f>'LP Optimization 1'!I21</f>
        <v>P24-Auditing</v>
      </c>
      <c r="G21" s="226">
        <f>'LP Optimization 1'!E21</f>
        <v>0</v>
      </c>
      <c r="H21" s="217">
        <f>'LP Optimization 1'!M21</f>
        <v>0</v>
      </c>
    </row>
    <row r="22" spans="1:8" ht="46.8" x14ac:dyDescent="0.25">
      <c r="A22" s="219" t="str">
        <f>Threats!B21</f>
        <v>Threats to Information Leakage</v>
      </c>
      <c r="B22" s="220" t="str">
        <f>Threats!A21</f>
        <v>T21-Configuration Threats</v>
      </c>
      <c r="C22" s="105">
        <f>'AHP Likelihood Calculation'!AD54</f>
        <v>0.38319826966022075</v>
      </c>
      <c r="D22" s="218">
        <f>'AHP Severity Calculation'!AE55</f>
        <v>8.4535334730043985</v>
      </c>
      <c r="E22" s="221">
        <f t="shared" si="0"/>
        <v>3.2393793993700419</v>
      </c>
      <c r="F22" s="222" t="str">
        <f>'LP Optimization 1'!I22</f>
        <v>P24-Auditing</v>
      </c>
      <c r="G22" s="226">
        <f>'LP Optimization 1'!E22</f>
        <v>3.4871395193590331E-2</v>
      </c>
      <c r="H22" s="217">
        <f>'LP Optimization 1'!M22</f>
        <v>10000</v>
      </c>
    </row>
    <row r="23" spans="1:8" ht="46.8" x14ac:dyDescent="0.25">
      <c r="A23" s="219" t="str">
        <f>Threats!B22</f>
        <v>Threats to Information Leakage</v>
      </c>
      <c r="B23" s="220" t="str">
        <f>Threats!A22</f>
        <v>T22- Communications Threats</v>
      </c>
      <c r="C23" s="105">
        <f>'AHP Likelihood Calculation'!AD55</f>
        <v>0.29315402277471436</v>
      </c>
      <c r="D23" s="218">
        <f>'AHP Severity Calculation'!AE56</f>
        <v>0</v>
      </c>
      <c r="E23" s="221">
        <f t="shared" si="0"/>
        <v>0</v>
      </c>
      <c r="F23" s="222" t="str">
        <f>'LP Optimization 1'!I23</f>
        <v>P28-Cryptologic Solutions(Encryption)</v>
      </c>
      <c r="G23" s="226">
        <f>'LP Optimization 1'!E23</f>
        <v>0</v>
      </c>
      <c r="H23" s="217">
        <f>'LP Optimization 1'!M23</f>
        <v>0</v>
      </c>
    </row>
    <row r="24" spans="1:8" ht="31.2" x14ac:dyDescent="0.25">
      <c r="A24" s="219" t="str">
        <f>Threats!B1</f>
        <v>Threats to The Level of Service</v>
      </c>
      <c r="B24" s="220" t="str">
        <f>Threats!A1</f>
        <v>T1-Power Loss</v>
      </c>
      <c r="C24" s="105">
        <f>'AHP Likelihood Calculation'!AD34</f>
        <v>0.24294982396184614</v>
      </c>
      <c r="D24" s="218">
        <f>'AHP Severity Calculation'!AE35</f>
        <v>10.613217223638992</v>
      </c>
      <c r="E24" s="221">
        <f>C24*D24</f>
        <v>2.5784792561519265</v>
      </c>
      <c r="F24" s="222" t="str">
        <f>'LP Optimization 1'!Q2</f>
        <v>Non</v>
      </c>
      <c r="G24" s="226">
        <f>'LP Optimization 1'!F2</f>
        <v>0</v>
      </c>
      <c r="H24" s="217">
        <f>'LP Optimization 1'!U2</f>
        <v>0</v>
      </c>
    </row>
    <row r="25" spans="1:8" ht="46.8" x14ac:dyDescent="0.25">
      <c r="A25" s="219" t="str">
        <f>Threats!B2</f>
        <v>Threats to The Level of Service</v>
      </c>
      <c r="B25" s="220" t="str">
        <f>Threats!A2</f>
        <v>T2-Hardware Failure</v>
      </c>
      <c r="C25" s="105">
        <f>'AHP Likelihood Calculation'!AD35</f>
        <v>2.3492987243136903E-2</v>
      </c>
      <c r="D25" s="218">
        <f>'AHP Severity Calculation'!AE36</f>
        <v>9.4128583764372404</v>
      </c>
      <c r="E25" s="221">
        <f t="shared" ref="E25:E45" si="1">C25*D25</f>
        <v>0.22113616175909442</v>
      </c>
      <c r="F25" s="222" t="str">
        <f>'LP Optimization 1'!Q3</f>
        <v>P8-Disaster Recovery on Cloud</v>
      </c>
      <c r="G25" s="226">
        <f>'LP Optimization 1'!F3</f>
        <v>0</v>
      </c>
      <c r="H25" s="217">
        <f>'LP Optimization 1'!U3</f>
        <v>0</v>
      </c>
    </row>
    <row r="26" spans="1:8" ht="31.2" x14ac:dyDescent="0.25">
      <c r="A26" s="219" t="str">
        <f>Threats!B3</f>
        <v>Threats to The Level of Service</v>
      </c>
      <c r="B26" s="220" t="str">
        <f>Threats!A3</f>
        <v>T3-Software Crash</v>
      </c>
      <c r="C26" s="105">
        <f>'AHP Likelihood Calculation'!AD36</f>
        <v>8.9952409245753914E-2</v>
      </c>
      <c r="D26" s="218">
        <f>'AHP Severity Calculation'!AE37</f>
        <v>10.038458252192566</v>
      </c>
      <c r="E26" s="221">
        <f t="shared" si="1"/>
        <v>0.90298350489764123</v>
      </c>
      <c r="F26" s="222" t="str">
        <f>'LP Optimization 1'!Q4</f>
        <v>P23-Service Level Software Agreement</v>
      </c>
      <c r="G26" s="226">
        <f>'LP Optimization 1'!F4</f>
        <v>0</v>
      </c>
      <c r="H26" s="217">
        <f>'LP Optimization 1'!U4</f>
        <v>0</v>
      </c>
    </row>
    <row r="27" spans="1:8" ht="31.2" x14ac:dyDescent="0.25">
      <c r="A27" s="219" t="str">
        <f>Threats!B4</f>
        <v>Threats to The Level of Service</v>
      </c>
      <c r="B27" s="220" t="str">
        <f>Threats!A4</f>
        <v>T4-Operator Errors</v>
      </c>
      <c r="C27" s="105">
        <f>'AHP Likelihood Calculation'!AD37</f>
        <v>6.7227326913070706E-2</v>
      </c>
      <c r="D27" s="218">
        <f>'AHP Severity Calculation'!AE38</f>
        <v>11.578031610471333</v>
      </c>
      <c r="E27" s="221">
        <f t="shared" si="1"/>
        <v>0.77836011608702282</v>
      </c>
      <c r="F27" s="222" t="str">
        <f>'LP Optimization 1'!Q5</f>
        <v>P15-Improvement in Data Distribution and Governance</v>
      </c>
      <c r="G27" s="226">
        <f>'LP Optimization 1'!F5</f>
        <v>0</v>
      </c>
      <c r="H27" s="217">
        <f>'LP Optimization 1'!U5</f>
        <v>0</v>
      </c>
    </row>
    <row r="28" spans="1:8" ht="62.4" x14ac:dyDescent="0.25">
      <c r="A28" s="219" t="str">
        <f>Threats!B5</f>
        <v>Threats to The Level of Service</v>
      </c>
      <c r="B28" s="220" t="str">
        <f>Threats!A5</f>
        <v>T5-Malicious Inside Action</v>
      </c>
      <c r="C28" s="105">
        <f>'AHP Likelihood Calculation'!AD38</f>
        <v>4.4492642577803276E-2</v>
      </c>
      <c r="D28" s="218">
        <f>'AHP Severity Calculation'!AE39</f>
        <v>10.892287844474085</v>
      </c>
      <c r="E28" s="221">
        <f t="shared" si="1"/>
        <v>0.48462666991873676</v>
      </c>
      <c r="F28" s="222" t="str">
        <f>'LP Optimization 1'!Q6</f>
        <v>P26-Mandatory vacations</v>
      </c>
      <c r="G28" s="226">
        <f>'LP Optimization 1'!F6</f>
        <v>4.8004874057657387E-3</v>
      </c>
      <c r="H28" s="217">
        <f>'LP Optimization 1'!U6</f>
        <v>0</v>
      </c>
    </row>
    <row r="29" spans="1:8" ht="31.2" x14ac:dyDescent="0.25">
      <c r="A29" s="219" t="str">
        <f>Threats!B6</f>
        <v>Threats to The Level of Service</v>
      </c>
      <c r="B29" s="220" t="str">
        <f>Threats!A6</f>
        <v>T6-Trojan and Worms</v>
      </c>
      <c r="C29" s="105">
        <f>'AHP Likelihood Calculation'!AD39</f>
        <v>0.10407757204157696</v>
      </c>
      <c r="D29" s="218">
        <f>'AHP Severity Calculation'!AE40</f>
        <v>12.146807626184986</v>
      </c>
      <c r="E29" s="221">
        <f t="shared" si="1"/>
        <v>1.2642102457894442</v>
      </c>
      <c r="F29" s="222" t="str">
        <f>'LP Optimization 1'!Q7</f>
        <v>P19-Use of 64 bit OS's</v>
      </c>
      <c r="G29" s="226">
        <f>'LP Optimization 1'!F7</f>
        <v>9.845049378712176E-3</v>
      </c>
      <c r="H29" s="217">
        <f>'LP Optimization 1'!U7</f>
        <v>0</v>
      </c>
    </row>
    <row r="30" spans="1:8" ht="15.6" x14ac:dyDescent="0.25">
      <c r="A30" s="219" t="str">
        <f>Threats!B7</f>
        <v>Threats to The Level of Service</v>
      </c>
      <c r="B30" s="220" t="str">
        <f>Threats!A7</f>
        <v>T7-Fire</v>
      </c>
      <c r="C30" s="105">
        <f>'AHP Likelihood Calculation'!AD40</f>
        <v>1.6665052229327772E-2</v>
      </c>
      <c r="D30" s="218">
        <f>'AHP Severity Calculation'!AE41</f>
        <v>12.191282029056886</v>
      </c>
      <c r="E30" s="221">
        <f t="shared" si="1"/>
        <v>0.20316835175669806</v>
      </c>
      <c r="F30" s="222" t="str">
        <f>'LP Optimization 1'!Q8</f>
        <v>P8-Disaster Recovery on Cloud</v>
      </c>
      <c r="G30" s="226">
        <f>'LP Optimization 1'!F8</f>
        <v>0</v>
      </c>
      <c r="H30" s="217">
        <f>'LP Optimization 1'!U8</f>
        <v>0</v>
      </c>
    </row>
    <row r="31" spans="1:8" ht="46.8" x14ac:dyDescent="0.25">
      <c r="A31" s="219" t="str">
        <f>Threats!B8</f>
        <v>Threats to The Level of Service</v>
      </c>
      <c r="B31" s="220" t="str">
        <f>Threats!A8</f>
        <v>T8-Other Enviromental Disasters</v>
      </c>
      <c r="C31" s="105">
        <f>'AHP Likelihood Calculation'!AD41</f>
        <v>1.2039520225759709E-2</v>
      </c>
      <c r="D31" s="218">
        <f>'AHP Severity Calculation'!AE42</f>
        <v>12.129639210147253</v>
      </c>
      <c r="E31" s="221">
        <f t="shared" si="1"/>
        <v>0.14603503660173589</v>
      </c>
      <c r="F31" s="222" t="str">
        <f>'LP Optimization 1'!Q9</f>
        <v>P9-FHM System</v>
      </c>
      <c r="G31" s="226">
        <f>'LP Optimization 1'!F9</f>
        <v>0</v>
      </c>
      <c r="H31" s="217">
        <f>'LP Optimization 1'!U9</f>
        <v>0</v>
      </c>
    </row>
    <row r="32" spans="1:8" ht="62.4" x14ac:dyDescent="0.25">
      <c r="A32" s="219" t="str">
        <f>Threats!B9</f>
        <v>Threats to The Level of Service</v>
      </c>
      <c r="B32" s="220" t="str">
        <f>Threats!A9</f>
        <v>T9-Availability Threats(DDOS)</v>
      </c>
      <c r="C32" s="105">
        <f>'AHP Likelihood Calculation'!AD42</f>
        <v>2.3550794265172554E-2</v>
      </c>
      <c r="D32" s="218">
        <f>'AHP Severity Calculation'!AE43</f>
        <v>6.4964999759679465</v>
      </c>
      <c r="E32" s="221">
        <f t="shared" si="1"/>
        <v>0.15299773437771955</v>
      </c>
      <c r="F32" s="222" t="str">
        <f>'LP Optimization 1'!Q10</f>
        <v>P12-Traffic Management</v>
      </c>
      <c r="G32" s="226">
        <f>'LP Optimization 1'!F10</f>
        <v>0</v>
      </c>
      <c r="H32" s="217">
        <f>'LP Optimization 1'!U10</f>
        <v>0</v>
      </c>
    </row>
    <row r="33" spans="1:8" ht="31.2" x14ac:dyDescent="0.25">
      <c r="A33" s="219" t="str">
        <f>Threats!B10</f>
        <v>Threats to the Information Base</v>
      </c>
      <c r="B33" s="220" t="str">
        <f>Threats!A10</f>
        <v>T10-Disk Failure</v>
      </c>
      <c r="C33" s="105">
        <f>'AHP Likelihood Calculation'!AD43</f>
        <v>7.291793331983723E-2</v>
      </c>
      <c r="D33" s="218">
        <f>'AHP Severity Calculation'!AE44</f>
        <v>7.5276755814544218</v>
      </c>
      <c r="E33" s="221">
        <f t="shared" si="1"/>
        <v>0.54890254610186051</v>
      </c>
      <c r="F33" s="222" t="str">
        <f>'LP Optimization 1'!Q11</f>
        <v>Non</v>
      </c>
      <c r="G33" s="226">
        <f>'LP Optimization 1'!F11</f>
        <v>0</v>
      </c>
      <c r="H33" s="217">
        <f>'LP Optimization 1'!U11</f>
        <v>0</v>
      </c>
    </row>
    <row r="34" spans="1:8" ht="31.2" x14ac:dyDescent="0.25">
      <c r="A34" s="219" t="str">
        <f>Threats!B11</f>
        <v>Threats to the Information Base</v>
      </c>
      <c r="B34" s="220" t="str">
        <f>Threats!A11</f>
        <v>T11-Data Corruption</v>
      </c>
      <c r="C34" s="105">
        <f>'AHP Likelihood Calculation'!AD44</f>
        <v>9.3795170093336891E-2</v>
      </c>
      <c r="D34" s="218">
        <f>'AHP Severity Calculation'!AE45</f>
        <v>6.0211041391251729</v>
      </c>
      <c r="E34" s="221">
        <f t="shared" si="1"/>
        <v>0.56475048687894036</v>
      </c>
      <c r="F34" s="222" t="str">
        <f>'LP Optimization 1'!Q12</f>
        <v>P7-Anti spam</v>
      </c>
      <c r="G34" s="226">
        <f>'LP Optimization 1'!F12</f>
        <v>3.2524907131345308E-3</v>
      </c>
      <c r="H34" s="217">
        <f>'LP Optimization 1'!U12</f>
        <v>2500</v>
      </c>
    </row>
    <row r="35" spans="1:8" ht="46.8" x14ac:dyDescent="0.25">
      <c r="A35" s="219" t="str">
        <f>Threats!B12</f>
        <v>Threats to the Information Base</v>
      </c>
      <c r="B35" s="220" t="str">
        <f>Threats!A12</f>
        <v>T12-Inaccurrate Data</v>
      </c>
      <c r="C35" s="105">
        <f>'AHP Likelihood Calculation'!AD45</f>
        <v>7.3606513466022649E-2</v>
      </c>
      <c r="D35" s="218">
        <f>'AHP Severity Calculation'!AE46</f>
        <v>6.8689179197053472</v>
      </c>
      <c r="E35" s="221">
        <f t="shared" si="1"/>
        <v>0.50559709935379593</v>
      </c>
      <c r="F35" s="222" t="str">
        <f>'LP Optimization 1'!Q13</f>
        <v>P15-Improvement in Data Distribution and Governance Systems</v>
      </c>
      <c r="G35" s="226">
        <f>'LP Optimization 1'!F13</f>
        <v>0</v>
      </c>
      <c r="H35" s="217">
        <f>'LP Optimization 1'!U13</f>
        <v>0</v>
      </c>
    </row>
    <row r="36" spans="1:8" ht="46.8" x14ac:dyDescent="0.25">
      <c r="A36" s="219" t="str">
        <f>Threats!B13</f>
        <v>Threats to the Information Base</v>
      </c>
      <c r="B36" s="220" t="str">
        <f>Threats!A13</f>
        <v>T13-Un-authorized Access</v>
      </c>
      <c r="C36" s="105">
        <f>'AHP Likelihood Calculation'!AD46</f>
        <v>0.26976623313860026</v>
      </c>
      <c r="D36" s="218">
        <f>'AHP Severity Calculation'!AE47</f>
        <v>6.6001333408927136</v>
      </c>
      <c r="E36" s="221">
        <f t="shared" si="1"/>
        <v>1.7804931095851124</v>
      </c>
      <c r="F36" s="222" t="str">
        <f>'LP Optimization 1'!Q14</f>
        <v>Non</v>
      </c>
      <c r="G36" s="226">
        <f>'LP Optimization 1'!F14</f>
        <v>0</v>
      </c>
      <c r="H36" s="217">
        <f>'LP Optimization 1'!U14</f>
        <v>0</v>
      </c>
    </row>
    <row r="37" spans="1:8" ht="46.8" x14ac:dyDescent="0.25">
      <c r="A37" s="219" t="str">
        <f>Threats!B14</f>
        <v>Threats to the Information Base</v>
      </c>
      <c r="B37" s="220" t="str">
        <f>Threats!A14</f>
        <v>T14-Virus and Spyware</v>
      </c>
      <c r="C37" s="105">
        <f>'AHP Likelihood Calculation'!AD47</f>
        <v>0.70636436643241918</v>
      </c>
      <c r="D37" s="218">
        <f>'AHP Severity Calculation'!AE48</f>
        <v>8.441538406590734</v>
      </c>
      <c r="E37" s="221">
        <f t="shared" si="1"/>
        <v>5.9628019282863969</v>
      </c>
      <c r="F37" s="222" t="str">
        <f>'LP Optimization 1'!Q15</f>
        <v>P7-Anti spam</v>
      </c>
      <c r="G37" s="226">
        <f>'LP Optimization 1'!F15</f>
        <v>4.4775142827016987E-2</v>
      </c>
      <c r="H37" s="217">
        <f>'LP Optimization 1'!U15</f>
        <v>2500</v>
      </c>
    </row>
    <row r="38" spans="1:8" ht="15.6" x14ac:dyDescent="0.25">
      <c r="A38" s="219" t="str">
        <f>Threats!B15</f>
        <v>Threats to Information Leakage</v>
      </c>
      <c r="B38" s="220" t="str">
        <f>Threats!A15</f>
        <v>T15-Hacking</v>
      </c>
      <c r="C38" s="105">
        <f>'AHP Likelihood Calculation'!AD48</f>
        <v>9.5674681970019146E-2</v>
      </c>
      <c r="D38" s="218">
        <f>'AHP Severity Calculation'!AE49</f>
        <v>8.2339380545426568</v>
      </c>
      <c r="E38" s="221">
        <f t="shared" si="1"/>
        <v>0.78777940472920682</v>
      </c>
      <c r="F38" s="222" t="str">
        <f>'LP Optimization 1'!Q16</f>
        <v>P14-Firewall</v>
      </c>
      <c r="G38" s="226">
        <f>'LP Optimization 1'!F16</f>
        <v>1.985649073847557E-2</v>
      </c>
      <c r="H38" s="217">
        <f>'LP Optimization 1'!U16</f>
        <v>8000</v>
      </c>
    </row>
    <row r="39" spans="1:8" ht="31.2" x14ac:dyDescent="0.25">
      <c r="A39" s="219" t="str">
        <f>Threats!B16</f>
        <v>Threats to Information Leakage</v>
      </c>
      <c r="B39" s="220" t="str">
        <f>Threats!A16</f>
        <v>T16-Media Leakage</v>
      </c>
      <c r="C39" s="105">
        <f>'AHP Likelihood Calculation'!AD49</f>
        <v>5.8604824167280453E-2</v>
      </c>
      <c r="D39" s="218">
        <f>'AHP Severity Calculation'!AE50</f>
        <v>8.3977019664680004</v>
      </c>
      <c r="E39" s="221">
        <f t="shared" si="1"/>
        <v>0.49214584715408244</v>
      </c>
      <c r="F39" s="222" t="str">
        <f>'LP Optimization 1'!Q17</f>
        <v>P33-Limit Transfer of Executables</v>
      </c>
      <c r="G39" s="226">
        <f>'LP Optimization 1'!F17</f>
        <v>8.1032962121138283E-4</v>
      </c>
      <c r="H39" s="217">
        <f>'LP Optimization 1'!U17</f>
        <v>0</v>
      </c>
    </row>
    <row r="40" spans="1:8" ht="93.6" x14ac:dyDescent="0.25">
      <c r="A40" s="219" t="str">
        <f>Threats!B17</f>
        <v>Threats to Information Leakage</v>
      </c>
      <c r="B40" s="220" t="str">
        <f>Threats!A17</f>
        <v>T17-Communication Preventers(Botnet, Dialer)</v>
      </c>
      <c r="C40" s="105">
        <f>'AHP Likelihood Calculation'!AD50</f>
        <v>0.27124323692319202</v>
      </c>
      <c r="D40" s="218">
        <f>'AHP Severity Calculation'!AE51</f>
        <v>8.4413389011697877</v>
      </c>
      <c r="E40" s="221">
        <f t="shared" si="1"/>
        <v>2.2896560875189542</v>
      </c>
      <c r="F40" s="222" t="str">
        <f>'LP Optimization 1'!Q18</f>
        <v>P31-Trusted Communication Channels</v>
      </c>
      <c r="G40" s="226">
        <f>'LP Optimization 1'!F18</f>
        <v>0</v>
      </c>
      <c r="H40" s="217">
        <f>'LP Optimization 1'!U18</f>
        <v>0</v>
      </c>
    </row>
    <row r="41" spans="1:8" ht="46.8" x14ac:dyDescent="0.25">
      <c r="A41" s="219" t="str">
        <f>Threats!B18</f>
        <v>Threats to Information Leakage</v>
      </c>
      <c r="B41" s="220" t="str">
        <f>Threats!A18</f>
        <v>T18-Authentication Threats</v>
      </c>
      <c r="C41" s="105">
        <f>'AHP Likelihood Calculation'!AD51</f>
        <v>0.58184563157288882</v>
      </c>
      <c r="D41" s="218">
        <f>'AHP Severity Calculation'!AE52</f>
        <v>8.2991718636394793</v>
      </c>
      <c r="E41" s="221">
        <f t="shared" si="1"/>
        <v>4.8288368945312614</v>
      </c>
      <c r="F41" s="222" t="str">
        <f>'LP Optimization 1'!Q19</f>
        <v>P27-Identity and Access Management System</v>
      </c>
      <c r="G41" s="226">
        <f>'LP Optimization 1'!F19</f>
        <v>3.041874242229467E-2</v>
      </c>
      <c r="H41" s="217">
        <f>'LP Optimization 1'!U19</f>
        <v>5000</v>
      </c>
    </row>
    <row r="42" spans="1:8" ht="46.8" x14ac:dyDescent="0.25">
      <c r="A42" s="219" t="str">
        <f>Threats!B19</f>
        <v>Threats to Information Leakage</v>
      </c>
      <c r="B42" s="220" t="str">
        <f>Threats!A19</f>
        <v>T19-Non Repudiation Threats</v>
      </c>
      <c r="C42" s="105">
        <f>'AHP Likelihood Calculation'!AD52</f>
        <v>0.28643382192337691</v>
      </c>
      <c r="D42" s="218">
        <f>'AHP Severity Calculation'!AE53</f>
        <v>8.0690371763924471</v>
      </c>
      <c r="E42" s="221">
        <f t="shared" si="1"/>
        <v>2.3112451576759021</v>
      </c>
      <c r="F42" s="222" t="str">
        <f>'LP Optimization 1'!Q20</f>
        <v>P21-Load Unload Drivers</v>
      </c>
      <c r="G42" s="226">
        <f>'LP Optimization 1'!F20</f>
        <v>8.1964956538325816E-3</v>
      </c>
      <c r="H42" s="217">
        <f>'LP Optimization 1'!U20</f>
        <v>0</v>
      </c>
    </row>
    <row r="43" spans="1:8" ht="46.8" x14ac:dyDescent="0.25">
      <c r="A43" s="219" t="str">
        <f>Threats!B20</f>
        <v>Threats to Information Leakage</v>
      </c>
      <c r="B43" s="220" t="str">
        <f>Threats!A20</f>
        <v>T20-Separation of Duties</v>
      </c>
      <c r="C43" s="105">
        <f>'AHP Likelihood Calculation'!AD53</f>
        <v>0.3317214128842092</v>
      </c>
      <c r="D43" s="218">
        <f>'AHP Severity Calculation'!AE54</f>
        <v>8.4836205519710202</v>
      </c>
      <c r="E43" s="221">
        <f t="shared" si="1"/>
        <v>2.8141985958733415</v>
      </c>
      <c r="F43" s="222" t="str">
        <f>'LP Optimization 1'!Q21</f>
        <v>P22-Increase Physical Security</v>
      </c>
      <c r="G43" s="226">
        <f>'LP Optimization 1'!F21</f>
        <v>5.9149303330451449E-3</v>
      </c>
      <c r="H43" s="217">
        <f>'LP Optimization 1'!U21</f>
        <v>0</v>
      </c>
    </row>
    <row r="44" spans="1:8" ht="46.8" x14ac:dyDescent="0.25">
      <c r="A44" s="219" t="str">
        <f>Threats!B21</f>
        <v>Threats to Information Leakage</v>
      </c>
      <c r="B44" s="220" t="str">
        <f>Threats!A21</f>
        <v>T21-Configuration Threats</v>
      </c>
      <c r="C44" s="105">
        <f>'AHP Likelihood Calculation'!AD54</f>
        <v>0.38319826966022075</v>
      </c>
      <c r="D44" s="218">
        <f>'AHP Severity Calculation'!AE55</f>
        <v>8.4535334730043985</v>
      </c>
      <c r="E44" s="221">
        <f t="shared" si="1"/>
        <v>3.2393793993700419</v>
      </c>
      <c r="F44" s="222" t="str">
        <f>'LP Optimization 1'!Q22</f>
        <v>Non</v>
      </c>
      <c r="G44" s="226">
        <f>'LP Optimization 1'!F22</f>
        <v>0</v>
      </c>
      <c r="H44" s="217">
        <f>'LP Optimization 1'!U22</f>
        <v>0</v>
      </c>
    </row>
    <row r="45" spans="1:8" ht="46.8" x14ac:dyDescent="0.25">
      <c r="A45" s="219" t="str">
        <f>Threats!B22</f>
        <v>Threats to Information Leakage</v>
      </c>
      <c r="B45" s="220" t="str">
        <f>Threats!A22</f>
        <v>T22- Communications Threats</v>
      </c>
      <c r="C45" s="105">
        <f>'AHP Likelihood Calculation'!AD55</f>
        <v>0.29315402277471436</v>
      </c>
      <c r="D45" s="218">
        <f>'AHP Severity Calculation'!AE56</f>
        <v>0</v>
      </c>
      <c r="E45" s="221">
        <f t="shared" si="1"/>
        <v>0</v>
      </c>
      <c r="F45" s="222" t="str">
        <f>'LP Optimization 1'!Q23</f>
        <v>P32-Integrity Check</v>
      </c>
      <c r="G45" s="226">
        <f>'LP Optimization 1'!F23</f>
        <v>1.731758220238995E-2</v>
      </c>
      <c r="H45" s="217">
        <f>'LP Optimization 1'!U23</f>
        <v>1000</v>
      </c>
    </row>
    <row r="46" spans="1:8" ht="31.2" x14ac:dyDescent="0.25">
      <c r="A46" s="219" t="str">
        <f>Threats!B1</f>
        <v>Threats to The Level of Service</v>
      </c>
      <c r="B46" s="220" t="str">
        <f>Threats!A1</f>
        <v>T1-Power Loss</v>
      </c>
      <c r="C46" s="105">
        <f>'AHP Likelihood Calculation'!AD34</f>
        <v>0.24294982396184614</v>
      </c>
      <c r="D46" s="218">
        <f>'AHP Severity Calculation'!AE35</f>
        <v>10.613217223638992</v>
      </c>
      <c r="E46" s="221">
        <f>C46*D46</f>
        <v>2.5784792561519265</v>
      </c>
      <c r="F46" s="222" t="str">
        <f>'LP Optimization 1'!Y2</f>
        <v>Non</v>
      </c>
      <c r="G46" s="226">
        <f>'LP Optimization 1'!G2</f>
        <v>0</v>
      </c>
      <c r="H46" s="217">
        <f>'LP Optimization 1'!AC2</f>
        <v>0</v>
      </c>
    </row>
    <row r="47" spans="1:8" ht="46.8" x14ac:dyDescent="0.25">
      <c r="A47" s="219" t="str">
        <f>Threats!B2</f>
        <v>Threats to The Level of Service</v>
      </c>
      <c r="B47" s="220" t="str">
        <f>Threats!A2</f>
        <v>T2-Hardware Failure</v>
      </c>
      <c r="C47" s="105">
        <f>'AHP Likelihood Calculation'!AD35</f>
        <v>2.3492987243136903E-2</v>
      </c>
      <c r="D47" s="218">
        <f>'AHP Severity Calculation'!AE36</f>
        <v>9.4128583764372404</v>
      </c>
      <c r="E47" s="221">
        <f t="shared" ref="E47:E67" si="2">C47*D47</f>
        <v>0.22113616175909442</v>
      </c>
      <c r="F47" s="222" t="str">
        <f>'LP Optimization 1'!Y3</f>
        <v>Non</v>
      </c>
      <c r="G47" s="226">
        <f>'LP Optimization 1'!G3</f>
        <v>0</v>
      </c>
      <c r="H47" s="217">
        <f>'LP Optimization 1'!AC3</f>
        <v>0</v>
      </c>
    </row>
    <row r="48" spans="1:8" ht="31.2" x14ac:dyDescent="0.25">
      <c r="A48" s="219" t="str">
        <f>Threats!B3</f>
        <v>Threats to The Level of Service</v>
      </c>
      <c r="B48" s="220" t="str">
        <f>Threats!A3</f>
        <v>T3-Software Crash</v>
      </c>
      <c r="C48" s="105">
        <f>'AHP Likelihood Calculation'!AD36</f>
        <v>8.9952409245753914E-2</v>
      </c>
      <c r="D48" s="218">
        <f>'AHP Severity Calculation'!AE37</f>
        <v>10.038458252192566</v>
      </c>
      <c r="E48" s="221">
        <f t="shared" si="2"/>
        <v>0.90298350489764123</v>
      </c>
      <c r="F48" s="222" t="str">
        <f>'LP Optimization 1'!Y4</f>
        <v>Non</v>
      </c>
      <c r="G48" s="226">
        <f>'LP Optimization 1'!G4</f>
        <v>0</v>
      </c>
      <c r="H48" s="217">
        <f>'LP Optimization 1'!AC4</f>
        <v>0</v>
      </c>
    </row>
    <row r="49" spans="1:8" ht="31.2" x14ac:dyDescent="0.25">
      <c r="A49" s="219" t="str">
        <f>Threats!B4</f>
        <v>Threats to The Level of Service</v>
      </c>
      <c r="B49" s="220" t="str">
        <f>Threats!A4</f>
        <v>T4-Operator Errors</v>
      </c>
      <c r="C49" s="105">
        <f>'AHP Likelihood Calculation'!AD37</f>
        <v>6.7227326913070706E-2</v>
      </c>
      <c r="D49" s="218">
        <f>'AHP Severity Calculation'!AE38</f>
        <v>11.578031610471333</v>
      </c>
      <c r="E49" s="221">
        <f t="shared" si="2"/>
        <v>0.77836011608702282</v>
      </c>
      <c r="F49" s="222" t="str">
        <f>'LP Optimization 1'!Y5</f>
        <v>Non</v>
      </c>
      <c r="G49" s="226">
        <f>'LP Optimization 1'!G5</f>
        <v>0</v>
      </c>
      <c r="H49" s="217">
        <f>'LP Optimization 1'!AC5</f>
        <v>0</v>
      </c>
    </row>
    <row r="50" spans="1:8" ht="62.4" x14ac:dyDescent="0.25">
      <c r="A50" s="219" t="str">
        <f>Threats!B5</f>
        <v>Threats to The Level of Service</v>
      </c>
      <c r="B50" s="220" t="str">
        <f>Threats!A5</f>
        <v>T5-Malicious Inside Action</v>
      </c>
      <c r="C50" s="105">
        <f>'AHP Likelihood Calculation'!AD38</f>
        <v>4.4492642577803276E-2</v>
      </c>
      <c r="D50" s="218">
        <f>'AHP Severity Calculation'!AE39</f>
        <v>10.892287844474085</v>
      </c>
      <c r="E50" s="221">
        <f t="shared" si="2"/>
        <v>0.48462666991873676</v>
      </c>
      <c r="F50" s="222" t="str">
        <f>'LP Optimization 1'!Y6</f>
        <v>P25-Pre Employment Screening</v>
      </c>
      <c r="G50" s="226">
        <f>'LP Optimization 1'!G6</f>
        <v>1.2001218514414345E-2</v>
      </c>
      <c r="H50" s="217">
        <f>'LP Optimization 1'!AC6</f>
        <v>0</v>
      </c>
    </row>
    <row r="51" spans="1:8" ht="31.2" x14ac:dyDescent="0.25">
      <c r="A51" s="219" t="str">
        <f>Threats!B6</f>
        <v>Threats to The Level of Service</v>
      </c>
      <c r="B51" s="220" t="str">
        <f>Threats!A6</f>
        <v>T6-Trojan and Worms</v>
      </c>
      <c r="C51" s="105">
        <f>'AHP Likelihood Calculation'!AD39</f>
        <v>0.10407757204157696</v>
      </c>
      <c r="D51" s="218">
        <f>'AHP Severity Calculation'!AE40</f>
        <v>12.146807626184986</v>
      </c>
      <c r="E51" s="221">
        <f t="shared" si="2"/>
        <v>1.2642102457894442</v>
      </c>
      <c r="F51" s="222" t="str">
        <f>'LP Optimization 1'!Y7</f>
        <v>Non</v>
      </c>
      <c r="G51" s="226">
        <f>'LP Optimization 1'!G7</f>
        <v>0</v>
      </c>
      <c r="H51" s="217">
        <f>'LP Optimization 1'!AC7</f>
        <v>0</v>
      </c>
    </row>
    <row r="52" spans="1:8" ht="15.6" x14ac:dyDescent="0.25">
      <c r="A52" s="219" t="str">
        <f>Threats!B7</f>
        <v>Threats to The Level of Service</v>
      </c>
      <c r="B52" s="220" t="str">
        <f>Threats!A7</f>
        <v>T7-Fire</v>
      </c>
      <c r="C52" s="105">
        <f>'AHP Likelihood Calculation'!AD40</f>
        <v>1.6665052229327772E-2</v>
      </c>
      <c r="D52" s="218">
        <f>'AHP Severity Calculation'!AE41</f>
        <v>12.191282029056886</v>
      </c>
      <c r="E52" s="221">
        <f t="shared" si="2"/>
        <v>0.20316835175669806</v>
      </c>
      <c r="F52" s="222" t="str">
        <f>'LP Optimization 1'!Y8</f>
        <v>Non</v>
      </c>
      <c r="G52" s="226">
        <f>'LP Optimization 1'!G8</f>
        <v>0</v>
      </c>
      <c r="H52" s="217">
        <f>'LP Optimization 1'!AC8</f>
        <v>0</v>
      </c>
    </row>
    <row r="53" spans="1:8" ht="46.8" x14ac:dyDescent="0.25">
      <c r="A53" s="219" t="str">
        <f>Threats!B8</f>
        <v>Threats to The Level of Service</v>
      </c>
      <c r="B53" s="220" t="str">
        <f>Threats!A8</f>
        <v>T8-Other Enviromental Disasters</v>
      </c>
      <c r="C53" s="105">
        <f>'AHP Likelihood Calculation'!AD41</f>
        <v>1.2039520225759709E-2</v>
      </c>
      <c r="D53" s="218">
        <f>'AHP Severity Calculation'!AE42</f>
        <v>12.129639210147253</v>
      </c>
      <c r="E53" s="221">
        <f t="shared" si="2"/>
        <v>0.14603503660173589</v>
      </c>
      <c r="F53" s="222" t="str">
        <f>'LP Optimization 1'!Y9</f>
        <v>Non</v>
      </c>
      <c r="G53" s="226">
        <f>'LP Optimization 1'!G9</f>
        <v>0</v>
      </c>
      <c r="H53" s="217">
        <f>'LP Optimization 1'!AC9</f>
        <v>0</v>
      </c>
    </row>
    <row r="54" spans="1:8" ht="62.4" x14ac:dyDescent="0.25">
      <c r="A54" s="219" t="str">
        <f>Threats!B9</f>
        <v>Threats to The Level of Service</v>
      </c>
      <c r="B54" s="220" t="str">
        <f>Threats!A9</f>
        <v>T9-Availability Threats(DDOS)</v>
      </c>
      <c r="C54" s="105">
        <f>'AHP Likelihood Calculation'!AD42</f>
        <v>2.3550794265172554E-2</v>
      </c>
      <c r="D54" s="218">
        <f>'AHP Severity Calculation'!AE43</f>
        <v>6.4964999759679465</v>
      </c>
      <c r="E54" s="221">
        <f t="shared" si="2"/>
        <v>0.15299773437771955</v>
      </c>
      <c r="F54" s="222" t="str">
        <f>'LP Optimization 1'!Y10</f>
        <v>P11-Bandwidth Throtting Techniques</v>
      </c>
      <c r="G54" s="226">
        <f>'LP Optimization 1'!G10</f>
        <v>0</v>
      </c>
      <c r="H54" s="217">
        <f>'LP Optimization 1'!AC10</f>
        <v>0</v>
      </c>
    </row>
    <row r="55" spans="1:8" ht="31.2" x14ac:dyDescent="0.25">
      <c r="A55" s="219" t="str">
        <f>Threats!B10</f>
        <v>Threats to the Information Base</v>
      </c>
      <c r="B55" s="220" t="str">
        <f>Threats!A10</f>
        <v>T10-Disk Failure</v>
      </c>
      <c r="C55" s="105">
        <f>'AHP Likelihood Calculation'!AD43</f>
        <v>7.291793331983723E-2</v>
      </c>
      <c r="D55" s="218">
        <f>'AHP Severity Calculation'!AE44</f>
        <v>7.5276755814544218</v>
      </c>
      <c r="E55" s="221">
        <f t="shared" si="2"/>
        <v>0.54890254610186051</v>
      </c>
      <c r="F55" s="222" t="str">
        <f>'LP Optimization 1'!Y11</f>
        <v>Non</v>
      </c>
      <c r="G55" s="226">
        <f>'LP Optimization 1'!G11</f>
        <v>0</v>
      </c>
      <c r="H55" s="217">
        <f>'LP Optimization 1'!AC11</f>
        <v>0</v>
      </c>
    </row>
    <row r="56" spans="1:8" ht="31.2" x14ac:dyDescent="0.25">
      <c r="A56" s="219" t="str">
        <f>Threats!B11</f>
        <v>Threats to the Information Base</v>
      </c>
      <c r="B56" s="220" t="str">
        <f>Threats!A11</f>
        <v>T11-Data Corruption</v>
      </c>
      <c r="C56" s="105">
        <f>'AHP Likelihood Calculation'!AD44</f>
        <v>9.3795170093336891E-2</v>
      </c>
      <c r="D56" s="218">
        <f>'AHP Severity Calculation'!AE45</f>
        <v>6.0211041391251729</v>
      </c>
      <c r="E56" s="221">
        <f t="shared" si="2"/>
        <v>0.56475048687894036</v>
      </c>
      <c r="F56" s="222" t="str">
        <f>'LP Optimization 1'!Y12</f>
        <v>Non</v>
      </c>
      <c r="G56" s="226">
        <f>'LP Optimization 1'!G12</f>
        <v>0</v>
      </c>
      <c r="H56" s="217">
        <f>'LP Optimization 1'!AC12</f>
        <v>0</v>
      </c>
    </row>
    <row r="57" spans="1:8" ht="46.8" x14ac:dyDescent="0.25">
      <c r="A57" s="219" t="str">
        <f>Threats!B12</f>
        <v>Threats to the Information Base</v>
      </c>
      <c r="B57" s="220" t="str">
        <f>Threats!A12</f>
        <v>T12-Inaccurrate Data</v>
      </c>
      <c r="C57" s="105">
        <f>'AHP Likelihood Calculation'!AD45</f>
        <v>7.3606513466022649E-2</v>
      </c>
      <c r="D57" s="218">
        <f>'AHP Severity Calculation'!AE46</f>
        <v>6.8689179197053472</v>
      </c>
      <c r="E57" s="221">
        <f t="shared" si="2"/>
        <v>0.50559709935379593</v>
      </c>
      <c r="F57" s="222" t="str">
        <f>'LP Optimization 1'!Y13</f>
        <v>Non</v>
      </c>
      <c r="G57" s="226">
        <f>'LP Optimization 1'!G13</f>
        <v>0</v>
      </c>
      <c r="H57" s="217">
        <f>'LP Optimization 1'!AC13</f>
        <v>0</v>
      </c>
    </row>
    <row r="58" spans="1:8" ht="46.8" x14ac:dyDescent="0.25">
      <c r="A58" s="219" t="str">
        <f>Threats!B13</f>
        <v>Threats to the Information Base</v>
      </c>
      <c r="B58" s="220" t="str">
        <f>Threats!A13</f>
        <v>T13-Un-authorized Access</v>
      </c>
      <c r="C58" s="105">
        <f>'AHP Likelihood Calculation'!AD46</f>
        <v>0.26976623313860026</v>
      </c>
      <c r="D58" s="218">
        <f>'AHP Severity Calculation'!AE47</f>
        <v>6.6001333408927136</v>
      </c>
      <c r="E58" s="221">
        <f t="shared" si="2"/>
        <v>1.7804931095851124</v>
      </c>
      <c r="F58" s="222" t="str">
        <f>'LP Optimization 1'!Y14</f>
        <v>Non</v>
      </c>
      <c r="G58" s="226">
        <f>'LP Optimization 1'!G14</f>
        <v>0</v>
      </c>
      <c r="H58" s="217">
        <f>'LP Optimization 1'!AC14</f>
        <v>0</v>
      </c>
    </row>
    <row r="59" spans="1:8" ht="46.8" x14ac:dyDescent="0.25">
      <c r="A59" s="219" t="str">
        <f>Threats!B14</f>
        <v>Threats to the Information Base</v>
      </c>
      <c r="B59" s="220" t="str">
        <f>Threats!A14</f>
        <v>T14-Virus and Spyware</v>
      </c>
      <c r="C59" s="105">
        <f>'AHP Likelihood Calculation'!AD47</f>
        <v>0.70636436643241918</v>
      </c>
      <c r="D59" s="218">
        <f>'AHP Severity Calculation'!AE48</f>
        <v>8.441538406590734</v>
      </c>
      <c r="E59" s="221">
        <f t="shared" si="2"/>
        <v>5.9628019282863969</v>
      </c>
      <c r="F59" s="222" t="str">
        <f>'LP Optimization 1'!Y15</f>
        <v>Non</v>
      </c>
      <c r="G59" s="226">
        <f>'LP Optimization 1'!G15</f>
        <v>0</v>
      </c>
      <c r="H59" s="217">
        <f>'LP Optimization 1'!AC15</f>
        <v>0</v>
      </c>
    </row>
    <row r="60" spans="1:8" ht="15.6" x14ac:dyDescent="0.25">
      <c r="A60" s="219" t="str">
        <f>Threats!B15</f>
        <v>Threats to Information Leakage</v>
      </c>
      <c r="B60" s="220" t="str">
        <f>Threats!A15</f>
        <v>T15-Hacking</v>
      </c>
      <c r="C60" s="105">
        <f>'AHP Likelihood Calculation'!AD48</f>
        <v>9.5674681970019146E-2</v>
      </c>
      <c r="D60" s="218">
        <f>'AHP Severity Calculation'!AE49</f>
        <v>8.2339380545426568</v>
      </c>
      <c r="E60" s="221">
        <f t="shared" si="2"/>
        <v>0.78777940472920682</v>
      </c>
      <c r="F60" s="222" t="str">
        <f>'LP Optimization 1'!Y16</f>
        <v>Non</v>
      </c>
      <c r="G60" s="226">
        <f>'LP Optimization 1'!G16</f>
        <v>0</v>
      </c>
      <c r="H60" s="217">
        <f>'LP Optimization 1'!AC16</f>
        <v>0</v>
      </c>
    </row>
    <row r="61" spans="1:8" ht="31.2" x14ac:dyDescent="0.25">
      <c r="A61" s="219" t="str">
        <f>Threats!B16</f>
        <v>Threats to Information Leakage</v>
      </c>
      <c r="B61" s="220" t="str">
        <f>Threats!A16</f>
        <v>T16-Media Leakage</v>
      </c>
      <c r="C61" s="105">
        <f>'AHP Likelihood Calculation'!AD49</f>
        <v>5.8604824167280453E-2</v>
      </c>
      <c r="D61" s="218">
        <f>'AHP Severity Calculation'!AE50</f>
        <v>8.3977019664680004</v>
      </c>
      <c r="E61" s="221">
        <f t="shared" si="2"/>
        <v>0.49214584715408244</v>
      </c>
      <c r="F61" s="222" t="str">
        <f>'LP Optimization 1'!Y17</f>
        <v>Non</v>
      </c>
      <c r="G61" s="226">
        <f>'LP Optimization 1'!G17</f>
        <v>0</v>
      </c>
      <c r="H61" s="217">
        <f>'LP Optimization 1'!AC17</f>
        <v>0</v>
      </c>
    </row>
    <row r="62" spans="1:8" ht="93.6" x14ac:dyDescent="0.25">
      <c r="A62" s="219" t="str">
        <f>Threats!B17</f>
        <v>Threats to Information Leakage</v>
      </c>
      <c r="B62" s="220" t="str">
        <f>Threats!A17</f>
        <v>T17-Communication Preventers(Botnet, Dialer)</v>
      </c>
      <c r="C62" s="105">
        <f>'AHP Likelihood Calculation'!AD50</f>
        <v>0.27124323692319202</v>
      </c>
      <c r="D62" s="218">
        <f>'AHP Severity Calculation'!AE51</f>
        <v>8.4413389011697877</v>
      </c>
      <c r="E62" s="221">
        <f t="shared" si="2"/>
        <v>2.2896560875189542</v>
      </c>
      <c r="F62" s="222" t="str">
        <f>'LP Optimization 1'!Y18</f>
        <v>Non</v>
      </c>
      <c r="G62" s="226">
        <f>'LP Optimization 1'!G18</f>
        <v>0</v>
      </c>
      <c r="H62" s="217">
        <f>'LP Optimization 1'!AC18</f>
        <v>0</v>
      </c>
    </row>
    <row r="63" spans="1:8" ht="46.8" x14ac:dyDescent="0.25">
      <c r="A63" s="219" t="str">
        <f>Threats!B18</f>
        <v>Threats to Information Leakage</v>
      </c>
      <c r="B63" s="220" t="str">
        <f>Threats!A18</f>
        <v>T18-Authentication Threats</v>
      </c>
      <c r="C63" s="105">
        <f>'AHP Likelihood Calculation'!AD51</f>
        <v>0.58184563157288882</v>
      </c>
      <c r="D63" s="218">
        <f>'AHP Severity Calculation'!AE52</f>
        <v>8.2991718636394793</v>
      </c>
      <c r="E63" s="221">
        <f t="shared" si="2"/>
        <v>4.8288368945312614</v>
      </c>
      <c r="F63" s="222" t="str">
        <f>'LP Optimization 1'!Y19</f>
        <v>P16-Pretty Good Privacy</v>
      </c>
      <c r="G63" s="226">
        <f>'LP Optimization 1'!G19</f>
        <v>0</v>
      </c>
      <c r="H63" s="217">
        <f>'LP Optimization 1'!AC19</f>
        <v>0</v>
      </c>
    </row>
    <row r="64" spans="1:8" ht="46.8" x14ac:dyDescent="0.25">
      <c r="A64" s="219" t="str">
        <f>Threats!B19</f>
        <v>Threats to Information Leakage</v>
      </c>
      <c r="B64" s="220" t="str">
        <f>Threats!A19</f>
        <v>T19-Non Repudiation Threats</v>
      </c>
      <c r="C64" s="105">
        <f>'AHP Likelihood Calculation'!AD52</f>
        <v>0.28643382192337691</v>
      </c>
      <c r="D64" s="218">
        <f>'AHP Severity Calculation'!AE53</f>
        <v>8.0690371763924471</v>
      </c>
      <c r="E64" s="221">
        <f t="shared" si="2"/>
        <v>2.3112451576759021</v>
      </c>
      <c r="F64" s="222" t="str">
        <f>'LP Optimization 1'!Y20</f>
        <v>P20-Turn off AutoRun</v>
      </c>
      <c r="G64" s="226">
        <f>'LP Optimization 1'!G20</f>
        <v>5.4643304358883886E-3</v>
      </c>
      <c r="H64" s="217">
        <f>'LP Optimization 1'!AC20</f>
        <v>0</v>
      </c>
    </row>
    <row r="65" spans="1:8" ht="46.8" x14ac:dyDescent="0.25">
      <c r="A65" s="219" t="str">
        <f>Threats!B20</f>
        <v>Threats to Information Leakage</v>
      </c>
      <c r="B65" s="220" t="str">
        <f>Threats!A20</f>
        <v>T20-Separation of Duties</v>
      </c>
      <c r="C65" s="105">
        <f>'AHP Likelihood Calculation'!AD53</f>
        <v>0.3317214128842092</v>
      </c>
      <c r="D65" s="218">
        <f>'AHP Severity Calculation'!AE54</f>
        <v>8.4836205519710202</v>
      </c>
      <c r="E65" s="221">
        <f t="shared" si="2"/>
        <v>2.8141985958733415</v>
      </c>
      <c r="F65" s="222" t="str">
        <f>'LP Optimization 1'!Y21</f>
        <v>Non</v>
      </c>
      <c r="G65" s="226">
        <f>'LP Optimization 1'!G21</f>
        <v>0</v>
      </c>
      <c r="H65" s="217">
        <f>'LP Optimization 1'!AC21</f>
        <v>0</v>
      </c>
    </row>
    <row r="66" spans="1:8" ht="46.8" x14ac:dyDescent="0.25">
      <c r="A66" s="219" t="str">
        <f>Threats!B21</f>
        <v>Threats to Information Leakage</v>
      </c>
      <c r="B66" s="220" t="str">
        <f>Threats!A21</f>
        <v>T21-Configuration Threats</v>
      </c>
      <c r="C66" s="105">
        <f>'AHP Likelihood Calculation'!AD54</f>
        <v>0.38319826966022075</v>
      </c>
      <c r="D66" s="218">
        <f>'AHP Severity Calculation'!AE55</f>
        <v>8.4535334730043985</v>
      </c>
      <c r="E66" s="221">
        <f t="shared" si="2"/>
        <v>3.2393793993700419</v>
      </c>
      <c r="F66" s="222" t="str">
        <f>'LP Optimization 1'!Y22</f>
        <v>Non</v>
      </c>
      <c r="G66" s="226">
        <f>'LP Optimization 1'!G22</f>
        <v>0</v>
      </c>
      <c r="H66" s="217">
        <f>'LP Optimization 1'!AC22</f>
        <v>0</v>
      </c>
    </row>
    <row r="67" spans="1:8" ht="46.8" x14ac:dyDescent="0.25">
      <c r="A67" s="219" t="str">
        <f>Threats!B22</f>
        <v>Threats to Information Leakage</v>
      </c>
      <c r="B67" s="220" t="str">
        <f>Threats!A22</f>
        <v>T22- Communications Threats</v>
      </c>
      <c r="C67" s="105">
        <f>'AHP Likelihood Calculation'!AD55</f>
        <v>0.29315402277471436</v>
      </c>
      <c r="D67" s="218">
        <f>'AHP Severity Calculation'!AE56</f>
        <v>0</v>
      </c>
      <c r="E67" s="221">
        <f t="shared" si="2"/>
        <v>0</v>
      </c>
      <c r="F67" s="222" t="str">
        <f>'LP Optimization 1'!Y23</f>
        <v>Non</v>
      </c>
      <c r="G67" s="226">
        <f>'LP Optimization 1'!G23</f>
        <v>0</v>
      </c>
      <c r="H67" s="217">
        <f>'LP Optimization 1'!AC23</f>
        <v>0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23"/>
  <sheetViews>
    <sheetView topLeftCell="A17" zoomScale="40" zoomScaleNormal="40" workbookViewId="0">
      <selection activeCell="AX37" sqref="AX37"/>
    </sheetView>
  </sheetViews>
  <sheetFormatPr defaultRowHeight="13.2" x14ac:dyDescent="0.25"/>
  <cols>
    <col min="1" max="1" width="23.6640625" customWidth="1"/>
    <col min="3" max="3" width="11" customWidth="1"/>
    <col min="4" max="4" width="12.88671875" customWidth="1"/>
  </cols>
  <sheetData>
    <row r="1" spans="1:4" ht="37.950000000000003" customHeight="1" x14ac:dyDescent="0.3">
      <c r="A1" s="227" t="s">
        <v>304</v>
      </c>
      <c r="B1" s="227" t="s">
        <v>106</v>
      </c>
      <c r="C1" s="227" t="s">
        <v>308</v>
      </c>
      <c r="D1" s="227" t="s">
        <v>309</v>
      </c>
    </row>
    <row r="2" spans="1:4" ht="26.4" x14ac:dyDescent="0.25">
      <c r="A2" s="228" t="str">
        <f>'Summary 1'!A2</f>
        <v>Threats to The Level of Service</v>
      </c>
      <c r="B2" s="229" t="str">
        <f>'Summary 1'!B2</f>
        <v>T1-Power Loss</v>
      </c>
      <c r="C2" s="229">
        <v>7.73543776845578</v>
      </c>
      <c r="D2" s="229">
        <v>4000</v>
      </c>
    </row>
    <row r="3" spans="1:4" ht="26.4" x14ac:dyDescent="0.25">
      <c r="A3" s="228" t="str">
        <f>'Summary 1'!A3</f>
        <v>Threats to The Level of Service</v>
      </c>
      <c r="B3" s="229" t="str">
        <f>'Summary 1'!B3</f>
        <v>T2-Hardware Failure</v>
      </c>
      <c r="C3" s="229">
        <v>0.66340848527728324</v>
      </c>
      <c r="D3" s="229">
        <v>0</v>
      </c>
    </row>
    <row r="4" spans="1:4" ht="26.4" x14ac:dyDescent="0.25">
      <c r="A4" s="228" t="str">
        <f>'Summary 1'!A4</f>
        <v>Threats to The Level of Service</v>
      </c>
      <c r="B4" s="229" t="str">
        <f>'Summary 1'!B4</f>
        <v>T3-Software Crash</v>
      </c>
      <c r="C4" s="229">
        <v>2.7089505146929236</v>
      </c>
      <c r="D4" s="229">
        <v>0</v>
      </c>
    </row>
    <row r="5" spans="1:4" ht="26.4" x14ac:dyDescent="0.25">
      <c r="A5" s="228" t="str">
        <f>'Summary 1'!A5</f>
        <v>Threats to The Level of Service</v>
      </c>
      <c r="B5" s="229" t="str">
        <f>'Summary 1'!B5</f>
        <v>T4-Operator Errors</v>
      </c>
      <c r="C5" s="229">
        <v>2.3350803482610685</v>
      </c>
      <c r="D5" s="229">
        <v>36000</v>
      </c>
    </row>
    <row r="6" spans="1:4" ht="26.4" x14ac:dyDescent="0.25">
      <c r="A6" s="228" t="str">
        <f>'Summary 1'!A6</f>
        <v>Threats to The Level of Service</v>
      </c>
      <c r="B6" s="229" t="str">
        <f>'Summary 1'!B6</f>
        <v>T5-Malicious Inside Action</v>
      </c>
      <c r="C6" s="229">
        <v>1.4538800097562103</v>
      </c>
      <c r="D6" s="229">
        <v>0</v>
      </c>
    </row>
    <row r="7" spans="1:4" ht="26.4" x14ac:dyDescent="0.25">
      <c r="A7" s="228" t="str">
        <f>'Summary 1'!A7</f>
        <v>Threats to The Level of Service</v>
      </c>
      <c r="B7" s="229" t="str">
        <f>'Summary 1'!B7</f>
        <v>T6-Trojan and Worms</v>
      </c>
      <c r="C7" s="229">
        <v>3.7926307373683326</v>
      </c>
      <c r="D7" s="229">
        <v>0</v>
      </c>
    </row>
    <row r="8" spans="1:4" ht="26.4" x14ac:dyDescent="0.25">
      <c r="A8" s="228" t="str">
        <f>'Summary 1'!A8</f>
        <v>Threats to The Level of Service</v>
      </c>
      <c r="B8" s="229" t="str">
        <f>'Summary 1'!B8</f>
        <v>T7-Fire</v>
      </c>
      <c r="C8" s="229">
        <v>0.60950505527009424</v>
      </c>
      <c r="D8" s="229">
        <v>0</v>
      </c>
    </row>
    <row r="9" spans="1:4" ht="26.4" x14ac:dyDescent="0.25">
      <c r="A9" s="228" t="str">
        <f>'Summary 1'!A9</f>
        <v>Threats to The Level of Service</v>
      </c>
      <c r="B9" s="229" t="str">
        <f>'Summary 1'!B9</f>
        <v>T8-Other Enviromental Disasters</v>
      </c>
      <c r="C9" s="229">
        <v>0.43810510980520767</v>
      </c>
      <c r="D9" s="229">
        <v>0</v>
      </c>
    </row>
    <row r="10" spans="1:4" ht="26.4" x14ac:dyDescent="0.25">
      <c r="A10" s="228" t="str">
        <f>'Summary 1'!A10</f>
        <v>Threats to The Level of Service</v>
      </c>
      <c r="B10" s="229" t="str">
        <f>'Summary 1'!B10</f>
        <v>T9-Availability Threats(DDOS)</v>
      </c>
      <c r="C10" s="229">
        <v>0.45899320313315861</v>
      </c>
      <c r="D10" s="229">
        <v>6000</v>
      </c>
    </row>
    <row r="11" spans="1:4" ht="26.4" x14ac:dyDescent="0.25">
      <c r="A11" s="228" t="str">
        <f>'Summary 1'!A11</f>
        <v>Threats to the Information Base</v>
      </c>
      <c r="B11" s="229" t="str">
        <f>'Summary 1'!B11</f>
        <v>T10-Disk Failure</v>
      </c>
      <c r="C11" s="229">
        <v>1.6467076383055814</v>
      </c>
      <c r="D11" s="229">
        <v>1000</v>
      </c>
    </row>
    <row r="12" spans="1:4" ht="26.4" x14ac:dyDescent="0.25">
      <c r="A12" s="228" t="str">
        <f>'Summary 1'!A12</f>
        <v>Threats to the Information Base</v>
      </c>
      <c r="B12" s="229" t="str">
        <f>'Summary 1'!B12</f>
        <v>T11-Data Corruption</v>
      </c>
      <c r="C12" s="229">
        <v>1.6942514606368211</v>
      </c>
      <c r="D12" s="229">
        <v>6250</v>
      </c>
    </row>
    <row r="13" spans="1:4" ht="26.4" x14ac:dyDescent="0.25">
      <c r="A13" s="228" t="str">
        <f>'Summary 1'!A13</f>
        <v>Threats to the Information Base</v>
      </c>
      <c r="B13" s="229" t="str">
        <f>'Summary 1'!B13</f>
        <v>T12-Inaccurrate Data</v>
      </c>
      <c r="C13" s="229">
        <v>1.5167912980613878</v>
      </c>
      <c r="D13" s="229">
        <v>0</v>
      </c>
    </row>
    <row r="14" spans="1:4" ht="26.4" x14ac:dyDescent="0.25">
      <c r="A14" s="228" t="str">
        <f>'Summary 1'!A14</f>
        <v>Threats to the Information Base</v>
      </c>
      <c r="B14" s="229" t="str">
        <f>'Summary 1'!B14</f>
        <v>T13-Un-authorized Access</v>
      </c>
      <c r="C14" s="229">
        <v>5.3414793287553373</v>
      </c>
      <c r="D14" s="229">
        <v>10000</v>
      </c>
    </row>
    <row r="15" spans="1:4" ht="26.4" x14ac:dyDescent="0.25">
      <c r="A15" s="228" t="str">
        <f>'Summary 1'!A15</f>
        <v>Threats to the Information Base</v>
      </c>
      <c r="B15" s="229" t="str">
        <f>'Summary 1'!B15</f>
        <v>T14-Virus and Spyware</v>
      </c>
      <c r="C15" s="229">
        <v>17.888405784859192</v>
      </c>
      <c r="D15" s="229">
        <v>6250</v>
      </c>
    </row>
    <row r="16" spans="1:4" ht="26.4" x14ac:dyDescent="0.25">
      <c r="A16" s="228" t="str">
        <f>'Summary 1'!A16</f>
        <v>Threats to Information Leakage</v>
      </c>
      <c r="B16" s="229" t="str">
        <f>'Summary 1'!B16</f>
        <v>T15-Hacking</v>
      </c>
      <c r="C16" s="229">
        <v>2.3633382141876202</v>
      </c>
      <c r="D16" s="229">
        <v>2000</v>
      </c>
    </row>
    <row r="17" spans="1:4" ht="26.4" x14ac:dyDescent="0.25">
      <c r="A17" s="228" t="str">
        <f>'Summary 1'!A17</f>
        <v>Threats to Information Leakage</v>
      </c>
      <c r="B17" s="229" t="str">
        <f>'Summary 1'!B17</f>
        <v>T16-Media Leakage</v>
      </c>
      <c r="C17" s="229">
        <v>1.4764375414622473</v>
      </c>
      <c r="D17" s="229">
        <v>0</v>
      </c>
    </row>
    <row r="18" spans="1:4" ht="26.4" x14ac:dyDescent="0.25">
      <c r="A18" s="228" t="str">
        <f>'Summary 1'!A18</f>
        <v>Threats to Information Leakage</v>
      </c>
      <c r="B18" s="229" t="str">
        <f>'Summary 1'!B18</f>
        <v>T17-Communication Preventers(Botnet, Dialer)</v>
      </c>
      <c r="C18" s="229">
        <v>6.8689682625568622</v>
      </c>
      <c r="D18" s="229">
        <v>0</v>
      </c>
    </row>
    <row r="19" spans="1:4" ht="26.4" x14ac:dyDescent="0.25">
      <c r="A19" s="228" t="str">
        <f>'Summary 1'!A19</f>
        <v>Threats to Information Leakage</v>
      </c>
      <c r="B19" s="229" t="str">
        <f>'Summary 1'!B19</f>
        <v>T18-Authentication Threats</v>
      </c>
      <c r="C19" s="229">
        <v>14.486510683593785</v>
      </c>
      <c r="D19" s="229">
        <v>27500</v>
      </c>
    </row>
    <row r="20" spans="1:4" ht="26.4" x14ac:dyDescent="0.25">
      <c r="A20" s="228" t="str">
        <f>'Summary 1'!A20</f>
        <v>Threats to Information Leakage</v>
      </c>
      <c r="B20" s="229" t="str">
        <f>'Summary 1'!B20</f>
        <v>T19-Non Repudiation Threats</v>
      </c>
      <c r="C20" s="229">
        <v>6.9337354730277063</v>
      </c>
      <c r="D20" s="229">
        <v>0</v>
      </c>
    </row>
    <row r="21" spans="1:4" ht="26.4" x14ac:dyDescent="0.25">
      <c r="A21" s="228" t="str">
        <f>'Summary 1'!A21</f>
        <v>Threats to Information Leakage</v>
      </c>
      <c r="B21" s="229" t="str">
        <f>'Summary 1'!B21</f>
        <v>T20-Separation of Duties</v>
      </c>
      <c r="C21" s="229">
        <v>8.442595787620025</v>
      </c>
      <c r="D21" s="229">
        <v>0</v>
      </c>
    </row>
    <row r="22" spans="1:4" ht="26.4" x14ac:dyDescent="0.25">
      <c r="A22" s="228" t="str">
        <f>'Summary 1'!A22</f>
        <v>Threats to Information Leakage</v>
      </c>
      <c r="B22" s="229" t="str">
        <f>'Summary 1'!B22</f>
        <v>T21-Configuration Threats</v>
      </c>
      <c r="C22" s="229">
        <v>9.7181381981101254</v>
      </c>
      <c r="D22" s="229">
        <v>0</v>
      </c>
    </row>
    <row r="23" spans="1:4" ht="26.4" x14ac:dyDescent="0.25">
      <c r="A23" s="228" t="str">
        <f>'Summary 1'!A23</f>
        <v>Threats to Information Leakage</v>
      </c>
      <c r="B23" s="229" t="str">
        <f>'Summary 1'!B23</f>
        <v>T22- Communications Threats</v>
      </c>
      <c r="C23" s="229">
        <v>0</v>
      </c>
      <c r="D23" s="229">
        <v>1000</v>
      </c>
    </row>
  </sheetData>
  <pageMargins left="0.7" right="0.7" top="0.75" bottom="0.75" header="0.3" footer="0.3"/>
  <pageSetup orientation="portrait" horizontalDpi="4294967293" vertic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D33"/>
  <sheetViews>
    <sheetView tabSelected="1" topLeftCell="B19" zoomScale="70" zoomScaleNormal="70" workbookViewId="0">
      <selection activeCell="C37" sqref="C37"/>
    </sheetView>
  </sheetViews>
  <sheetFormatPr defaultRowHeight="13.2" x14ac:dyDescent="0.25"/>
  <cols>
    <col min="1" max="1" width="57.5546875" bestFit="1" customWidth="1"/>
    <col min="2" max="2" width="19.33203125" customWidth="1"/>
    <col min="3" max="3" width="23.33203125" customWidth="1"/>
  </cols>
  <sheetData>
    <row r="1" spans="1:4" ht="43.2" x14ac:dyDescent="0.3">
      <c r="A1" s="230" t="s">
        <v>305</v>
      </c>
      <c r="B1" s="227" t="s">
        <v>321</v>
      </c>
      <c r="C1" s="227" t="s">
        <v>309</v>
      </c>
      <c r="D1" s="227" t="s">
        <v>367</v>
      </c>
    </row>
    <row r="2" spans="1:4" x14ac:dyDescent="0.25">
      <c r="A2" s="229" t="str">
        <f>Precautions!A1</f>
        <v>P1-Install USB</v>
      </c>
      <c r="B2" s="229">
        <v>1.0681703604114981E-2</v>
      </c>
      <c r="C2" s="229">
        <v>4000</v>
      </c>
      <c r="D2" s="229" t="s">
        <v>121</v>
      </c>
    </row>
    <row r="3" spans="1:4" x14ac:dyDescent="0.25">
      <c r="A3" s="229" t="str">
        <f>Precautions!A2</f>
        <v>P2-Replicate Servers</v>
      </c>
      <c r="B3" s="229">
        <v>0</v>
      </c>
      <c r="C3" s="229">
        <v>0</v>
      </c>
      <c r="D3" s="229" t="s">
        <v>127</v>
      </c>
    </row>
    <row r="4" spans="1:4" x14ac:dyDescent="0.25">
      <c r="A4" s="229" t="str">
        <f>Precautions!A3</f>
        <v>P3-Add validation to forms</v>
      </c>
      <c r="B4" s="229">
        <v>0</v>
      </c>
      <c r="C4" s="229">
        <v>0</v>
      </c>
      <c r="D4" s="229" t="s">
        <v>133</v>
      </c>
    </row>
    <row r="5" spans="1:4" x14ac:dyDescent="0.25">
      <c r="A5" s="229" t="str">
        <f>Precautions!A4</f>
        <v>P4-Education and Assessment of Security Personal</v>
      </c>
      <c r="B5" s="229">
        <v>6.2378403220160559E-3</v>
      </c>
      <c r="C5" s="229">
        <v>36000</v>
      </c>
      <c r="D5" s="229" t="s">
        <v>138</v>
      </c>
    </row>
    <row r="6" spans="1:4" x14ac:dyDescent="0.25">
      <c r="A6" s="229" t="str">
        <f>Precautions!A5</f>
        <v>P5-Functional Isolation</v>
      </c>
      <c r="B6" s="229">
        <v>7.2007311086486068E-3</v>
      </c>
      <c r="C6" s="229">
        <v>0</v>
      </c>
      <c r="D6" s="229" t="s">
        <v>143</v>
      </c>
    </row>
    <row r="7" spans="1:4" x14ac:dyDescent="0.25">
      <c r="A7" s="229" t="str">
        <f>Precautions!A6</f>
        <v>P6-AntiVirus</v>
      </c>
      <c r="B7" s="229">
        <v>4.9653878896718781E-2</v>
      </c>
      <c r="C7" s="229">
        <v>7500</v>
      </c>
      <c r="D7" s="229" t="s">
        <v>148</v>
      </c>
    </row>
    <row r="8" spans="1:4" x14ac:dyDescent="0.25">
      <c r="A8" s="229" t="str">
        <f>Precautions!A7</f>
        <v>P7-Anti spam</v>
      </c>
      <c r="B8" s="229">
        <v>4.8027633540151521E-2</v>
      </c>
      <c r="C8" s="229">
        <v>5000</v>
      </c>
      <c r="D8" s="229" t="s">
        <v>154</v>
      </c>
    </row>
    <row r="9" spans="1:4" x14ac:dyDescent="0.25">
      <c r="A9" s="229" t="str">
        <f>Precautions!A8</f>
        <v>P8-Disaster Recovery on Cloud</v>
      </c>
      <c r="B9" s="229">
        <v>0</v>
      </c>
      <c r="C9" s="229">
        <v>0</v>
      </c>
      <c r="D9" s="229" t="s">
        <v>160</v>
      </c>
    </row>
    <row r="10" spans="1:4" x14ac:dyDescent="0.25">
      <c r="A10" s="229" t="str">
        <f>Precautions!A9</f>
        <v>P9-FHM System</v>
      </c>
      <c r="B10" s="229">
        <v>0</v>
      </c>
      <c r="C10" s="229">
        <v>0</v>
      </c>
      <c r="D10" s="229" t="s">
        <v>343</v>
      </c>
    </row>
    <row r="11" spans="1:4" x14ac:dyDescent="0.25">
      <c r="A11" s="229" t="str">
        <f>Precautions!A10</f>
        <v>P10-Increase Bandwidth</v>
      </c>
      <c r="B11" s="229">
        <v>0</v>
      </c>
      <c r="C11" s="229">
        <v>0</v>
      </c>
      <c r="D11" s="229" t="s">
        <v>344</v>
      </c>
    </row>
    <row r="12" spans="1:4" x14ac:dyDescent="0.25">
      <c r="A12" s="229" t="str">
        <f>Precautions!A11</f>
        <v>P11-Bandwidth throttling techniques</v>
      </c>
      <c r="B12" s="229">
        <v>0</v>
      </c>
      <c r="C12" s="229">
        <v>0</v>
      </c>
      <c r="D12" s="229" t="s">
        <v>345</v>
      </c>
    </row>
    <row r="13" spans="1:4" x14ac:dyDescent="0.25">
      <c r="A13" s="229" t="str">
        <f>Precautions!A12</f>
        <v>P12-Traffic Management</v>
      </c>
      <c r="B13" s="229">
        <v>0</v>
      </c>
      <c r="C13" s="229">
        <v>0</v>
      </c>
      <c r="D13" s="229" t="s">
        <v>123</v>
      </c>
    </row>
    <row r="14" spans="1:4" x14ac:dyDescent="0.25">
      <c r="A14" s="229" t="str">
        <f>Precautions!A13</f>
        <v>P13-Backup Tapes</v>
      </c>
      <c r="B14" s="229">
        <v>2.82564457199207E-3</v>
      </c>
      <c r="C14" s="229">
        <v>1000</v>
      </c>
      <c r="D14" s="229" t="s">
        <v>129</v>
      </c>
    </row>
    <row r="15" spans="1:4" x14ac:dyDescent="0.25">
      <c r="A15" s="229" t="str">
        <f>Precautions!A14</f>
        <v>P14-Firewall</v>
      </c>
      <c r="B15" s="229">
        <v>0</v>
      </c>
      <c r="C15" s="229">
        <v>0</v>
      </c>
      <c r="D15" s="229" t="s">
        <v>135</v>
      </c>
    </row>
    <row r="16" spans="1:4" x14ac:dyDescent="0.25">
      <c r="A16" s="229" t="str">
        <f>Precautions!A15</f>
        <v>P15-Improvement in Data Distribution and Data Governance Policies</v>
      </c>
      <c r="B16" s="229">
        <v>0</v>
      </c>
      <c r="C16" s="229">
        <v>0</v>
      </c>
      <c r="D16" s="229" t="s">
        <v>139</v>
      </c>
    </row>
    <row r="17" spans="1:4" x14ac:dyDescent="0.25">
      <c r="A17" s="229" t="str">
        <f>Precautions!A16</f>
        <v>P16-Pretty Good Privacy</v>
      </c>
      <c r="B17" s="229">
        <v>6.0837484844589278E-3</v>
      </c>
      <c r="C17" s="229">
        <v>15000</v>
      </c>
      <c r="D17" s="229" t="s">
        <v>144</v>
      </c>
    </row>
    <row r="18" spans="1:4" x14ac:dyDescent="0.25">
      <c r="A18" s="229" t="str">
        <f>Precautions!A17</f>
        <v>P17-Strong passwords</v>
      </c>
      <c r="B18" s="229">
        <v>0</v>
      </c>
      <c r="C18" s="229">
        <v>0</v>
      </c>
      <c r="D18" s="229" t="s">
        <v>150</v>
      </c>
    </row>
    <row r="19" spans="1:4" x14ac:dyDescent="0.25">
      <c r="A19" s="229" t="str">
        <f>Precautions!A18</f>
        <v>P18-Regular software patches</v>
      </c>
      <c r="B19" s="229">
        <v>0</v>
      </c>
      <c r="C19" s="229">
        <v>0</v>
      </c>
      <c r="D19" s="229" t="s">
        <v>156</v>
      </c>
    </row>
    <row r="20" spans="1:4" x14ac:dyDescent="0.25">
      <c r="A20" s="229" t="str">
        <f>Precautions!A19</f>
        <v>P19-Use of 64 bit OS</v>
      </c>
      <c r="B20" s="229">
        <v>0</v>
      </c>
      <c r="C20" s="229">
        <v>0</v>
      </c>
      <c r="D20" s="229" t="s">
        <v>162</v>
      </c>
    </row>
    <row r="21" spans="1:4" x14ac:dyDescent="0.25">
      <c r="A21" s="229" t="str">
        <f>Precautions!A20</f>
        <v>P20-Turnoff Auto-Run</v>
      </c>
      <c r="B21" s="229">
        <v>0</v>
      </c>
      <c r="C21" s="229">
        <v>0</v>
      </c>
      <c r="D21" s="229" t="s">
        <v>346</v>
      </c>
    </row>
    <row r="22" spans="1:4" x14ac:dyDescent="0.25">
      <c r="A22" s="229" t="str">
        <f>Precautions!A21</f>
        <v>P21-Load – Un-Load Drivers</v>
      </c>
      <c r="B22" s="229">
        <v>0</v>
      </c>
      <c r="C22" s="229">
        <v>0</v>
      </c>
      <c r="D22" s="229" t="s">
        <v>349</v>
      </c>
    </row>
    <row r="23" spans="1:4" x14ac:dyDescent="0.25">
      <c r="A23" s="229" t="str">
        <f>Precautions!A22</f>
        <v>P22-Increase Physical Security</v>
      </c>
      <c r="B23" s="229">
        <v>5.9149303330451449E-3</v>
      </c>
      <c r="C23" s="229">
        <v>0</v>
      </c>
      <c r="D23" s="229" t="s">
        <v>347</v>
      </c>
    </row>
    <row r="24" spans="1:4" x14ac:dyDescent="0.25">
      <c r="A24" s="229" t="str">
        <f>Precautions!A23</f>
        <v>P23-Service level software agreement, PAAS</v>
      </c>
      <c r="B24" s="229">
        <v>0</v>
      </c>
      <c r="C24" s="229">
        <v>0</v>
      </c>
      <c r="D24" s="229" t="s">
        <v>125</v>
      </c>
    </row>
    <row r="25" spans="1:4" x14ac:dyDescent="0.25">
      <c r="A25" s="229" t="str">
        <f>Precautions!A24</f>
        <v>P24-Auditing</v>
      </c>
      <c r="B25" s="229">
        <v>0</v>
      </c>
      <c r="C25" s="229">
        <v>0</v>
      </c>
      <c r="D25" s="229" t="s">
        <v>131</v>
      </c>
    </row>
    <row r="26" spans="1:4" x14ac:dyDescent="0.25">
      <c r="A26" s="229" t="str">
        <f>Precautions!A25</f>
        <v>P25-Pre-employment screening</v>
      </c>
      <c r="B26" s="229">
        <v>0</v>
      </c>
      <c r="C26" s="229">
        <v>0</v>
      </c>
      <c r="D26" s="229" t="s">
        <v>136</v>
      </c>
    </row>
    <row r="27" spans="1:4" x14ac:dyDescent="0.25">
      <c r="A27" s="229" t="str">
        <f>Precautions!A26</f>
        <v>P26-Mandatory vacations</v>
      </c>
      <c r="B27" s="229">
        <v>4.8004874057657387E-3</v>
      </c>
      <c r="C27" s="229">
        <v>0</v>
      </c>
      <c r="D27" s="229" t="s">
        <v>141</v>
      </c>
    </row>
    <row r="28" spans="1:4" x14ac:dyDescent="0.25">
      <c r="A28" s="229" t="str">
        <f>Precautions!A27</f>
        <v>P27-Identity and Access Management (IAM) Systems</v>
      </c>
      <c r="B28" s="229">
        <v>0</v>
      </c>
      <c r="C28" s="229">
        <v>0</v>
      </c>
      <c r="D28" s="229" t="s">
        <v>146</v>
      </c>
    </row>
    <row r="29" spans="1:4" x14ac:dyDescent="0.25">
      <c r="A29" s="229" t="str">
        <f>Precautions!A28</f>
        <v>P28-Encryption Solutions</v>
      </c>
      <c r="B29" s="229">
        <v>0</v>
      </c>
      <c r="C29" s="229">
        <v>0</v>
      </c>
      <c r="D29" s="229" t="s">
        <v>152</v>
      </c>
    </row>
    <row r="30" spans="1:4" x14ac:dyDescent="0.25">
      <c r="A30" s="229" t="str">
        <f>Precautions!A29</f>
        <v>P29-Intrusion Detection and Prevention Systems</v>
      </c>
      <c r="B30" s="229">
        <v>0</v>
      </c>
      <c r="C30" s="229">
        <v>0</v>
      </c>
      <c r="D30" s="229" t="s">
        <v>158</v>
      </c>
    </row>
    <row r="31" spans="1:4" x14ac:dyDescent="0.25">
      <c r="A31" s="229" t="str">
        <f>Precautions!A30</f>
        <v>P30-Digital Signatures</v>
      </c>
      <c r="B31" s="229">
        <v>2.4334993937835739E-2</v>
      </c>
      <c r="C31" s="229">
        <v>7500</v>
      </c>
      <c r="D31" s="229" t="s">
        <v>164</v>
      </c>
    </row>
    <row r="32" spans="1:4" x14ac:dyDescent="0.25">
      <c r="A32" s="229" t="str">
        <f>Precautions!A31</f>
        <v>P31-Trusted Communication Channels</v>
      </c>
      <c r="B32" s="229">
        <v>0</v>
      </c>
      <c r="C32" s="229">
        <v>0</v>
      </c>
      <c r="D32" s="229" t="s">
        <v>348</v>
      </c>
    </row>
    <row r="33" spans="1:4" x14ac:dyDescent="0.25">
      <c r="A33" s="229" t="str">
        <f>Precautions!A32</f>
        <v>P32-Integrity Check</v>
      </c>
      <c r="B33" s="229">
        <v>1.731758220238995E-2</v>
      </c>
      <c r="C33" s="229">
        <v>1000</v>
      </c>
      <c r="D33" s="229" t="s">
        <v>350</v>
      </c>
    </row>
  </sheetData>
  <pageMargins left="0.7" right="0.7" top="0.75" bottom="0.75" header="0.3" footer="0.3"/>
  <pageSetup orientation="portrait" horizontalDpi="4294967293" verticalDpi="429496729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I976"/>
  <sheetViews>
    <sheetView topLeftCell="D1" zoomScale="115" zoomScaleNormal="115" workbookViewId="0">
      <pane ySplit="1" topLeftCell="A22" activePane="bottomLeft" state="frozen"/>
      <selection activeCell="B1" sqref="B1"/>
      <selection pane="bottomLeft" activeCell="I2" sqref="I2:AF23"/>
    </sheetView>
  </sheetViews>
  <sheetFormatPr defaultColWidth="17.33203125" defaultRowHeight="15" customHeight="1" x14ac:dyDescent="0.25"/>
  <cols>
    <col min="1" max="1" width="33.109375" customWidth="1"/>
    <col min="2" max="2" width="9" customWidth="1"/>
    <col min="3" max="3" width="15.88671875" customWidth="1"/>
    <col min="4" max="4" width="18.5546875" customWidth="1"/>
    <col min="5" max="5" width="17.109375" customWidth="1"/>
    <col min="6" max="6" width="15.88671875" customWidth="1"/>
    <col min="7" max="7" width="18.109375" customWidth="1"/>
    <col min="8" max="8" width="9.6640625" customWidth="1"/>
    <col min="9" max="9" width="20.44140625" customWidth="1"/>
    <col min="10" max="10" width="9" customWidth="1"/>
    <col min="11" max="11" width="8.6640625" customWidth="1"/>
    <col min="12" max="12" width="6.6640625" customWidth="1"/>
    <col min="13" max="13" width="9.33203125" customWidth="1"/>
    <col min="14" max="14" width="7.5546875" customWidth="1"/>
    <col min="15" max="15" width="6.33203125" customWidth="1"/>
    <col min="16" max="16" width="8.6640625" customWidth="1"/>
    <col min="17" max="17" width="15.33203125" customWidth="1"/>
    <col min="18" max="18" width="5.44140625" customWidth="1"/>
    <col min="19" max="21" width="8.6640625" customWidth="1"/>
    <col min="22" max="22" width="6" customWidth="1"/>
    <col min="23" max="23" width="5" customWidth="1"/>
    <col min="24" max="24" width="6.5546875" customWidth="1"/>
    <col min="25" max="25" width="11" customWidth="1"/>
    <col min="26" max="26" width="6.6640625" customWidth="1"/>
    <col min="27" max="27" width="7.33203125" customWidth="1"/>
    <col min="28" max="28" width="5.88671875" customWidth="1"/>
    <col min="29" max="29" width="5.6640625" customWidth="1"/>
    <col min="30" max="30" width="6.88671875" customWidth="1"/>
    <col min="31" max="31" width="6.33203125" customWidth="1"/>
    <col min="32" max="32" width="6" customWidth="1"/>
    <col min="33" max="33" width="21.6640625" customWidth="1"/>
    <col min="34" max="35" width="22.33203125" bestFit="1" customWidth="1"/>
  </cols>
  <sheetData>
    <row r="1" spans="1:35" ht="95.4" x14ac:dyDescent="0.25">
      <c r="A1" s="236"/>
      <c r="B1" s="237" t="s">
        <v>2</v>
      </c>
      <c r="C1" s="237" t="s">
        <v>3</v>
      </c>
      <c r="D1" s="238" t="s">
        <v>117</v>
      </c>
      <c r="E1" s="239" t="s">
        <v>223</v>
      </c>
      <c r="F1" s="239" t="s">
        <v>224</v>
      </c>
      <c r="G1" s="239" t="s">
        <v>225</v>
      </c>
      <c r="H1" s="239" t="s">
        <v>100</v>
      </c>
      <c r="I1" s="240" t="s">
        <v>226</v>
      </c>
      <c r="J1" s="240" t="s">
        <v>247</v>
      </c>
      <c r="K1" s="240" t="s">
        <v>227</v>
      </c>
      <c r="L1" s="240" t="s">
        <v>228</v>
      </c>
      <c r="M1" s="240" t="s">
        <v>229</v>
      </c>
      <c r="N1" s="240" t="s">
        <v>230</v>
      </c>
      <c r="O1" s="240" t="s">
        <v>231</v>
      </c>
      <c r="P1" s="240" t="s">
        <v>232</v>
      </c>
      <c r="Q1" s="241" t="s">
        <v>233</v>
      </c>
      <c r="R1" s="241" t="s">
        <v>248</v>
      </c>
      <c r="S1" s="241" t="s">
        <v>234</v>
      </c>
      <c r="T1" s="241" t="s">
        <v>235</v>
      </c>
      <c r="U1" s="241" t="s">
        <v>236</v>
      </c>
      <c r="V1" s="241" t="s">
        <v>237</v>
      </c>
      <c r="W1" s="241" t="s">
        <v>238</v>
      </c>
      <c r="X1" s="241" t="s">
        <v>239</v>
      </c>
      <c r="Y1" s="242" t="s">
        <v>240</v>
      </c>
      <c r="Z1" s="242" t="s">
        <v>249</v>
      </c>
      <c r="AA1" s="242" t="s">
        <v>241</v>
      </c>
      <c r="AB1" s="242" t="s">
        <v>242</v>
      </c>
      <c r="AC1" s="242" t="s">
        <v>243</v>
      </c>
      <c r="AD1" s="242" t="s">
        <v>244</v>
      </c>
      <c r="AE1" s="242" t="s">
        <v>245</v>
      </c>
      <c r="AF1" s="242" t="s">
        <v>246</v>
      </c>
    </row>
    <row r="2" spans="1:35" ht="12.75" customHeight="1" x14ac:dyDescent="0.25">
      <c r="A2" s="243" t="str">
        <f xml:space="preserve"> Threats!A1</f>
        <v>T1-Power Loss</v>
      </c>
      <c r="B2" s="244">
        <f>'AHP Likelihood Calculation'!AD34</f>
        <v>0.24294982396184614</v>
      </c>
      <c r="C2" s="245">
        <f>'AHP Severity Calculation'!AD34</f>
        <v>4.3966706499003187E-2</v>
      </c>
      <c r="D2" s="246">
        <f>B2*C2</f>
        <v>1.0681703604114981E-2</v>
      </c>
      <c r="E2" s="247">
        <f>D2*J2*L2</f>
        <v>1.0681703604114981E-2</v>
      </c>
      <c r="F2" s="248">
        <f>D2*R2*T2</f>
        <v>0</v>
      </c>
      <c r="G2" s="248">
        <f>D2*Z2*AB2</f>
        <v>0</v>
      </c>
      <c r="H2" s="249" t="b">
        <f>OR(L2&gt;=1,T2&gt;=1,AB2&gt;=1)</f>
        <v>1</v>
      </c>
      <c r="I2" s="250" t="s">
        <v>167</v>
      </c>
      <c r="J2" s="251">
        <v>1</v>
      </c>
      <c r="K2" s="252">
        <v>4000</v>
      </c>
      <c r="L2" s="253">
        <v>1</v>
      </c>
      <c r="M2" s="254">
        <f t="shared" ref="M2:M23" si="0">K2*L2</f>
        <v>4000</v>
      </c>
      <c r="N2" s="254">
        <v>1</v>
      </c>
      <c r="O2" s="254">
        <v>1</v>
      </c>
      <c r="P2" s="255"/>
      <c r="Q2" s="256" t="s">
        <v>181</v>
      </c>
      <c r="R2" s="256">
        <v>0</v>
      </c>
      <c r="S2" s="257">
        <v>0</v>
      </c>
      <c r="T2" s="258">
        <v>0</v>
      </c>
      <c r="U2" s="257">
        <f>S2*T2</f>
        <v>0</v>
      </c>
      <c r="V2" s="259"/>
      <c r="W2" s="259"/>
      <c r="X2" s="260"/>
      <c r="Y2" s="261" t="s">
        <v>181</v>
      </c>
      <c r="Z2" s="262">
        <v>0</v>
      </c>
      <c r="AA2" s="262">
        <v>0</v>
      </c>
      <c r="AB2" s="263">
        <v>0</v>
      </c>
      <c r="AC2" s="264">
        <f>AA2*AB2</f>
        <v>0</v>
      </c>
      <c r="AD2" s="264"/>
      <c r="AE2" s="264"/>
      <c r="AF2" s="264"/>
      <c r="AG2" s="334">
        <f>IF(L2=0,D2*J2, D2*J2*L2)</f>
        <v>1.0681703604114981E-2</v>
      </c>
      <c r="AH2" s="334">
        <f>IF(T2=0,D2*R2, D2*R2*T2)</f>
        <v>0</v>
      </c>
      <c r="AI2" s="334">
        <f>IF(AB2=0,D2*Z2, D2*Z2*AB2)</f>
        <v>0</v>
      </c>
    </row>
    <row r="3" spans="1:35" ht="36" customHeight="1" x14ac:dyDescent="0.25">
      <c r="A3" s="243" t="str">
        <f xml:space="preserve"> Threats!A2</f>
        <v>T2-Hardware Failure</v>
      </c>
      <c r="B3" s="244">
        <f>'AHP Likelihood Calculation'!AD35</f>
        <v>2.3492987243136903E-2</v>
      </c>
      <c r="C3" s="245">
        <f>'AHP Severity Calculation'!AD35</f>
        <v>0.28784126587276643</v>
      </c>
      <c r="D3" s="246">
        <f t="shared" ref="D3:D23" si="1">B3*C3</f>
        <v>6.7622511871972789E-3</v>
      </c>
      <c r="E3" s="247">
        <f t="shared" ref="E3:E23" si="2">D3*J3*L3</f>
        <v>1.352450237439456E-2</v>
      </c>
      <c r="F3" s="248">
        <f t="shared" ref="F3:F23" si="3">D3*R3*T3</f>
        <v>0</v>
      </c>
      <c r="G3" s="248">
        <f t="shared" ref="G3:G23" si="4">D3*Z3*AB3</f>
        <v>0</v>
      </c>
      <c r="H3" s="249" t="b">
        <f t="shared" ref="H3:H23" si="5">OR(L3&gt;=1,T3&gt;=1,AB3&gt;=1)</f>
        <v>1</v>
      </c>
      <c r="I3" s="266" t="s">
        <v>168</v>
      </c>
      <c r="J3" s="267">
        <v>0.4</v>
      </c>
      <c r="K3" s="268">
        <v>10000</v>
      </c>
      <c r="L3" s="269">
        <v>5</v>
      </c>
      <c r="M3" s="254">
        <f t="shared" si="0"/>
        <v>50000</v>
      </c>
      <c r="N3" s="254"/>
      <c r="O3" s="254"/>
      <c r="P3" s="255"/>
      <c r="Q3" s="256" t="s">
        <v>173</v>
      </c>
      <c r="R3" s="256">
        <v>0.6</v>
      </c>
      <c r="S3" s="257">
        <v>10000</v>
      </c>
      <c r="T3" s="270">
        <v>0</v>
      </c>
      <c r="U3" s="257">
        <f t="shared" ref="U3:U23" si="6">S3*T3</f>
        <v>0</v>
      </c>
      <c r="V3" s="259"/>
      <c r="W3" s="259">
        <v>0</v>
      </c>
      <c r="X3" s="260"/>
      <c r="Y3" s="271" t="s">
        <v>181</v>
      </c>
      <c r="Z3" s="262">
        <v>0</v>
      </c>
      <c r="AA3" s="262">
        <v>0</v>
      </c>
      <c r="AB3" s="272">
        <v>0</v>
      </c>
      <c r="AC3" s="264">
        <f t="shared" ref="AC3:AC23" si="7">AA3*AB3</f>
        <v>0</v>
      </c>
      <c r="AD3" s="262"/>
      <c r="AE3" s="262"/>
      <c r="AF3" s="262"/>
      <c r="AG3" s="334">
        <f t="shared" ref="AG3:AG23" si="8">IF(L3=0,D3*J3, D3*J3*L3)</f>
        <v>1.352450237439456E-2</v>
      </c>
      <c r="AH3" s="334">
        <f t="shared" ref="AH3:AH23" si="9">IF(T3=0,D3*R3, D3*R3*T3)</f>
        <v>4.057350712318367E-3</v>
      </c>
      <c r="AI3" s="334">
        <f t="shared" ref="AI3:AI23" si="10">IF(AB3=0,D3*Z3, D3*Z3*AB3)</f>
        <v>0</v>
      </c>
    </row>
    <row r="4" spans="1:35" ht="39.75" customHeight="1" x14ac:dyDescent="0.25">
      <c r="A4" s="243" t="str">
        <f xml:space="preserve"> Threats!A3</f>
        <v>T3-Software Crash</v>
      </c>
      <c r="B4" s="244">
        <f>'AHP Likelihood Calculation'!AD36</f>
        <v>8.9952409245753914E-2</v>
      </c>
      <c r="C4" s="245">
        <f>'AHP Severity Calculation'!AD36</f>
        <v>0.11194895997868699</v>
      </c>
      <c r="D4" s="246">
        <f t="shared" si="1"/>
        <v>1.0070078662639379E-2</v>
      </c>
      <c r="E4" s="247">
        <f t="shared" si="2"/>
        <v>5.0350393313196894E-3</v>
      </c>
      <c r="F4" s="248">
        <f t="shared" si="3"/>
        <v>5.0350393313196894E-3</v>
      </c>
      <c r="G4" s="248">
        <f t="shared" si="4"/>
        <v>0</v>
      </c>
      <c r="H4" s="249" t="b">
        <f t="shared" si="5"/>
        <v>1</v>
      </c>
      <c r="I4" s="266" t="s">
        <v>169</v>
      </c>
      <c r="J4" s="267">
        <v>0.5</v>
      </c>
      <c r="K4" s="268">
        <v>0</v>
      </c>
      <c r="L4" s="269">
        <v>1</v>
      </c>
      <c r="M4" s="254">
        <f t="shared" si="0"/>
        <v>0</v>
      </c>
      <c r="N4" s="254">
        <v>1</v>
      </c>
      <c r="O4" s="254">
        <v>1</v>
      </c>
      <c r="P4" s="255"/>
      <c r="Q4" s="256" t="s">
        <v>182</v>
      </c>
      <c r="R4" s="256">
        <v>0.5</v>
      </c>
      <c r="S4" s="257">
        <v>15000</v>
      </c>
      <c r="T4" s="270">
        <v>1</v>
      </c>
      <c r="U4" s="257">
        <f t="shared" si="6"/>
        <v>15000</v>
      </c>
      <c r="V4" s="259"/>
      <c r="W4" s="259">
        <v>1</v>
      </c>
      <c r="X4" s="260"/>
      <c r="Y4" s="271" t="s">
        <v>181</v>
      </c>
      <c r="Z4" s="262">
        <v>0</v>
      </c>
      <c r="AA4" s="262">
        <v>0</v>
      </c>
      <c r="AB4" s="272">
        <v>0</v>
      </c>
      <c r="AC4" s="264">
        <f t="shared" si="7"/>
        <v>0</v>
      </c>
      <c r="AD4" s="262"/>
      <c r="AE4" s="262"/>
      <c r="AF4" s="262"/>
      <c r="AG4" s="334">
        <f t="shared" si="8"/>
        <v>5.0350393313196894E-3</v>
      </c>
      <c r="AH4" s="334">
        <f t="shared" si="9"/>
        <v>5.0350393313196894E-3</v>
      </c>
      <c r="AI4" s="334">
        <f t="shared" si="10"/>
        <v>0</v>
      </c>
    </row>
    <row r="5" spans="1:35" ht="63" customHeight="1" x14ac:dyDescent="0.25">
      <c r="A5" s="243" t="str">
        <f xml:space="preserve"> Threats!A4</f>
        <v>T4-Operator Errors</v>
      </c>
      <c r="B5" s="244">
        <f>'AHP Likelihood Calculation'!AD37</f>
        <v>6.7227326913070706E-2</v>
      </c>
      <c r="C5" s="245">
        <f>'AHP Severity Calculation'!AD37</f>
        <v>0.15464545466959659</v>
      </c>
      <c r="D5" s="246">
        <f t="shared" si="1"/>
        <v>1.0396400536693426E-2</v>
      </c>
      <c r="E5" s="247">
        <f t="shared" si="2"/>
        <v>6.2378403220160559E-3</v>
      </c>
      <c r="F5" s="248">
        <f t="shared" si="3"/>
        <v>0</v>
      </c>
      <c r="G5" s="248">
        <f t="shared" si="4"/>
        <v>0</v>
      </c>
      <c r="H5" s="249" t="b">
        <f t="shared" si="5"/>
        <v>1</v>
      </c>
      <c r="I5" s="266" t="s">
        <v>170</v>
      </c>
      <c r="J5" s="267">
        <v>0.2</v>
      </c>
      <c r="K5" s="268">
        <v>12000</v>
      </c>
      <c r="L5" s="269">
        <v>3</v>
      </c>
      <c r="M5" s="254">
        <f t="shared" si="0"/>
        <v>36000</v>
      </c>
      <c r="N5" s="254">
        <v>3</v>
      </c>
      <c r="O5" s="254">
        <v>3</v>
      </c>
      <c r="P5" s="255"/>
      <c r="Q5" s="256" t="s">
        <v>185</v>
      </c>
      <c r="R5" s="256">
        <v>0.1333</v>
      </c>
      <c r="S5" s="257">
        <v>20000</v>
      </c>
      <c r="T5" s="270">
        <v>0</v>
      </c>
      <c r="U5" s="257">
        <f t="shared" si="6"/>
        <v>0</v>
      </c>
      <c r="V5" s="259"/>
      <c r="W5" s="259"/>
      <c r="X5" s="260">
        <v>60000</v>
      </c>
      <c r="Y5" s="271" t="s">
        <v>181</v>
      </c>
      <c r="Z5" s="262">
        <v>0</v>
      </c>
      <c r="AA5" s="262">
        <v>0</v>
      </c>
      <c r="AB5" s="272">
        <v>0</v>
      </c>
      <c r="AC5" s="264">
        <f t="shared" si="7"/>
        <v>0</v>
      </c>
      <c r="AD5" s="264"/>
      <c r="AE5" s="264"/>
      <c r="AF5" s="264"/>
      <c r="AG5" s="334">
        <f t="shared" si="8"/>
        <v>6.2378403220160559E-3</v>
      </c>
      <c r="AH5" s="334">
        <f t="shared" si="9"/>
        <v>1.3858401915412338E-3</v>
      </c>
      <c r="AI5" s="334">
        <f t="shared" si="10"/>
        <v>0</v>
      </c>
    </row>
    <row r="6" spans="1:35" ht="55.5" customHeight="1" x14ac:dyDescent="0.25">
      <c r="A6" s="243" t="str">
        <f xml:space="preserve"> Threats!A5</f>
        <v>T5-Malicious Inside Action</v>
      </c>
      <c r="B6" s="244">
        <f>'AHP Likelihood Calculation'!AD38</f>
        <v>4.4492642577803276E-2</v>
      </c>
      <c r="C6" s="245">
        <f>'AHP Severity Calculation'!AD38</f>
        <v>0.53946980080709239</v>
      </c>
      <c r="D6" s="246">
        <f t="shared" si="1"/>
        <v>2.4002437028828691E-2</v>
      </c>
      <c r="E6" s="247">
        <f t="shared" si="2"/>
        <v>7.2007311086486068E-3</v>
      </c>
      <c r="F6" s="248">
        <f t="shared" si="3"/>
        <v>4.8004874057657387E-3</v>
      </c>
      <c r="G6" s="248">
        <f t="shared" si="4"/>
        <v>1.2001218514414345E-2</v>
      </c>
      <c r="H6" s="249" t="b">
        <f t="shared" si="5"/>
        <v>1</v>
      </c>
      <c r="I6" s="266" t="s">
        <v>171</v>
      </c>
      <c r="J6" s="267">
        <v>0.3</v>
      </c>
      <c r="K6" s="268">
        <v>0</v>
      </c>
      <c r="L6" s="269">
        <v>1</v>
      </c>
      <c r="M6" s="254">
        <f t="shared" si="0"/>
        <v>0</v>
      </c>
      <c r="N6" s="254"/>
      <c r="O6" s="254">
        <v>1</v>
      </c>
      <c r="P6" s="255"/>
      <c r="Q6" s="256" t="s">
        <v>183</v>
      </c>
      <c r="R6" s="256">
        <v>0.2</v>
      </c>
      <c r="S6" s="257">
        <v>0</v>
      </c>
      <c r="T6" s="270">
        <v>1</v>
      </c>
      <c r="U6" s="257">
        <f t="shared" si="6"/>
        <v>0</v>
      </c>
      <c r="V6" s="259"/>
      <c r="W6" s="259">
        <v>1</v>
      </c>
      <c r="X6" s="260"/>
      <c r="Y6" s="273" t="s">
        <v>166</v>
      </c>
      <c r="Z6" s="274">
        <v>0.5</v>
      </c>
      <c r="AA6" s="262">
        <v>0</v>
      </c>
      <c r="AB6" s="272">
        <v>1</v>
      </c>
      <c r="AC6" s="264">
        <f t="shared" si="7"/>
        <v>0</v>
      </c>
      <c r="AD6" s="264">
        <v>1</v>
      </c>
      <c r="AE6" s="264">
        <v>1</v>
      </c>
      <c r="AF6" s="264"/>
      <c r="AG6" s="334">
        <f t="shared" si="8"/>
        <v>7.2007311086486068E-3</v>
      </c>
      <c r="AH6" s="334">
        <f t="shared" si="9"/>
        <v>4.8004874057657387E-3</v>
      </c>
      <c r="AI6" s="334">
        <f t="shared" si="10"/>
        <v>1.2001218514414345E-2</v>
      </c>
    </row>
    <row r="7" spans="1:35" ht="24.75" customHeight="1" x14ac:dyDescent="0.25">
      <c r="A7" s="243" t="str">
        <f xml:space="preserve"> Threats!A6</f>
        <v>T6-Trojan and Worms</v>
      </c>
      <c r="B7" s="244">
        <f>'AHP Likelihood Calculation'!AD39</f>
        <v>0.10407757204157696</v>
      </c>
      <c r="C7" s="245">
        <f>'AHP Severity Calculation'!AD39</f>
        <v>0.18918676109737209</v>
      </c>
      <c r="D7" s="246">
        <f t="shared" si="1"/>
        <v>1.9690098757424352E-2</v>
      </c>
      <c r="E7" s="247">
        <f t="shared" si="2"/>
        <v>9.845049378712176E-3</v>
      </c>
      <c r="F7" s="248">
        <f t="shared" si="3"/>
        <v>9.845049378712176E-3</v>
      </c>
      <c r="G7" s="248">
        <f t="shared" si="4"/>
        <v>0</v>
      </c>
      <c r="H7" s="249" t="b">
        <f t="shared" si="5"/>
        <v>1</v>
      </c>
      <c r="I7" s="275" t="s">
        <v>186</v>
      </c>
      <c r="J7" s="276">
        <v>0.5</v>
      </c>
      <c r="K7" s="268">
        <v>0</v>
      </c>
      <c r="L7" s="269">
        <v>1</v>
      </c>
      <c r="M7" s="254">
        <f t="shared" si="0"/>
        <v>0</v>
      </c>
      <c r="N7" s="254"/>
      <c r="O7" s="254">
        <v>1</v>
      </c>
      <c r="P7" s="255"/>
      <c r="Q7" s="256" t="s">
        <v>214</v>
      </c>
      <c r="R7" s="256">
        <v>0.5</v>
      </c>
      <c r="S7" s="257">
        <v>0</v>
      </c>
      <c r="T7" s="270">
        <v>1</v>
      </c>
      <c r="U7" s="257">
        <f t="shared" si="6"/>
        <v>0</v>
      </c>
      <c r="V7" s="259"/>
      <c r="W7" s="259">
        <v>1</v>
      </c>
      <c r="X7" s="260"/>
      <c r="Y7" s="271" t="s">
        <v>181</v>
      </c>
      <c r="Z7" s="262">
        <v>0</v>
      </c>
      <c r="AA7" s="262">
        <v>0</v>
      </c>
      <c r="AB7" s="272">
        <v>0</v>
      </c>
      <c r="AC7" s="264">
        <f t="shared" si="7"/>
        <v>0</v>
      </c>
      <c r="AD7" s="262"/>
      <c r="AE7" s="262"/>
      <c r="AF7" s="262"/>
      <c r="AG7" s="334">
        <f t="shared" si="8"/>
        <v>9.845049378712176E-3</v>
      </c>
      <c r="AH7" s="334">
        <f t="shared" si="9"/>
        <v>9.845049378712176E-3</v>
      </c>
      <c r="AI7" s="334">
        <f t="shared" si="10"/>
        <v>0</v>
      </c>
    </row>
    <row r="8" spans="1:35" ht="37.5" customHeight="1" x14ac:dyDescent="0.25">
      <c r="A8" s="243" t="str">
        <f xml:space="preserve"> Threats!A7</f>
        <v>T7-Fire</v>
      </c>
      <c r="B8" s="244">
        <f>'AHP Likelihood Calculation'!AD40</f>
        <v>1.6665052229327772E-2</v>
      </c>
      <c r="C8" s="245">
        <f>'AHP Severity Calculation'!AD40</f>
        <v>0.87252940058624795</v>
      </c>
      <c r="D8" s="246">
        <f t="shared" si="1"/>
        <v>1.4540748032393875E-2</v>
      </c>
      <c r="E8" s="247">
        <f t="shared" si="2"/>
        <v>1.0178523622675711E-2</v>
      </c>
      <c r="F8" s="248">
        <f t="shared" si="3"/>
        <v>4.3622244097181627E-3</v>
      </c>
      <c r="G8" s="248">
        <f t="shared" si="4"/>
        <v>0</v>
      </c>
      <c r="H8" s="249" t="b">
        <f t="shared" si="5"/>
        <v>1</v>
      </c>
      <c r="I8" s="266" t="s">
        <v>172</v>
      </c>
      <c r="J8" s="267">
        <v>0.7</v>
      </c>
      <c r="K8" s="268">
        <v>4500</v>
      </c>
      <c r="L8" s="269">
        <v>1</v>
      </c>
      <c r="M8" s="254">
        <f t="shared" si="0"/>
        <v>4500</v>
      </c>
      <c r="N8" s="254"/>
      <c r="O8" s="254">
        <v>1</v>
      </c>
      <c r="P8" s="255"/>
      <c r="Q8" s="256" t="s">
        <v>173</v>
      </c>
      <c r="R8" s="256">
        <v>0.3</v>
      </c>
      <c r="S8" s="257">
        <v>6000</v>
      </c>
      <c r="T8" s="270">
        <v>1</v>
      </c>
      <c r="U8" s="257">
        <f t="shared" si="6"/>
        <v>6000</v>
      </c>
      <c r="V8" s="259"/>
      <c r="W8" s="259">
        <v>1</v>
      </c>
      <c r="X8" s="260"/>
      <c r="Y8" s="271" t="s">
        <v>181</v>
      </c>
      <c r="Z8" s="262">
        <v>0</v>
      </c>
      <c r="AA8" s="262">
        <v>0</v>
      </c>
      <c r="AB8" s="272">
        <v>0</v>
      </c>
      <c r="AC8" s="264">
        <f t="shared" si="7"/>
        <v>0</v>
      </c>
      <c r="AD8" s="264"/>
      <c r="AE8" s="264"/>
      <c r="AF8" s="264"/>
      <c r="AG8" s="334">
        <f t="shared" si="8"/>
        <v>1.0178523622675711E-2</v>
      </c>
      <c r="AH8" s="334">
        <f t="shared" si="9"/>
        <v>4.3622244097181627E-3</v>
      </c>
      <c r="AI8" s="334">
        <f t="shared" si="10"/>
        <v>0</v>
      </c>
    </row>
    <row r="9" spans="1:35" ht="39" customHeight="1" x14ac:dyDescent="0.25">
      <c r="A9" s="243" t="str">
        <f xml:space="preserve"> Threats!A8</f>
        <v>T8-Other Enviromental Disasters</v>
      </c>
      <c r="B9" s="244">
        <f>'AHP Likelihood Calculation'!AD41</f>
        <v>1.2039520225759709E-2</v>
      </c>
      <c r="C9" s="245">
        <f>'AHP Severity Calculation'!AD41</f>
        <v>0.8848645706413496</v>
      </c>
      <c r="D9" s="246">
        <f t="shared" si="1"/>
        <v>1.065334489529471E-2</v>
      </c>
      <c r="E9" s="247">
        <f t="shared" si="2"/>
        <v>7.4573414267062963E-3</v>
      </c>
      <c r="F9" s="248">
        <f t="shared" si="3"/>
        <v>3.1960034685884131E-3</v>
      </c>
      <c r="G9" s="248">
        <f t="shared" si="4"/>
        <v>0</v>
      </c>
      <c r="H9" s="249" t="b">
        <f t="shared" si="5"/>
        <v>1</v>
      </c>
      <c r="I9" s="266" t="s">
        <v>173</v>
      </c>
      <c r="J9" s="267">
        <v>0.7</v>
      </c>
      <c r="K9" s="268">
        <v>6000</v>
      </c>
      <c r="L9" s="269">
        <v>1</v>
      </c>
      <c r="M9" s="254">
        <f t="shared" si="0"/>
        <v>6000</v>
      </c>
      <c r="N9" s="254"/>
      <c r="O9" s="268">
        <v>1</v>
      </c>
      <c r="P9" s="255"/>
      <c r="Q9" s="256" t="s">
        <v>172</v>
      </c>
      <c r="R9" s="256">
        <v>0.3</v>
      </c>
      <c r="S9" s="257">
        <v>4500</v>
      </c>
      <c r="T9" s="270">
        <v>1</v>
      </c>
      <c r="U9" s="257">
        <f t="shared" si="6"/>
        <v>4500</v>
      </c>
      <c r="V9" s="259"/>
      <c r="W9" s="259">
        <v>1</v>
      </c>
      <c r="X9" s="260"/>
      <c r="Y9" s="271" t="s">
        <v>181</v>
      </c>
      <c r="Z9" s="262">
        <v>0</v>
      </c>
      <c r="AA9" s="262">
        <v>0</v>
      </c>
      <c r="AB9" s="272">
        <v>0</v>
      </c>
      <c r="AC9" s="264">
        <f t="shared" si="7"/>
        <v>0</v>
      </c>
      <c r="AD9" s="264"/>
      <c r="AE9" s="264"/>
      <c r="AF9" s="264"/>
      <c r="AG9" s="334">
        <f t="shared" si="8"/>
        <v>7.4573414267062963E-3</v>
      </c>
      <c r="AH9" s="334">
        <f t="shared" si="9"/>
        <v>3.1960034685884131E-3</v>
      </c>
      <c r="AI9" s="334">
        <f t="shared" si="10"/>
        <v>0</v>
      </c>
    </row>
    <row r="10" spans="1:35" ht="51.75" customHeight="1" x14ac:dyDescent="0.25">
      <c r="A10" s="243" t="str">
        <f xml:space="preserve"> Threats!A9</f>
        <v>T9-Availability Threats(DDOS)</v>
      </c>
      <c r="B10" s="244">
        <f>'AHP Likelihood Calculation'!AD42</f>
        <v>2.3550794265172554E-2</v>
      </c>
      <c r="C10" s="245">
        <f>'AHP Severity Calculation'!AD42</f>
        <v>0.30468505993323342</v>
      </c>
      <c r="D10" s="246">
        <f t="shared" si="1"/>
        <v>7.1755751621593493E-3</v>
      </c>
      <c r="E10" s="247">
        <f t="shared" si="2"/>
        <v>1.7221380389182439E-3</v>
      </c>
      <c r="F10" s="248">
        <f t="shared" si="3"/>
        <v>2.1526725486478047E-3</v>
      </c>
      <c r="G10" s="248">
        <f t="shared" si="4"/>
        <v>2.1526725486478047E-3</v>
      </c>
      <c r="H10" s="249" t="b">
        <f t="shared" si="5"/>
        <v>1</v>
      </c>
      <c r="I10" s="250" t="s">
        <v>190</v>
      </c>
      <c r="J10" s="267">
        <v>0.04</v>
      </c>
      <c r="K10" s="268">
        <v>1000</v>
      </c>
      <c r="L10" s="253">
        <v>6</v>
      </c>
      <c r="M10" s="254">
        <f t="shared" si="0"/>
        <v>6000</v>
      </c>
      <c r="N10" s="254"/>
      <c r="O10" s="254">
        <v>10</v>
      </c>
      <c r="P10" s="255"/>
      <c r="Q10" s="256" t="s">
        <v>218</v>
      </c>
      <c r="R10" s="256">
        <v>0.3</v>
      </c>
      <c r="S10" s="257">
        <v>5000</v>
      </c>
      <c r="T10" s="258">
        <v>1</v>
      </c>
      <c r="U10" s="257">
        <f t="shared" si="6"/>
        <v>5000</v>
      </c>
      <c r="V10" s="259"/>
      <c r="W10" s="259">
        <v>1</v>
      </c>
      <c r="X10" s="260"/>
      <c r="Y10" s="273" t="s">
        <v>219</v>
      </c>
      <c r="Z10" s="274">
        <v>0.1</v>
      </c>
      <c r="AA10" s="262">
        <v>2000</v>
      </c>
      <c r="AB10" s="263">
        <v>3</v>
      </c>
      <c r="AC10" s="264">
        <f t="shared" si="7"/>
        <v>6000</v>
      </c>
      <c r="AD10" s="264"/>
      <c r="AE10" s="264"/>
      <c r="AF10" s="264">
        <v>6000</v>
      </c>
      <c r="AG10" s="334">
        <f t="shared" si="8"/>
        <v>1.7221380389182439E-3</v>
      </c>
      <c r="AH10" s="334">
        <f t="shared" si="9"/>
        <v>2.1526725486478047E-3</v>
      </c>
      <c r="AI10" s="334">
        <f t="shared" si="10"/>
        <v>2.1526725486478047E-3</v>
      </c>
    </row>
    <row r="11" spans="1:35" ht="19.5" customHeight="1" x14ac:dyDescent="0.25">
      <c r="A11" s="243" t="str">
        <f xml:space="preserve"> Threats!A10</f>
        <v>T10-Disk Failure</v>
      </c>
      <c r="B11" s="244">
        <f>'AHP Likelihood Calculation'!AD43</f>
        <v>7.291793331983723E-2</v>
      </c>
      <c r="C11" s="245">
        <f>'AHP Severity Calculation'!AD43</f>
        <v>0.11625307150154933</v>
      </c>
      <c r="D11" s="246">
        <f t="shared" si="1"/>
        <v>8.4769337159762443E-3</v>
      </c>
      <c r="E11" s="247">
        <f t="shared" si="2"/>
        <v>8.4769337159762096E-3</v>
      </c>
      <c r="F11" s="248">
        <f t="shared" si="3"/>
        <v>0</v>
      </c>
      <c r="G11" s="248">
        <f t="shared" si="4"/>
        <v>0</v>
      </c>
      <c r="H11" s="249" t="b">
        <f t="shared" si="5"/>
        <v>1</v>
      </c>
      <c r="I11" s="266" t="s">
        <v>165</v>
      </c>
      <c r="J11" s="267">
        <v>0.16666666666666599</v>
      </c>
      <c r="K11" s="268">
        <v>500</v>
      </c>
      <c r="L11" s="253">
        <v>6</v>
      </c>
      <c r="M11" s="254">
        <f t="shared" si="0"/>
        <v>3000</v>
      </c>
      <c r="N11" s="254"/>
      <c r="O11" s="254"/>
      <c r="P11" s="255">
        <v>3000</v>
      </c>
      <c r="Q11" s="256" t="s">
        <v>181</v>
      </c>
      <c r="R11" s="256">
        <v>0</v>
      </c>
      <c r="S11" s="257">
        <v>0</v>
      </c>
      <c r="T11" s="258">
        <v>0</v>
      </c>
      <c r="U11" s="257">
        <f t="shared" si="6"/>
        <v>0</v>
      </c>
      <c r="V11" s="259"/>
      <c r="W11" s="259"/>
      <c r="X11" s="260"/>
      <c r="Y11" s="271" t="s">
        <v>181</v>
      </c>
      <c r="Z11" s="262">
        <v>0</v>
      </c>
      <c r="AA11" s="262">
        <v>0</v>
      </c>
      <c r="AB11" s="263">
        <v>0</v>
      </c>
      <c r="AC11" s="264">
        <f t="shared" si="7"/>
        <v>0</v>
      </c>
      <c r="AD11" s="264"/>
      <c r="AE11" s="264"/>
      <c r="AF11" s="264"/>
      <c r="AG11" s="334">
        <f t="shared" si="8"/>
        <v>8.4769337159762096E-3</v>
      </c>
      <c r="AH11" s="334">
        <f t="shared" si="9"/>
        <v>0</v>
      </c>
      <c r="AI11" s="334">
        <f t="shared" si="10"/>
        <v>0</v>
      </c>
    </row>
    <row r="12" spans="1:35" ht="17.25" customHeight="1" x14ac:dyDescent="0.25">
      <c r="A12" s="243" t="str">
        <f xml:space="preserve"> Threats!A11</f>
        <v>T11-Data Corruption</v>
      </c>
      <c r="B12" s="244">
        <f>'AHP Likelihood Calculation'!AD44</f>
        <v>9.3795170093336891E-2</v>
      </c>
      <c r="C12" s="245">
        <f>'AHP Severity Calculation'!AD44</f>
        <v>8.6691316565072896E-2</v>
      </c>
      <c r="D12" s="246">
        <f t="shared" si="1"/>
        <v>8.1312267828363271E-3</v>
      </c>
      <c r="E12" s="247">
        <f t="shared" si="2"/>
        <v>4.8787360697017963E-3</v>
      </c>
      <c r="F12" s="248">
        <f t="shared" si="3"/>
        <v>3.2524907131345308E-3</v>
      </c>
      <c r="G12" s="248">
        <f t="shared" si="4"/>
        <v>0</v>
      </c>
      <c r="H12" s="249" t="b">
        <f t="shared" si="5"/>
        <v>1</v>
      </c>
      <c r="I12" s="266" t="s">
        <v>176</v>
      </c>
      <c r="J12" s="267">
        <v>2.4E-2</v>
      </c>
      <c r="K12" s="267">
        <v>150</v>
      </c>
      <c r="L12" s="277">
        <v>25</v>
      </c>
      <c r="M12" s="254">
        <f t="shared" si="0"/>
        <v>3750</v>
      </c>
      <c r="N12" s="254">
        <v>25</v>
      </c>
      <c r="O12" s="254">
        <v>25</v>
      </c>
      <c r="P12" s="255"/>
      <c r="Q12" s="256" t="s">
        <v>184</v>
      </c>
      <c r="R12" s="256">
        <v>1.6E-2</v>
      </c>
      <c r="S12" s="257">
        <v>100</v>
      </c>
      <c r="T12" s="258">
        <v>25</v>
      </c>
      <c r="U12" s="257">
        <f t="shared" si="6"/>
        <v>2500</v>
      </c>
      <c r="V12" s="259">
        <v>25</v>
      </c>
      <c r="W12" s="259">
        <v>25</v>
      </c>
      <c r="X12" s="260"/>
      <c r="Y12" s="271" t="s">
        <v>181</v>
      </c>
      <c r="Z12" s="262">
        <v>0</v>
      </c>
      <c r="AA12" s="262">
        <v>0</v>
      </c>
      <c r="AB12" s="263">
        <v>0</v>
      </c>
      <c r="AC12" s="264">
        <f t="shared" si="7"/>
        <v>0</v>
      </c>
      <c r="AD12" s="264"/>
      <c r="AE12" s="264"/>
      <c r="AF12" s="264"/>
      <c r="AG12" s="334">
        <f t="shared" si="8"/>
        <v>4.8787360697017963E-3</v>
      </c>
      <c r="AH12" s="334">
        <f t="shared" si="9"/>
        <v>3.2524907131345308E-3</v>
      </c>
      <c r="AI12" s="334">
        <f t="shared" si="10"/>
        <v>0</v>
      </c>
    </row>
    <row r="13" spans="1:35" ht="75.75" customHeight="1" x14ac:dyDescent="0.25">
      <c r="A13" s="243" t="str">
        <f xml:space="preserve"> Threats!A12</f>
        <v>T12-Inaccurrate Data</v>
      </c>
      <c r="B13" s="244">
        <f>'AHP Likelihood Calculation'!AD45</f>
        <v>7.3606513466022649E-2</v>
      </c>
      <c r="C13" s="245">
        <f>'AHP Severity Calculation'!AD45</f>
        <v>3.8115520774887481E-2</v>
      </c>
      <c r="D13" s="246">
        <f t="shared" si="1"/>
        <v>2.8055505931812216E-3</v>
      </c>
      <c r="E13" s="247">
        <f t="shared" si="2"/>
        <v>0</v>
      </c>
      <c r="F13" s="248">
        <f t="shared" si="3"/>
        <v>1.4027752965906108E-3</v>
      </c>
      <c r="G13" s="248">
        <f t="shared" si="4"/>
        <v>0</v>
      </c>
      <c r="H13" s="279" t="b">
        <f t="shared" si="5"/>
        <v>1</v>
      </c>
      <c r="I13" s="280" t="s">
        <v>174</v>
      </c>
      <c r="J13" s="281">
        <v>0.5</v>
      </c>
      <c r="K13" s="281">
        <v>18000</v>
      </c>
      <c r="L13" s="282">
        <v>0</v>
      </c>
      <c r="M13" s="254">
        <f t="shared" si="0"/>
        <v>0</v>
      </c>
      <c r="N13" s="283"/>
      <c r="O13" s="284">
        <v>1</v>
      </c>
      <c r="P13" s="285"/>
      <c r="Q13" s="286" t="s">
        <v>215</v>
      </c>
      <c r="R13" s="286">
        <v>0.125</v>
      </c>
      <c r="S13" s="287">
        <v>800</v>
      </c>
      <c r="T13" s="288">
        <v>4</v>
      </c>
      <c r="U13" s="257">
        <f t="shared" si="6"/>
        <v>3200</v>
      </c>
      <c r="V13" s="289"/>
      <c r="W13" s="289">
        <v>4</v>
      </c>
      <c r="X13" s="260"/>
      <c r="Y13" s="271" t="s">
        <v>181</v>
      </c>
      <c r="Z13" s="262"/>
      <c r="AA13" s="262">
        <v>0</v>
      </c>
      <c r="AB13" s="263">
        <v>0</v>
      </c>
      <c r="AC13" s="264">
        <f t="shared" si="7"/>
        <v>0</v>
      </c>
      <c r="AD13" s="264"/>
      <c r="AE13" s="264"/>
      <c r="AF13" s="264"/>
      <c r="AG13" s="334">
        <f t="shared" si="8"/>
        <v>1.4027752965906108E-3</v>
      </c>
      <c r="AH13" s="334">
        <f t="shared" si="9"/>
        <v>1.4027752965906108E-3</v>
      </c>
      <c r="AI13" s="334">
        <f t="shared" si="10"/>
        <v>0</v>
      </c>
    </row>
    <row r="14" spans="1:35" ht="25.5" customHeight="1" x14ac:dyDescent="0.25">
      <c r="A14" s="243" t="str">
        <f xml:space="preserve"> Threats!A13</f>
        <v>T13-Un-authorized Access</v>
      </c>
      <c r="B14" s="244">
        <f>'AHP Likelihood Calculation'!AD46</f>
        <v>0.26976623313860026</v>
      </c>
      <c r="C14" s="245">
        <f>'AHP Severity Calculation'!AD46</f>
        <v>0.15672515952125432</v>
      </c>
      <c r="D14" s="246">
        <f t="shared" si="1"/>
        <v>4.227915592209501E-2</v>
      </c>
      <c r="E14" s="247">
        <f t="shared" si="2"/>
        <v>4.227915592209501E-2</v>
      </c>
      <c r="F14" s="248">
        <f t="shared" si="3"/>
        <v>0</v>
      </c>
      <c r="G14" s="248">
        <f t="shared" si="4"/>
        <v>0</v>
      </c>
      <c r="H14" s="290" t="b">
        <f t="shared" si="5"/>
        <v>1</v>
      </c>
      <c r="I14" s="250" t="s">
        <v>187</v>
      </c>
      <c r="J14" s="291">
        <v>1</v>
      </c>
      <c r="K14" s="291">
        <v>10000</v>
      </c>
      <c r="L14" s="292">
        <v>1</v>
      </c>
      <c r="M14" s="254">
        <f t="shared" si="0"/>
        <v>10000</v>
      </c>
      <c r="N14" s="254"/>
      <c r="O14" s="254">
        <v>1</v>
      </c>
      <c r="P14" s="255"/>
      <c r="Q14" s="293" t="s">
        <v>181</v>
      </c>
      <c r="R14" s="259">
        <v>0</v>
      </c>
      <c r="S14" s="294">
        <v>0</v>
      </c>
      <c r="T14" s="258">
        <v>0</v>
      </c>
      <c r="U14" s="257">
        <f t="shared" si="6"/>
        <v>0</v>
      </c>
      <c r="V14" s="259"/>
      <c r="W14" s="259">
        <v>1</v>
      </c>
      <c r="X14" s="260"/>
      <c r="Y14" s="271" t="s">
        <v>181</v>
      </c>
      <c r="Z14" s="262">
        <v>0</v>
      </c>
      <c r="AA14" s="262">
        <v>0</v>
      </c>
      <c r="AB14" s="263">
        <v>0</v>
      </c>
      <c r="AC14" s="264">
        <f t="shared" si="7"/>
        <v>0</v>
      </c>
      <c r="AD14" s="264"/>
      <c r="AE14" s="264"/>
      <c r="AF14" s="264"/>
      <c r="AG14" s="334">
        <f t="shared" si="8"/>
        <v>4.227915592209501E-2</v>
      </c>
      <c r="AH14" s="334">
        <f t="shared" si="9"/>
        <v>0</v>
      </c>
      <c r="AI14" s="334">
        <f t="shared" si="10"/>
        <v>0</v>
      </c>
    </row>
    <row r="15" spans="1:35" ht="27" customHeight="1" x14ac:dyDescent="0.25">
      <c r="A15" s="243" t="str">
        <f xml:space="preserve"> Threats!A14</f>
        <v>T14-Virus and Spyware</v>
      </c>
      <c r="B15" s="244">
        <f>'AHP Likelihood Calculation'!AD47</f>
        <v>0.70636436643241918</v>
      </c>
      <c r="C15" s="245">
        <f>'AHP Severity Calculation'!AD47</f>
        <v>0.126776335146008</v>
      </c>
      <c r="D15" s="246">
        <f t="shared" si="1"/>
        <v>8.9550285654033973E-2</v>
      </c>
      <c r="E15" s="247">
        <f t="shared" si="2"/>
        <v>4.4775142827016987E-2</v>
      </c>
      <c r="F15" s="248">
        <f t="shared" si="3"/>
        <v>4.4775142827016987E-2</v>
      </c>
      <c r="G15" s="248">
        <f t="shared" si="4"/>
        <v>0</v>
      </c>
      <c r="H15" s="249" t="b">
        <f t="shared" si="5"/>
        <v>1</v>
      </c>
      <c r="I15" s="266" t="s">
        <v>176</v>
      </c>
      <c r="J15" s="267">
        <v>0.02</v>
      </c>
      <c r="K15" s="267">
        <v>150</v>
      </c>
      <c r="L15" s="277">
        <v>25</v>
      </c>
      <c r="M15" s="254">
        <f t="shared" si="0"/>
        <v>3750</v>
      </c>
      <c r="N15" s="284">
        <v>25</v>
      </c>
      <c r="O15" s="284">
        <v>25</v>
      </c>
      <c r="P15" s="295"/>
      <c r="Q15" s="256" t="s">
        <v>184</v>
      </c>
      <c r="R15" s="256">
        <v>0.02</v>
      </c>
      <c r="S15" s="257">
        <v>100</v>
      </c>
      <c r="T15" s="296">
        <v>25</v>
      </c>
      <c r="U15" s="257">
        <f t="shared" si="6"/>
        <v>2500</v>
      </c>
      <c r="V15" s="297">
        <v>25</v>
      </c>
      <c r="W15" s="297">
        <v>25</v>
      </c>
      <c r="X15" s="260"/>
      <c r="Y15" s="271" t="s">
        <v>181</v>
      </c>
      <c r="Z15" s="262">
        <v>0</v>
      </c>
      <c r="AA15" s="262">
        <v>0</v>
      </c>
      <c r="AB15" s="263">
        <v>0</v>
      </c>
      <c r="AC15" s="264">
        <f t="shared" si="7"/>
        <v>0</v>
      </c>
      <c r="AD15" s="264"/>
      <c r="AE15" s="264"/>
      <c r="AF15" s="264"/>
      <c r="AG15" s="334">
        <f t="shared" si="8"/>
        <v>4.4775142827016987E-2</v>
      </c>
      <c r="AH15" s="334">
        <f t="shared" si="9"/>
        <v>4.4775142827016987E-2</v>
      </c>
      <c r="AI15" s="334">
        <f t="shared" si="10"/>
        <v>0</v>
      </c>
    </row>
    <row r="16" spans="1:35" ht="16.5" customHeight="1" x14ac:dyDescent="0.25">
      <c r="A16" s="243" t="str">
        <f xml:space="preserve"> Threats!A15</f>
        <v>T15-Hacking</v>
      </c>
      <c r="B16" s="244">
        <f>'AHP Likelihood Calculation'!AD48</f>
        <v>9.5674681970019146E-2</v>
      </c>
      <c r="C16" s="245">
        <f>'AHP Severity Calculation'!AD48</f>
        <v>0.34590291338687784</v>
      </c>
      <c r="D16" s="246">
        <f t="shared" si="1"/>
        <v>3.3094151230792616E-2</v>
      </c>
      <c r="E16" s="247">
        <f t="shared" si="2"/>
        <v>1.3237660492317047E-2</v>
      </c>
      <c r="F16" s="248">
        <f t="shared" si="3"/>
        <v>1.985649073847557E-2</v>
      </c>
      <c r="G16" s="248">
        <f t="shared" si="4"/>
        <v>0</v>
      </c>
      <c r="H16" s="249" t="b">
        <f t="shared" si="5"/>
        <v>1</v>
      </c>
      <c r="I16" s="266" t="s">
        <v>178</v>
      </c>
      <c r="J16" s="267">
        <v>0.4</v>
      </c>
      <c r="K16" s="277">
        <v>2000</v>
      </c>
      <c r="L16" s="277">
        <v>1</v>
      </c>
      <c r="M16" s="254">
        <f t="shared" si="0"/>
        <v>2000</v>
      </c>
      <c r="N16" s="254"/>
      <c r="O16" s="254">
        <v>1</v>
      </c>
      <c r="P16" s="255"/>
      <c r="Q16" s="256" t="s">
        <v>175</v>
      </c>
      <c r="R16" s="256">
        <v>0.6</v>
      </c>
      <c r="S16" s="257">
        <v>8000</v>
      </c>
      <c r="T16" s="258">
        <v>1</v>
      </c>
      <c r="U16" s="257">
        <f t="shared" si="6"/>
        <v>8000</v>
      </c>
      <c r="V16" s="259"/>
      <c r="W16" s="259">
        <v>1</v>
      </c>
      <c r="X16" s="260"/>
      <c r="Y16" s="271" t="s">
        <v>181</v>
      </c>
      <c r="Z16" s="262">
        <v>0</v>
      </c>
      <c r="AA16" s="262">
        <v>0</v>
      </c>
      <c r="AB16" s="263">
        <v>0</v>
      </c>
      <c r="AC16" s="264">
        <f t="shared" si="7"/>
        <v>0</v>
      </c>
      <c r="AD16" s="264"/>
      <c r="AE16" s="264"/>
      <c r="AF16" s="264"/>
      <c r="AG16" s="334">
        <f t="shared" si="8"/>
        <v>1.3237660492317047E-2</v>
      </c>
      <c r="AH16" s="334">
        <f t="shared" si="9"/>
        <v>1.985649073847557E-2</v>
      </c>
      <c r="AI16" s="334">
        <f t="shared" si="10"/>
        <v>0</v>
      </c>
    </row>
    <row r="17" spans="1:35" ht="38.25" customHeight="1" x14ac:dyDescent="0.25">
      <c r="A17" s="243" t="str">
        <f xml:space="preserve"> Threats!A16</f>
        <v>T16-Media Leakage</v>
      </c>
      <c r="B17" s="244">
        <f>'AHP Likelihood Calculation'!AD49</f>
        <v>5.8604824167280453E-2</v>
      </c>
      <c r="C17" s="245">
        <f>'AHP Severity Calculation'!AD49</f>
        <v>2.7654024484345997E-2</v>
      </c>
      <c r="D17" s="246">
        <f t="shared" si="1"/>
        <v>1.6206592424227657E-3</v>
      </c>
      <c r="E17" s="247">
        <f t="shared" si="2"/>
        <v>8.1032962121138283E-4</v>
      </c>
      <c r="F17" s="248">
        <f t="shared" si="3"/>
        <v>8.1032962121138283E-4</v>
      </c>
      <c r="G17" s="248">
        <f t="shared" si="4"/>
        <v>0</v>
      </c>
      <c r="H17" s="249" t="b">
        <f t="shared" si="5"/>
        <v>1</v>
      </c>
      <c r="I17" s="266" t="s">
        <v>177</v>
      </c>
      <c r="J17" s="267">
        <v>0.5</v>
      </c>
      <c r="K17" s="267">
        <v>500</v>
      </c>
      <c r="L17" s="277">
        <v>1</v>
      </c>
      <c r="M17" s="254">
        <f t="shared" si="0"/>
        <v>500</v>
      </c>
      <c r="N17" s="254"/>
      <c r="O17" s="254">
        <v>1</v>
      </c>
      <c r="P17" s="255"/>
      <c r="Q17" s="256" t="s">
        <v>186</v>
      </c>
      <c r="R17" s="256">
        <v>0.5</v>
      </c>
      <c r="S17" s="257">
        <v>0</v>
      </c>
      <c r="T17" s="258">
        <v>1</v>
      </c>
      <c r="U17" s="257">
        <f t="shared" si="6"/>
        <v>0</v>
      </c>
      <c r="V17" s="259"/>
      <c r="W17" s="259">
        <v>1</v>
      </c>
      <c r="X17" s="260"/>
      <c r="Y17" s="271" t="s">
        <v>181</v>
      </c>
      <c r="Z17" s="262">
        <v>0</v>
      </c>
      <c r="AA17" s="262">
        <v>0</v>
      </c>
      <c r="AB17" s="263">
        <v>0</v>
      </c>
      <c r="AC17" s="264">
        <f t="shared" si="7"/>
        <v>0</v>
      </c>
      <c r="AD17" s="264"/>
      <c r="AE17" s="264"/>
      <c r="AF17" s="264"/>
      <c r="AG17" s="334">
        <f t="shared" si="8"/>
        <v>8.1032962121138283E-4</v>
      </c>
      <c r="AH17" s="334">
        <f t="shared" si="9"/>
        <v>8.1032962121138283E-4</v>
      </c>
      <c r="AI17" s="334">
        <f t="shared" si="10"/>
        <v>0</v>
      </c>
    </row>
    <row r="18" spans="1:35" ht="42" customHeight="1" x14ac:dyDescent="0.25">
      <c r="A18" s="243" t="str">
        <f xml:space="preserve"> Threats!A17</f>
        <v>T17-Communication Preventers(Botnet, Dialer)</v>
      </c>
      <c r="B18" s="244">
        <f>'AHP Likelihood Calculation'!AD50</f>
        <v>0.27124323692319202</v>
      </c>
      <c r="C18" s="245">
        <f>'AHP Severity Calculation'!AD50</f>
        <v>9.6281664532711891E-2</v>
      </c>
      <c r="D18" s="246">
        <f t="shared" si="1"/>
        <v>2.6115750344205668E-2</v>
      </c>
      <c r="E18" s="247">
        <f t="shared" si="2"/>
        <v>1.3057875172102834E-2</v>
      </c>
      <c r="F18" s="248">
        <f t="shared" si="3"/>
        <v>1.3057875172102834E-2</v>
      </c>
      <c r="G18" s="248">
        <f t="shared" si="4"/>
        <v>0</v>
      </c>
      <c r="H18" s="249" t="b">
        <f t="shared" si="5"/>
        <v>1</v>
      </c>
      <c r="I18" s="266" t="s">
        <v>220</v>
      </c>
      <c r="J18" s="267">
        <v>0.5</v>
      </c>
      <c r="K18" s="267">
        <v>5000</v>
      </c>
      <c r="L18" s="277">
        <v>1</v>
      </c>
      <c r="M18" s="254">
        <f t="shared" si="0"/>
        <v>5000</v>
      </c>
      <c r="N18" s="254"/>
      <c r="O18" s="254">
        <v>1</v>
      </c>
      <c r="P18" s="255"/>
      <c r="Q18" s="256" t="s">
        <v>221</v>
      </c>
      <c r="R18" s="256">
        <v>0.1</v>
      </c>
      <c r="S18" s="257">
        <v>2000</v>
      </c>
      <c r="T18" s="258">
        <v>5</v>
      </c>
      <c r="U18" s="257">
        <f t="shared" si="6"/>
        <v>10000</v>
      </c>
      <c r="V18" s="259"/>
      <c r="W18" s="259"/>
      <c r="X18" s="260">
        <v>10000</v>
      </c>
      <c r="Y18" s="271" t="s">
        <v>181</v>
      </c>
      <c r="Z18" s="262">
        <v>0</v>
      </c>
      <c r="AA18" s="262">
        <v>0</v>
      </c>
      <c r="AB18" s="263">
        <v>0</v>
      </c>
      <c r="AC18" s="264">
        <f t="shared" si="7"/>
        <v>0</v>
      </c>
      <c r="AD18" s="264"/>
      <c r="AE18" s="264"/>
      <c r="AF18" s="264"/>
      <c r="AG18" s="334">
        <f t="shared" si="8"/>
        <v>1.3057875172102834E-2</v>
      </c>
      <c r="AH18" s="334">
        <f t="shared" si="9"/>
        <v>1.3057875172102834E-2</v>
      </c>
      <c r="AI18" s="334">
        <f t="shared" si="10"/>
        <v>0</v>
      </c>
    </row>
    <row r="19" spans="1:35" ht="39.75" customHeight="1" x14ac:dyDescent="0.25">
      <c r="A19" s="243" t="str">
        <f xml:space="preserve"> Threats!A18</f>
        <v>T18-Authentication Threats</v>
      </c>
      <c r="B19" s="244">
        <f>'AHP Likelihood Calculation'!AD51</f>
        <v>0.58184563157288882</v>
      </c>
      <c r="C19" s="245">
        <f>'AHP Severity Calculation'!AD51</f>
        <v>0.10455949403646614</v>
      </c>
      <c r="D19" s="246">
        <f t="shared" si="1"/>
        <v>6.083748484458934E-2</v>
      </c>
      <c r="E19" s="247">
        <f t="shared" si="2"/>
        <v>2.4334993937835739E-2</v>
      </c>
      <c r="F19" s="248">
        <f t="shared" si="3"/>
        <v>3.041874242229467E-2</v>
      </c>
      <c r="G19" s="248">
        <f t="shared" si="4"/>
        <v>6.0837484844589278E-3</v>
      </c>
      <c r="H19" s="249" t="b">
        <f t="shared" si="5"/>
        <v>1</v>
      </c>
      <c r="I19" s="266" t="s">
        <v>179</v>
      </c>
      <c r="J19" s="267">
        <v>0.4</v>
      </c>
      <c r="K19" s="267">
        <v>7500</v>
      </c>
      <c r="L19" s="277">
        <v>1</v>
      </c>
      <c r="M19" s="254">
        <f t="shared" si="0"/>
        <v>7500</v>
      </c>
      <c r="N19" s="254"/>
      <c r="O19" s="254">
        <v>1</v>
      </c>
      <c r="P19" s="255"/>
      <c r="Q19" s="298" t="s">
        <v>187</v>
      </c>
      <c r="R19" s="256">
        <v>0.5</v>
      </c>
      <c r="S19" s="257">
        <v>5000</v>
      </c>
      <c r="T19" s="258">
        <v>1</v>
      </c>
      <c r="U19" s="257">
        <f t="shared" si="6"/>
        <v>5000</v>
      </c>
      <c r="V19" s="259">
        <v>1</v>
      </c>
      <c r="W19" s="259">
        <v>1</v>
      </c>
      <c r="X19" s="260"/>
      <c r="Y19" s="273" t="s">
        <v>222</v>
      </c>
      <c r="Z19" s="274">
        <v>3.3333333333333298E-2</v>
      </c>
      <c r="AA19" s="262">
        <v>5000</v>
      </c>
      <c r="AB19" s="263">
        <v>3</v>
      </c>
      <c r="AC19" s="264">
        <f t="shared" si="7"/>
        <v>15000</v>
      </c>
      <c r="AD19" s="264"/>
      <c r="AE19" s="264"/>
      <c r="AF19" s="264">
        <v>15000</v>
      </c>
      <c r="AG19" s="334">
        <f t="shared" si="8"/>
        <v>2.4334993937835739E-2</v>
      </c>
      <c r="AH19" s="334">
        <f t="shared" si="9"/>
        <v>3.041874242229467E-2</v>
      </c>
      <c r="AI19" s="334">
        <f t="shared" si="10"/>
        <v>6.0837484844589278E-3</v>
      </c>
    </row>
    <row r="20" spans="1:35" ht="39" customHeight="1" x14ac:dyDescent="0.25">
      <c r="A20" s="243" t="str">
        <f xml:space="preserve"> Threats!A19</f>
        <v>T19-Non Repudiation Threats</v>
      </c>
      <c r="B20" s="244">
        <f>'AHP Likelihood Calculation'!AD52</f>
        <v>0.28643382192337691</v>
      </c>
      <c r="C20" s="245">
        <f>'AHP Severity Calculation'!AD52</f>
        <v>9.5385565838487743E-2</v>
      </c>
      <c r="D20" s="246">
        <f t="shared" si="1"/>
        <v>2.7321652179441942E-2</v>
      </c>
      <c r="E20" s="247">
        <f t="shared" si="2"/>
        <v>1.3660826089720971E-2</v>
      </c>
      <c r="F20" s="248">
        <f t="shared" si="3"/>
        <v>8.1964956538325816E-3</v>
      </c>
      <c r="G20" s="248">
        <f t="shared" si="4"/>
        <v>5.4643304358883886E-3</v>
      </c>
      <c r="H20" s="249" t="b">
        <f t="shared" si="5"/>
        <v>1</v>
      </c>
      <c r="I20" s="266" t="s">
        <v>195</v>
      </c>
      <c r="J20" s="267">
        <v>0.5</v>
      </c>
      <c r="K20" s="267">
        <v>10000</v>
      </c>
      <c r="L20" s="277">
        <v>1</v>
      </c>
      <c r="M20" s="254">
        <f t="shared" si="0"/>
        <v>10000</v>
      </c>
      <c r="N20" s="254"/>
      <c r="O20" s="254">
        <v>1</v>
      </c>
      <c r="P20" s="255"/>
      <c r="Q20" s="256" t="s">
        <v>189</v>
      </c>
      <c r="R20" s="299">
        <v>0.3</v>
      </c>
      <c r="S20" s="257">
        <v>0</v>
      </c>
      <c r="T20" s="258">
        <v>1</v>
      </c>
      <c r="U20" s="257">
        <f t="shared" si="6"/>
        <v>0</v>
      </c>
      <c r="V20" s="259"/>
      <c r="W20" s="259">
        <v>1</v>
      </c>
      <c r="X20" s="260"/>
      <c r="Y20" s="271" t="s">
        <v>180</v>
      </c>
      <c r="Z20" s="262">
        <v>0.2</v>
      </c>
      <c r="AA20" s="262">
        <v>0</v>
      </c>
      <c r="AB20" s="263">
        <v>1</v>
      </c>
      <c r="AC20" s="264">
        <f t="shared" si="7"/>
        <v>0</v>
      </c>
      <c r="AD20" s="264"/>
      <c r="AE20" s="264">
        <v>1</v>
      </c>
      <c r="AF20" s="264"/>
      <c r="AG20" s="334">
        <f t="shared" si="8"/>
        <v>1.3660826089720971E-2</v>
      </c>
      <c r="AH20" s="334">
        <f t="shared" si="9"/>
        <v>8.1964956538325816E-3</v>
      </c>
      <c r="AI20" s="334">
        <f t="shared" si="10"/>
        <v>5.4643304358883886E-3</v>
      </c>
    </row>
    <row r="21" spans="1:35" ht="26.25" customHeight="1" x14ac:dyDescent="0.25">
      <c r="A21" s="243" t="str">
        <f xml:space="preserve"> Threats!A20</f>
        <v>T20-Separation of Duties</v>
      </c>
      <c r="B21" s="244">
        <f>'AHP Likelihood Calculation'!AD53</f>
        <v>0.3317214128842092</v>
      </c>
      <c r="C21" s="245">
        <f>'AHP Severity Calculation'!AD53</f>
        <v>4.4577543861404362E-2</v>
      </c>
      <c r="D21" s="246">
        <f t="shared" si="1"/>
        <v>1.4787325832612861E-2</v>
      </c>
      <c r="E21" s="247">
        <f t="shared" si="2"/>
        <v>8.872395499567717E-3</v>
      </c>
      <c r="F21" s="248">
        <f t="shared" si="3"/>
        <v>5.9149303330451449E-3</v>
      </c>
      <c r="G21" s="248">
        <f t="shared" si="4"/>
        <v>0</v>
      </c>
      <c r="H21" s="249" t="b">
        <f t="shared" si="5"/>
        <v>1</v>
      </c>
      <c r="I21" s="250" t="s">
        <v>217</v>
      </c>
      <c r="J21" s="267">
        <v>0.6</v>
      </c>
      <c r="K21" s="267">
        <v>10000</v>
      </c>
      <c r="L21" s="277">
        <v>1</v>
      </c>
      <c r="M21" s="254">
        <f t="shared" si="0"/>
        <v>10000</v>
      </c>
      <c r="N21" s="254"/>
      <c r="O21" s="254">
        <v>1</v>
      </c>
      <c r="P21" s="255"/>
      <c r="Q21" s="273" t="s">
        <v>177</v>
      </c>
      <c r="R21" s="299">
        <v>0.4</v>
      </c>
      <c r="S21" s="257">
        <v>0</v>
      </c>
      <c r="T21" s="258">
        <v>1</v>
      </c>
      <c r="U21" s="257">
        <f t="shared" si="6"/>
        <v>0</v>
      </c>
      <c r="V21" s="259"/>
      <c r="W21" s="259">
        <v>1</v>
      </c>
      <c r="X21" s="260"/>
      <c r="Y21" s="271" t="s">
        <v>181</v>
      </c>
      <c r="Z21" s="262">
        <v>0</v>
      </c>
      <c r="AA21" s="262">
        <v>0</v>
      </c>
      <c r="AB21" s="263">
        <v>0</v>
      </c>
      <c r="AC21" s="264">
        <f t="shared" si="7"/>
        <v>0</v>
      </c>
      <c r="AD21" s="264"/>
      <c r="AE21" s="264"/>
      <c r="AF21" s="264"/>
      <c r="AG21" s="334">
        <f t="shared" si="8"/>
        <v>8.872395499567717E-3</v>
      </c>
      <c r="AH21" s="334">
        <f t="shared" si="9"/>
        <v>5.9149303330451449E-3</v>
      </c>
      <c r="AI21" s="334">
        <f t="shared" si="10"/>
        <v>0</v>
      </c>
    </row>
    <row r="22" spans="1:35" ht="54.75" customHeight="1" x14ac:dyDescent="0.25">
      <c r="A22" s="243" t="str">
        <f xml:space="preserve"> Threats!A21</f>
        <v>T21-Configuration Threats</v>
      </c>
      <c r="B22" s="244">
        <f>'AHP Likelihood Calculation'!AD54</f>
        <v>0.38319826966022075</v>
      </c>
      <c r="C22" s="245">
        <f>'AHP Severity Calculation'!AD54</f>
        <v>9.1000920292543475E-2</v>
      </c>
      <c r="D22" s="246">
        <f t="shared" si="1"/>
        <v>3.4871395193590331E-2</v>
      </c>
      <c r="E22" s="247">
        <f t="shared" si="2"/>
        <v>3.4871395193590331E-2</v>
      </c>
      <c r="F22" s="248">
        <f t="shared" si="3"/>
        <v>0</v>
      </c>
      <c r="G22" s="248">
        <f t="shared" si="4"/>
        <v>0</v>
      </c>
      <c r="H22" s="290" t="b">
        <f t="shared" si="5"/>
        <v>1</v>
      </c>
      <c r="I22" s="250" t="s">
        <v>217</v>
      </c>
      <c r="J22" s="291">
        <v>1</v>
      </c>
      <c r="K22" s="291">
        <v>10000</v>
      </c>
      <c r="L22" s="292">
        <v>1</v>
      </c>
      <c r="M22" s="254">
        <f t="shared" si="0"/>
        <v>10000</v>
      </c>
      <c r="N22" s="254"/>
      <c r="O22" s="254">
        <v>1</v>
      </c>
      <c r="P22" s="255"/>
      <c r="Q22" s="293" t="s">
        <v>181</v>
      </c>
      <c r="R22" s="259">
        <v>0</v>
      </c>
      <c r="S22" s="294">
        <v>0</v>
      </c>
      <c r="T22" s="258">
        <v>0</v>
      </c>
      <c r="U22" s="257">
        <f t="shared" si="6"/>
        <v>0</v>
      </c>
      <c r="V22" s="259"/>
      <c r="W22" s="259">
        <v>1</v>
      </c>
      <c r="X22" s="260"/>
      <c r="Y22" s="271" t="s">
        <v>181</v>
      </c>
      <c r="Z22" s="262">
        <v>0</v>
      </c>
      <c r="AA22" s="262">
        <v>0</v>
      </c>
      <c r="AB22" s="263">
        <v>0</v>
      </c>
      <c r="AC22" s="264">
        <f t="shared" si="7"/>
        <v>0</v>
      </c>
      <c r="AD22" s="264"/>
      <c r="AE22" s="264"/>
      <c r="AF22" s="264"/>
      <c r="AG22" s="334">
        <f t="shared" si="8"/>
        <v>3.4871395193590331E-2</v>
      </c>
      <c r="AH22" s="334">
        <f t="shared" si="9"/>
        <v>0</v>
      </c>
      <c r="AI22" s="334">
        <f t="shared" si="10"/>
        <v>0</v>
      </c>
    </row>
    <row r="23" spans="1:35" ht="41.25" customHeight="1" x14ac:dyDescent="0.25">
      <c r="A23" s="243" t="str">
        <f xml:space="preserve"> Threats!A22</f>
        <v>T22- Communications Threats</v>
      </c>
      <c r="B23" s="244">
        <f>'AHP Likelihood Calculation'!AD55</f>
        <v>0.29315402277471436</v>
      </c>
      <c r="C23" s="245">
        <f>'AHP Severity Calculation'!AD55</f>
        <v>0.11814664549698722</v>
      </c>
      <c r="D23" s="246">
        <f t="shared" si="1"/>
        <v>3.46351644047799E-2</v>
      </c>
      <c r="E23" s="247">
        <f t="shared" si="2"/>
        <v>1.731758220238995E-2</v>
      </c>
      <c r="F23" s="248">
        <f t="shared" si="3"/>
        <v>1.731758220238995E-2</v>
      </c>
      <c r="G23" s="248">
        <f t="shared" si="4"/>
        <v>0</v>
      </c>
      <c r="H23" s="249" t="b">
        <f t="shared" si="5"/>
        <v>1</v>
      </c>
      <c r="I23" s="266" t="s">
        <v>216</v>
      </c>
      <c r="J23" s="267">
        <v>0.25</v>
      </c>
      <c r="K23" s="267">
        <v>7500</v>
      </c>
      <c r="L23" s="277">
        <v>2</v>
      </c>
      <c r="M23" s="254">
        <f t="shared" si="0"/>
        <v>15000</v>
      </c>
      <c r="N23" s="284"/>
      <c r="O23" s="284">
        <v>2</v>
      </c>
      <c r="P23" s="295"/>
      <c r="Q23" s="256" t="s">
        <v>188</v>
      </c>
      <c r="R23" s="256">
        <v>0.5</v>
      </c>
      <c r="S23" s="257">
        <v>1000</v>
      </c>
      <c r="T23" s="296">
        <v>1</v>
      </c>
      <c r="U23" s="257">
        <f t="shared" si="6"/>
        <v>1000</v>
      </c>
      <c r="V23" s="259"/>
      <c r="W23" s="259">
        <v>1</v>
      </c>
      <c r="X23" s="260"/>
      <c r="Y23" s="271" t="s">
        <v>181</v>
      </c>
      <c r="Z23" s="262">
        <v>1</v>
      </c>
      <c r="AA23" s="262">
        <v>0</v>
      </c>
      <c r="AB23" s="263">
        <v>0</v>
      </c>
      <c r="AC23" s="264">
        <f t="shared" si="7"/>
        <v>0</v>
      </c>
      <c r="AD23" s="264"/>
      <c r="AE23" s="264"/>
      <c r="AF23" s="264"/>
      <c r="AG23" s="334">
        <f t="shared" si="8"/>
        <v>1.731758220238995E-2</v>
      </c>
      <c r="AH23" s="334">
        <f t="shared" si="9"/>
        <v>1.731758220238995E-2</v>
      </c>
      <c r="AI23" s="334">
        <f t="shared" si="10"/>
        <v>3.46351644047799E-2</v>
      </c>
    </row>
    <row r="24" spans="1:35" ht="53.25" customHeight="1" x14ac:dyDescent="0.25">
      <c r="A24" s="300"/>
      <c r="B24" s="301"/>
      <c r="C24" s="300"/>
      <c r="D24" s="332">
        <f>SUM(D2:D23)</f>
        <v>0.49849937380730425</v>
      </c>
      <c r="E24" s="332">
        <f t="shared" ref="E24:G24" si="11">SUM(E2:E23)</f>
        <v>0.29845589595103228</v>
      </c>
      <c r="F24" s="332">
        <f t="shared" si="11"/>
        <v>0.17439433152284622</v>
      </c>
      <c r="G24" s="332">
        <f t="shared" si="11"/>
        <v>2.5701969983409467E-2</v>
      </c>
      <c r="H24" s="26">
        <f>COUNTIF(H2:H23, "TRUE")</f>
        <v>22</v>
      </c>
      <c r="I24" s="301"/>
      <c r="J24" s="301"/>
      <c r="K24" s="301"/>
      <c r="L24" s="326">
        <f>SUM(L2:L23)</f>
        <v>86</v>
      </c>
      <c r="M24" s="326">
        <f>SUM(M2:M23)</f>
        <v>187000</v>
      </c>
      <c r="N24" s="300"/>
      <c r="O24" s="300"/>
      <c r="P24" s="300"/>
      <c r="Q24" s="300"/>
      <c r="R24" s="300"/>
      <c r="S24" s="300"/>
      <c r="T24" s="326">
        <f>SUM(T2:T23)</f>
        <v>71</v>
      </c>
      <c r="U24" s="300">
        <f>SUM(U2:U23)</f>
        <v>62700</v>
      </c>
      <c r="V24" s="300"/>
      <c r="W24" s="300"/>
      <c r="X24" s="300"/>
      <c r="Y24" s="300"/>
      <c r="Z24" s="300"/>
      <c r="AA24" s="300"/>
      <c r="AB24" s="326">
        <f>SUM(AB2:AB23)</f>
        <v>8</v>
      </c>
      <c r="AC24" s="304">
        <f>SUM(AC2:AC23)</f>
        <v>21000</v>
      </c>
      <c r="AD24" s="300"/>
      <c r="AE24" s="300"/>
      <c r="AF24" s="300"/>
      <c r="AG24" s="334">
        <f>SUM(AG2:AG23)</f>
        <v>0.29985867124762289</v>
      </c>
      <c r="AH24" s="334">
        <f>SUM(AH2:AH23)</f>
        <v>0.17983752242670581</v>
      </c>
      <c r="AI24" s="334">
        <f>SUM(AI2:AI23)</f>
        <v>6.033713438818937E-2</v>
      </c>
    </row>
    <row r="25" spans="1:35" ht="12.75" customHeight="1" x14ac:dyDescent="0.25">
      <c r="B25" s="14"/>
      <c r="D25" s="333"/>
      <c r="E25" s="333"/>
      <c r="F25" s="333"/>
      <c r="G25" s="329">
        <f>E24 +F24+G24</f>
        <v>0.49855219745728796</v>
      </c>
      <c r="H25" s="279">
        <f>H24*G25</f>
        <v>10.968148344060335</v>
      </c>
      <c r="I25" s="14"/>
      <c r="J25" s="14"/>
      <c r="K25" s="14"/>
      <c r="M25" s="14"/>
      <c r="AB25" s="327"/>
      <c r="AG25" s="334"/>
      <c r="AH25" s="334"/>
      <c r="AI25" s="334">
        <f>AG24+AH24+AI24</f>
        <v>0.54003332806251803</v>
      </c>
    </row>
    <row r="26" spans="1:35" ht="12.75" customHeight="1" x14ac:dyDescent="0.25">
      <c r="B26" s="14"/>
      <c r="D26" s="14"/>
      <c r="E26" s="14"/>
      <c r="F26" s="14"/>
      <c r="G26" s="14"/>
      <c r="H26" s="14"/>
      <c r="I26" s="14"/>
      <c r="J26" s="14"/>
      <c r="K26" s="14"/>
      <c r="M26" s="14"/>
      <c r="AB26">
        <f>G25*AB25</f>
        <v>0</v>
      </c>
    </row>
    <row r="27" spans="1:35" ht="12.75" customHeight="1" x14ac:dyDescent="0.25">
      <c r="B27" s="14"/>
      <c r="D27" s="14"/>
      <c r="E27" s="14"/>
      <c r="F27" s="14"/>
      <c r="G27" s="14"/>
      <c r="H27" s="14"/>
      <c r="I27" s="14"/>
      <c r="J27" s="14"/>
      <c r="K27" s="14"/>
      <c r="M27" s="14"/>
    </row>
    <row r="28" spans="1:35" ht="66" customHeight="1" x14ac:dyDescent="0.25">
      <c r="A28" s="321" t="s">
        <v>308</v>
      </c>
      <c r="B28" s="322">
        <v>1</v>
      </c>
      <c r="C28" s="321" t="s">
        <v>360</v>
      </c>
      <c r="D28" s="330">
        <f>G25</f>
        <v>0.49855219745728796</v>
      </c>
      <c r="E28" s="321" t="s">
        <v>361</v>
      </c>
      <c r="F28" s="331">
        <f>D24</f>
        <v>0.49849937380730425</v>
      </c>
      <c r="G28" s="321" t="s">
        <v>366</v>
      </c>
      <c r="H28" s="331">
        <f>F28*B28</f>
        <v>0.49849937380730425</v>
      </c>
      <c r="I28" s="15" t="s">
        <v>365</v>
      </c>
      <c r="J28" s="15">
        <f>M24+U24+AC24</f>
        <v>270700</v>
      </c>
      <c r="K28" s="15"/>
      <c r="L28" s="3"/>
      <c r="M28" s="3"/>
      <c r="N28" s="3"/>
      <c r="O28" s="3"/>
      <c r="P28" s="3"/>
      <c r="R28" s="26"/>
    </row>
    <row r="29" spans="1:35" ht="12.75" customHeight="1" x14ac:dyDescent="0.25">
      <c r="B29" s="14"/>
      <c r="D29" s="14"/>
      <c r="E29" s="14"/>
      <c r="F29" s="14"/>
      <c r="G29" s="14"/>
      <c r="H29" s="14"/>
      <c r="I29" s="14"/>
      <c r="J29" s="14"/>
      <c r="L29" s="14"/>
    </row>
    <row r="30" spans="1:35" ht="12.75" customHeight="1" x14ac:dyDescent="0.25">
      <c r="B30" s="14"/>
      <c r="D30" s="14"/>
      <c r="E30" s="14"/>
      <c r="F30" s="14"/>
      <c r="G30" s="14"/>
      <c r="H30" s="14"/>
      <c r="I30" s="14"/>
      <c r="J30" s="14"/>
      <c r="L30" s="14"/>
    </row>
    <row r="31" spans="1:35" ht="12.75" customHeight="1" x14ac:dyDescent="0.25">
      <c r="B31" s="14"/>
      <c r="D31" s="14"/>
      <c r="E31" s="14"/>
      <c r="F31" s="14"/>
      <c r="G31" s="14"/>
      <c r="H31" s="14"/>
      <c r="I31" s="14"/>
      <c r="J31" s="14"/>
      <c r="L31" s="14"/>
    </row>
    <row r="32" spans="1:35" ht="12.75" customHeight="1" x14ac:dyDescent="0.25">
      <c r="B32" s="14"/>
      <c r="D32" s="14"/>
      <c r="E32" s="14"/>
      <c r="F32" s="14"/>
      <c r="G32" s="14"/>
      <c r="H32" s="14"/>
      <c r="I32" s="14"/>
      <c r="J32" s="14"/>
      <c r="L32" s="14"/>
    </row>
    <row r="33" spans="2:13" ht="12.75" customHeight="1" x14ac:dyDescent="0.25">
      <c r="B33" s="14"/>
      <c r="D33" s="14"/>
      <c r="E33" s="14"/>
      <c r="F33" s="14"/>
      <c r="G33" s="14"/>
      <c r="H33" s="14"/>
      <c r="I33" s="14"/>
      <c r="J33" s="14"/>
      <c r="K33" s="14"/>
      <c r="M33" s="14"/>
    </row>
    <row r="34" spans="2:13" ht="12.75" customHeight="1" x14ac:dyDescent="0.25">
      <c r="B34" s="14"/>
      <c r="D34" s="14"/>
      <c r="E34" s="14"/>
      <c r="F34" s="14"/>
      <c r="G34" s="14"/>
      <c r="H34" s="14"/>
      <c r="I34" s="14"/>
      <c r="J34" s="14"/>
      <c r="K34" s="14"/>
      <c r="M34" s="14"/>
    </row>
    <row r="35" spans="2:13" ht="12.75" customHeight="1" x14ac:dyDescent="0.25">
      <c r="B35" s="14"/>
      <c r="D35" s="14"/>
      <c r="E35" s="14"/>
      <c r="F35" s="14"/>
      <c r="G35" s="14"/>
      <c r="H35" s="14"/>
      <c r="I35" s="14"/>
      <c r="J35" s="14"/>
      <c r="K35" s="14"/>
      <c r="M35" s="14"/>
    </row>
    <row r="36" spans="2:13" ht="12.75" customHeight="1" x14ac:dyDescent="0.25">
      <c r="B36" s="14"/>
      <c r="D36" s="14"/>
      <c r="E36" s="14"/>
      <c r="F36" s="14"/>
      <c r="G36" s="14"/>
      <c r="H36" s="14"/>
      <c r="I36" s="14"/>
      <c r="J36" s="14"/>
      <c r="K36" s="14"/>
      <c r="M36" s="14"/>
    </row>
    <row r="37" spans="2:13" ht="12.75" customHeight="1" x14ac:dyDescent="0.25">
      <c r="B37" s="14"/>
      <c r="D37" s="14"/>
      <c r="E37" s="14"/>
      <c r="F37" s="14"/>
      <c r="G37" s="14"/>
      <c r="H37" s="14"/>
      <c r="I37" s="14"/>
      <c r="J37" s="14"/>
      <c r="K37" s="14"/>
      <c r="M37" s="14"/>
    </row>
    <row r="38" spans="2:13" ht="12.75" customHeight="1" x14ac:dyDescent="0.25">
      <c r="B38" s="14"/>
      <c r="D38" s="14"/>
      <c r="E38" s="14"/>
      <c r="F38" s="14"/>
      <c r="G38" s="14"/>
      <c r="H38" s="14"/>
      <c r="I38" s="14"/>
      <c r="J38" s="14"/>
      <c r="K38" s="14"/>
      <c r="M38" s="14"/>
    </row>
    <row r="39" spans="2:13" ht="12.75" customHeight="1" x14ac:dyDescent="0.25">
      <c r="B39" s="14"/>
      <c r="D39" s="14"/>
      <c r="E39" s="14"/>
      <c r="F39" s="14"/>
      <c r="G39" s="14"/>
      <c r="H39" s="14"/>
      <c r="I39" s="14"/>
      <c r="J39" s="14"/>
      <c r="K39" s="14"/>
      <c r="M39" s="14"/>
    </row>
    <row r="40" spans="2:13" ht="12.75" customHeight="1" x14ac:dyDescent="0.25">
      <c r="B40" s="14"/>
      <c r="C40" s="328"/>
      <c r="D40" s="14"/>
      <c r="E40" s="14"/>
      <c r="F40" s="14"/>
      <c r="G40" s="14"/>
      <c r="H40" s="14"/>
      <c r="I40" s="14"/>
      <c r="J40" s="14"/>
      <c r="K40" s="14"/>
      <c r="M40" s="14"/>
    </row>
    <row r="41" spans="2:13" ht="12.75" customHeight="1" x14ac:dyDescent="0.25">
      <c r="B41" s="14"/>
      <c r="D41" s="14"/>
      <c r="E41" s="14"/>
      <c r="F41" s="14"/>
      <c r="G41" s="14"/>
      <c r="H41" s="14"/>
      <c r="I41" s="14"/>
      <c r="J41" s="14"/>
      <c r="K41" s="14"/>
      <c r="M41" s="14"/>
    </row>
    <row r="42" spans="2:13" ht="12.75" customHeight="1" x14ac:dyDescent="0.25">
      <c r="B42" s="14"/>
      <c r="D42" s="14"/>
      <c r="E42" s="14"/>
      <c r="F42" s="14"/>
      <c r="G42" s="14"/>
      <c r="H42" s="14"/>
      <c r="I42" s="14"/>
      <c r="J42" s="14"/>
      <c r="K42" s="14"/>
      <c r="M42" s="14"/>
    </row>
    <row r="43" spans="2:13" ht="12.75" customHeight="1" x14ac:dyDescent="0.25">
      <c r="B43" s="14"/>
      <c r="D43" s="14"/>
      <c r="E43" s="14"/>
      <c r="F43" s="14"/>
      <c r="G43" s="14"/>
      <c r="H43" s="14"/>
      <c r="I43" s="14"/>
      <c r="J43" s="14"/>
      <c r="K43" s="14"/>
      <c r="M43" s="14"/>
    </row>
    <row r="44" spans="2:13" ht="12.75" customHeight="1" x14ac:dyDescent="0.25">
      <c r="B44" s="14"/>
      <c r="D44" s="14"/>
      <c r="E44" s="14"/>
      <c r="F44" s="14"/>
      <c r="G44" s="14"/>
      <c r="H44" s="14"/>
      <c r="I44" s="14"/>
      <c r="J44" s="14"/>
      <c r="K44" s="14"/>
      <c r="M44" s="14"/>
    </row>
    <row r="45" spans="2:13" ht="12.75" customHeight="1" x14ac:dyDescent="0.25">
      <c r="B45" s="14"/>
      <c r="D45" s="14"/>
      <c r="E45" s="14"/>
      <c r="F45" s="14"/>
      <c r="G45" s="14"/>
      <c r="H45" s="14"/>
      <c r="I45" s="14"/>
      <c r="J45" s="14"/>
      <c r="K45" s="14"/>
      <c r="M45" s="14"/>
    </row>
    <row r="46" spans="2:13" ht="12.75" customHeight="1" x14ac:dyDescent="0.25">
      <c r="B46" s="14"/>
      <c r="D46" s="14"/>
      <c r="E46" s="14"/>
      <c r="F46" s="14"/>
      <c r="G46" s="14"/>
      <c r="H46" s="14"/>
      <c r="I46" s="14"/>
      <c r="J46" s="14"/>
      <c r="K46" s="14"/>
      <c r="M46" s="14"/>
    </row>
    <row r="47" spans="2:13" ht="12.75" customHeight="1" x14ac:dyDescent="0.25">
      <c r="B47" s="14"/>
      <c r="D47" s="14"/>
      <c r="E47" s="14"/>
      <c r="F47" s="14"/>
      <c r="G47" s="14"/>
      <c r="H47" s="14"/>
      <c r="I47" s="14"/>
      <c r="J47" s="14"/>
      <c r="K47" s="14"/>
      <c r="M47" s="14"/>
    </row>
    <row r="48" spans="2:13" ht="12.75" customHeight="1" x14ac:dyDescent="0.25">
      <c r="B48" s="14"/>
      <c r="D48" s="14"/>
      <c r="E48" s="14"/>
      <c r="F48" s="14"/>
      <c r="G48" s="14"/>
      <c r="H48" s="14"/>
      <c r="I48" s="14"/>
      <c r="J48" s="14"/>
      <c r="K48" s="14"/>
      <c r="M48" s="14"/>
    </row>
    <row r="49" spans="2:13" ht="12.75" customHeight="1" x14ac:dyDescent="0.25">
      <c r="B49" s="14"/>
      <c r="D49" s="14"/>
      <c r="E49" s="14"/>
      <c r="F49" s="14"/>
      <c r="G49" s="14"/>
      <c r="H49" s="14"/>
      <c r="I49" s="14"/>
      <c r="J49" s="14"/>
      <c r="K49" s="14"/>
      <c r="M49" s="14"/>
    </row>
    <row r="50" spans="2:13" ht="12.75" customHeight="1" x14ac:dyDescent="0.25">
      <c r="B50" s="14"/>
      <c r="D50" s="14"/>
      <c r="E50" s="14"/>
      <c r="F50" s="14"/>
      <c r="G50" s="14"/>
      <c r="H50" s="14"/>
      <c r="I50" s="14"/>
      <c r="J50" s="14"/>
      <c r="K50" s="14"/>
      <c r="M50" s="14"/>
    </row>
    <row r="51" spans="2:13" ht="12.75" customHeight="1" x14ac:dyDescent="0.25">
      <c r="B51" s="14"/>
      <c r="D51" s="14"/>
      <c r="E51" s="14"/>
      <c r="F51" s="14"/>
      <c r="G51" s="14"/>
      <c r="H51" s="14"/>
      <c r="I51" s="14"/>
      <c r="J51" s="14"/>
      <c r="K51" s="14"/>
      <c r="M51" s="14"/>
    </row>
    <row r="52" spans="2:13" ht="12.75" customHeight="1" x14ac:dyDescent="0.25">
      <c r="B52" s="14"/>
      <c r="D52" s="14"/>
      <c r="E52" s="14"/>
      <c r="F52" s="14"/>
      <c r="G52" s="14"/>
      <c r="H52" s="14"/>
      <c r="I52" s="14"/>
      <c r="J52" s="14"/>
      <c r="K52" s="14"/>
      <c r="M52" s="14"/>
    </row>
    <row r="53" spans="2:13" ht="12.75" customHeight="1" x14ac:dyDescent="0.25">
      <c r="B53" s="14"/>
      <c r="D53" s="14"/>
      <c r="E53" s="14"/>
      <c r="F53" s="14"/>
      <c r="G53" s="14"/>
      <c r="H53" s="14"/>
      <c r="I53" s="14"/>
      <c r="J53" s="14"/>
      <c r="K53" s="14"/>
      <c r="M53" s="14"/>
    </row>
    <row r="54" spans="2:13" ht="12.75" customHeight="1" x14ac:dyDescent="0.25">
      <c r="B54" s="14"/>
      <c r="D54" s="14"/>
      <c r="E54" s="14"/>
      <c r="F54" s="14"/>
      <c r="G54" s="14"/>
      <c r="H54" s="14"/>
      <c r="I54" s="14"/>
      <c r="J54" s="14"/>
      <c r="K54" s="14"/>
      <c r="M54" s="14"/>
    </row>
    <row r="55" spans="2:13" ht="12.75" customHeight="1" x14ac:dyDescent="0.25">
      <c r="B55" s="14"/>
      <c r="D55" s="14"/>
      <c r="E55" s="14"/>
      <c r="F55" s="14"/>
      <c r="G55" s="14"/>
      <c r="H55" s="14"/>
      <c r="I55" s="14"/>
      <c r="J55" s="14"/>
      <c r="K55" s="14"/>
      <c r="M55" s="14"/>
    </row>
    <row r="56" spans="2:13" ht="12.75" customHeight="1" x14ac:dyDescent="0.25">
      <c r="B56" s="14"/>
      <c r="D56" s="14"/>
      <c r="E56" s="14"/>
      <c r="F56" s="14"/>
      <c r="G56" s="14"/>
      <c r="H56" s="14"/>
      <c r="I56" s="14"/>
      <c r="J56" s="14"/>
      <c r="K56" s="14"/>
      <c r="M56" s="14"/>
    </row>
    <row r="57" spans="2:13" ht="12.75" customHeight="1" x14ac:dyDescent="0.25">
      <c r="B57" s="14"/>
      <c r="D57" s="14"/>
      <c r="E57" s="14"/>
      <c r="F57" s="14"/>
      <c r="G57" s="14"/>
      <c r="H57" s="14"/>
      <c r="I57" s="14"/>
      <c r="J57" s="14"/>
      <c r="K57" s="14"/>
      <c r="M57" s="14"/>
    </row>
    <row r="58" spans="2:13" ht="12.75" customHeight="1" x14ac:dyDescent="0.25">
      <c r="B58" s="14"/>
      <c r="D58" s="14"/>
      <c r="E58" s="14"/>
      <c r="F58" s="14"/>
      <c r="G58" s="14"/>
      <c r="H58" s="14"/>
      <c r="I58" s="14"/>
      <c r="J58" s="14"/>
      <c r="K58" s="14"/>
      <c r="M58" s="14"/>
    </row>
    <row r="59" spans="2:13" ht="12.75" customHeight="1" x14ac:dyDescent="0.25">
      <c r="B59" s="14"/>
      <c r="D59" s="14"/>
      <c r="E59" s="14"/>
      <c r="F59" s="14"/>
      <c r="G59" s="14"/>
      <c r="H59" s="14"/>
      <c r="I59" s="14"/>
      <c r="J59" s="14"/>
      <c r="K59" s="14"/>
      <c r="M59" s="14"/>
    </row>
    <row r="60" spans="2:13" ht="12.75" customHeight="1" x14ac:dyDescent="0.25">
      <c r="B60" s="14"/>
      <c r="D60" s="14"/>
      <c r="E60" s="14"/>
      <c r="F60" s="14"/>
      <c r="G60" s="14"/>
      <c r="H60" s="14"/>
      <c r="I60" s="14"/>
      <c r="J60" s="14"/>
      <c r="K60" s="14"/>
      <c r="M60" s="14"/>
    </row>
    <row r="61" spans="2:13" ht="12.75" customHeight="1" x14ac:dyDescent="0.25">
      <c r="B61" s="14"/>
      <c r="D61" s="14"/>
      <c r="E61" s="14"/>
      <c r="F61" s="14"/>
      <c r="G61" s="14"/>
      <c r="H61" s="14"/>
      <c r="I61" s="14"/>
      <c r="J61" s="14"/>
      <c r="K61" s="14"/>
      <c r="M61" s="14"/>
    </row>
    <row r="62" spans="2:13" ht="12.75" customHeight="1" x14ac:dyDescent="0.25">
      <c r="B62" s="14"/>
      <c r="D62" s="14"/>
      <c r="E62" s="14"/>
      <c r="F62" s="14"/>
      <c r="G62" s="14"/>
      <c r="H62" s="14"/>
      <c r="I62" s="14"/>
      <c r="J62" s="14"/>
      <c r="K62" s="14"/>
      <c r="M62" s="14"/>
    </row>
    <row r="63" spans="2:13" ht="12.75" customHeight="1" x14ac:dyDescent="0.25">
      <c r="B63" s="14"/>
      <c r="D63" s="14"/>
      <c r="E63" s="14"/>
      <c r="F63" s="14"/>
      <c r="G63" s="14"/>
      <c r="H63" s="14"/>
      <c r="I63" s="14"/>
      <c r="J63" s="14"/>
      <c r="K63" s="14"/>
      <c r="M63" s="14"/>
    </row>
    <row r="64" spans="2:13" ht="12.75" customHeight="1" x14ac:dyDescent="0.25">
      <c r="B64" s="14"/>
      <c r="D64" s="14"/>
      <c r="E64" s="14"/>
      <c r="F64" s="14"/>
      <c r="G64" s="14"/>
      <c r="H64" s="14"/>
      <c r="I64" s="14"/>
      <c r="J64" s="14"/>
      <c r="K64" s="14"/>
      <c r="M64" s="14"/>
    </row>
    <row r="65" spans="2:13" ht="12.75" customHeight="1" x14ac:dyDescent="0.25">
      <c r="B65" s="14"/>
      <c r="D65" s="14"/>
      <c r="E65" s="14"/>
      <c r="F65" s="14"/>
      <c r="G65" s="14"/>
      <c r="H65" s="14"/>
      <c r="I65" s="14"/>
      <c r="J65" s="14"/>
      <c r="K65" s="14"/>
      <c r="M65" s="14"/>
    </row>
    <row r="66" spans="2:13" ht="12.75" customHeight="1" x14ac:dyDescent="0.25">
      <c r="B66" s="14"/>
      <c r="D66" s="14"/>
      <c r="E66" s="14"/>
      <c r="F66" s="14"/>
      <c r="G66" s="14"/>
      <c r="H66" s="14"/>
      <c r="I66" s="14"/>
      <c r="J66" s="14"/>
      <c r="K66" s="14"/>
      <c r="M66" s="14"/>
    </row>
    <row r="67" spans="2:13" ht="12.75" customHeight="1" x14ac:dyDescent="0.25">
      <c r="B67" s="14"/>
      <c r="D67" s="14"/>
      <c r="E67" s="14"/>
      <c r="F67" s="14"/>
      <c r="G67" s="14"/>
      <c r="H67" s="14"/>
      <c r="I67" s="14"/>
      <c r="J67" s="14"/>
      <c r="K67" s="14"/>
      <c r="M67" s="14"/>
    </row>
    <row r="68" spans="2:13" ht="12.75" customHeight="1" x14ac:dyDescent="0.25">
      <c r="B68" s="14"/>
      <c r="D68" s="14"/>
      <c r="E68" s="14"/>
      <c r="F68" s="14"/>
      <c r="G68" s="14"/>
      <c r="H68" s="14"/>
      <c r="I68" s="14"/>
      <c r="J68" s="14"/>
      <c r="K68" s="14"/>
      <c r="M68" s="14"/>
    </row>
    <row r="69" spans="2:13" ht="12.75" customHeight="1" x14ac:dyDescent="0.25">
      <c r="B69" s="14"/>
      <c r="D69" s="14"/>
      <c r="E69" s="14"/>
      <c r="F69" s="14"/>
      <c r="G69" s="14"/>
      <c r="H69" s="14"/>
      <c r="I69" s="14"/>
      <c r="J69" s="14"/>
      <c r="K69" s="14"/>
      <c r="M69" s="14"/>
    </row>
    <row r="70" spans="2:13" ht="12.75" customHeight="1" x14ac:dyDescent="0.25">
      <c r="B70" s="14"/>
      <c r="D70" s="14"/>
      <c r="E70" s="14"/>
      <c r="F70" s="14"/>
      <c r="G70" s="14"/>
      <c r="H70" s="14"/>
      <c r="I70" s="14"/>
      <c r="J70" s="14"/>
      <c r="K70" s="14"/>
      <c r="M70" s="14"/>
    </row>
    <row r="71" spans="2:13" ht="12.75" customHeight="1" x14ac:dyDescent="0.25">
      <c r="B71" s="14"/>
      <c r="D71" s="14"/>
      <c r="E71" s="14"/>
      <c r="F71" s="14"/>
      <c r="G71" s="14"/>
      <c r="H71" s="14"/>
      <c r="I71" s="14"/>
      <c r="J71" s="14"/>
      <c r="K71" s="14"/>
      <c r="M71" s="14"/>
    </row>
    <row r="72" spans="2:13" ht="12.75" customHeight="1" x14ac:dyDescent="0.25">
      <c r="B72" s="14"/>
      <c r="D72" s="14"/>
      <c r="E72" s="14"/>
      <c r="F72" s="14"/>
      <c r="G72" s="14"/>
      <c r="H72" s="14"/>
      <c r="I72" s="14"/>
      <c r="J72" s="14"/>
      <c r="K72" s="14"/>
      <c r="M72" s="14"/>
    </row>
    <row r="73" spans="2:13" ht="12.75" customHeight="1" x14ac:dyDescent="0.25">
      <c r="B73" s="14"/>
      <c r="D73" s="14"/>
      <c r="E73" s="14"/>
      <c r="F73" s="14"/>
      <c r="G73" s="14"/>
      <c r="H73" s="14"/>
      <c r="I73" s="14"/>
      <c r="J73" s="14"/>
      <c r="K73" s="14"/>
      <c r="M73" s="14"/>
    </row>
    <row r="74" spans="2:13" ht="12.75" customHeight="1" x14ac:dyDescent="0.25">
      <c r="B74" s="14"/>
      <c r="D74" s="14"/>
      <c r="E74" s="14"/>
      <c r="F74" s="14"/>
      <c r="G74" s="14"/>
      <c r="H74" s="14"/>
      <c r="I74" s="14"/>
      <c r="J74" s="14"/>
      <c r="K74" s="14"/>
      <c r="M74" s="14"/>
    </row>
    <row r="75" spans="2:13" ht="12.75" customHeight="1" x14ac:dyDescent="0.25">
      <c r="B75" s="14"/>
      <c r="D75" s="14"/>
      <c r="E75" s="14"/>
      <c r="F75" s="14"/>
      <c r="G75" s="14"/>
      <c r="H75" s="14"/>
      <c r="I75" s="14"/>
      <c r="J75" s="14"/>
      <c r="K75" s="14"/>
      <c r="M75" s="14"/>
    </row>
    <row r="76" spans="2:13" ht="12.75" customHeight="1" x14ac:dyDescent="0.25">
      <c r="B76" s="14"/>
      <c r="D76" s="14"/>
      <c r="E76" s="14"/>
      <c r="F76" s="14"/>
      <c r="G76" s="14"/>
      <c r="H76" s="14"/>
      <c r="I76" s="14"/>
      <c r="J76" s="14"/>
      <c r="K76" s="14"/>
      <c r="M76" s="14"/>
    </row>
    <row r="77" spans="2:13" ht="12.75" customHeight="1" x14ac:dyDescent="0.25">
      <c r="B77" s="14"/>
      <c r="D77" s="14"/>
      <c r="E77" s="14"/>
      <c r="F77" s="14"/>
      <c r="G77" s="14"/>
      <c r="H77" s="14"/>
      <c r="I77" s="14"/>
      <c r="J77" s="14"/>
      <c r="K77" s="14"/>
      <c r="M77" s="14"/>
    </row>
    <row r="78" spans="2:13" ht="12.75" customHeight="1" x14ac:dyDescent="0.25">
      <c r="B78" s="14"/>
      <c r="D78" s="14"/>
      <c r="E78" s="14"/>
      <c r="F78" s="14"/>
      <c r="G78" s="14"/>
      <c r="H78" s="14"/>
      <c r="I78" s="14"/>
      <c r="J78" s="14"/>
      <c r="K78" s="14"/>
      <c r="M78" s="14"/>
    </row>
    <row r="79" spans="2:13" ht="12.75" customHeight="1" x14ac:dyDescent="0.25">
      <c r="B79" s="14"/>
      <c r="D79" s="14"/>
      <c r="E79" s="14"/>
      <c r="F79" s="14"/>
      <c r="G79" s="14"/>
      <c r="H79" s="14"/>
      <c r="I79" s="14"/>
      <c r="J79" s="14"/>
      <c r="K79" s="14"/>
      <c r="M79" s="14"/>
    </row>
    <row r="80" spans="2:13" ht="12.75" customHeight="1" x14ac:dyDescent="0.25">
      <c r="B80" s="14"/>
      <c r="D80" s="14"/>
      <c r="E80" s="14"/>
      <c r="F80" s="14"/>
      <c r="G80" s="14"/>
      <c r="H80" s="14"/>
      <c r="I80" s="14"/>
      <c r="J80" s="14"/>
      <c r="K80" s="14"/>
      <c r="M80" s="14"/>
    </row>
    <row r="81" spans="2:13" ht="12.75" customHeight="1" x14ac:dyDescent="0.25">
      <c r="B81" s="14"/>
      <c r="D81" s="14"/>
      <c r="E81" s="14"/>
      <c r="F81" s="14"/>
      <c r="G81" s="14"/>
      <c r="H81" s="14"/>
      <c r="I81" s="14"/>
      <c r="J81" s="14"/>
      <c r="K81" s="14"/>
      <c r="M81" s="14"/>
    </row>
    <row r="82" spans="2:13" ht="12.75" customHeight="1" x14ac:dyDescent="0.25">
      <c r="B82" s="14"/>
      <c r="D82" s="14"/>
      <c r="E82" s="14"/>
      <c r="F82" s="14"/>
      <c r="G82" s="14"/>
      <c r="H82" s="14"/>
      <c r="I82" s="14"/>
      <c r="J82" s="14"/>
      <c r="K82" s="14"/>
      <c r="M82" s="14"/>
    </row>
    <row r="83" spans="2:13" ht="12.75" customHeight="1" x14ac:dyDescent="0.25">
      <c r="B83" s="14"/>
      <c r="D83" s="14"/>
      <c r="E83" s="14"/>
      <c r="F83" s="14"/>
      <c r="G83" s="14"/>
      <c r="H83" s="14"/>
      <c r="I83" s="14"/>
      <c r="J83" s="14"/>
      <c r="K83" s="14"/>
      <c r="M83" s="14"/>
    </row>
    <row r="84" spans="2:13" ht="12.75" customHeight="1" x14ac:dyDescent="0.25">
      <c r="B84" s="14"/>
      <c r="D84" s="14"/>
      <c r="E84" s="14"/>
      <c r="F84" s="14"/>
      <c r="G84" s="14"/>
      <c r="H84" s="14"/>
      <c r="I84" s="14"/>
      <c r="J84" s="14"/>
      <c r="K84" s="14"/>
      <c r="M84" s="14"/>
    </row>
    <row r="85" spans="2:13" ht="12.75" customHeight="1" x14ac:dyDescent="0.25">
      <c r="B85" s="14"/>
      <c r="D85" s="14"/>
      <c r="E85" s="14"/>
      <c r="F85" s="14"/>
      <c r="G85" s="14"/>
      <c r="H85" s="14"/>
      <c r="I85" s="14"/>
      <c r="J85" s="14"/>
      <c r="K85" s="14"/>
      <c r="M85" s="14"/>
    </row>
    <row r="86" spans="2:13" ht="12.75" customHeight="1" x14ac:dyDescent="0.25">
      <c r="B86" s="14"/>
      <c r="D86" s="14"/>
      <c r="E86" s="14"/>
      <c r="F86" s="14"/>
      <c r="G86" s="14"/>
      <c r="H86" s="14"/>
      <c r="I86" s="14"/>
      <c r="J86" s="14"/>
      <c r="K86" s="14"/>
      <c r="M86" s="14"/>
    </row>
    <row r="87" spans="2:13" ht="12.75" customHeight="1" x14ac:dyDescent="0.25">
      <c r="B87" s="14"/>
      <c r="D87" s="14"/>
      <c r="E87" s="14"/>
      <c r="F87" s="14"/>
      <c r="G87" s="14"/>
      <c r="H87" s="14"/>
      <c r="I87" s="14"/>
      <c r="J87" s="14"/>
      <c r="K87" s="14"/>
      <c r="M87" s="14"/>
    </row>
    <row r="88" spans="2:13" ht="12.75" customHeight="1" x14ac:dyDescent="0.25">
      <c r="B88" s="14"/>
      <c r="D88" s="14"/>
      <c r="E88" s="14"/>
      <c r="F88" s="14"/>
      <c r="G88" s="14"/>
      <c r="H88" s="14"/>
      <c r="I88" s="14"/>
      <c r="J88" s="14"/>
      <c r="K88" s="14"/>
      <c r="M88" s="14"/>
    </row>
    <row r="89" spans="2:13" ht="12.75" customHeight="1" x14ac:dyDescent="0.25">
      <c r="B89" s="14"/>
      <c r="D89" s="14"/>
      <c r="E89" s="14"/>
      <c r="F89" s="14"/>
      <c r="G89" s="14"/>
      <c r="H89" s="14"/>
      <c r="I89" s="14"/>
      <c r="J89" s="14"/>
      <c r="K89" s="14"/>
      <c r="M89" s="14"/>
    </row>
    <row r="90" spans="2:13" ht="12.75" customHeight="1" x14ac:dyDescent="0.25">
      <c r="B90" s="14"/>
      <c r="D90" s="14"/>
      <c r="E90" s="14"/>
      <c r="F90" s="14"/>
      <c r="G90" s="14"/>
      <c r="H90" s="14"/>
      <c r="I90" s="14"/>
      <c r="J90" s="14"/>
      <c r="K90" s="14"/>
      <c r="M90" s="14"/>
    </row>
    <row r="91" spans="2:13" ht="12.75" customHeight="1" x14ac:dyDescent="0.25">
      <c r="B91" s="14"/>
      <c r="D91" s="14"/>
      <c r="E91" s="14"/>
      <c r="F91" s="14"/>
      <c r="G91" s="14"/>
      <c r="H91" s="14"/>
      <c r="I91" s="14"/>
      <c r="J91" s="14"/>
      <c r="K91" s="14"/>
      <c r="M91" s="14"/>
    </row>
    <row r="92" spans="2:13" ht="12.75" customHeight="1" x14ac:dyDescent="0.25">
      <c r="B92" s="14"/>
      <c r="D92" s="14"/>
      <c r="E92" s="14"/>
      <c r="F92" s="14"/>
      <c r="G92" s="14"/>
      <c r="H92" s="14"/>
      <c r="I92" s="14"/>
      <c r="J92" s="14"/>
      <c r="K92" s="14"/>
      <c r="M92" s="14"/>
    </row>
    <row r="93" spans="2:13" ht="12.75" customHeight="1" x14ac:dyDescent="0.25">
      <c r="B93" s="14"/>
      <c r="D93" s="14"/>
      <c r="E93" s="14"/>
      <c r="F93" s="14"/>
      <c r="G93" s="14"/>
      <c r="H93" s="14"/>
      <c r="I93" s="14"/>
      <c r="J93" s="14"/>
      <c r="K93" s="14"/>
      <c r="M93" s="14"/>
    </row>
    <row r="94" spans="2:13" ht="12.75" customHeight="1" x14ac:dyDescent="0.25">
      <c r="B94" s="14"/>
      <c r="D94" s="14"/>
      <c r="E94" s="14"/>
      <c r="F94" s="14"/>
      <c r="G94" s="14"/>
      <c r="H94" s="14"/>
      <c r="I94" s="14"/>
      <c r="J94" s="14"/>
      <c r="K94" s="14"/>
      <c r="M94" s="14"/>
    </row>
    <row r="95" spans="2:13" ht="12.75" customHeight="1" x14ac:dyDescent="0.25">
      <c r="B95" s="14"/>
      <c r="D95" s="14"/>
      <c r="E95" s="14"/>
      <c r="F95" s="14"/>
      <c r="G95" s="14"/>
      <c r="H95" s="14"/>
      <c r="I95" s="14"/>
      <c r="J95" s="14"/>
      <c r="K95" s="14"/>
      <c r="M95" s="14"/>
    </row>
    <row r="96" spans="2:13" ht="12.75" customHeight="1" x14ac:dyDescent="0.25">
      <c r="B96" s="14"/>
      <c r="D96" s="14"/>
      <c r="E96" s="14"/>
      <c r="F96" s="14"/>
      <c r="G96" s="14"/>
      <c r="H96" s="14"/>
      <c r="I96" s="14"/>
      <c r="J96" s="14"/>
      <c r="K96" s="14"/>
      <c r="M96" s="14"/>
    </row>
    <row r="97" spans="2:13" ht="12.75" customHeight="1" x14ac:dyDescent="0.25">
      <c r="B97" s="14"/>
      <c r="D97" s="14"/>
      <c r="E97" s="14"/>
      <c r="F97" s="14"/>
      <c r="G97" s="14"/>
      <c r="H97" s="14"/>
      <c r="I97" s="14"/>
      <c r="J97" s="14"/>
      <c r="K97" s="14"/>
      <c r="M97" s="14"/>
    </row>
    <row r="98" spans="2:13" ht="12.75" customHeight="1" x14ac:dyDescent="0.25">
      <c r="B98" s="14"/>
      <c r="D98" s="14"/>
      <c r="E98" s="14"/>
      <c r="F98" s="14"/>
      <c r="G98" s="14"/>
      <c r="H98" s="14"/>
      <c r="I98" s="14"/>
      <c r="J98" s="14"/>
      <c r="K98" s="14"/>
      <c r="M98" s="14"/>
    </row>
    <row r="99" spans="2:13" ht="12.75" customHeight="1" x14ac:dyDescent="0.25">
      <c r="B99" s="14"/>
      <c r="D99" s="14"/>
      <c r="E99" s="14"/>
      <c r="F99" s="14"/>
      <c r="G99" s="14"/>
      <c r="H99" s="14"/>
      <c r="I99" s="14"/>
      <c r="J99" s="14"/>
      <c r="K99" s="14"/>
      <c r="M99" s="14"/>
    </row>
    <row r="100" spans="2:13" ht="12.75" customHeight="1" x14ac:dyDescent="0.25">
      <c r="B100" s="14"/>
      <c r="D100" s="14"/>
      <c r="E100" s="14"/>
      <c r="F100" s="14"/>
      <c r="G100" s="14"/>
      <c r="H100" s="14"/>
      <c r="I100" s="14"/>
      <c r="J100" s="14"/>
      <c r="K100" s="14"/>
      <c r="M100" s="14"/>
    </row>
    <row r="101" spans="2:13" ht="12.75" customHeight="1" x14ac:dyDescent="0.25">
      <c r="B101" s="14"/>
      <c r="D101" s="14"/>
      <c r="E101" s="14"/>
      <c r="F101" s="14"/>
      <c r="G101" s="14"/>
      <c r="H101" s="14"/>
      <c r="I101" s="14"/>
      <c r="J101" s="14"/>
      <c r="K101" s="14"/>
      <c r="M101" s="14"/>
    </row>
    <row r="102" spans="2:13" ht="12.75" customHeight="1" x14ac:dyDescent="0.25">
      <c r="B102" s="14"/>
      <c r="D102" s="14"/>
      <c r="E102" s="14"/>
      <c r="F102" s="14"/>
      <c r="G102" s="14"/>
      <c r="H102" s="14"/>
      <c r="I102" s="14"/>
      <c r="J102" s="14"/>
      <c r="K102" s="14"/>
      <c r="M102" s="14"/>
    </row>
    <row r="103" spans="2:13" ht="12.75" customHeight="1" x14ac:dyDescent="0.25">
      <c r="B103" s="14"/>
      <c r="D103" s="14"/>
      <c r="E103" s="14"/>
      <c r="F103" s="14"/>
      <c r="G103" s="14"/>
      <c r="H103" s="14"/>
      <c r="I103" s="14"/>
      <c r="J103" s="14"/>
      <c r="K103" s="14"/>
      <c r="M103" s="14"/>
    </row>
    <row r="104" spans="2:13" ht="12.75" customHeight="1" x14ac:dyDescent="0.25">
      <c r="B104" s="14"/>
      <c r="D104" s="14"/>
      <c r="E104" s="14"/>
      <c r="F104" s="14"/>
      <c r="G104" s="14"/>
      <c r="H104" s="14"/>
      <c r="I104" s="14"/>
      <c r="J104" s="14"/>
      <c r="K104" s="14"/>
      <c r="M104" s="14"/>
    </row>
    <row r="105" spans="2:13" ht="12.75" customHeight="1" x14ac:dyDescent="0.25">
      <c r="B105" s="14"/>
      <c r="D105" s="14"/>
      <c r="E105" s="14"/>
      <c r="F105" s="14"/>
      <c r="G105" s="14"/>
      <c r="H105" s="14"/>
      <c r="I105" s="14"/>
      <c r="J105" s="14"/>
      <c r="K105" s="14"/>
      <c r="M105" s="14"/>
    </row>
    <row r="106" spans="2:13" ht="12.75" customHeight="1" x14ac:dyDescent="0.25">
      <c r="B106" s="14"/>
      <c r="D106" s="14"/>
      <c r="E106" s="14"/>
      <c r="F106" s="14"/>
      <c r="G106" s="14"/>
      <c r="H106" s="14"/>
      <c r="I106" s="14"/>
      <c r="J106" s="14"/>
      <c r="K106" s="14"/>
      <c r="M106" s="14"/>
    </row>
    <row r="107" spans="2:13" ht="12.75" customHeight="1" x14ac:dyDescent="0.25">
      <c r="B107" s="14"/>
      <c r="D107" s="14"/>
      <c r="E107" s="14"/>
      <c r="F107" s="14"/>
      <c r="G107" s="14"/>
      <c r="H107" s="14"/>
      <c r="I107" s="14"/>
      <c r="J107" s="14"/>
      <c r="K107" s="14"/>
      <c r="M107" s="14"/>
    </row>
    <row r="108" spans="2:13" ht="12.75" customHeight="1" x14ac:dyDescent="0.25">
      <c r="B108" s="14"/>
      <c r="D108" s="14"/>
      <c r="E108" s="14"/>
      <c r="F108" s="14"/>
      <c r="G108" s="14"/>
      <c r="H108" s="14"/>
      <c r="I108" s="14"/>
      <c r="J108" s="14"/>
      <c r="K108" s="14"/>
      <c r="M108" s="14"/>
    </row>
    <row r="109" spans="2:13" ht="12.75" customHeight="1" x14ac:dyDescent="0.25">
      <c r="B109" s="14"/>
      <c r="D109" s="14"/>
      <c r="E109" s="14"/>
      <c r="F109" s="14"/>
      <c r="G109" s="14"/>
      <c r="H109" s="14"/>
      <c r="I109" s="14"/>
      <c r="J109" s="14"/>
      <c r="K109" s="14"/>
      <c r="M109" s="14"/>
    </row>
    <row r="110" spans="2:13" ht="12.75" customHeight="1" x14ac:dyDescent="0.25">
      <c r="B110" s="14"/>
      <c r="D110" s="14"/>
      <c r="E110" s="14"/>
      <c r="F110" s="14"/>
      <c r="G110" s="14"/>
      <c r="H110" s="14"/>
      <c r="I110" s="14"/>
      <c r="J110" s="14"/>
      <c r="K110" s="14"/>
      <c r="M110" s="14"/>
    </row>
    <row r="111" spans="2:13" ht="12.75" customHeight="1" x14ac:dyDescent="0.25">
      <c r="B111" s="14"/>
      <c r="D111" s="14"/>
      <c r="E111" s="14"/>
      <c r="F111" s="14"/>
      <c r="G111" s="14"/>
      <c r="H111" s="14"/>
      <c r="I111" s="14"/>
      <c r="J111" s="14"/>
      <c r="K111" s="14"/>
      <c r="M111" s="14"/>
    </row>
    <row r="112" spans="2:13" ht="12.75" customHeight="1" x14ac:dyDescent="0.25">
      <c r="B112" s="14"/>
      <c r="D112" s="14"/>
      <c r="E112" s="14"/>
      <c r="F112" s="14"/>
      <c r="G112" s="14"/>
      <c r="H112" s="14"/>
      <c r="I112" s="14"/>
      <c r="J112" s="14"/>
      <c r="K112" s="14"/>
      <c r="M112" s="14"/>
    </row>
    <row r="113" spans="2:13" ht="12.75" customHeight="1" x14ac:dyDescent="0.25">
      <c r="B113" s="14"/>
      <c r="D113" s="14"/>
      <c r="E113" s="14"/>
      <c r="F113" s="14"/>
      <c r="G113" s="14"/>
      <c r="H113" s="14"/>
      <c r="I113" s="14"/>
      <c r="J113" s="14"/>
      <c r="K113" s="14"/>
      <c r="M113" s="14"/>
    </row>
    <row r="114" spans="2:13" ht="12.75" customHeight="1" x14ac:dyDescent="0.25">
      <c r="B114" s="14"/>
      <c r="D114" s="14"/>
      <c r="E114" s="14"/>
      <c r="F114" s="14"/>
      <c r="G114" s="14"/>
      <c r="H114" s="14"/>
      <c r="I114" s="14"/>
      <c r="J114" s="14"/>
      <c r="K114" s="14"/>
      <c r="M114" s="14"/>
    </row>
    <row r="115" spans="2:13" ht="12.75" customHeight="1" x14ac:dyDescent="0.25">
      <c r="B115" s="14"/>
      <c r="D115" s="14"/>
      <c r="E115" s="14"/>
      <c r="F115" s="14"/>
      <c r="G115" s="14"/>
      <c r="H115" s="14"/>
      <c r="I115" s="14"/>
      <c r="J115" s="14"/>
      <c r="K115" s="14"/>
      <c r="M115" s="14"/>
    </row>
    <row r="116" spans="2:13" ht="12.75" customHeight="1" x14ac:dyDescent="0.25">
      <c r="B116" s="14"/>
      <c r="D116" s="14"/>
      <c r="E116" s="14"/>
      <c r="F116" s="14"/>
      <c r="G116" s="14"/>
      <c r="H116" s="14"/>
      <c r="I116" s="14"/>
      <c r="J116" s="14"/>
      <c r="K116" s="14"/>
      <c r="M116" s="14"/>
    </row>
    <row r="117" spans="2:13" ht="12.75" customHeight="1" x14ac:dyDescent="0.25">
      <c r="B117" s="14"/>
      <c r="D117" s="14"/>
      <c r="E117" s="14"/>
      <c r="F117" s="14"/>
      <c r="G117" s="14"/>
      <c r="H117" s="14"/>
      <c r="I117" s="14"/>
      <c r="J117" s="14"/>
      <c r="K117" s="14"/>
      <c r="M117" s="14"/>
    </row>
    <row r="118" spans="2:13" ht="12.75" customHeight="1" x14ac:dyDescent="0.25">
      <c r="B118" s="14"/>
      <c r="D118" s="14"/>
      <c r="E118" s="14"/>
      <c r="F118" s="14"/>
      <c r="G118" s="14"/>
      <c r="H118" s="14"/>
      <c r="I118" s="14"/>
      <c r="J118" s="14"/>
      <c r="K118" s="14"/>
      <c r="M118" s="14"/>
    </row>
    <row r="119" spans="2:13" ht="12.75" customHeight="1" x14ac:dyDescent="0.25">
      <c r="B119" s="14"/>
      <c r="D119" s="14"/>
      <c r="E119" s="14"/>
      <c r="F119" s="14"/>
      <c r="G119" s="14"/>
      <c r="H119" s="14"/>
      <c r="I119" s="14"/>
      <c r="J119" s="14"/>
      <c r="K119" s="14"/>
      <c r="M119" s="14"/>
    </row>
    <row r="120" spans="2:13" ht="12.75" customHeight="1" x14ac:dyDescent="0.25">
      <c r="B120" s="14"/>
      <c r="D120" s="14"/>
      <c r="E120" s="14"/>
      <c r="F120" s="14"/>
      <c r="G120" s="14"/>
      <c r="H120" s="14"/>
      <c r="I120" s="14"/>
      <c r="J120" s="14"/>
      <c r="K120" s="14"/>
      <c r="M120" s="14"/>
    </row>
    <row r="121" spans="2:13" ht="12.75" customHeight="1" x14ac:dyDescent="0.25">
      <c r="B121" s="14"/>
      <c r="D121" s="14"/>
      <c r="E121" s="14"/>
      <c r="F121" s="14"/>
      <c r="G121" s="14"/>
      <c r="H121" s="14"/>
      <c r="I121" s="14"/>
      <c r="J121" s="14"/>
      <c r="K121" s="14"/>
      <c r="M121" s="14"/>
    </row>
    <row r="122" spans="2:13" ht="12.75" customHeight="1" x14ac:dyDescent="0.25">
      <c r="B122" s="14"/>
      <c r="D122" s="14"/>
      <c r="E122" s="14"/>
      <c r="F122" s="14"/>
      <c r="G122" s="14"/>
      <c r="H122" s="14"/>
      <c r="I122" s="14"/>
      <c r="J122" s="14"/>
      <c r="K122" s="14"/>
      <c r="M122" s="14"/>
    </row>
    <row r="123" spans="2:13" ht="12.75" customHeight="1" x14ac:dyDescent="0.25">
      <c r="B123" s="14"/>
      <c r="D123" s="14"/>
      <c r="E123" s="14"/>
      <c r="F123" s="14"/>
      <c r="G123" s="14"/>
      <c r="H123" s="14"/>
      <c r="I123" s="14"/>
      <c r="J123" s="14"/>
      <c r="K123" s="14"/>
      <c r="M123" s="14"/>
    </row>
    <row r="124" spans="2:13" ht="12.75" customHeight="1" x14ac:dyDescent="0.25">
      <c r="B124" s="14"/>
      <c r="D124" s="14"/>
      <c r="E124" s="14"/>
      <c r="F124" s="14"/>
      <c r="G124" s="14"/>
      <c r="H124" s="14"/>
      <c r="I124" s="14"/>
      <c r="J124" s="14"/>
      <c r="K124" s="14"/>
      <c r="M124" s="14"/>
    </row>
    <row r="125" spans="2:13" ht="12.75" customHeight="1" x14ac:dyDescent="0.25">
      <c r="B125" s="14"/>
      <c r="D125" s="14"/>
      <c r="E125" s="14"/>
      <c r="F125" s="14"/>
      <c r="G125" s="14"/>
      <c r="H125" s="14"/>
      <c r="I125" s="14"/>
      <c r="J125" s="14"/>
      <c r="K125" s="14"/>
      <c r="M125" s="14"/>
    </row>
    <row r="126" spans="2:13" ht="12.75" customHeight="1" x14ac:dyDescent="0.25">
      <c r="B126" s="14"/>
      <c r="D126" s="14"/>
      <c r="E126" s="14"/>
      <c r="F126" s="14"/>
      <c r="G126" s="14"/>
      <c r="H126" s="14"/>
      <c r="I126" s="14"/>
      <c r="J126" s="14"/>
      <c r="K126" s="14"/>
      <c r="M126" s="14"/>
    </row>
    <row r="127" spans="2:13" ht="12.75" customHeight="1" x14ac:dyDescent="0.25">
      <c r="B127" s="14"/>
      <c r="D127" s="14"/>
      <c r="E127" s="14"/>
      <c r="F127" s="14"/>
      <c r="G127" s="14"/>
      <c r="H127" s="14"/>
      <c r="I127" s="14"/>
      <c r="J127" s="14"/>
      <c r="K127" s="14"/>
      <c r="M127" s="14"/>
    </row>
    <row r="128" spans="2:13" ht="12.75" customHeight="1" x14ac:dyDescent="0.25">
      <c r="B128" s="14"/>
      <c r="D128" s="14"/>
      <c r="E128" s="14"/>
      <c r="F128" s="14"/>
      <c r="G128" s="14"/>
      <c r="H128" s="14"/>
      <c r="I128" s="14"/>
      <c r="J128" s="14"/>
      <c r="K128" s="14"/>
      <c r="M128" s="14"/>
    </row>
    <row r="129" spans="2:13" ht="12.75" customHeight="1" x14ac:dyDescent="0.25">
      <c r="B129" s="14"/>
      <c r="D129" s="14"/>
      <c r="E129" s="14"/>
      <c r="F129" s="14"/>
      <c r="G129" s="14"/>
      <c r="H129" s="14"/>
      <c r="I129" s="14"/>
      <c r="J129" s="14"/>
      <c r="K129" s="14"/>
      <c r="M129" s="14"/>
    </row>
    <row r="130" spans="2:13" ht="12.75" customHeight="1" x14ac:dyDescent="0.25">
      <c r="B130" s="14"/>
      <c r="D130" s="14"/>
      <c r="E130" s="14"/>
      <c r="F130" s="14"/>
      <c r="G130" s="14"/>
      <c r="H130" s="14"/>
      <c r="I130" s="14"/>
      <c r="J130" s="14"/>
      <c r="K130" s="14"/>
      <c r="M130" s="14"/>
    </row>
    <row r="131" spans="2:13" ht="12.75" customHeight="1" x14ac:dyDescent="0.25">
      <c r="B131" s="14"/>
      <c r="D131" s="14"/>
      <c r="E131" s="14"/>
      <c r="F131" s="14"/>
      <c r="G131" s="14"/>
      <c r="H131" s="14"/>
      <c r="I131" s="14"/>
      <c r="J131" s="14"/>
      <c r="K131" s="14"/>
      <c r="M131" s="14"/>
    </row>
    <row r="132" spans="2:13" ht="12.75" customHeight="1" x14ac:dyDescent="0.25">
      <c r="B132" s="14"/>
      <c r="D132" s="14"/>
      <c r="E132" s="14"/>
      <c r="F132" s="14"/>
      <c r="G132" s="14"/>
      <c r="H132" s="14"/>
      <c r="I132" s="14"/>
      <c r="J132" s="14"/>
      <c r="K132" s="14"/>
      <c r="M132" s="14"/>
    </row>
    <row r="133" spans="2:13" ht="12.75" customHeight="1" x14ac:dyDescent="0.25">
      <c r="B133" s="14"/>
      <c r="D133" s="14"/>
      <c r="E133" s="14"/>
      <c r="F133" s="14"/>
      <c r="G133" s="14"/>
      <c r="H133" s="14"/>
      <c r="I133" s="14"/>
      <c r="J133" s="14"/>
      <c r="K133" s="14"/>
      <c r="M133" s="14"/>
    </row>
    <row r="134" spans="2:13" ht="12.75" customHeight="1" x14ac:dyDescent="0.25">
      <c r="B134" s="14"/>
      <c r="D134" s="14"/>
      <c r="E134" s="14"/>
      <c r="F134" s="14"/>
      <c r="G134" s="14"/>
      <c r="H134" s="14"/>
      <c r="I134" s="14"/>
      <c r="J134" s="14"/>
      <c r="K134" s="14"/>
      <c r="M134" s="14"/>
    </row>
    <row r="135" spans="2:13" ht="12.75" customHeight="1" x14ac:dyDescent="0.25">
      <c r="B135" s="14"/>
      <c r="D135" s="14"/>
      <c r="E135" s="14"/>
      <c r="F135" s="14"/>
      <c r="G135" s="14"/>
      <c r="H135" s="14"/>
      <c r="I135" s="14"/>
      <c r="J135" s="14"/>
      <c r="K135" s="14"/>
      <c r="M135" s="14"/>
    </row>
    <row r="136" spans="2:13" ht="12.75" customHeight="1" x14ac:dyDescent="0.25">
      <c r="B136" s="14"/>
      <c r="D136" s="14"/>
      <c r="E136" s="14"/>
      <c r="F136" s="14"/>
      <c r="G136" s="14"/>
      <c r="H136" s="14"/>
      <c r="I136" s="14"/>
      <c r="J136" s="14"/>
      <c r="K136" s="14"/>
      <c r="M136" s="14"/>
    </row>
    <row r="137" spans="2:13" ht="12.75" customHeight="1" x14ac:dyDescent="0.25">
      <c r="B137" s="14"/>
      <c r="D137" s="14"/>
      <c r="E137" s="14"/>
      <c r="F137" s="14"/>
      <c r="G137" s="14"/>
      <c r="H137" s="14"/>
      <c r="I137" s="14"/>
      <c r="J137" s="14"/>
      <c r="K137" s="14"/>
      <c r="M137" s="14"/>
    </row>
    <row r="138" spans="2:13" ht="12.75" customHeight="1" x14ac:dyDescent="0.25">
      <c r="B138" s="14"/>
      <c r="D138" s="14"/>
      <c r="E138" s="14"/>
      <c r="F138" s="14"/>
      <c r="G138" s="14"/>
      <c r="H138" s="14"/>
      <c r="I138" s="14"/>
      <c r="J138" s="14"/>
      <c r="K138" s="14"/>
      <c r="M138" s="14"/>
    </row>
    <row r="139" spans="2:13" ht="12.75" customHeight="1" x14ac:dyDescent="0.25">
      <c r="B139" s="14"/>
      <c r="D139" s="14"/>
      <c r="E139" s="14"/>
      <c r="F139" s="14"/>
      <c r="G139" s="14"/>
      <c r="H139" s="14"/>
      <c r="I139" s="14"/>
      <c r="J139" s="14"/>
      <c r="K139" s="14"/>
      <c r="M139" s="14"/>
    </row>
    <row r="140" spans="2:13" ht="12.75" customHeight="1" x14ac:dyDescent="0.25">
      <c r="B140" s="14"/>
      <c r="D140" s="14"/>
      <c r="E140" s="14"/>
      <c r="F140" s="14"/>
      <c r="G140" s="14"/>
      <c r="H140" s="14"/>
      <c r="I140" s="14"/>
      <c r="J140" s="14"/>
      <c r="K140" s="14"/>
      <c r="M140" s="14"/>
    </row>
    <row r="141" spans="2:13" ht="12.75" customHeight="1" x14ac:dyDescent="0.25">
      <c r="B141" s="14"/>
      <c r="D141" s="14"/>
      <c r="E141" s="14"/>
      <c r="F141" s="14"/>
      <c r="G141" s="14"/>
      <c r="H141" s="14"/>
      <c r="I141" s="14"/>
      <c r="J141" s="14"/>
      <c r="K141" s="14"/>
      <c r="M141" s="14"/>
    </row>
    <row r="142" spans="2:13" ht="12.75" customHeight="1" x14ac:dyDescent="0.25">
      <c r="B142" s="14"/>
      <c r="D142" s="14"/>
      <c r="E142" s="14"/>
      <c r="F142" s="14"/>
      <c r="G142" s="14"/>
      <c r="H142" s="14"/>
      <c r="I142" s="14"/>
      <c r="J142" s="14"/>
      <c r="K142" s="14"/>
      <c r="M142" s="14"/>
    </row>
    <row r="143" spans="2:13" ht="12.75" customHeight="1" x14ac:dyDescent="0.25">
      <c r="B143" s="14"/>
      <c r="D143" s="14"/>
      <c r="E143" s="14"/>
      <c r="F143" s="14"/>
      <c r="G143" s="14"/>
      <c r="H143" s="14"/>
      <c r="I143" s="14"/>
      <c r="J143" s="14"/>
      <c r="K143" s="14"/>
      <c r="M143" s="14"/>
    </row>
    <row r="144" spans="2:13" ht="12.75" customHeight="1" x14ac:dyDescent="0.25">
      <c r="B144" s="14"/>
      <c r="D144" s="14"/>
      <c r="E144" s="14"/>
      <c r="F144" s="14"/>
      <c r="G144" s="14"/>
      <c r="H144" s="14"/>
      <c r="I144" s="14"/>
      <c r="J144" s="14"/>
      <c r="K144" s="14"/>
      <c r="M144" s="14"/>
    </row>
    <row r="145" spans="2:13" ht="12.75" customHeight="1" x14ac:dyDescent="0.25">
      <c r="B145" s="14"/>
      <c r="D145" s="14"/>
      <c r="E145" s="14"/>
      <c r="F145" s="14"/>
      <c r="G145" s="14"/>
      <c r="H145" s="14"/>
      <c r="I145" s="14"/>
      <c r="J145" s="14"/>
      <c r="K145" s="14"/>
      <c r="M145" s="14"/>
    </row>
    <row r="146" spans="2:13" ht="12.75" customHeight="1" x14ac:dyDescent="0.25">
      <c r="B146" s="14"/>
      <c r="D146" s="14"/>
      <c r="E146" s="14"/>
      <c r="F146" s="14"/>
      <c r="G146" s="14"/>
      <c r="H146" s="14"/>
      <c r="I146" s="14"/>
      <c r="J146" s="14"/>
      <c r="K146" s="14"/>
      <c r="M146" s="14"/>
    </row>
    <row r="147" spans="2:13" ht="12.75" customHeight="1" x14ac:dyDescent="0.25">
      <c r="B147" s="14"/>
      <c r="D147" s="14"/>
      <c r="E147" s="14"/>
      <c r="F147" s="14"/>
      <c r="G147" s="14"/>
      <c r="H147" s="14"/>
      <c r="I147" s="14"/>
      <c r="J147" s="14"/>
      <c r="K147" s="14"/>
      <c r="M147" s="14"/>
    </row>
    <row r="148" spans="2:13" ht="12.75" customHeight="1" x14ac:dyDescent="0.25">
      <c r="B148" s="14"/>
      <c r="D148" s="14"/>
      <c r="E148" s="14"/>
      <c r="F148" s="14"/>
      <c r="G148" s="14"/>
      <c r="H148" s="14"/>
      <c r="I148" s="14"/>
      <c r="J148" s="14"/>
      <c r="K148" s="14"/>
      <c r="M148" s="14"/>
    </row>
    <row r="149" spans="2:13" ht="12.75" customHeight="1" x14ac:dyDescent="0.25">
      <c r="B149" s="14"/>
      <c r="D149" s="14"/>
      <c r="E149" s="14"/>
      <c r="F149" s="14"/>
      <c r="G149" s="14"/>
      <c r="H149" s="14"/>
      <c r="I149" s="14"/>
      <c r="J149" s="14"/>
      <c r="K149" s="14"/>
      <c r="M149" s="14"/>
    </row>
    <row r="150" spans="2:13" ht="12.75" customHeight="1" x14ac:dyDescent="0.25">
      <c r="B150" s="14"/>
      <c r="D150" s="14"/>
      <c r="E150" s="14"/>
      <c r="F150" s="14"/>
      <c r="G150" s="14"/>
      <c r="H150" s="14"/>
      <c r="I150" s="14"/>
      <c r="J150" s="14"/>
      <c r="K150" s="14"/>
      <c r="M150" s="14"/>
    </row>
    <row r="151" spans="2:13" ht="12.75" customHeight="1" x14ac:dyDescent="0.25">
      <c r="B151" s="14"/>
      <c r="D151" s="14"/>
      <c r="E151" s="14"/>
      <c r="F151" s="14"/>
      <c r="G151" s="14"/>
      <c r="H151" s="14"/>
      <c r="I151" s="14"/>
      <c r="J151" s="14"/>
      <c r="K151" s="14"/>
      <c r="M151" s="14"/>
    </row>
    <row r="152" spans="2:13" ht="12.75" customHeight="1" x14ac:dyDescent="0.25">
      <c r="B152" s="14"/>
      <c r="D152" s="14"/>
      <c r="E152" s="14"/>
      <c r="F152" s="14"/>
      <c r="G152" s="14"/>
      <c r="H152" s="14"/>
      <c r="I152" s="14"/>
      <c r="J152" s="14"/>
      <c r="K152" s="14"/>
      <c r="M152" s="14"/>
    </row>
    <row r="153" spans="2:13" ht="12.75" customHeight="1" x14ac:dyDescent="0.25">
      <c r="B153" s="14"/>
      <c r="D153" s="14"/>
      <c r="E153" s="14"/>
      <c r="F153" s="14"/>
      <c r="G153" s="14"/>
      <c r="H153" s="14"/>
      <c r="I153" s="14"/>
      <c r="J153" s="14"/>
      <c r="K153" s="14"/>
      <c r="M153" s="14"/>
    </row>
    <row r="154" spans="2:13" ht="12.75" customHeight="1" x14ac:dyDescent="0.25">
      <c r="B154" s="14"/>
      <c r="D154" s="14"/>
      <c r="E154" s="14"/>
      <c r="F154" s="14"/>
      <c r="G154" s="14"/>
      <c r="H154" s="14"/>
      <c r="I154" s="14"/>
      <c r="J154" s="14"/>
      <c r="K154" s="14"/>
      <c r="M154" s="14"/>
    </row>
    <row r="155" spans="2:13" ht="12.75" customHeight="1" x14ac:dyDescent="0.25">
      <c r="B155" s="14"/>
      <c r="D155" s="14"/>
      <c r="E155" s="14"/>
      <c r="F155" s="14"/>
      <c r="G155" s="14"/>
      <c r="H155" s="14"/>
      <c r="I155" s="14"/>
      <c r="J155" s="14"/>
      <c r="K155" s="14"/>
      <c r="M155" s="14"/>
    </row>
    <row r="156" spans="2:13" ht="12.75" customHeight="1" x14ac:dyDescent="0.25">
      <c r="B156" s="14"/>
      <c r="D156" s="14"/>
      <c r="E156" s="14"/>
      <c r="F156" s="14"/>
      <c r="G156" s="14"/>
      <c r="H156" s="14"/>
      <c r="I156" s="14"/>
      <c r="J156" s="14"/>
      <c r="K156" s="14"/>
      <c r="M156" s="14"/>
    </row>
    <row r="157" spans="2:13" ht="12.75" customHeight="1" x14ac:dyDescent="0.25">
      <c r="B157" s="14"/>
      <c r="D157" s="14"/>
      <c r="E157" s="14"/>
      <c r="F157" s="14"/>
      <c r="G157" s="14"/>
      <c r="H157" s="14"/>
      <c r="I157" s="14"/>
      <c r="J157" s="14"/>
      <c r="K157" s="14"/>
      <c r="M157" s="14"/>
    </row>
    <row r="158" spans="2:13" ht="12.75" customHeight="1" x14ac:dyDescent="0.25">
      <c r="B158" s="14"/>
      <c r="D158" s="14"/>
      <c r="E158" s="14"/>
      <c r="F158" s="14"/>
      <c r="G158" s="14"/>
      <c r="H158" s="14"/>
      <c r="I158" s="14"/>
      <c r="J158" s="14"/>
      <c r="K158" s="14"/>
      <c r="M158" s="14"/>
    </row>
    <row r="159" spans="2:13" ht="12.75" customHeight="1" x14ac:dyDescent="0.25">
      <c r="B159" s="14"/>
      <c r="D159" s="14"/>
      <c r="E159" s="14"/>
      <c r="F159" s="14"/>
      <c r="G159" s="14"/>
      <c r="H159" s="14"/>
      <c r="I159" s="14"/>
      <c r="J159" s="14"/>
      <c r="K159" s="14"/>
      <c r="M159" s="14"/>
    </row>
    <row r="160" spans="2:13" ht="12.75" customHeight="1" x14ac:dyDescent="0.25">
      <c r="B160" s="14"/>
      <c r="D160" s="14"/>
      <c r="E160" s="14"/>
      <c r="F160" s="14"/>
      <c r="G160" s="14"/>
      <c r="H160" s="14"/>
      <c r="I160" s="14"/>
      <c r="J160" s="14"/>
      <c r="K160" s="14"/>
      <c r="M160" s="14"/>
    </row>
    <row r="161" spans="2:13" ht="12.75" customHeight="1" x14ac:dyDescent="0.25">
      <c r="B161" s="14"/>
      <c r="D161" s="14"/>
      <c r="E161" s="14"/>
      <c r="F161" s="14"/>
      <c r="G161" s="14"/>
      <c r="H161" s="14"/>
      <c r="I161" s="14"/>
      <c r="J161" s="14"/>
      <c r="K161" s="14"/>
      <c r="M161" s="14"/>
    </row>
    <row r="162" spans="2:13" ht="12.75" customHeight="1" x14ac:dyDescent="0.25">
      <c r="B162" s="14"/>
      <c r="D162" s="14"/>
      <c r="E162" s="14"/>
      <c r="F162" s="14"/>
      <c r="G162" s="14"/>
      <c r="H162" s="14"/>
      <c r="I162" s="14"/>
      <c r="J162" s="14"/>
      <c r="K162" s="14"/>
      <c r="M162" s="14"/>
    </row>
    <row r="163" spans="2:13" ht="12.75" customHeight="1" x14ac:dyDescent="0.25">
      <c r="B163" s="14"/>
      <c r="D163" s="14"/>
      <c r="E163" s="14"/>
      <c r="F163" s="14"/>
      <c r="G163" s="14"/>
      <c r="H163" s="14"/>
      <c r="I163" s="14"/>
      <c r="J163" s="14"/>
      <c r="K163" s="14"/>
      <c r="M163" s="14"/>
    </row>
    <row r="164" spans="2:13" ht="12.75" customHeight="1" x14ac:dyDescent="0.25">
      <c r="B164" s="14"/>
      <c r="D164" s="14"/>
      <c r="E164" s="14"/>
      <c r="F164" s="14"/>
      <c r="G164" s="14"/>
      <c r="H164" s="14"/>
      <c r="I164" s="14"/>
      <c r="J164" s="14"/>
      <c r="K164" s="14"/>
      <c r="M164" s="14"/>
    </row>
    <row r="165" spans="2:13" ht="12.75" customHeight="1" x14ac:dyDescent="0.25">
      <c r="B165" s="14"/>
      <c r="D165" s="14"/>
      <c r="E165" s="14"/>
      <c r="F165" s="14"/>
      <c r="G165" s="14"/>
      <c r="H165" s="14"/>
      <c r="I165" s="14"/>
      <c r="J165" s="14"/>
      <c r="K165" s="14"/>
      <c r="M165" s="14"/>
    </row>
    <row r="166" spans="2:13" ht="12.75" customHeight="1" x14ac:dyDescent="0.25">
      <c r="B166" s="14"/>
      <c r="D166" s="14"/>
      <c r="E166" s="14"/>
      <c r="F166" s="14"/>
      <c r="G166" s="14"/>
      <c r="H166" s="14"/>
      <c r="I166" s="14"/>
      <c r="J166" s="14"/>
      <c r="K166" s="14"/>
      <c r="M166" s="14"/>
    </row>
    <row r="167" spans="2:13" ht="12.75" customHeight="1" x14ac:dyDescent="0.25">
      <c r="B167" s="14"/>
      <c r="D167" s="14"/>
      <c r="E167" s="14"/>
      <c r="F167" s="14"/>
      <c r="G167" s="14"/>
      <c r="H167" s="14"/>
      <c r="I167" s="14"/>
      <c r="J167" s="14"/>
      <c r="K167" s="14"/>
      <c r="M167" s="14"/>
    </row>
    <row r="168" spans="2:13" ht="12.75" customHeight="1" x14ac:dyDescent="0.25">
      <c r="B168" s="14"/>
      <c r="D168" s="14"/>
      <c r="E168" s="14"/>
      <c r="F168" s="14"/>
      <c r="G168" s="14"/>
      <c r="H168" s="14"/>
      <c r="I168" s="14"/>
      <c r="J168" s="14"/>
      <c r="K168" s="14"/>
      <c r="M168" s="14"/>
    </row>
    <row r="169" spans="2:13" ht="12.75" customHeight="1" x14ac:dyDescent="0.25">
      <c r="B169" s="14"/>
      <c r="D169" s="14"/>
      <c r="E169" s="14"/>
      <c r="F169" s="14"/>
      <c r="G169" s="14"/>
      <c r="H169" s="14"/>
      <c r="I169" s="14"/>
      <c r="J169" s="14"/>
      <c r="K169" s="14"/>
      <c r="M169" s="14"/>
    </row>
    <row r="170" spans="2:13" ht="12.75" customHeight="1" x14ac:dyDescent="0.25">
      <c r="B170" s="14"/>
      <c r="D170" s="14"/>
      <c r="E170" s="14"/>
      <c r="F170" s="14"/>
      <c r="G170" s="14"/>
      <c r="H170" s="14"/>
      <c r="I170" s="14"/>
      <c r="J170" s="14"/>
      <c r="K170" s="14"/>
      <c r="M170" s="14"/>
    </row>
    <row r="171" spans="2:13" ht="12.75" customHeight="1" x14ac:dyDescent="0.25">
      <c r="B171" s="14"/>
      <c r="D171" s="14"/>
      <c r="E171" s="14"/>
      <c r="F171" s="14"/>
      <c r="G171" s="14"/>
      <c r="H171" s="14"/>
      <c r="I171" s="14"/>
      <c r="J171" s="14"/>
      <c r="K171" s="14"/>
      <c r="M171" s="14"/>
    </row>
    <row r="172" spans="2:13" ht="12.75" customHeight="1" x14ac:dyDescent="0.25">
      <c r="B172" s="14"/>
      <c r="D172" s="14"/>
      <c r="E172" s="14"/>
      <c r="F172" s="14"/>
      <c r="G172" s="14"/>
      <c r="H172" s="14"/>
      <c r="I172" s="14"/>
      <c r="J172" s="14"/>
      <c r="K172" s="14"/>
      <c r="M172" s="14"/>
    </row>
    <row r="173" spans="2:13" ht="12.75" customHeight="1" x14ac:dyDescent="0.25">
      <c r="B173" s="14"/>
      <c r="D173" s="14"/>
      <c r="E173" s="14"/>
      <c r="F173" s="14"/>
      <c r="G173" s="14"/>
      <c r="H173" s="14"/>
      <c r="I173" s="14"/>
      <c r="J173" s="14"/>
      <c r="K173" s="14"/>
      <c r="M173" s="14"/>
    </row>
    <row r="174" spans="2:13" ht="12.75" customHeight="1" x14ac:dyDescent="0.25">
      <c r="B174" s="14"/>
      <c r="D174" s="14"/>
      <c r="E174" s="14"/>
      <c r="F174" s="14"/>
      <c r="G174" s="14"/>
      <c r="H174" s="14"/>
      <c r="I174" s="14"/>
      <c r="J174" s="14"/>
      <c r="K174" s="14"/>
      <c r="M174" s="14"/>
    </row>
    <row r="175" spans="2:13" ht="12.75" customHeight="1" x14ac:dyDescent="0.25">
      <c r="B175" s="14"/>
      <c r="D175" s="14"/>
      <c r="E175" s="14"/>
      <c r="F175" s="14"/>
      <c r="G175" s="14"/>
      <c r="H175" s="14"/>
      <c r="I175" s="14"/>
      <c r="J175" s="14"/>
      <c r="K175" s="14"/>
      <c r="M175" s="14"/>
    </row>
    <row r="176" spans="2:13" ht="12.75" customHeight="1" x14ac:dyDescent="0.25">
      <c r="B176" s="14"/>
      <c r="D176" s="14"/>
      <c r="E176" s="14"/>
      <c r="F176" s="14"/>
      <c r="G176" s="14"/>
      <c r="H176" s="14"/>
      <c r="I176" s="14"/>
      <c r="J176" s="14"/>
      <c r="K176" s="14"/>
      <c r="M176" s="14"/>
    </row>
    <row r="177" spans="2:13" ht="12.75" customHeight="1" x14ac:dyDescent="0.25">
      <c r="B177" s="14"/>
      <c r="D177" s="14"/>
      <c r="E177" s="14"/>
      <c r="F177" s="14"/>
      <c r="G177" s="14"/>
      <c r="H177" s="14"/>
      <c r="I177" s="14"/>
      <c r="J177" s="14"/>
      <c r="K177" s="14"/>
      <c r="M177" s="14"/>
    </row>
    <row r="178" spans="2:13" ht="12.75" customHeight="1" x14ac:dyDescent="0.25">
      <c r="B178" s="14"/>
      <c r="D178" s="14"/>
      <c r="E178" s="14"/>
      <c r="F178" s="14"/>
      <c r="G178" s="14"/>
      <c r="H178" s="14"/>
      <c r="I178" s="14"/>
      <c r="J178" s="14"/>
      <c r="K178" s="14"/>
      <c r="M178" s="14"/>
    </row>
    <row r="179" spans="2:13" ht="12.75" customHeight="1" x14ac:dyDescent="0.25">
      <c r="B179" s="14"/>
      <c r="D179" s="14"/>
      <c r="E179" s="14"/>
      <c r="F179" s="14"/>
      <c r="G179" s="14"/>
      <c r="H179" s="14"/>
      <c r="I179" s="14"/>
      <c r="J179" s="14"/>
      <c r="K179" s="14"/>
      <c r="M179" s="14"/>
    </row>
    <row r="180" spans="2:13" ht="12.75" customHeight="1" x14ac:dyDescent="0.25">
      <c r="B180" s="14"/>
      <c r="D180" s="14"/>
      <c r="E180" s="14"/>
      <c r="F180" s="14"/>
      <c r="G180" s="14"/>
      <c r="H180" s="14"/>
      <c r="I180" s="14"/>
      <c r="J180" s="14"/>
      <c r="K180" s="14"/>
      <c r="M180" s="14"/>
    </row>
    <row r="181" spans="2:13" ht="12.75" customHeight="1" x14ac:dyDescent="0.25">
      <c r="B181" s="14"/>
      <c r="D181" s="14"/>
      <c r="E181" s="14"/>
      <c r="F181" s="14"/>
      <c r="G181" s="14"/>
      <c r="H181" s="14"/>
      <c r="I181" s="14"/>
      <c r="J181" s="14"/>
      <c r="K181" s="14"/>
      <c r="M181" s="14"/>
    </row>
    <row r="182" spans="2:13" ht="12.75" customHeight="1" x14ac:dyDescent="0.25">
      <c r="B182" s="14"/>
      <c r="D182" s="14"/>
      <c r="E182" s="14"/>
      <c r="F182" s="14"/>
      <c r="G182" s="14"/>
      <c r="H182" s="14"/>
      <c r="I182" s="14"/>
      <c r="J182" s="14"/>
      <c r="K182" s="14"/>
      <c r="M182" s="14"/>
    </row>
    <row r="183" spans="2:13" ht="12.75" customHeight="1" x14ac:dyDescent="0.25">
      <c r="B183" s="14"/>
      <c r="D183" s="14"/>
      <c r="E183" s="14"/>
      <c r="F183" s="14"/>
      <c r="G183" s="14"/>
      <c r="H183" s="14"/>
      <c r="I183" s="14"/>
      <c r="J183" s="14"/>
      <c r="K183" s="14"/>
      <c r="M183" s="14"/>
    </row>
    <row r="184" spans="2:13" ht="12.75" customHeight="1" x14ac:dyDescent="0.25">
      <c r="B184" s="14"/>
      <c r="D184" s="14"/>
      <c r="E184" s="14"/>
      <c r="F184" s="14"/>
      <c r="G184" s="14"/>
      <c r="H184" s="14"/>
      <c r="I184" s="14"/>
      <c r="J184" s="14"/>
      <c r="K184" s="14"/>
      <c r="M184" s="14"/>
    </row>
    <row r="185" spans="2:13" ht="12.75" customHeight="1" x14ac:dyDescent="0.25">
      <c r="B185" s="14"/>
      <c r="D185" s="14"/>
      <c r="E185" s="14"/>
      <c r="F185" s="14"/>
      <c r="G185" s="14"/>
      <c r="H185" s="14"/>
      <c r="I185" s="14"/>
      <c r="J185" s="14"/>
      <c r="K185" s="14"/>
      <c r="M185" s="14"/>
    </row>
    <row r="186" spans="2:13" ht="12.75" customHeight="1" x14ac:dyDescent="0.25">
      <c r="B186" s="14"/>
      <c r="D186" s="14"/>
      <c r="E186" s="14"/>
      <c r="F186" s="14"/>
      <c r="G186" s="14"/>
      <c r="H186" s="14"/>
      <c r="I186" s="14"/>
      <c r="J186" s="14"/>
      <c r="K186" s="14"/>
      <c r="M186" s="14"/>
    </row>
    <row r="187" spans="2:13" ht="12.75" customHeight="1" x14ac:dyDescent="0.25">
      <c r="B187" s="14"/>
      <c r="D187" s="14"/>
      <c r="E187" s="14"/>
      <c r="F187" s="14"/>
      <c r="G187" s="14"/>
      <c r="H187" s="14"/>
      <c r="I187" s="14"/>
      <c r="J187" s="14"/>
      <c r="K187" s="14"/>
      <c r="M187" s="14"/>
    </row>
    <row r="188" spans="2:13" ht="12.75" customHeight="1" x14ac:dyDescent="0.25">
      <c r="B188" s="14"/>
      <c r="D188" s="14"/>
      <c r="E188" s="14"/>
      <c r="F188" s="14"/>
      <c r="G188" s="14"/>
      <c r="H188" s="14"/>
      <c r="I188" s="14"/>
      <c r="J188" s="14"/>
      <c r="K188" s="14"/>
      <c r="M188" s="14"/>
    </row>
    <row r="189" spans="2:13" ht="12.75" customHeight="1" x14ac:dyDescent="0.25">
      <c r="B189" s="14"/>
      <c r="D189" s="14"/>
      <c r="E189" s="14"/>
      <c r="F189" s="14"/>
      <c r="G189" s="14"/>
      <c r="H189" s="14"/>
      <c r="I189" s="14"/>
      <c r="J189" s="14"/>
      <c r="K189" s="14"/>
      <c r="M189" s="14"/>
    </row>
    <row r="190" spans="2:13" ht="12.75" customHeight="1" x14ac:dyDescent="0.25">
      <c r="B190" s="14"/>
      <c r="D190" s="14"/>
      <c r="E190" s="14"/>
      <c r="F190" s="14"/>
      <c r="G190" s="14"/>
      <c r="H190" s="14"/>
      <c r="I190" s="14"/>
      <c r="J190" s="14"/>
      <c r="K190" s="14"/>
      <c r="M190" s="14"/>
    </row>
    <row r="191" spans="2:13" ht="12.75" customHeight="1" x14ac:dyDescent="0.25">
      <c r="B191" s="14"/>
      <c r="D191" s="14"/>
      <c r="E191" s="14"/>
      <c r="F191" s="14"/>
      <c r="G191" s="14"/>
      <c r="H191" s="14"/>
      <c r="I191" s="14"/>
      <c r="J191" s="14"/>
      <c r="K191" s="14"/>
      <c r="M191" s="14"/>
    </row>
    <row r="192" spans="2:13" ht="12.75" customHeight="1" x14ac:dyDescent="0.25">
      <c r="B192" s="14"/>
      <c r="D192" s="14"/>
      <c r="E192" s="14"/>
      <c r="F192" s="14"/>
      <c r="G192" s="14"/>
      <c r="H192" s="14"/>
      <c r="I192" s="14"/>
      <c r="J192" s="14"/>
      <c r="K192" s="14"/>
      <c r="M192" s="14"/>
    </row>
    <row r="193" spans="2:13" ht="12.75" customHeight="1" x14ac:dyDescent="0.25">
      <c r="B193" s="14"/>
      <c r="D193" s="14"/>
      <c r="E193" s="14"/>
      <c r="F193" s="14"/>
      <c r="G193" s="14"/>
      <c r="H193" s="14"/>
      <c r="I193" s="14"/>
      <c r="J193" s="14"/>
      <c r="K193" s="14"/>
      <c r="M193" s="14"/>
    </row>
    <row r="194" spans="2:13" ht="12.75" customHeight="1" x14ac:dyDescent="0.25">
      <c r="B194" s="14"/>
      <c r="D194" s="14"/>
      <c r="E194" s="14"/>
      <c r="F194" s="14"/>
      <c r="G194" s="14"/>
      <c r="H194" s="14"/>
      <c r="I194" s="14"/>
      <c r="J194" s="14"/>
      <c r="K194" s="14"/>
      <c r="M194" s="14"/>
    </row>
    <row r="195" spans="2:13" ht="12.75" customHeight="1" x14ac:dyDescent="0.25">
      <c r="B195" s="14"/>
      <c r="D195" s="14"/>
      <c r="E195" s="14"/>
      <c r="F195" s="14"/>
      <c r="G195" s="14"/>
      <c r="H195" s="14"/>
      <c r="I195" s="14"/>
      <c r="J195" s="14"/>
      <c r="K195" s="14"/>
      <c r="M195" s="14"/>
    </row>
    <row r="196" spans="2:13" ht="12.75" customHeight="1" x14ac:dyDescent="0.25">
      <c r="B196" s="14"/>
      <c r="D196" s="14"/>
      <c r="E196" s="14"/>
      <c r="F196" s="14"/>
      <c r="G196" s="14"/>
      <c r="H196" s="14"/>
      <c r="I196" s="14"/>
      <c r="J196" s="14"/>
      <c r="K196" s="14"/>
      <c r="M196" s="14"/>
    </row>
    <row r="197" spans="2:13" ht="12.75" customHeight="1" x14ac:dyDescent="0.25">
      <c r="B197" s="14"/>
      <c r="D197" s="14"/>
      <c r="E197" s="14"/>
      <c r="F197" s="14"/>
      <c r="G197" s="14"/>
      <c r="H197" s="14"/>
      <c r="I197" s="14"/>
      <c r="J197" s="14"/>
      <c r="K197" s="14"/>
      <c r="M197" s="14"/>
    </row>
    <row r="198" spans="2:13" ht="12.75" customHeight="1" x14ac:dyDescent="0.25">
      <c r="B198" s="14"/>
      <c r="D198" s="14"/>
      <c r="E198" s="14"/>
      <c r="F198" s="14"/>
      <c r="G198" s="14"/>
      <c r="H198" s="14"/>
      <c r="I198" s="14"/>
      <c r="J198" s="14"/>
      <c r="K198" s="14"/>
      <c r="M198" s="14"/>
    </row>
    <row r="199" spans="2:13" ht="12.75" customHeight="1" x14ac:dyDescent="0.25">
      <c r="B199" s="14"/>
      <c r="D199" s="14"/>
      <c r="E199" s="14"/>
      <c r="F199" s="14"/>
      <c r="G199" s="14"/>
      <c r="H199" s="14"/>
      <c r="I199" s="14"/>
      <c r="J199" s="14"/>
      <c r="K199" s="14"/>
      <c r="M199" s="14"/>
    </row>
    <row r="200" spans="2:13" ht="12.75" customHeight="1" x14ac:dyDescent="0.25">
      <c r="B200" s="14"/>
      <c r="D200" s="14"/>
      <c r="E200" s="14"/>
      <c r="F200" s="14"/>
      <c r="G200" s="14"/>
      <c r="H200" s="14"/>
      <c r="I200" s="14"/>
      <c r="J200" s="14"/>
      <c r="K200" s="14"/>
      <c r="M200" s="14"/>
    </row>
    <row r="201" spans="2:13" ht="12.75" customHeight="1" x14ac:dyDescent="0.25">
      <c r="B201" s="14"/>
      <c r="D201" s="14"/>
      <c r="E201" s="14"/>
      <c r="F201" s="14"/>
      <c r="G201" s="14"/>
      <c r="H201" s="14"/>
      <c r="I201" s="14"/>
      <c r="J201" s="14"/>
      <c r="K201" s="14"/>
      <c r="M201" s="14"/>
    </row>
    <row r="202" spans="2:13" ht="12.75" customHeight="1" x14ac:dyDescent="0.25">
      <c r="B202" s="14"/>
      <c r="D202" s="14"/>
      <c r="E202" s="14"/>
      <c r="F202" s="14"/>
      <c r="G202" s="14"/>
      <c r="H202" s="14"/>
      <c r="I202" s="14"/>
      <c r="J202" s="14"/>
      <c r="K202" s="14"/>
      <c r="M202" s="14"/>
    </row>
    <row r="203" spans="2:13" ht="12.75" customHeight="1" x14ac:dyDescent="0.25">
      <c r="B203" s="14"/>
      <c r="D203" s="14"/>
      <c r="E203" s="14"/>
      <c r="F203" s="14"/>
      <c r="G203" s="14"/>
      <c r="H203" s="14"/>
      <c r="I203" s="14"/>
      <c r="J203" s="14"/>
      <c r="K203" s="14"/>
      <c r="M203" s="14"/>
    </row>
    <row r="204" spans="2:13" ht="12.75" customHeight="1" x14ac:dyDescent="0.25">
      <c r="B204" s="14"/>
      <c r="D204" s="14"/>
      <c r="E204" s="14"/>
      <c r="F204" s="14"/>
      <c r="G204" s="14"/>
      <c r="H204" s="14"/>
      <c r="I204" s="14"/>
      <c r="J204" s="14"/>
      <c r="K204" s="14"/>
      <c r="M204" s="14"/>
    </row>
    <row r="205" spans="2:13" ht="12.75" customHeight="1" x14ac:dyDescent="0.25">
      <c r="B205" s="14"/>
      <c r="D205" s="14"/>
      <c r="E205" s="14"/>
      <c r="F205" s="14"/>
      <c r="G205" s="14"/>
      <c r="H205" s="14"/>
      <c r="I205" s="14"/>
      <c r="J205" s="14"/>
      <c r="K205" s="14"/>
      <c r="M205" s="14"/>
    </row>
    <row r="206" spans="2:13" ht="12.75" customHeight="1" x14ac:dyDescent="0.25">
      <c r="B206" s="14"/>
      <c r="D206" s="14"/>
      <c r="E206" s="14"/>
      <c r="F206" s="14"/>
      <c r="G206" s="14"/>
      <c r="H206" s="14"/>
      <c r="I206" s="14"/>
      <c r="J206" s="14"/>
      <c r="K206" s="14"/>
      <c r="M206" s="14"/>
    </row>
    <row r="207" spans="2:13" ht="12.75" customHeight="1" x14ac:dyDescent="0.25">
      <c r="B207" s="14"/>
      <c r="D207" s="14"/>
      <c r="E207" s="14"/>
      <c r="F207" s="14"/>
      <c r="G207" s="14"/>
      <c r="H207" s="14"/>
      <c r="I207" s="14"/>
      <c r="J207" s="14"/>
      <c r="K207" s="14"/>
      <c r="M207" s="14"/>
    </row>
    <row r="208" spans="2:13" ht="12.75" customHeight="1" x14ac:dyDescent="0.25">
      <c r="B208" s="14"/>
      <c r="D208" s="14"/>
      <c r="E208" s="14"/>
      <c r="F208" s="14"/>
      <c r="G208" s="14"/>
      <c r="H208" s="14"/>
      <c r="I208" s="14"/>
      <c r="J208" s="14"/>
      <c r="K208" s="14"/>
      <c r="M208" s="14"/>
    </row>
    <row r="209" spans="2:13" ht="12.75" customHeight="1" x14ac:dyDescent="0.25">
      <c r="B209" s="14"/>
      <c r="D209" s="14"/>
      <c r="E209" s="14"/>
      <c r="F209" s="14"/>
      <c r="G209" s="14"/>
      <c r="H209" s="14"/>
      <c r="I209" s="14"/>
      <c r="J209" s="14"/>
      <c r="K209" s="14"/>
      <c r="M209" s="14"/>
    </row>
    <row r="210" spans="2:13" ht="12.75" customHeight="1" x14ac:dyDescent="0.25">
      <c r="B210" s="14"/>
      <c r="D210" s="14"/>
      <c r="E210" s="14"/>
      <c r="F210" s="14"/>
      <c r="G210" s="14"/>
      <c r="H210" s="14"/>
      <c r="I210" s="14"/>
      <c r="J210" s="14"/>
      <c r="K210" s="14"/>
      <c r="M210" s="14"/>
    </row>
    <row r="211" spans="2:13" ht="12.75" customHeight="1" x14ac:dyDescent="0.25">
      <c r="B211" s="14"/>
      <c r="D211" s="14"/>
      <c r="E211" s="14"/>
      <c r="F211" s="14"/>
      <c r="G211" s="14"/>
      <c r="H211" s="14"/>
      <c r="I211" s="14"/>
      <c r="J211" s="14"/>
      <c r="K211" s="14"/>
      <c r="M211" s="14"/>
    </row>
    <row r="212" spans="2:13" ht="12.75" customHeight="1" x14ac:dyDescent="0.25">
      <c r="B212" s="14"/>
      <c r="D212" s="14"/>
      <c r="E212" s="14"/>
      <c r="F212" s="14"/>
      <c r="G212" s="14"/>
      <c r="H212" s="14"/>
      <c r="I212" s="14"/>
      <c r="J212" s="14"/>
      <c r="K212" s="14"/>
      <c r="M212" s="14"/>
    </row>
    <row r="213" spans="2:13" ht="12.75" customHeight="1" x14ac:dyDescent="0.25">
      <c r="B213" s="14"/>
      <c r="D213" s="14"/>
      <c r="E213" s="14"/>
      <c r="F213" s="14"/>
      <c r="G213" s="14"/>
      <c r="H213" s="14"/>
      <c r="I213" s="14"/>
      <c r="J213" s="14"/>
      <c r="K213" s="14"/>
      <c r="M213" s="14"/>
    </row>
    <row r="214" spans="2:13" ht="12.75" customHeight="1" x14ac:dyDescent="0.25">
      <c r="B214" s="14"/>
      <c r="D214" s="14"/>
      <c r="E214" s="14"/>
      <c r="F214" s="14"/>
      <c r="G214" s="14"/>
      <c r="H214" s="14"/>
      <c r="I214" s="14"/>
      <c r="J214" s="14"/>
      <c r="K214" s="14"/>
      <c r="M214" s="14"/>
    </row>
    <row r="215" spans="2:13" ht="12.75" customHeight="1" x14ac:dyDescent="0.25">
      <c r="B215" s="14"/>
      <c r="D215" s="14"/>
      <c r="E215" s="14"/>
      <c r="F215" s="14"/>
      <c r="G215" s="14"/>
      <c r="H215" s="14"/>
      <c r="I215" s="14"/>
      <c r="J215" s="14"/>
      <c r="K215" s="14"/>
      <c r="M215" s="14"/>
    </row>
    <row r="216" spans="2:13" ht="12.75" customHeight="1" x14ac:dyDescent="0.25">
      <c r="B216" s="14"/>
      <c r="D216" s="14"/>
      <c r="E216" s="14"/>
      <c r="F216" s="14"/>
      <c r="G216" s="14"/>
      <c r="H216" s="14"/>
      <c r="I216" s="14"/>
      <c r="J216" s="14"/>
      <c r="K216" s="14"/>
      <c r="M216" s="14"/>
    </row>
    <row r="217" spans="2:13" ht="12.75" customHeight="1" x14ac:dyDescent="0.25">
      <c r="B217" s="14"/>
      <c r="D217" s="14"/>
      <c r="E217" s="14"/>
      <c r="F217" s="14"/>
      <c r="G217" s="14"/>
      <c r="H217" s="14"/>
      <c r="I217" s="14"/>
      <c r="J217" s="14"/>
      <c r="K217" s="14"/>
      <c r="M217" s="14"/>
    </row>
    <row r="218" spans="2:13" ht="12.75" customHeight="1" x14ac:dyDescent="0.25">
      <c r="B218" s="14"/>
      <c r="D218" s="14"/>
      <c r="E218" s="14"/>
      <c r="F218" s="14"/>
      <c r="G218" s="14"/>
      <c r="H218" s="14"/>
      <c r="I218" s="14"/>
      <c r="J218" s="14"/>
      <c r="K218" s="14"/>
      <c r="M218" s="14"/>
    </row>
    <row r="219" spans="2:13" ht="12.75" customHeight="1" x14ac:dyDescent="0.25">
      <c r="B219" s="14"/>
      <c r="D219" s="14"/>
      <c r="E219" s="14"/>
      <c r="F219" s="14"/>
      <c r="G219" s="14"/>
      <c r="H219" s="14"/>
      <c r="I219" s="14"/>
      <c r="J219" s="14"/>
      <c r="K219" s="14"/>
      <c r="M219" s="14"/>
    </row>
    <row r="220" spans="2:13" ht="12.75" customHeight="1" x14ac:dyDescent="0.25">
      <c r="B220" s="14"/>
      <c r="D220" s="14"/>
      <c r="E220" s="14"/>
      <c r="F220" s="14"/>
      <c r="G220" s="14"/>
      <c r="H220" s="14"/>
      <c r="I220" s="14"/>
      <c r="J220" s="14"/>
      <c r="K220" s="14"/>
      <c r="M220" s="14"/>
    </row>
    <row r="221" spans="2:13" ht="12.75" customHeight="1" x14ac:dyDescent="0.25">
      <c r="B221" s="14"/>
      <c r="D221" s="14"/>
      <c r="E221" s="14"/>
      <c r="F221" s="14"/>
      <c r="G221" s="14"/>
      <c r="H221" s="14"/>
      <c r="I221" s="14"/>
      <c r="J221" s="14"/>
      <c r="K221" s="14"/>
      <c r="M221" s="14"/>
    </row>
    <row r="222" spans="2:13" ht="12.75" customHeight="1" x14ac:dyDescent="0.25">
      <c r="B222" s="14"/>
      <c r="D222" s="14"/>
      <c r="E222" s="14"/>
      <c r="F222" s="14"/>
      <c r="G222" s="14"/>
      <c r="H222" s="14"/>
      <c r="I222" s="14"/>
      <c r="J222" s="14"/>
      <c r="K222" s="14"/>
      <c r="M222" s="14"/>
    </row>
    <row r="223" spans="2:13" ht="12.75" customHeight="1" x14ac:dyDescent="0.25">
      <c r="B223" s="14"/>
      <c r="D223" s="14"/>
      <c r="E223" s="14"/>
      <c r="F223" s="14"/>
      <c r="G223" s="14"/>
      <c r="H223" s="14"/>
      <c r="I223" s="14"/>
      <c r="J223" s="14"/>
      <c r="K223" s="14"/>
      <c r="M223" s="14"/>
    </row>
    <row r="224" spans="2:13" ht="12.75" customHeight="1" x14ac:dyDescent="0.25">
      <c r="B224" s="14"/>
      <c r="D224" s="14"/>
      <c r="E224" s="14"/>
      <c r="F224" s="14"/>
      <c r="G224" s="14"/>
      <c r="H224" s="14"/>
      <c r="I224" s="14"/>
      <c r="J224" s="14"/>
      <c r="K224" s="14"/>
      <c r="M224" s="14"/>
    </row>
    <row r="225" spans="2:13" ht="12.75" customHeight="1" x14ac:dyDescent="0.25">
      <c r="B225" s="14"/>
      <c r="D225" s="14"/>
      <c r="E225" s="14"/>
      <c r="F225" s="14"/>
      <c r="G225" s="14"/>
      <c r="H225" s="14"/>
      <c r="I225" s="14"/>
      <c r="J225" s="14"/>
      <c r="K225" s="14"/>
      <c r="M225" s="14"/>
    </row>
    <row r="226" spans="2:13" ht="12.75" customHeight="1" x14ac:dyDescent="0.25">
      <c r="B226" s="14"/>
      <c r="D226" s="14"/>
      <c r="E226" s="14"/>
      <c r="F226" s="14"/>
      <c r="G226" s="14"/>
      <c r="H226" s="14"/>
      <c r="I226" s="14"/>
      <c r="J226" s="14"/>
      <c r="K226" s="14"/>
      <c r="M226" s="14"/>
    </row>
    <row r="227" spans="2:13" ht="12.75" customHeight="1" x14ac:dyDescent="0.25">
      <c r="B227" s="14"/>
      <c r="D227" s="14"/>
      <c r="E227" s="14"/>
      <c r="F227" s="14"/>
      <c r="G227" s="14"/>
      <c r="H227" s="14"/>
      <c r="I227" s="14"/>
      <c r="J227" s="14"/>
      <c r="K227" s="14"/>
      <c r="M227" s="14"/>
    </row>
    <row r="228" spans="2:13" ht="12.75" customHeight="1" x14ac:dyDescent="0.25">
      <c r="B228" s="14"/>
      <c r="D228" s="14"/>
      <c r="E228" s="14"/>
      <c r="F228" s="14"/>
      <c r="G228" s="14"/>
      <c r="H228" s="14"/>
      <c r="I228" s="14"/>
      <c r="J228" s="14"/>
      <c r="K228" s="14"/>
      <c r="M228" s="14"/>
    </row>
    <row r="229" spans="2:13" ht="12.75" customHeight="1" x14ac:dyDescent="0.25">
      <c r="B229" s="14"/>
      <c r="D229" s="14"/>
      <c r="E229" s="14"/>
      <c r="F229" s="14"/>
      <c r="G229" s="14"/>
      <c r="H229" s="14"/>
      <c r="I229" s="14"/>
      <c r="J229" s="14"/>
      <c r="K229" s="14"/>
      <c r="M229" s="14"/>
    </row>
    <row r="230" spans="2:13" ht="12.75" customHeight="1" x14ac:dyDescent="0.25">
      <c r="B230" s="14"/>
      <c r="D230" s="14"/>
      <c r="E230" s="14"/>
      <c r="F230" s="14"/>
      <c r="G230" s="14"/>
      <c r="H230" s="14"/>
      <c r="I230" s="14"/>
      <c r="J230" s="14"/>
      <c r="K230" s="14"/>
      <c r="M230" s="14"/>
    </row>
    <row r="231" spans="2:13" ht="12.75" customHeight="1" x14ac:dyDescent="0.25">
      <c r="B231" s="14"/>
      <c r="D231" s="14"/>
      <c r="E231" s="14"/>
      <c r="F231" s="14"/>
      <c r="G231" s="14"/>
      <c r="H231" s="14"/>
      <c r="I231" s="14"/>
      <c r="J231" s="14"/>
      <c r="K231" s="14"/>
      <c r="M231" s="14"/>
    </row>
    <row r="232" spans="2:13" ht="12.75" customHeight="1" x14ac:dyDescent="0.25">
      <c r="B232" s="14"/>
      <c r="D232" s="14"/>
      <c r="E232" s="14"/>
      <c r="F232" s="14"/>
      <c r="G232" s="14"/>
      <c r="H232" s="14"/>
      <c r="I232" s="14"/>
      <c r="J232" s="14"/>
      <c r="K232" s="14"/>
      <c r="M232" s="14"/>
    </row>
    <row r="233" spans="2:13" ht="12.75" customHeight="1" x14ac:dyDescent="0.25">
      <c r="B233" s="14"/>
      <c r="D233" s="14"/>
      <c r="E233" s="14"/>
      <c r="F233" s="14"/>
      <c r="G233" s="14"/>
      <c r="H233" s="14"/>
      <c r="I233" s="14"/>
      <c r="J233" s="14"/>
      <c r="K233" s="14"/>
      <c r="M233" s="14"/>
    </row>
    <row r="234" spans="2:13" ht="12.75" customHeight="1" x14ac:dyDescent="0.25">
      <c r="B234" s="14"/>
      <c r="D234" s="14"/>
      <c r="E234" s="14"/>
      <c r="F234" s="14"/>
      <c r="G234" s="14"/>
      <c r="H234" s="14"/>
      <c r="I234" s="14"/>
      <c r="J234" s="14"/>
      <c r="K234" s="14"/>
      <c r="M234" s="14"/>
    </row>
    <row r="235" spans="2:13" ht="12.75" customHeight="1" x14ac:dyDescent="0.25">
      <c r="B235" s="14"/>
      <c r="D235" s="14"/>
      <c r="E235" s="14"/>
      <c r="F235" s="14"/>
      <c r="G235" s="14"/>
      <c r="H235" s="14"/>
      <c r="I235" s="14"/>
      <c r="J235" s="14"/>
      <c r="K235" s="14"/>
      <c r="M235" s="14"/>
    </row>
    <row r="236" spans="2:13" ht="12.75" customHeight="1" x14ac:dyDescent="0.25">
      <c r="B236" s="14"/>
      <c r="D236" s="14"/>
      <c r="E236" s="14"/>
      <c r="F236" s="14"/>
      <c r="G236" s="14"/>
      <c r="H236" s="14"/>
      <c r="I236" s="14"/>
      <c r="J236" s="14"/>
      <c r="K236" s="14"/>
      <c r="M236" s="14"/>
    </row>
    <row r="237" spans="2:13" ht="12.75" customHeight="1" x14ac:dyDescent="0.25">
      <c r="B237" s="14"/>
      <c r="D237" s="14"/>
      <c r="E237" s="14"/>
      <c r="F237" s="14"/>
      <c r="G237" s="14"/>
      <c r="H237" s="14"/>
      <c r="I237" s="14"/>
      <c r="J237" s="14"/>
      <c r="K237" s="14"/>
      <c r="M237" s="14"/>
    </row>
    <row r="238" spans="2:13" ht="12.75" customHeight="1" x14ac:dyDescent="0.25">
      <c r="B238" s="14"/>
      <c r="D238" s="14"/>
      <c r="E238" s="14"/>
      <c r="F238" s="14"/>
      <c r="G238" s="14"/>
      <c r="H238" s="14"/>
      <c r="I238" s="14"/>
      <c r="J238" s="14"/>
      <c r="K238" s="14"/>
      <c r="M238" s="14"/>
    </row>
    <row r="239" spans="2:13" ht="12.75" customHeight="1" x14ac:dyDescent="0.25">
      <c r="B239" s="14"/>
      <c r="D239" s="14"/>
      <c r="E239" s="14"/>
      <c r="F239" s="14"/>
      <c r="G239" s="14"/>
      <c r="H239" s="14"/>
      <c r="I239" s="14"/>
      <c r="J239" s="14"/>
      <c r="K239" s="14"/>
      <c r="M239" s="14"/>
    </row>
    <row r="240" spans="2:13" ht="12.75" customHeight="1" x14ac:dyDescent="0.25">
      <c r="B240" s="14"/>
      <c r="D240" s="14"/>
      <c r="E240" s="14"/>
      <c r="F240" s="14"/>
      <c r="G240" s="14"/>
      <c r="H240" s="14"/>
      <c r="I240" s="14"/>
      <c r="J240" s="14"/>
      <c r="K240" s="14"/>
      <c r="M240" s="14"/>
    </row>
    <row r="241" spans="2:13" ht="12.75" customHeight="1" x14ac:dyDescent="0.25">
      <c r="B241" s="14"/>
      <c r="D241" s="14"/>
      <c r="E241" s="14"/>
      <c r="F241" s="14"/>
      <c r="G241" s="14"/>
      <c r="H241" s="14"/>
      <c r="I241" s="14"/>
      <c r="J241" s="14"/>
      <c r="K241" s="14"/>
      <c r="M241" s="14"/>
    </row>
    <row r="242" spans="2:13" ht="12.75" customHeight="1" x14ac:dyDescent="0.25">
      <c r="B242" s="14"/>
      <c r="D242" s="14"/>
      <c r="E242" s="14"/>
      <c r="F242" s="14"/>
      <c r="G242" s="14"/>
      <c r="H242" s="14"/>
      <c r="I242" s="14"/>
      <c r="J242" s="14"/>
      <c r="K242" s="14"/>
      <c r="M242" s="14"/>
    </row>
    <row r="243" spans="2:13" ht="12.75" customHeight="1" x14ac:dyDescent="0.25">
      <c r="B243" s="14"/>
      <c r="D243" s="14"/>
      <c r="E243" s="14"/>
      <c r="F243" s="14"/>
      <c r="G243" s="14"/>
      <c r="H243" s="14"/>
      <c r="I243" s="14"/>
      <c r="J243" s="14"/>
      <c r="K243" s="14"/>
      <c r="M243" s="14"/>
    </row>
    <row r="244" spans="2:13" ht="12.75" customHeight="1" x14ac:dyDescent="0.25">
      <c r="B244" s="14"/>
      <c r="D244" s="14"/>
      <c r="E244" s="14"/>
      <c r="F244" s="14"/>
      <c r="G244" s="14"/>
      <c r="H244" s="14"/>
      <c r="I244" s="14"/>
      <c r="J244" s="14"/>
      <c r="K244" s="14"/>
      <c r="M244" s="14"/>
    </row>
    <row r="245" spans="2:13" ht="12.75" customHeight="1" x14ac:dyDescent="0.25">
      <c r="B245" s="14"/>
      <c r="D245" s="14"/>
      <c r="E245" s="14"/>
      <c r="F245" s="14"/>
      <c r="G245" s="14"/>
      <c r="H245" s="14"/>
      <c r="I245" s="14"/>
      <c r="J245" s="14"/>
      <c r="K245" s="14"/>
      <c r="M245" s="14"/>
    </row>
    <row r="246" spans="2:13" ht="12.75" customHeight="1" x14ac:dyDescent="0.25">
      <c r="B246" s="14"/>
      <c r="D246" s="14"/>
      <c r="E246" s="14"/>
      <c r="F246" s="14"/>
      <c r="G246" s="14"/>
      <c r="H246" s="14"/>
      <c r="I246" s="14"/>
      <c r="J246" s="14"/>
      <c r="K246" s="14"/>
      <c r="M246" s="14"/>
    </row>
    <row r="247" spans="2:13" ht="12.75" customHeight="1" x14ac:dyDescent="0.25">
      <c r="B247" s="14"/>
      <c r="D247" s="14"/>
      <c r="E247" s="14"/>
      <c r="F247" s="14"/>
      <c r="G247" s="14"/>
      <c r="H247" s="14"/>
      <c r="I247" s="14"/>
      <c r="J247" s="14"/>
      <c r="K247" s="14"/>
      <c r="M247" s="14"/>
    </row>
    <row r="248" spans="2:13" ht="12.75" customHeight="1" x14ac:dyDescent="0.25">
      <c r="B248" s="14"/>
      <c r="D248" s="14"/>
      <c r="E248" s="14"/>
      <c r="F248" s="14"/>
      <c r="G248" s="14"/>
      <c r="H248" s="14"/>
      <c r="I248" s="14"/>
      <c r="J248" s="14"/>
      <c r="K248" s="14"/>
      <c r="M248" s="14"/>
    </row>
    <row r="249" spans="2:13" ht="12.75" customHeight="1" x14ac:dyDescent="0.25">
      <c r="B249" s="14"/>
      <c r="D249" s="14"/>
      <c r="E249" s="14"/>
      <c r="F249" s="14"/>
      <c r="G249" s="14"/>
      <c r="H249" s="14"/>
      <c r="I249" s="14"/>
      <c r="J249" s="14"/>
      <c r="K249" s="14"/>
      <c r="M249" s="14"/>
    </row>
    <row r="250" spans="2:13" ht="12.75" customHeight="1" x14ac:dyDescent="0.25">
      <c r="B250" s="14"/>
      <c r="D250" s="14"/>
      <c r="E250" s="14"/>
      <c r="F250" s="14"/>
      <c r="G250" s="14"/>
      <c r="H250" s="14"/>
      <c r="I250" s="14"/>
      <c r="J250" s="14"/>
      <c r="K250" s="14"/>
      <c r="M250" s="14"/>
    </row>
    <row r="251" spans="2:13" ht="12.75" customHeight="1" x14ac:dyDescent="0.25">
      <c r="B251" s="14"/>
      <c r="D251" s="14"/>
      <c r="E251" s="14"/>
      <c r="F251" s="14"/>
      <c r="G251" s="14"/>
      <c r="H251" s="14"/>
      <c r="I251" s="14"/>
      <c r="J251" s="14"/>
      <c r="K251" s="14"/>
      <c r="M251" s="14"/>
    </row>
    <row r="252" spans="2:13" ht="12.75" customHeight="1" x14ac:dyDescent="0.25">
      <c r="B252" s="14"/>
      <c r="D252" s="14"/>
      <c r="E252" s="14"/>
      <c r="F252" s="14"/>
      <c r="G252" s="14"/>
      <c r="H252" s="14"/>
      <c r="I252" s="14"/>
      <c r="J252" s="14"/>
      <c r="K252" s="14"/>
      <c r="M252" s="14"/>
    </row>
    <row r="253" spans="2:13" ht="12.75" customHeight="1" x14ac:dyDescent="0.25">
      <c r="B253" s="14"/>
      <c r="D253" s="14"/>
      <c r="E253" s="14"/>
      <c r="F253" s="14"/>
      <c r="G253" s="14"/>
      <c r="H253" s="14"/>
      <c r="I253" s="14"/>
      <c r="J253" s="14"/>
      <c r="K253" s="14"/>
      <c r="M253" s="14"/>
    </row>
    <row r="254" spans="2:13" ht="12.75" customHeight="1" x14ac:dyDescent="0.25">
      <c r="B254" s="14"/>
      <c r="D254" s="14"/>
      <c r="E254" s="14"/>
      <c r="F254" s="14"/>
      <c r="G254" s="14"/>
      <c r="H254" s="14"/>
      <c r="I254" s="14"/>
      <c r="J254" s="14"/>
      <c r="K254" s="14"/>
      <c r="M254" s="14"/>
    </row>
    <row r="255" spans="2:13" ht="12.75" customHeight="1" x14ac:dyDescent="0.25">
      <c r="B255" s="14"/>
      <c r="D255" s="14"/>
      <c r="E255" s="14"/>
      <c r="F255" s="14"/>
      <c r="G255" s="14"/>
      <c r="H255" s="14"/>
      <c r="I255" s="14"/>
      <c r="J255" s="14"/>
      <c r="K255" s="14"/>
      <c r="M255" s="14"/>
    </row>
    <row r="256" spans="2:13" ht="12.75" customHeight="1" x14ac:dyDescent="0.25">
      <c r="B256" s="14"/>
      <c r="D256" s="14"/>
      <c r="E256" s="14"/>
      <c r="F256" s="14"/>
      <c r="G256" s="14"/>
      <c r="H256" s="14"/>
      <c r="I256" s="14"/>
      <c r="J256" s="14"/>
      <c r="K256" s="14"/>
      <c r="M256" s="14"/>
    </row>
    <row r="257" spans="2:13" ht="12.75" customHeight="1" x14ac:dyDescent="0.25">
      <c r="B257" s="14"/>
      <c r="D257" s="14"/>
      <c r="E257" s="14"/>
      <c r="F257" s="14"/>
      <c r="G257" s="14"/>
      <c r="H257" s="14"/>
      <c r="I257" s="14"/>
      <c r="J257" s="14"/>
      <c r="K257" s="14"/>
      <c r="M257" s="14"/>
    </row>
    <row r="258" spans="2:13" ht="12.75" customHeight="1" x14ac:dyDescent="0.25">
      <c r="B258" s="14"/>
      <c r="D258" s="14"/>
      <c r="E258" s="14"/>
      <c r="F258" s="14"/>
      <c r="G258" s="14"/>
      <c r="H258" s="14"/>
      <c r="I258" s="14"/>
      <c r="J258" s="14"/>
      <c r="K258" s="14"/>
      <c r="M258" s="14"/>
    </row>
    <row r="259" spans="2:13" ht="12.75" customHeight="1" x14ac:dyDescent="0.25">
      <c r="B259" s="14"/>
      <c r="D259" s="14"/>
      <c r="E259" s="14"/>
      <c r="F259" s="14"/>
      <c r="G259" s="14"/>
      <c r="H259" s="14"/>
      <c r="I259" s="14"/>
      <c r="J259" s="14"/>
      <c r="K259" s="14"/>
      <c r="M259" s="14"/>
    </row>
    <row r="260" spans="2:13" ht="12.75" customHeight="1" x14ac:dyDescent="0.25">
      <c r="B260" s="14"/>
      <c r="D260" s="14"/>
      <c r="E260" s="14"/>
      <c r="F260" s="14"/>
      <c r="G260" s="14"/>
      <c r="H260" s="14"/>
      <c r="I260" s="14"/>
      <c r="J260" s="14"/>
      <c r="K260" s="14"/>
      <c r="M260" s="14"/>
    </row>
    <row r="261" spans="2:13" ht="12.75" customHeight="1" x14ac:dyDescent="0.25">
      <c r="B261" s="14"/>
      <c r="D261" s="14"/>
      <c r="E261" s="14"/>
      <c r="F261" s="14"/>
      <c r="G261" s="14"/>
      <c r="H261" s="14"/>
      <c r="I261" s="14"/>
      <c r="J261" s="14"/>
      <c r="K261" s="14"/>
      <c r="M261" s="14"/>
    </row>
    <row r="262" spans="2:13" ht="12.75" customHeight="1" x14ac:dyDescent="0.25">
      <c r="B262" s="14"/>
      <c r="D262" s="14"/>
      <c r="E262" s="14"/>
      <c r="F262" s="14"/>
      <c r="G262" s="14"/>
      <c r="H262" s="14"/>
      <c r="I262" s="14"/>
      <c r="J262" s="14"/>
      <c r="K262" s="14"/>
      <c r="M262" s="14"/>
    </row>
    <row r="263" spans="2:13" ht="12.75" customHeight="1" x14ac:dyDescent="0.25">
      <c r="B263" s="14"/>
      <c r="D263" s="14"/>
      <c r="E263" s="14"/>
      <c r="F263" s="14"/>
      <c r="G263" s="14"/>
      <c r="H263" s="14"/>
      <c r="I263" s="14"/>
      <c r="J263" s="14"/>
      <c r="K263" s="14"/>
      <c r="M263" s="14"/>
    </row>
    <row r="264" spans="2:13" ht="12.75" customHeight="1" x14ac:dyDescent="0.25">
      <c r="B264" s="14"/>
      <c r="D264" s="14"/>
      <c r="E264" s="14"/>
      <c r="F264" s="14"/>
      <c r="G264" s="14"/>
      <c r="H264" s="14"/>
      <c r="I264" s="14"/>
      <c r="J264" s="14"/>
      <c r="K264" s="14"/>
      <c r="M264" s="14"/>
    </row>
    <row r="265" spans="2:13" ht="12.75" customHeight="1" x14ac:dyDescent="0.25">
      <c r="B265" s="14"/>
      <c r="D265" s="14"/>
      <c r="E265" s="14"/>
      <c r="F265" s="14"/>
      <c r="G265" s="14"/>
      <c r="H265" s="14"/>
      <c r="I265" s="14"/>
      <c r="J265" s="14"/>
      <c r="K265" s="14"/>
      <c r="M265" s="14"/>
    </row>
    <row r="266" spans="2:13" ht="12.75" customHeight="1" x14ac:dyDescent="0.25">
      <c r="B266" s="14"/>
      <c r="D266" s="14"/>
      <c r="E266" s="14"/>
      <c r="F266" s="14"/>
      <c r="G266" s="14"/>
      <c r="H266" s="14"/>
      <c r="I266" s="14"/>
      <c r="J266" s="14"/>
      <c r="K266" s="14"/>
      <c r="M266" s="14"/>
    </row>
    <row r="267" spans="2:13" ht="12.75" customHeight="1" x14ac:dyDescent="0.25">
      <c r="B267" s="14"/>
      <c r="D267" s="14"/>
      <c r="E267" s="14"/>
      <c r="F267" s="14"/>
      <c r="G267" s="14"/>
      <c r="H267" s="14"/>
      <c r="I267" s="14"/>
      <c r="J267" s="14"/>
      <c r="K267" s="14"/>
      <c r="M267" s="14"/>
    </row>
    <row r="268" spans="2:13" ht="12.75" customHeight="1" x14ac:dyDescent="0.25">
      <c r="B268" s="14"/>
      <c r="D268" s="14"/>
      <c r="E268" s="14"/>
      <c r="F268" s="14"/>
      <c r="G268" s="14"/>
      <c r="H268" s="14"/>
      <c r="I268" s="14"/>
      <c r="J268" s="14"/>
      <c r="K268" s="14"/>
      <c r="M268" s="14"/>
    </row>
    <row r="269" spans="2:13" ht="12.75" customHeight="1" x14ac:dyDescent="0.25">
      <c r="B269" s="14"/>
      <c r="D269" s="14"/>
      <c r="E269" s="14"/>
      <c r="F269" s="14"/>
      <c r="G269" s="14"/>
      <c r="H269" s="14"/>
      <c r="I269" s="14"/>
      <c r="J269" s="14"/>
      <c r="K269" s="14"/>
      <c r="M269" s="14"/>
    </row>
    <row r="270" spans="2:13" ht="12.75" customHeight="1" x14ac:dyDescent="0.25">
      <c r="B270" s="14"/>
      <c r="D270" s="14"/>
      <c r="E270" s="14"/>
      <c r="F270" s="14"/>
      <c r="G270" s="14"/>
      <c r="H270" s="14"/>
      <c r="I270" s="14"/>
      <c r="J270" s="14"/>
      <c r="K270" s="14"/>
      <c r="M270" s="14"/>
    </row>
    <row r="271" spans="2:13" ht="12.75" customHeight="1" x14ac:dyDescent="0.25">
      <c r="B271" s="14"/>
      <c r="D271" s="14"/>
      <c r="E271" s="14"/>
      <c r="F271" s="14"/>
      <c r="G271" s="14"/>
      <c r="H271" s="14"/>
      <c r="I271" s="14"/>
      <c r="J271" s="14"/>
      <c r="K271" s="14"/>
      <c r="M271" s="14"/>
    </row>
    <row r="272" spans="2:13" ht="12.75" customHeight="1" x14ac:dyDescent="0.25">
      <c r="B272" s="14"/>
      <c r="D272" s="14"/>
      <c r="E272" s="14"/>
      <c r="F272" s="14"/>
      <c r="G272" s="14"/>
      <c r="H272" s="14"/>
      <c r="I272" s="14"/>
      <c r="J272" s="14"/>
      <c r="K272" s="14"/>
      <c r="M272" s="14"/>
    </row>
    <row r="273" spans="2:13" ht="12.75" customHeight="1" x14ac:dyDescent="0.25">
      <c r="B273" s="14"/>
      <c r="D273" s="14"/>
      <c r="E273" s="14"/>
      <c r="F273" s="14"/>
      <c r="G273" s="14"/>
      <c r="H273" s="14"/>
      <c r="I273" s="14"/>
      <c r="J273" s="14"/>
      <c r="K273" s="14"/>
      <c r="M273" s="14"/>
    </row>
    <row r="274" spans="2:13" ht="12.75" customHeight="1" x14ac:dyDescent="0.25">
      <c r="B274" s="14"/>
      <c r="D274" s="14"/>
      <c r="E274" s="14"/>
      <c r="F274" s="14"/>
      <c r="G274" s="14"/>
      <c r="H274" s="14"/>
      <c r="I274" s="14"/>
      <c r="J274" s="14"/>
      <c r="K274" s="14"/>
      <c r="M274" s="14"/>
    </row>
    <row r="275" spans="2:13" ht="12.75" customHeight="1" x14ac:dyDescent="0.25">
      <c r="B275" s="14"/>
      <c r="D275" s="14"/>
      <c r="E275" s="14"/>
      <c r="F275" s="14"/>
      <c r="G275" s="14"/>
      <c r="H275" s="14"/>
      <c r="I275" s="14"/>
      <c r="J275" s="14"/>
      <c r="K275" s="14"/>
      <c r="M275" s="14"/>
    </row>
    <row r="276" spans="2:13" ht="12.75" customHeight="1" x14ac:dyDescent="0.25">
      <c r="B276" s="14"/>
      <c r="D276" s="14"/>
      <c r="E276" s="14"/>
      <c r="F276" s="14"/>
      <c r="G276" s="14"/>
      <c r="H276" s="14"/>
      <c r="I276" s="14"/>
      <c r="J276" s="14"/>
      <c r="K276" s="14"/>
      <c r="M276" s="14"/>
    </row>
    <row r="277" spans="2:13" ht="12.75" customHeight="1" x14ac:dyDescent="0.25">
      <c r="B277" s="14"/>
      <c r="D277" s="14"/>
      <c r="E277" s="14"/>
      <c r="F277" s="14"/>
      <c r="G277" s="14"/>
      <c r="H277" s="14"/>
      <c r="I277" s="14"/>
      <c r="J277" s="14"/>
      <c r="K277" s="14"/>
      <c r="M277" s="14"/>
    </row>
    <row r="278" spans="2:13" ht="12.75" customHeight="1" x14ac:dyDescent="0.25">
      <c r="B278" s="14"/>
      <c r="D278" s="14"/>
      <c r="E278" s="14"/>
      <c r="F278" s="14"/>
      <c r="G278" s="14"/>
      <c r="H278" s="14"/>
      <c r="I278" s="14"/>
      <c r="J278" s="14"/>
      <c r="K278" s="14"/>
      <c r="M278" s="14"/>
    </row>
    <row r="279" spans="2:13" ht="12.75" customHeight="1" x14ac:dyDescent="0.25">
      <c r="B279" s="14"/>
      <c r="D279" s="14"/>
      <c r="E279" s="14"/>
      <c r="F279" s="14"/>
      <c r="G279" s="14"/>
      <c r="H279" s="14"/>
      <c r="I279" s="14"/>
      <c r="J279" s="14"/>
      <c r="K279" s="14"/>
      <c r="M279" s="14"/>
    </row>
    <row r="280" spans="2:13" ht="12.75" customHeight="1" x14ac:dyDescent="0.25">
      <c r="B280" s="14"/>
      <c r="D280" s="14"/>
      <c r="E280" s="14"/>
      <c r="F280" s="14"/>
      <c r="G280" s="14"/>
      <c r="H280" s="14"/>
      <c r="I280" s="14"/>
      <c r="J280" s="14"/>
      <c r="K280" s="14"/>
      <c r="M280" s="14"/>
    </row>
    <row r="281" spans="2:13" ht="12.75" customHeight="1" x14ac:dyDescent="0.25">
      <c r="B281" s="14"/>
      <c r="D281" s="14"/>
      <c r="E281" s="14"/>
      <c r="F281" s="14"/>
      <c r="G281" s="14"/>
      <c r="H281" s="14"/>
      <c r="I281" s="14"/>
      <c r="J281" s="14"/>
      <c r="K281" s="14"/>
      <c r="M281" s="14"/>
    </row>
    <row r="282" spans="2:13" ht="12.75" customHeight="1" x14ac:dyDescent="0.25">
      <c r="B282" s="14"/>
      <c r="D282" s="14"/>
      <c r="E282" s="14"/>
      <c r="F282" s="14"/>
      <c r="G282" s="14"/>
      <c r="H282" s="14"/>
      <c r="I282" s="14"/>
      <c r="J282" s="14"/>
      <c r="K282" s="14"/>
      <c r="M282" s="14"/>
    </row>
    <row r="283" spans="2:13" ht="12.75" customHeight="1" x14ac:dyDescent="0.25">
      <c r="B283" s="14"/>
      <c r="D283" s="14"/>
      <c r="E283" s="14"/>
      <c r="F283" s="14"/>
      <c r="G283" s="14"/>
      <c r="H283" s="14"/>
      <c r="I283" s="14"/>
      <c r="J283" s="14"/>
      <c r="K283" s="14"/>
      <c r="M283" s="14"/>
    </row>
    <row r="284" spans="2:13" ht="12.75" customHeight="1" x14ac:dyDescent="0.25">
      <c r="B284" s="14"/>
      <c r="D284" s="14"/>
      <c r="E284" s="14"/>
      <c r="F284" s="14"/>
      <c r="G284" s="14"/>
      <c r="H284" s="14"/>
      <c r="I284" s="14"/>
      <c r="J284" s="14"/>
      <c r="K284" s="14"/>
      <c r="M284" s="14"/>
    </row>
    <row r="285" spans="2:13" ht="12.75" customHeight="1" x14ac:dyDescent="0.25">
      <c r="B285" s="14"/>
      <c r="D285" s="14"/>
      <c r="E285" s="14"/>
      <c r="F285" s="14"/>
      <c r="G285" s="14"/>
      <c r="H285" s="14"/>
      <c r="I285" s="14"/>
      <c r="J285" s="14"/>
      <c r="K285" s="14"/>
      <c r="M285" s="14"/>
    </row>
    <row r="286" spans="2:13" ht="12.75" customHeight="1" x14ac:dyDescent="0.25">
      <c r="B286" s="14"/>
      <c r="D286" s="14"/>
      <c r="E286" s="14"/>
      <c r="F286" s="14"/>
      <c r="G286" s="14"/>
      <c r="H286" s="14"/>
      <c r="I286" s="14"/>
      <c r="J286" s="14"/>
      <c r="K286" s="14"/>
      <c r="M286" s="14"/>
    </row>
    <row r="287" spans="2:13" ht="12.75" customHeight="1" x14ac:dyDescent="0.25">
      <c r="B287" s="14"/>
      <c r="D287" s="14"/>
      <c r="E287" s="14"/>
      <c r="F287" s="14"/>
      <c r="G287" s="14"/>
      <c r="H287" s="14"/>
      <c r="I287" s="14"/>
      <c r="J287" s="14"/>
      <c r="K287" s="14"/>
      <c r="M287" s="14"/>
    </row>
    <row r="288" spans="2:13" ht="12.75" customHeight="1" x14ac:dyDescent="0.25">
      <c r="B288" s="14"/>
      <c r="D288" s="14"/>
      <c r="E288" s="14"/>
      <c r="F288" s="14"/>
      <c r="G288" s="14"/>
      <c r="H288" s="14"/>
      <c r="I288" s="14"/>
      <c r="J288" s="14"/>
      <c r="K288" s="14"/>
      <c r="M288" s="14"/>
    </row>
    <row r="289" spans="2:13" ht="12.75" customHeight="1" x14ac:dyDescent="0.25">
      <c r="B289" s="14"/>
      <c r="D289" s="14"/>
      <c r="E289" s="14"/>
      <c r="F289" s="14"/>
      <c r="G289" s="14"/>
      <c r="H289" s="14"/>
      <c r="I289" s="14"/>
      <c r="J289" s="14"/>
      <c r="K289" s="14"/>
      <c r="M289" s="14"/>
    </row>
    <row r="290" spans="2:13" ht="12.75" customHeight="1" x14ac:dyDescent="0.25">
      <c r="B290" s="14"/>
      <c r="D290" s="14"/>
      <c r="E290" s="14"/>
      <c r="F290" s="14"/>
      <c r="G290" s="14"/>
      <c r="H290" s="14"/>
      <c r="I290" s="14"/>
      <c r="J290" s="14"/>
      <c r="K290" s="14"/>
      <c r="M290" s="14"/>
    </row>
    <row r="291" spans="2:13" ht="12.75" customHeight="1" x14ac:dyDescent="0.25">
      <c r="B291" s="14"/>
      <c r="D291" s="14"/>
      <c r="E291" s="14"/>
      <c r="F291" s="14"/>
      <c r="G291" s="14"/>
      <c r="H291" s="14"/>
      <c r="I291" s="14"/>
      <c r="J291" s="14"/>
      <c r="K291" s="14"/>
      <c r="M291" s="14"/>
    </row>
    <row r="292" spans="2:13" ht="12.75" customHeight="1" x14ac:dyDescent="0.25">
      <c r="B292" s="14"/>
      <c r="D292" s="14"/>
      <c r="E292" s="14"/>
      <c r="F292" s="14"/>
      <c r="G292" s="14"/>
      <c r="H292" s="14"/>
      <c r="I292" s="14"/>
      <c r="J292" s="14"/>
      <c r="K292" s="14"/>
      <c r="M292" s="14"/>
    </row>
    <row r="293" spans="2:13" ht="12.75" customHeight="1" x14ac:dyDescent="0.25">
      <c r="B293" s="14"/>
      <c r="D293" s="14"/>
      <c r="E293" s="14"/>
      <c r="F293" s="14"/>
      <c r="G293" s="14"/>
      <c r="H293" s="14"/>
      <c r="I293" s="14"/>
      <c r="J293" s="14"/>
      <c r="K293" s="14"/>
      <c r="M293" s="14"/>
    </row>
    <row r="294" spans="2:13" ht="12.75" customHeight="1" x14ac:dyDescent="0.25">
      <c r="B294" s="14"/>
      <c r="D294" s="14"/>
      <c r="E294" s="14"/>
      <c r="F294" s="14"/>
      <c r="G294" s="14"/>
      <c r="H294" s="14"/>
      <c r="I294" s="14"/>
      <c r="J294" s="14"/>
      <c r="K294" s="14"/>
      <c r="M294" s="14"/>
    </row>
    <row r="295" spans="2:13" ht="12.75" customHeight="1" x14ac:dyDescent="0.25">
      <c r="B295" s="14"/>
      <c r="D295" s="14"/>
      <c r="E295" s="14"/>
      <c r="F295" s="14"/>
      <c r="G295" s="14"/>
      <c r="H295" s="14"/>
      <c r="I295" s="14"/>
      <c r="J295" s="14"/>
      <c r="K295" s="14"/>
      <c r="M295" s="14"/>
    </row>
    <row r="296" spans="2:13" ht="12.75" customHeight="1" x14ac:dyDescent="0.25">
      <c r="B296" s="14"/>
      <c r="D296" s="14"/>
      <c r="E296" s="14"/>
      <c r="F296" s="14"/>
      <c r="G296" s="14"/>
      <c r="H296" s="14"/>
      <c r="I296" s="14"/>
      <c r="J296" s="14"/>
      <c r="K296" s="14"/>
      <c r="M296" s="14"/>
    </row>
    <row r="297" spans="2:13" ht="12.75" customHeight="1" x14ac:dyDescent="0.25">
      <c r="B297" s="14"/>
      <c r="D297" s="14"/>
      <c r="E297" s="14"/>
      <c r="F297" s="14"/>
      <c r="G297" s="14"/>
      <c r="H297" s="14"/>
      <c r="I297" s="14"/>
      <c r="J297" s="14"/>
      <c r="K297" s="14"/>
      <c r="M297" s="14"/>
    </row>
    <row r="298" spans="2:13" ht="12.75" customHeight="1" x14ac:dyDescent="0.25">
      <c r="B298" s="14"/>
      <c r="D298" s="14"/>
      <c r="E298" s="14"/>
      <c r="F298" s="14"/>
      <c r="G298" s="14"/>
      <c r="H298" s="14"/>
      <c r="I298" s="14"/>
      <c r="J298" s="14"/>
      <c r="K298" s="14"/>
      <c r="M298" s="14"/>
    </row>
    <row r="299" spans="2:13" ht="12.75" customHeight="1" x14ac:dyDescent="0.25">
      <c r="B299" s="14"/>
      <c r="D299" s="14"/>
      <c r="E299" s="14"/>
      <c r="F299" s="14"/>
      <c r="G299" s="14"/>
      <c r="H299" s="14"/>
      <c r="I299" s="14"/>
      <c r="J299" s="14"/>
      <c r="K299" s="14"/>
      <c r="M299" s="14"/>
    </row>
    <row r="300" spans="2:13" ht="12.75" customHeight="1" x14ac:dyDescent="0.25">
      <c r="B300" s="14"/>
      <c r="D300" s="14"/>
      <c r="E300" s="14"/>
      <c r="F300" s="14"/>
      <c r="G300" s="14"/>
      <c r="H300" s="14"/>
      <c r="I300" s="14"/>
      <c r="J300" s="14"/>
      <c r="K300" s="14"/>
      <c r="M300" s="14"/>
    </row>
    <row r="301" spans="2:13" ht="12.75" customHeight="1" x14ac:dyDescent="0.25">
      <c r="B301" s="14"/>
      <c r="D301" s="14"/>
      <c r="E301" s="14"/>
      <c r="F301" s="14"/>
      <c r="G301" s="14"/>
      <c r="H301" s="14"/>
      <c r="I301" s="14"/>
      <c r="J301" s="14"/>
      <c r="K301" s="14"/>
      <c r="M301" s="14"/>
    </row>
    <row r="302" spans="2:13" ht="12.75" customHeight="1" x14ac:dyDescent="0.25">
      <c r="B302" s="14"/>
      <c r="D302" s="14"/>
      <c r="E302" s="14"/>
      <c r="F302" s="14"/>
      <c r="G302" s="14"/>
      <c r="H302" s="14"/>
      <c r="I302" s="14"/>
      <c r="J302" s="14"/>
      <c r="K302" s="14"/>
      <c r="M302" s="14"/>
    </row>
    <row r="303" spans="2:13" ht="12.75" customHeight="1" x14ac:dyDescent="0.25">
      <c r="B303" s="14"/>
      <c r="D303" s="14"/>
      <c r="E303" s="14"/>
      <c r="F303" s="14"/>
      <c r="G303" s="14"/>
      <c r="H303" s="14"/>
      <c r="I303" s="14"/>
      <c r="J303" s="14"/>
      <c r="K303" s="14"/>
      <c r="M303" s="14"/>
    </row>
    <row r="304" spans="2:13" ht="12.75" customHeight="1" x14ac:dyDescent="0.25">
      <c r="B304" s="14"/>
      <c r="D304" s="14"/>
      <c r="E304" s="14"/>
      <c r="F304" s="14"/>
      <c r="G304" s="14"/>
      <c r="H304" s="14"/>
      <c r="I304" s="14"/>
      <c r="J304" s="14"/>
      <c r="K304" s="14"/>
      <c r="M304" s="14"/>
    </row>
    <row r="305" spans="2:13" ht="12.75" customHeight="1" x14ac:dyDescent="0.25">
      <c r="B305" s="14"/>
      <c r="D305" s="14"/>
      <c r="E305" s="14"/>
      <c r="F305" s="14"/>
      <c r="G305" s="14"/>
      <c r="H305" s="14"/>
      <c r="I305" s="14"/>
      <c r="J305" s="14"/>
      <c r="K305" s="14"/>
      <c r="M305" s="14"/>
    </row>
    <row r="306" spans="2:13" ht="12.75" customHeight="1" x14ac:dyDescent="0.25">
      <c r="B306" s="14"/>
      <c r="D306" s="14"/>
      <c r="E306" s="14"/>
      <c r="F306" s="14"/>
      <c r="G306" s="14"/>
      <c r="H306" s="14"/>
      <c r="I306" s="14"/>
      <c r="J306" s="14"/>
      <c r="K306" s="14"/>
      <c r="M306" s="14"/>
    </row>
    <row r="307" spans="2:13" ht="12.75" customHeight="1" x14ac:dyDescent="0.25">
      <c r="B307" s="14"/>
      <c r="D307" s="14"/>
      <c r="E307" s="14"/>
      <c r="F307" s="14"/>
      <c r="G307" s="14"/>
      <c r="H307" s="14"/>
      <c r="I307" s="14"/>
      <c r="J307" s="14"/>
      <c r="K307" s="14"/>
      <c r="M307" s="14"/>
    </row>
    <row r="308" spans="2:13" ht="12.75" customHeight="1" x14ac:dyDescent="0.25">
      <c r="B308" s="14"/>
      <c r="D308" s="14"/>
      <c r="E308" s="14"/>
      <c r="F308" s="14"/>
      <c r="G308" s="14"/>
      <c r="H308" s="14"/>
      <c r="I308" s="14"/>
      <c r="J308" s="14"/>
      <c r="K308" s="14"/>
      <c r="M308" s="14"/>
    </row>
    <row r="309" spans="2:13" ht="12.75" customHeight="1" x14ac:dyDescent="0.25">
      <c r="B309" s="14"/>
      <c r="D309" s="14"/>
      <c r="E309" s="14"/>
      <c r="F309" s="14"/>
      <c r="G309" s="14"/>
      <c r="H309" s="14"/>
      <c r="I309" s="14"/>
      <c r="J309" s="14"/>
      <c r="K309" s="14"/>
      <c r="M309" s="14"/>
    </row>
    <row r="310" spans="2:13" ht="12.75" customHeight="1" x14ac:dyDescent="0.25">
      <c r="B310" s="14"/>
      <c r="D310" s="14"/>
      <c r="E310" s="14"/>
      <c r="F310" s="14"/>
      <c r="G310" s="14"/>
      <c r="H310" s="14"/>
      <c r="I310" s="14"/>
      <c r="J310" s="14"/>
      <c r="K310" s="14"/>
      <c r="M310" s="14"/>
    </row>
    <row r="311" spans="2:13" ht="12.75" customHeight="1" x14ac:dyDescent="0.25">
      <c r="B311" s="14"/>
      <c r="D311" s="14"/>
      <c r="E311" s="14"/>
      <c r="F311" s="14"/>
      <c r="G311" s="14"/>
      <c r="H311" s="14"/>
      <c r="I311" s="14"/>
      <c r="J311" s="14"/>
      <c r="K311" s="14"/>
      <c r="M311" s="14"/>
    </row>
    <row r="312" spans="2:13" ht="12.75" customHeight="1" x14ac:dyDescent="0.25">
      <c r="B312" s="14"/>
      <c r="D312" s="14"/>
      <c r="E312" s="14"/>
      <c r="F312" s="14"/>
      <c r="G312" s="14"/>
      <c r="H312" s="14"/>
      <c r="I312" s="14"/>
      <c r="J312" s="14"/>
      <c r="K312" s="14"/>
      <c r="M312" s="14"/>
    </row>
    <row r="313" spans="2:13" ht="12.75" customHeight="1" x14ac:dyDescent="0.25">
      <c r="B313" s="14"/>
      <c r="D313" s="14"/>
      <c r="E313" s="14"/>
      <c r="F313" s="14"/>
      <c r="G313" s="14"/>
      <c r="H313" s="14"/>
      <c r="I313" s="14"/>
      <c r="J313" s="14"/>
      <c r="K313" s="14"/>
      <c r="M313" s="14"/>
    </row>
    <row r="314" spans="2:13" ht="12.75" customHeight="1" x14ac:dyDescent="0.25">
      <c r="B314" s="14"/>
      <c r="D314" s="14"/>
      <c r="E314" s="14"/>
      <c r="F314" s="14"/>
      <c r="G314" s="14"/>
      <c r="H314" s="14"/>
      <c r="I314" s="14"/>
      <c r="J314" s="14"/>
      <c r="K314" s="14"/>
      <c r="M314" s="14"/>
    </row>
    <row r="315" spans="2:13" ht="12.75" customHeight="1" x14ac:dyDescent="0.25">
      <c r="B315" s="14"/>
      <c r="D315" s="14"/>
      <c r="E315" s="14"/>
      <c r="F315" s="14"/>
      <c r="G315" s="14"/>
      <c r="H315" s="14"/>
      <c r="I315" s="14"/>
      <c r="J315" s="14"/>
      <c r="K315" s="14"/>
      <c r="M315" s="14"/>
    </row>
    <row r="316" spans="2:13" ht="12.75" customHeight="1" x14ac:dyDescent="0.25">
      <c r="B316" s="14"/>
      <c r="D316" s="14"/>
      <c r="E316" s="14"/>
      <c r="F316" s="14"/>
      <c r="G316" s="14"/>
      <c r="H316" s="14"/>
      <c r="I316" s="14"/>
      <c r="J316" s="14"/>
      <c r="K316" s="14"/>
      <c r="M316" s="14"/>
    </row>
    <row r="317" spans="2:13" ht="12.75" customHeight="1" x14ac:dyDescent="0.25">
      <c r="B317" s="14"/>
      <c r="D317" s="14"/>
      <c r="E317" s="14"/>
      <c r="F317" s="14"/>
      <c r="G317" s="14"/>
      <c r="H317" s="14"/>
      <c r="I317" s="14"/>
      <c r="J317" s="14"/>
      <c r="K317" s="14"/>
      <c r="M317" s="14"/>
    </row>
    <row r="318" spans="2:13" ht="12.75" customHeight="1" x14ac:dyDescent="0.25">
      <c r="B318" s="14"/>
      <c r="D318" s="14"/>
      <c r="E318" s="14"/>
      <c r="F318" s="14"/>
      <c r="G318" s="14"/>
      <c r="H318" s="14"/>
      <c r="I318" s="14"/>
      <c r="J318" s="14"/>
      <c r="K318" s="14"/>
      <c r="M318" s="14"/>
    </row>
    <row r="319" spans="2:13" ht="12.75" customHeight="1" x14ac:dyDescent="0.25">
      <c r="B319" s="14"/>
      <c r="D319" s="14"/>
      <c r="E319" s="14"/>
      <c r="F319" s="14"/>
      <c r="G319" s="14"/>
      <c r="H319" s="14"/>
      <c r="I319" s="14"/>
      <c r="J319" s="14"/>
      <c r="K319" s="14"/>
      <c r="M319" s="14"/>
    </row>
    <row r="320" spans="2:13" ht="12.75" customHeight="1" x14ac:dyDescent="0.25">
      <c r="B320" s="14"/>
      <c r="D320" s="14"/>
      <c r="E320" s="14"/>
      <c r="F320" s="14"/>
      <c r="G320" s="14"/>
      <c r="H320" s="14"/>
      <c r="I320" s="14"/>
      <c r="J320" s="14"/>
      <c r="K320" s="14"/>
      <c r="M320" s="14"/>
    </row>
    <row r="321" spans="2:13" ht="12.75" customHeight="1" x14ac:dyDescent="0.25">
      <c r="B321" s="14"/>
      <c r="D321" s="14"/>
      <c r="E321" s="14"/>
      <c r="F321" s="14"/>
      <c r="G321" s="14"/>
      <c r="H321" s="14"/>
      <c r="I321" s="14"/>
      <c r="J321" s="14"/>
      <c r="K321" s="14"/>
      <c r="M321" s="14"/>
    </row>
    <row r="322" spans="2:13" ht="12.75" customHeight="1" x14ac:dyDescent="0.25">
      <c r="B322" s="14"/>
      <c r="D322" s="14"/>
      <c r="E322" s="14"/>
      <c r="F322" s="14"/>
      <c r="G322" s="14"/>
      <c r="H322" s="14"/>
      <c r="I322" s="14"/>
      <c r="J322" s="14"/>
      <c r="K322" s="14"/>
      <c r="M322" s="14"/>
    </row>
    <row r="323" spans="2:13" ht="12.75" customHeight="1" x14ac:dyDescent="0.25">
      <c r="B323" s="14"/>
      <c r="D323" s="14"/>
      <c r="E323" s="14"/>
      <c r="F323" s="14"/>
      <c r="G323" s="14"/>
      <c r="H323" s="14"/>
      <c r="I323" s="14"/>
      <c r="J323" s="14"/>
      <c r="K323" s="14"/>
      <c r="M323" s="14"/>
    </row>
    <row r="324" spans="2:13" ht="12.75" customHeight="1" x14ac:dyDescent="0.25">
      <c r="B324" s="14"/>
      <c r="D324" s="14"/>
      <c r="E324" s="14"/>
      <c r="F324" s="14"/>
      <c r="G324" s="14"/>
      <c r="H324" s="14"/>
      <c r="I324" s="14"/>
      <c r="J324" s="14"/>
      <c r="K324" s="14"/>
      <c r="M324" s="14"/>
    </row>
    <row r="325" spans="2:13" ht="12.75" customHeight="1" x14ac:dyDescent="0.25">
      <c r="B325" s="14"/>
      <c r="D325" s="14"/>
      <c r="E325" s="14"/>
      <c r="F325" s="14"/>
      <c r="G325" s="14"/>
      <c r="H325" s="14"/>
      <c r="I325" s="14"/>
      <c r="J325" s="14"/>
      <c r="K325" s="14"/>
      <c r="M325" s="14"/>
    </row>
    <row r="326" spans="2:13" ht="12.75" customHeight="1" x14ac:dyDescent="0.25">
      <c r="B326" s="14"/>
      <c r="D326" s="14"/>
      <c r="E326" s="14"/>
      <c r="F326" s="14"/>
      <c r="G326" s="14"/>
      <c r="H326" s="14"/>
      <c r="I326" s="14"/>
      <c r="J326" s="14"/>
      <c r="K326" s="14"/>
      <c r="M326" s="14"/>
    </row>
    <row r="327" spans="2:13" ht="12.75" customHeight="1" x14ac:dyDescent="0.25">
      <c r="B327" s="14"/>
      <c r="D327" s="14"/>
      <c r="E327" s="14"/>
      <c r="F327" s="14"/>
      <c r="G327" s="14"/>
      <c r="H327" s="14"/>
      <c r="I327" s="14"/>
      <c r="J327" s="14"/>
      <c r="K327" s="14"/>
      <c r="M327" s="14"/>
    </row>
    <row r="328" spans="2:13" ht="12.75" customHeight="1" x14ac:dyDescent="0.25">
      <c r="B328" s="14"/>
      <c r="D328" s="14"/>
      <c r="E328" s="14"/>
      <c r="F328" s="14"/>
      <c r="G328" s="14"/>
      <c r="H328" s="14"/>
      <c r="I328" s="14"/>
      <c r="J328" s="14"/>
      <c r="K328" s="14"/>
      <c r="M328" s="14"/>
    </row>
    <row r="329" spans="2:13" ht="12.75" customHeight="1" x14ac:dyDescent="0.25">
      <c r="B329" s="14"/>
      <c r="D329" s="14"/>
      <c r="E329" s="14"/>
      <c r="F329" s="14"/>
      <c r="G329" s="14"/>
      <c r="H329" s="14"/>
      <c r="I329" s="14"/>
      <c r="J329" s="14"/>
      <c r="K329" s="14"/>
      <c r="M329" s="14"/>
    </row>
    <row r="330" spans="2:13" ht="12.75" customHeight="1" x14ac:dyDescent="0.25">
      <c r="B330" s="14"/>
      <c r="D330" s="14"/>
      <c r="E330" s="14"/>
      <c r="F330" s="14"/>
      <c r="G330" s="14"/>
      <c r="H330" s="14"/>
      <c r="I330" s="14"/>
      <c r="J330" s="14"/>
      <c r="K330" s="14"/>
      <c r="M330" s="14"/>
    </row>
    <row r="331" spans="2:13" ht="12.75" customHeight="1" x14ac:dyDescent="0.25">
      <c r="B331" s="14"/>
      <c r="D331" s="14"/>
      <c r="E331" s="14"/>
      <c r="F331" s="14"/>
      <c r="G331" s="14"/>
      <c r="H331" s="14"/>
      <c r="I331" s="14"/>
      <c r="J331" s="14"/>
      <c r="K331" s="14"/>
      <c r="M331" s="14"/>
    </row>
    <row r="332" spans="2:13" ht="12.75" customHeight="1" x14ac:dyDescent="0.25">
      <c r="B332" s="14"/>
      <c r="D332" s="14"/>
      <c r="E332" s="14"/>
      <c r="F332" s="14"/>
      <c r="G332" s="14"/>
      <c r="H332" s="14"/>
      <c r="I332" s="14"/>
      <c r="J332" s="14"/>
      <c r="K332" s="14"/>
      <c r="M332" s="14"/>
    </row>
    <row r="333" spans="2:13" ht="12.75" customHeight="1" x14ac:dyDescent="0.25">
      <c r="B333" s="14"/>
      <c r="D333" s="14"/>
      <c r="E333" s="14"/>
      <c r="F333" s="14"/>
      <c r="G333" s="14"/>
      <c r="H333" s="14"/>
      <c r="I333" s="14"/>
      <c r="J333" s="14"/>
      <c r="K333" s="14"/>
      <c r="M333" s="14"/>
    </row>
    <row r="334" spans="2:13" ht="12.75" customHeight="1" x14ac:dyDescent="0.25">
      <c r="B334" s="14"/>
      <c r="D334" s="14"/>
      <c r="E334" s="14"/>
      <c r="F334" s="14"/>
      <c r="G334" s="14"/>
      <c r="H334" s="14"/>
      <c r="I334" s="14"/>
      <c r="J334" s="14"/>
      <c r="K334" s="14"/>
      <c r="M334" s="14"/>
    </row>
    <row r="335" spans="2:13" ht="12.75" customHeight="1" x14ac:dyDescent="0.25">
      <c r="B335" s="14"/>
      <c r="D335" s="14"/>
      <c r="E335" s="14"/>
      <c r="F335" s="14"/>
      <c r="G335" s="14"/>
      <c r="H335" s="14"/>
      <c r="I335" s="14"/>
      <c r="J335" s="14"/>
      <c r="K335" s="14"/>
      <c r="M335" s="14"/>
    </row>
    <row r="336" spans="2:13" ht="12.75" customHeight="1" x14ac:dyDescent="0.25">
      <c r="B336" s="14"/>
      <c r="D336" s="14"/>
      <c r="E336" s="14"/>
      <c r="F336" s="14"/>
      <c r="G336" s="14"/>
      <c r="H336" s="14"/>
      <c r="I336" s="14"/>
      <c r="J336" s="14"/>
      <c r="K336" s="14"/>
      <c r="M336" s="14"/>
    </row>
    <row r="337" spans="2:13" ht="12.75" customHeight="1" x14ac:dyDescent="0.25">
      <c r="B337" s="14"/>
      <c r="D337" s="14"/>
      <c r="E337" s="14"/>
      <c r="F337" s="14"/>
      <c r="G337" s="14"/>
      <c r="H337" s="14"/>
      <c r="I337" s="14"/>
      <c r="J337" s="14"/>
      <c r="K337" s="14"/>
      <c r="M337" s="14"/>
    </row>
    <row r="338" spans="2:13" ht="12.75" customHeight="1" x14ac:dyDescent="0.25">
      <c r="B338" s="14"/>
      <c r="D338" s="14"/>
      <c r="E338" s="14"/>
      <c r="F338" s="14"/>
      <c r="G338" s="14"/>
      <c r="H338" s="14"/>
      <c r="I338" s="14"/>
      <c r="J338" s="14"/>
      <c r="K338" s="14"/>
      <c r="M338" s="14"/>
    </row>
    <row r="339" spans="2:13" ht="12.75" customHeight="1" x14ac:dyDescent="0.25">
      <c r="B339" s="14"/>
      <c r="D339" s="14"/>
      <c r="E339" s="14"/>
      <c r="F339" s="14"/>
      <c r="G339" s="14"/>
      <c r="H339" s="14"/>
      <c r="I339" s="14"/>
      <c r="J339" s="14"/>
      <c r="K339" s="14"/>
      <c r="M339" s="14"/>
    </row>
    <row r="340" spans="2:13" ht="12.75" customHeight="1" x14ac:dyDescent="0.25">
      <c r="B340" s="14"/>
      <c r="D340" s="14"/>
      <c r="E340" s="14"/>
      <c r="F340" s="14"/>
      <c r="G340" s="14"/>
      <c r="H340" s="14"/>
      <c r="I340" s="14"/>
      <c r="J340" s="14"/>
      <c r="K340" s="14"/>
      <c r="M340" s="14"/>
    </row>
    <row r="341" spans="2:13" ht="12.75" customHeight="1" x14ac:dyDescent="0.25">
      <c r="B341" s="14"/>
      <c r="D341" s="14"/>
      <c r="E341" s="14"/>
      <c r="F341" s="14"/>
      <c r="G341" s="14"/>
      <c r="H341" s="14"/>
      <c r="I341" s="14"/>
      <c r="J341" s="14"/>
      <c r="K341" s="14"/>
      <c r="M341" s="14"/>
    </row>
    <row r="342" spans="2:13" ht="12.75" customHeight="1" x14ac:dyDescent="0.25">
      <c r="B342" s="14"/>
      <c r="D342" s="14"/>
      <c r="E342" s="14"/>
      <c r="F342" s="14"/>
      <c r="G342" s="14"/>
      <c r="H342" s="14"/>
      <c r="I342" s="14"/>
      <c r="J342" s="14"/>
      <c r="K342" s="14"/>
      <c r="M342" s="14"/>
    </row>
    <row r="343" spans="2:13" ht="12.75" customHeight="1" x14ac:dyDescent="0.25">
      <c r="B343" s="14"/>
      <c r="D343" s="14"/>
      <c r="E343" s="14"/>
      <c r="F343" s="14"/>
      <c r="G343" s="14"/>
      <c r="H343" s="14"/>
      <c r="I343" s="14"/>
      <c r="J343" s="14"/>
      <c r="K343" s="14"/>
      <c r="M343" s="14"/>
    </row>
    <row r="344" spans="2:13" ht="12.75" customHeight="1" x14ac:dyDescent="0.25">
      <c r="B344" s="14"/>
      <c r="D344" s="14"/>
      <c r="E344" s="14"/>
      <c r="F344" s="14"/>
      <c r="G344" s="14"/>
      <c r="H344" s="14"/>
      <c r="I344" s="14"/>
      <c r="J344" s="14"/>
      <c r="K344" s="14"/>
      <c r="M344" s="14"/>
    </row>
    <row r="345" spans="2:13" ht="12.75" customHeight="1" x14ac:dyDescent="0.25">
      <c r="B345" s="14"/>
      <c r="D345" s="14"/>
      <c r="E345" s="14"/>
      <c r="F345" s="14"/>
      <c r="G345" s="14"/>
      <c r="H345" s="14"/>
      <c r="I345" s="14"/>
      <c r="J345" s="14"/>
      <c r="K345" s="14"/>
      <c r="M345" s="14"/>
    </row>
    <row r="346" spans="2:13" ht="12.75" customHeight="1" x14ac:dyDescent="0.25">
      <c r="B346" s="14"/>
      <c r="D346" s="14"/>
      <c r="E346" s="14"/>
      <c r="F346" s="14"/>
      <c r="G346" s="14"/>
      <c r="H346" s="14"/>
      <c r="I346" s="14"/>
      <c r="J346" s="14"/>
      <c r="K346" s="14"/>
      <c r="M346" s="14"/>
    </row>
    <row r="347" spans="2:13" ht="12.75" customHeight="1" x14ac:dyDescent="0.25">
      <c r="B347" s="14"/>
      <c r="D347" s="14"/>
      <c r="E347" s="14"/>
      <c r="F347" s="14"/>
      <c r="G347" s="14"/>
      <c r="H347" s="14"/>
      <c r="I347" s="14"/>
      <c r="J347" s="14"/>
      <c r="K347" s="14"/>
      <c r="M347" s="14"/>
    </row>
    <row r="348" spans="2:13" ht="12.75" customHeight="1" x14ac:dyDescent="0.25">
      <c r="B348" s="14"/>
      <c r="D348" s="14"/>
      <c r="E348" s="14"/>
      <c r="F348" s="14"/>
      <c r="G348" s="14"/>
      <c r="H348" s="14"/>
      <c r="I348" s="14"/>
      <c r="J348" s="14"/>
      <c r="K348" s="14"/>
      <c r="M348" s="14"/>
    </row>
    <row r="349" spans="2:13" ht="12.75" customHeight="1" x14ac:dyDescent="0.25">
      <c r="B349" s="14"/>
      <c r="D349" s="14"/>
      <c r="E349" s="14"/>
      <c r="F349" s="14"/>
      <c r="G349" s="14"/>
      <c r="H349" s="14"/>
      <c r="I349" s="14"/>
      <c r="J349" s="14"/>
      <c r="K349" s="14"/>
      <c r="M349" s="14"/>
    </row>
    <row r="350" spans="2:13" ht="12.75" customHeight="1" x14ac:dyDescent="0.25">
      <c r="B350" s="14"/>
      <c r="D350" s="14"/>
      <c r="E350" s="14"/>
      <c r="F350" s="14"/>
      <c r="G350" s="14"/>
      <c r="H350" s="14"/>
      <c r="I350" s="14"/>
      <c r="J350" s="14"/>
      <c r="K350" s="14"/>
      <c r="M350" s="14"/>
    </row>
    <row r="351" spans="2:13" ht="12.75" customHeight="1" x14ac:dyDescent="0.25">
      <c r="B351" s="14"/>
      <c r="D351" s="14"/>
      <c r="E351" s="14"/>
      <c r="F351" s="14"/>
      <c r="G351" s="14"/>
      <c r="H351" s="14"/>
      <c r="I351" s="14"/>
      <c r="J351" s="14"/>
      <c r="K351" s="14"/>
      <c r="M351" s="14"/>
    </row>
    <row r="352" spans="2:13" ht="12.75" customHeight="1" x14ac:dyDescent="0.25">
      <c r="B352" s="14"/>
      <c r="D352" s="14"/>
      <c r="E352" s="14"/>
      <c r="F352" s="14"/>
      <c r="G352" s="14"/>
      <c r="H352" s="14"/>
      <c r="I352" s="14"/>
      <c r="J352" s="14"/>
      <c r="K352" s="14"/>
      <c r="M352" s="14"/>
    </row>
    <row r="353" spans="2:13" ht="12.75" customHeight="1" x14ac:dyDescent="0.25">
      <c r="B353" s="14"/>
      <c r="D353" s="14"/>
      <c r="E353" s="14"/>
      <c r="F353" s="14"/>
      <c r="G353" s="14"/>
      <c r="H353" s="14"/>
      <c r="I353" s="14"/>
      <c r="J353" s="14"/>
      <c r="K353" s="14"/>
      <c r="M353" s="14"/>
    </row>
    <row r="354" spans="2:13" ht="12.75" customHeight="1" x14ac:dyDescent="0.25">
      <c r="B354" s="14"/>
      <c r="D354" s="14"/>
      <c r="E354" s="14"/>
      <c r="F354" s="14"/>
      <c r="G354" s="14"/>
      <c r="H354" s="14"/>
      <c r="I354" s="14"/>
      <c r="J354" s="14"/>
      <c r="K354" s="14"/>
      <c r="M354" s="14"/>
    </row>
    <row r="355" spans="2:13" ht="12.75" customHeight="1" x14ac:dyDescent="0.25">
      <c r="B355" s="14"/>
      <c r="D355" s="14"/>
      <c r="E355" s="14"/>
      <c r="F355" s="14"/>
      <c r="G355" s="14"/>
      <c r="H355" s="14"/>
      <c r="I355" s="14"/>
      <c r="J355" s="14"/>
      <c r="K355" s="14"/>
      <c r="M355" s="14"/>
    </row>
    <row r="356" spans="2:13" ht="12.75" customHeight="1" x14ac:dyDescent="0.25">
      <c r="B356" s="14"/>
      <c r="D356" s="14"/>
      <c r="E356" s="14"/>
      <c r="F356" s="14"/>
      <c r="G356" s="14"/>
      <c r="H356" s="14"/>
      <c r="I356" s="14"/>
      <c r="J356" s="14"/>
      <c r="K356" s="14"/>
      <c r="M356" s="14"/>
    </row>
    <row r="357" spans="2:13" ht="12.75" customHeight="1" x14ac:dyDescent="0.25">
      <c r="B357" s="14"/>
      <c r="D357" s="14"/>
      <c r="E357" s="14"/>
      <c r="F357" s="14"/>
      <c r="G357" s="14"/>
      <c r="H357" s="14"/>
      <c r="I357" s="14"/>
      <c r="J357" s="14"/>
      <c r="K357" s="14"/>
      <c r="M357" s="14"/>
    </row>
    <row r="358" spans="2:13" ht="12.75" customHeight="1" x14ac:dyDescent="0.25">
      <c r="B358" s="14"/>
      <c r="D358" s="14"/>
      <c r="E358" s="14"/>
      <c r="F358" s="14"/>
      <c r="G358" s="14"/>
      <c r="H358" s="14"/>
      <c r="I358" s="14"/>
      <c r="J358" s="14"/>
      <c r="K358" s="14"/>
      <c r="M358" s="14"/>
    </row>
    <row r="359" spans="2:13" ht="12.75" customHeight="1" x14ac:dyDescent="0.25">
      <c r="B359" s="14"/>
      <c r="D359" s="14"/>
      <c r="E359" s="14"/>
      <c r="F359" s="14"/>
      <c r="G359" s="14"/>
      <c r="H359" s="14"/>
      <c r="I359" s="14"/>
      <c r="J359" s="14"/>
      <c r="K359" s="14"/>
      <c r="M359" s="14"/>
    </row>
    <row r="360" spans="2:13" ht="12.75" customHeight="1" x14ac:dyDescent="0.25">
      <c r="B360" s="14"/>
      <c r="D360" s="14"/>
      <c r="E360" s="14"/>
      <c r="F360" s="14"/>
      <c r="G360" s="14"/>
      <c r="H360" s="14"/>
      <c r="I360" s="14"/>
      <c r="J360" s="14"/>
      <c r="K360" s="14"/>
      <c r="M360" s="14"/>
    </row>
    <row r="361" spans="2:13" ht="12.75" customHeight="1" x14ac:dyDescent="0.25">
      <c r="B361" s="14"/>
      <c r="D361" s="14"/>
      <c r="E361" s="14"/>
      <c r="F361" s="14"/>
      <c r="G361" s="14"/>
      <c r="H361" s="14"/>
      <c r="I361" s="14"/>
      <c r="J361" s="14"/>
      <c r="K361" s="14"/>
      <c r="M361" s="14"/>
    </row>
    <row r="362" spans="2:13" ht="12.75" customHeight="1" x14ac:dyDescent="0.25">
      <c r="B362" s="14"/>
      <c r="D362" s="14"/>
      <c r="E362" s="14"/>
      <c r="F362" s="14"/>
      <c r="G362" s="14"/>
      <c r="H362" s="14"/>
      <c r="I362" s="14"/>
      <c r="J362" s="14"/>
      <c r="K362" s="14"/>
      <c r="M362" s="14"/>
    </row>
    <row r="363" spans="2:13" ht="12.75" customHeight="1" x14ac:dyDescent="0.25">
      <c r="B363" s="14"/>
      <c r="D363" s="14"/>
      <c r="E363" s="14"/>
      <c r="F363" s="14"/>
      <c r="G363" s="14"/>
      <c r="H363" s="14"/>
      <c r="I363" s="14"/>
      <c r="J363" s="14"/>
      <c r="K363" s="14"/>
      <c r="M363" s="14"/>
    </row>
    <row r="364" spans="2:13" ht="12.75" customHeight="1" x14ac:dyDescent="0.25">
      <c r="B364" s="14"/>
      <c r="D364" s="14"/>
      <c r="E364" s="14"/>
      <c r="F364" s="14"/>
      <c r="G364" s="14"/>
      <c r="H364" s="14"/>
      <c r="I364" s="14"/>
      <c r="J364" s="14"/>
      <c r="K364" s="14"/>
      <c r="M364" s="14"/>
    </row>
    <row r="365" spans="2:13" ht="12.75" customHeight="1" x14ac:dyDescent="0.25">
      <c r="B365" s="14"/>
      <c r="D365" s="14"/>
      <c r="E365" s="14"/>
      <c r="F365" s="14"/>
      <c r="G365" s="14"/>
      <c r="H365" s="14"/>
      <c r="I365" s="14"/>
      <c r="J365" s="14"/>
      <c r="K365" s="14"/>
      <c r="M365" s="14"/>
    </row>
    <row r="366" spans="2:13" ht="12.75" customHeight="1" x14ac:dyDescent="0.25">
      <c r="B366" s="14"/>
      <c r="D366" s="14"/>
      <c r="E366" s="14"/>
      <c r="F366" s="14"/>
      <c r="G366" s="14"/>
      <c r="H366" s="14"/>
      <c r="I366" s="14"/>
      <c r="J366" s="14"/>
      <c r="K366" s="14"/>
      <c r="M366" s="14"/>
    </row>
    <row r="367" spans="2:13" ht="12.75" customHeight="1" x14ac:dyDescent="0.25">
      <c r="B367" s="14"/>
      <c r="D367" s="14"/>
      <c r="E367" s="14"/>
      <c r="F367" s="14"/>
      <c r="G367" s="14"/>
      <c r="H367" s="14"/>
      <c r="I367" s="14"/>
      <c r="J367" s="14"/>
      <c r="K367" s="14"/>
      <c r="M367" s="14"/>
    </row>
    <row r="368" spans="2:13" ht="12.75" customHeight="1" x14ac:dyDescent="0.25">
      <c r="B368" s="14"/>
      <c r="D368" s="14"/>
      <c r="E368" s="14"/>
      <c r="F368" s="14"/>
      <c r="G368" s="14"/>
      <c r="H368" s="14"/>
      <c r="I368" s="14"/>
      <c r="J368" s="14"/>
      <c r="K368" s="14"/>
      <c r="M368" s="14"/>
    </row>
    <row r="369" spans="2:13" ht="12.75" customHeight="1" x14ac:dyDescent="0.25">
      <c r="B369" s="14"/>
      <c r="D369" s="14"/>
      <c r="E369" s="14"/>
      <c r="F369" s="14"/>
      <c r="G369" s="14"/>
      <c r="H369" s="14"/>
      <c r="I369" s="14"/>
      <c r="J369" s="14"/>
      <c r="K369" s="14"/>
      <c r="M369" s="14"/>
    </row>
    <row r="370" spans="2:13" ht="12.75" customHeight="1" x14ac:dyDescent="0.25">
      <c r="B370" s="14"/>
      <c r="D370" s="14"/>
      <c r="E370" s="14"/>
      <c r="F370" s="14"/>
      <c r="G370" s="14"/>
      <c r="H370" s="14"/>
      <c r="I370" s="14"/>
      <c r="J370" s="14"/>
      <c r="K370" s="14"/>
      <c r="M370" s="14"/>
    </row>
    <row r="371" spans="2:13" ht="12.75" customHeight="1" x14ac:dyDescent="0.25">
      <c r="B371" s="14"/>
      <c r="D371" s="14"/>
      <c r="E371" s="14"/>
      <c r="F371" s="14"/>
      <c r="G371" s="14"/>
      <c r="H371" s="14"/>
      <c r="I371" s="14"/>
      <c r="J371" s="14"/>
      <c r="K371" s="14"/>
      <c r="M371" s="14"/>
    </row>
    <row r="372" spans="2:13" ht="12.75" customHeight="1" x14ac:dyDescent="0.25">
      <c r="B372" s="14"/>
      <c r="D372" s="14"/>
      <c r="E372" s="14"/>
      <c r="F372" s="14"/>
      <c r="G372" s="14"/>
      <c r="H372" s="14"/>
      <c r="I372" s="14"/>
      <c r="J372" s="14"/>
      <c r="K372" s="14"/>
      <c r="M372" s="14"/>
    </row>
    <row r="373" spans="2:13" ht="12.75" customHeight="1" x14ac:dyDescent="0.25">
      <c r="B373" s="14"/>
      <c r="D373" s="14"/>
      <c r="E373" s="14"/>
      <c r="F373" s="14"/>
      <c r="G373" s="14"/>
      <c r="H373" s="14"/>
      <c r="I373" s="14"/>
      <c r="J373" s="14"/>
      <c r="K373" s="14"/>
      <c r="M373" s="14"/>
    </row>
    <row r="374" spans="2:13" ht="12.75" customHeight="1" x14ac:dyDescent="0.25">
      <c r="B374" s="14"/>
      <c r="D374" s="14"/>
      <c r="E374" s="14"/>
      <c r="F374" s="14"/>
      <c r="G374" s="14"/>
      <c r="H374" s="14"/>
      <c r="I374" s="14"/>
      <c r="J374" s="14"/>
      <c r="K374" s="14"/>
      <c r="M374" s="14"/>
    </row>
    <row r="375" spans="2:13" ht="12.75" customHeight="1" x14ac:dyDescent="0.25">
      <c r="B375" s="14"/>
      <c r="D375" s="14"/>
      <c r="E375" s="14"/>
      <c r="F375" s="14"/>
      <c r="G375" s="14"/>
      <c r="H375" s="14"/>
      <c r="I375" s="14"/>
      <c r="J375" s="14"/>
      <c r="K375" s="14"/>
      <c r="M375" s="14"/>
    </row>
    <row r="376" spans="2:13" ht="12.75" customHeight="1" x14ac:dyDescent="0.25">
      <c r="B376" s="14"/>
      <c r="D376" s="14"/>
      <c r="E376" s="14"/>
      <c r="F376" s="14"/>
      <c r="G376" s="14"/>
      <c r="H376" s="14"/>
      <c r="I376" s="14"/>
      <c r="J376" s="14"/>
      <c r="K376" s="14"/>
      <c r="M376" s="14"/>
    </row>
    <row r="377" spans="2:13" ht="12.75" customHeight="1" x14ac:dyDescent="0.25">
      <c r="B377" s="14"/>
      <c r="D377" s="14"/>
      <c r="E377" s="14"/>
      <c r="F377" s="14"/>
      <c r="G377" s="14"/>
      <c r="H377" s="14"/>
      <c r="I377" s="14"/>
      <c r="J377" s="14"/>
      <c r="K377" s="14"/>
      <c r="M377" s="14"/>
    </row>
    <row r="378" spans="2:13" ht="12.75" customHeight="1" x14ac:dyDescent="0.25">
      <c r="B378" s="14"/>
      <c r="D378" s="14"/>
      <c r="E378" s="14"/>
      <c r="F378" s="14"/>
      <c r="G378" s="14"/>
      <c r="H378" s="14"/>
      <c r="I378" s="14"/>
      <c r="J378" s="14"/>
      <c r="K378" s="14"/>
      <c r="M378" s="14"/>
    </row>
    <row r="379" spans="2:13" ht="12.75" customHeight="1" x14ac:dyDescent="0.25">
      <c r="B379" s="14"/>
      <c r="D379" s="14"/>
      <c r="E379" s="14"/>
      <c r="F379" s="14"/>
      <c r="G379" s="14"/>
      <c r="H379" s="14"/>
      <c r="I379" s="14"/>
      <c r="J379" s="14"/>
      <c r="K379" s="14"/>
      <c r="M379" s="14"/>
    </row>
    <row r="380" spans="2:13" ht="12.75" customHeight="1" x14ac:dyDescent="0.25">
      <c r="B380" s="14"/>
      <c r="D380" s="14"/>
      <c r="E380" s="14"/>
      <c r="F380" s="14"/>
      <c r="G380" s="14"/>
      <c r="H380" s="14"/>
      <c r="I380" s="14"/>
      <c r="J380" s="14"/>
      <c r="K380" s="14"/>
      <c r="M380" s="14"/>
    </row>
    <row r="381" spans="2:13" ht="12.75" customHeight="1" x14ac:dyDescent="0.25">
      <c r="B381" s="14"/>
      <c r="D381" s="14"/>
      <c r="E381" s="14"/>
      <c r="F381" s="14"/>
      <c r="G381" s="14"/>
      <c r="H381" s="14"/>
      <c r="I381" s="14"/>
      <c r="J381" s="14"/>
      <c r="K381" s="14"/>
      <c r="M381" s="14"/>
    </row>
    <row r="382" spans="2:13" ht="12.75" customHeight="1" x14ac:dyDescent="0.25">
      <c r="B382" s="14"/>
      <c r="D382" s="14"/>
      <c r="E382" s="14"/>
      <c r="F382" s="14"/>
      <c r="G382" s="14"/>
      <c r="H382" s="14"/>
      <c r="I382" s="14"/>
      <c r="J382" s="14"/>
      <c r="K382" s="14"/>
      <c r="M382" s="14"/>
    </row>
    <row r="383" spans="2:13" ht="12.75" customHeight="1" x14ac:dyDescent="0.25">
      <c r="B383" s="14"/>
      <c r="D383" s="14"/>
      <c r="E383" s="14"/>
      <c r="F383" s="14"/>
      <c r="G383" s="14"/>
      <c r="H383" s="14"/>
      <c r="I383" s="14"/>
      <c r="J383" s="14"/>
      <c r="K383" s="14"/>
      <c r="M383" s="14"/>
    </row>
    <row r="384" spans="2:13" ht="12.75" customHeight="1" x14ac:dyDescent="0.25">
      <c r="B384" s="14"/>
      <c r="D384" s="14"/>
      <c r="E384" s="14"/>
      <c r="F384" s="14"/>
      <c r="G384" s="14"/>
      <c r="H384" s="14"/>
      <c r="I384" s="14"/>
      <c r="J384" s="14"/>
      <c r="K384" s="14"/>
      <c r="M384" s="14"/>
    </row>
    <row r="385" spans="2:13" ht="12.75" customHeight="1" x14ac:dyDescent="0.25">
      <c r="B385" s="14"/>
      <c r="D385" s="14"/>
      <c r="E385" s="14"/>
      <c r="F385" s="14"/>
      <c r="G385" s="14"/>
      <c r="H385" s="14"/>
      <c r="I385" s="14"/>
      <c r="J385" s="14"/>
      <c r="K385" s="14"/>
      <c r="M385" s="14"/>
    </row>
    <row r="386" spans="2:13" ht="12.75" customHeight="1" x14ac:dyDescent="0.25">
      <c r="B386" s="14"/>
      <c r="D386" s="14"/>
      <c r="E386" s="14"/>
      <c r="F386" s="14"/>
      <c r="G386" s="14"/>
      <c r="H386" s="14"/>
      <c r="I386" s="14"/>
      <c r="J386" s="14"/>
      <c r="K386" s="14"/>
      <c r="M386" s="14"/>
    </row>
    <row r="387" spans="2:13" ht="12.75" customHeight="1" x14ac:dyDescent="0.25">
      <c r="B387" s="14"/>
      <c r="D387" s="14"/>
      <c r="E387" s="14"/>
      <c r="F387" s="14"/>
      <c r="G387" s="14"/>
      <c r="H387" s="14"/>
      <c r="I387" s="14"/>
      <c r="J387" s="14"/>
      <c r="K387" s="14"/>
      <c r="M387" s="14"/>
    </row>
    <row r="388" spans="2:13" ht="12.75" customHeight="1" x14ac:dyDescent="0.25">
      <c r="B388" s="14"/>
      <c r="D388" s="14"/>
      <c r="E388" s="14"/>
      <c r="F388" s="14"/>
      <c r="G388" s="14"/>
      <c r="H388" s="14"/>
      <c r="I388" s="14"/>
      <c r="J388" s="14"/>
      <c r="K388" s="14"/>
      <c r="M388" s="14"/>
    </row>
    <row r="389" spans="2:13" ht="12.75" customHeight="1" x14ac:dyDescent="0.25">
      <c r="B389" s="14"/>
      <c r="D389" s="14"/>
      <c r="E389" s="14"/>
      <c r="F389" s="14"/>
      <c r="G389" s="14"/>
      <c r="H389" s="14"/>
      <c r="I389" s="14"/>
      <c r="J389" s="14"/>
      <c r="K389" s="14"/>
      <c r="M389" s="14"/>
    </row>
    <row r="390" spans="2:13" ht="12.75" customHeight="1" x14ac:dyDescent="0.25">
      <c r="B390" s="14"/>
      <c r="D390" s="14"/>
      <c r="E390" s="14"/>
      <c r="F390" s="14"/>
      <c r="G390" s="14"/>
      <c r="H390" s="14"/>
      <c r="I390" s="14"/>
      <c r="J390" s="14"/>
      <c r="K390" s="14"/>
      <c r="M390" s="14"/>
    </row>
    <row r="391" spans="2:13" ht="12.75" customHeight="1" x14ac:dyDescent="0.25">
      <c r="B391" s="14"/>
      <c r="D391" s="14"/>
      <c r="E391" s="14"/>
      <c r="F391" s="14"/>
      <c r="G391" s="14"/>
      <c r="H391" s="14"/>
      <c r="I391" s="14"/>
      <c r="J391" s="14"/>
      <c r="K391" s="14"/>
      <c r="M391" s="14"/>
    </row>
    <row r="392" spans="2:13" ht="12.75" customHeight="1" x14ac:dyDescent="0.25">
      <c r="B392" s="14"/>
      <c r="D392" s="14"/>
      <c r="E392" s="14"/>
      <c r="F392" s="14"/>
      <c r="G392" s="14"/>
      <c r="H392" s="14"/>
      <c r="I392" s="14"/>
      <c r="J392" s="14"/>
      <c r="K392" s="14"/>
      <c r="M392" s="14"/>
    </row>
    <row r="393" spans="2:13" ht="12.75" customHeight="1" x14ac:dyDescent="0.25">
      <c r="B393" s="14"/>
      <c r="D393" s="14"/>
      <c r="E393" s="14"/>
      <c r="F393" s="14"/>
      <c r="G393" s="14"/>
      <c r="H393" s="14"/>
      <c r="I393" s="14"/>
      <c r="J393" s="14"/>
      <c r="K393" s="14"/>
      <c r="M393" s="14"/>
    </row>
    <row r="394" spans="2:13" ht="12.75" customHeight="1" x14ac:dyDescent="0.25">
      <c r="B394" s="14"/>
      <c r="D394" s="14"/>
      <c r="E394" s="14"/>
      <c r="F394" s="14"/>
      <c r="G394" s="14"/>
      <c r="H394" s="14"/>
      <c r="I394" s="14"/>
      <c r="J394" s="14"/>
      <c r="K394" s="14"/>
      <c r="M394" s="14"/>
    </row>
    <row r="395" spans="2:13" ht="12.75" customHeight="1" x14ac:dyDescent="0.25">
      <c r="B395" s="14"/>
      <c r="D395" s="14"/>
      <c r="E395" s="14"/>
      <c r="F395" s="14"/>
      <c r="G395" s="14"/>
      <c r="H395" s="14"/>
      <c r="I395" s="14"/>
      <c r="J395" s="14"/>
      <c r="K395" s="14"/>
      <c r="M395" s="14"/>
    </row>
    <row r="396" spans="2:13" ht="12.75" customHeight="1" x14ac:dyDescent="0.25">
      <c r="B396" s="14"/>
      <c r="D396" s="14"/>
      <c r="E396" s="14"/>
      <c r="F396" s="14"/>
      <c r="G396" s="14"/>
      <c r="H396" s="14"/>
      <c r="I396" s="14"/>
      <c r="J396" s="14"/>
      <c r="K396" s="14"/>
      <c r="M396" s="14"/>
    </row>
    <row r="397" spans="2:13" ht="12.75" customHeight="1" x14ac:dyDescent="0.25">
      <c r="B397" s="14"/>
      <c r="D397" s="14"/>
      <c r="E397" s="14"/>
      <c r="F397" s="14"/>
      <c r="G397" s="14"/>
      <c r="H397" s="14"/>
      <c r="I397" s="14"/>
      <c r="J397" s="14"/>
      <c r="K397" s="14"/>
      <c r="M397" s="14"/>
    </row>
    <row r="398" spans="2:13" ht="12.75" customHeight="1" x14ac:dyDescent="0.25">
      <c r="B398" s="14"/>
      <c r="D398" s="14"/>
      <c r="E398" s="14"/>
      <c r="F398" s="14"/>
      <c r="G398" s="14"/>
      <c r="H398" s="14"/>
      <c r="I398" s="14"/>
      <c r="J398" s="14"/>
      <c r="K398" s="14"/>
      <c r="M398" s="14"/>
    </row>
    <row r="399" spans="2:13" ht="12.75" customHeight="1" x14ac:dyDescent="0.25">
      <c r="B399" s="14"/>
      <c r="D399" s="14"/>
      <c r="E399" s="14"/>
      <c r="F399" s="14"/>
      <c r="G399" s="14"/>
      <c r="H399" s="14"/>
      <c r="I399" s="14"/>
      <c r="J399" s="14"/>
      <c r="K399" s="14"/>
      <c r="M399" s="14"/>
    </row>
    <row r="400" spans="2:13" ht="12.75" customHeight="1" x14ac:dyDescent="0.25">
      <c r="B400" s="14"/>
      <c r="D400" s="14"/>
      <c r="E400" s="14"/>
      <c r="F400" s="14"/>
      <c r="G400" s="14"/>
      <c r="H400" s="14"/>
      <c r="I400" s="14"/>
      <c r="J400" s="14"/>
      <c r="K400" s="14"/>
      <c r="M400" s="14"/>
    </row>
    <row r="401" spans="2:13" ht="12.75" customHeight="1" x14ac:dyDescent="0.25">
      <c r="B401" s="14"/>
      <c r="D401" s="14"/>
      <c r="E401" s="14"/>
      <c r="F401" s="14"/>
      <c r="G401" s="14"/>
      <c r="H401" s="14"/>
      <c r="I401" s="14"/>
      <c r="J401" s="14"/>
      <c r="K401" s="14"/>
      <c r="M401" s="14"/>
    </row>
    <row r="402" spans="2:13" ht="12.75" customHeight="1" x14ac:dyDescent="0.25">
      <c r="B402" s="14"/>
      <c r="D402" s="14"/>
      <c r="E402" s="14"/>
      <c r="F402" s="14"/>
      <c r="G402" s="14"/>
      <c r="H402" s="14"/>
      <c r="I402" s="14"/>
      <c r="J402" s="14"/>
      <c r="K402" s="14"/>
      <c r="M402" s="14"/>
    </row>
    <row r="403" spans="2:13" ht="12.75" customHeight="1" x14ac:dyDescent="0.25">
      <c r="B403" s="14"/>
      <c r="D403" s="14"/>
      <c r="E403" s="14"/>
      <c r="F403" s="14"/>
      <c r="G403" s="14"/>
      <c r="H403" s="14"/>
      <c r="I403" s="14"/>
      <c r="J403" s="14"/>
      <c r="K403" s="14"/>
      <c r="M403" s="14"/>
    </row>
    <row r="404" spans="2:13" ht="12.75" customHeight="1" x14ac:dyDescent="0.25">
      <c r="B404" s="14"/>
      <c r="D404" s="14"/>
      <c r="E404" s="14"/>
      <c r="F404" s="14"/>
      <c r="G404" s="14"/>
      <c r="H404" s="14"/>
      <c r="I404" s="14"/>
      <c r="J404" s="14"/>
      <c r="K404" s="14"/>
      <c r="M404" s="14"/>
    </row>
    <row r="405" spans="2:13" ht="12.75" customHeight="1" x14ac:dyDescent="0.25">
      <c r="B405" s="14"/>
      <c r="D405" s="14"/>
      <c r="E405" s="14"/>
      <c r="F405" s="14"/>
      <c r="G405" s="14"/>
      <c r="H405" s="14"/>
      <c r="I405" s="14"/>
      <c r="J405" s="14"/>
      <c r="K405" s="14"/>
      <c r="M405" s="14"/>
    </row>
    <row r="406" spans="2:13" ht="12.75" customHeight="1" x14ac:dyDescent="0.25">
      <c r="B406" s="14"/>
      <c r="D406" s="14"/>
      <c r="E406" s="14"/>
      <c r="F406" s="14"/>
      <c r="G406" s="14"/>
      <c r="H406" s="14"/>
      <c r="I406" s="14"/>
      <c r="J406" s="14"/>
      <c r="K406" s="14"/>
      <c r="M406" s="14"/>
    </row>
    <row r="407" spans="2:13" ht="12.75" customHeight="1" x14ac:dyDescent="0.25">
      <c r="B407" s="14"/>
      <c r="D407" s="14"/>
      <c r="E407" s="14"/>
      <c r="F407" s="14"/>
      <c r="G407" s="14"/>
      <c r="H407" s="14"/>
      <c r="I407" s="14"/>
      <c r="J407" s="14"/>
      <c r="K407" s="14"/>
      <c r="M407" s="14"/>
    </row>
    <row r="408" spans="2:13" ht="12.75" customHeight="1" x14ac:dyDescent="0.25">
      <c r="B408" s="14"/>
      <c r="D408" s="14"/>
      <c r="E408" s="14"/>
      <c r="F408" s="14"/>
      <c r="G408" s="14"/>
      <c r="H408" s="14"/>
      <c r="I408" s="14"/>
      <c r="J408" s="14"/>
      <c r="K408" s="14"/>
      <c r="M408" s="14"/>
    </row>
    <row r="409" spans="2:13" ht="12.75" customHeight="1" x14ac:dyDescent="0.25">
      <c r="B409" s="14"/>
      <c r="D409" s="14"/>
      <c r="E409" s="14"/>
      <c r="F409" s="14"/>
      <c r="G409" s="14"/>
      <c r="H409" s="14"/>
      <c r="I409" s="14"/>
      <c r="J409" s="14"/>
      <c r="K409" s="14"/>
      <c r="M409" s="14"/>
    </row>
    <row r="410" spans="2:13" ht="12.75" customHeight="1" x14ac:dyDescent="0.25">
      <c r="B410" s="14"/>
      <c r="D410" s="14"/>
      <c r="E410" s="14"/>
      <c r="F410" s="14"/>
      <c r="G410" s="14"/>
      <c r="H410" s="14"/>
      <c r="I410" s="14"/>
      <c r="J410" s="14"/>
      <c r="K410" s="14"/>
      <c r="M410" s="14"/>
    </row>
    <row r="411" spans="2:13" ht="12.75" customHeight="1" x14ac:dyDescent="0.25">
      <c r="B411" s="14"/>
      <c r="D411" s="14"/>
      <c r="E411" s="14"/>
      <c r="F411" s="14"/>
      <c r="G411" s="14"/>
      <c r="H411" s="14"/>
      <c r="I411" s="14"/>
      <c r="J411" s="14"/>
      <c r="K411" s="14"/>
      <c r="M411" s="14"/>
    </row>
    <row r="412" spans="2:13" ht="12.75" customHeight="1" x14ac:dyDescent="0.25">
      <c r="B412" s="14"/>
      <c r="D412" s="14"/>
      <c r="E412" s="14"/>
      <c r="F412" s="14"/>
      <c r="G412" s="14"/>
      <c r="H412" s="14"/>
      <c r="I412" s="14"/>
      <c r="J412" s="14"/>
      <c r="K412" s="14"/>
      <c r="M412" s="14"/>
    </row>
    <row r="413" spans="2:13" ht="12.75" customHeight="1" x14ac:dyDescent="0.25">
      <c r="B413" s="14"/>
      <c r="D413" s="14"/>
      <c r="E413" s="14"/>
      <c r="F413" s="14"/>
      <c r="G413" s="14"/>
      <c r="H413" s="14"/>
      <c r="I413" s="14"/>
      <c r="J413" s="14"/>
      <c r="K413" s="14"/>
      <c r="M413" s="14"/>
    </row>
    <row r="414" spans="2:13" ht="12.75" customHeight="1" x14ac:dyDescent="0.25">
      <c r="B414" s="14"/>
      <c r="D414" s="14"/>
      <c r="E414" s="14"/>
      <c r="F414" s="14"/>
      <c r="G414" s="14"/>
      <c r="H414" s="14"/>
      <c r="I414" s="14"/>
      <c r="J414" s="14"/>
      <c r="K414" s="14"/>
      <c r="M414" s="14"/>
    </row>
    <row r="415" spans="2:13" ht="12.75" customHeight="1" x14ac:dyDescent="0.25">
      <c r="B415" s="14"/>
      <c r="D415" s="14"/>
      <c r="E415" s="14"/>
      <c r="F415" s="14"/>
      <c r="G415" s="14"/>
      <c r="H415" s="14"/>
      <c r="I415" s="14"/>
      <c r="J415" s="14"/>
      <c r="K415" s="14"/>
      <c r="M415" s="14"/>
    </row>
    <row r="416" spans="2:13" ht="12.75" customHeight="1" x14ac:dyDescent="0.25">
      <c r="B416" s="14"/>
      <c r="D416" s="14"/>
      <c r="E416" s="14"/>
      <c r="F416" s="14"/>
      <c r="G416" s="14"/>
      <c r="H416" s="14"/>
      <c r="I416" s="14"/>
      <c r="J416" s="14"/>
      <c r="K416" s="14"/>
      <c r="M416" s="14"/>
    </row>
    <row r="417" spans="2:13" ht="12.75" customHeight="1" x14ac:dyDescent="0.25">
      <c r="B417" s="14"/>
      <c r="D417" s="14"/>
      <c r="E417" s="14"/>
      <c r="F417" s="14"/>
      <c r="G417" s="14"/>
      <c r="H417" s="14"/>
      <c r="I417" s="14"/>
      <c r="J417" s="14"/>
      <c r="K417" s="14"/>
      <c r="M417" s="14"/>
    </row>
    <row r="418" spans="2:13" ht="12.75" customHeight="1" x14ac:dyDescent="0.25">
      <c r="B418" s="14"/>
      <c r="D418" s="14"/>
      <c r="E418" s="14"/>
      <c r="F418" s="14"/>
      <c r="G418" s="14"/>
      <c r="H418" s="14"/>
      <c r="I418" s="14"/>
      <c r="J418" s="14"/>
      <c r="K418" s="14"/>
      <c r="M418" s="14"/>
    </row>
    <row r="419" spans="2:13" ht="12.75" customHeight="1" x14ac:dyDescent="0.25">
      <c r="B419" s="14"/>
      <c r="D419" s="14"/>
      <c r="E419" s="14"/>
      <c r="F419" s="14"/>
      <c r="G419" s="14"/>
      <c r="H419" s="14"/>
      <c r="I419" s="14"/>
      <c r="J419" s="14"/>
      <c r="K419" s="14"/>
      <c r="M419" s="14"/>
    </row>
    <row r="420" spans="2:13" ht="12.75" customHeight="1" x14ac:dyDescent="0.25">
      <c r="B420" s="14"/>
      <c r="D420" s="14"/>
      <c r="E420" s="14"/>
      <c r="F420" s="14"/>
      <c r="G420" s="14"/>
      <c r="H420" s="14"/>
      <c r="I420" s="14"/>
      <c r="J420" s="14"/>
      <c r="K420" s="14"/>
      <c r="M420" s="14"/>
    </row>
    <row r="421" spans="2:13" ht="12.75" customHeight="1" x14ac:dyDescent="0.25">
      <c r="B421" s="14"/>
      <c r="D421" s="14"/>
      <c r="E421" s="14"/>
      <c r="F421" s="14"/>
      <c r="G421" s="14"/>
      <c r="H421" s="14"/>
      <c r="I421" s="14"/>
      <c r="J421" s="14"/>
      <c r="K421" s="14"/>
      <c r="M421" s="14"/>
    </row>
    <row r="422" spans="2:13" ht="12.75" customHeight="1" x14ac:dyDescent="0.25">
      <c r="B422" s="14"/>
      <c r="D422" s="14"/>
      <c r="E422" s="14"/>
      <c r="F422" s="14"/>
      <c r="G422" s="14"/>
      <c r="H422" s="14"/>
      <c r="I422" s="14"/>
      <c r="J422" s="14"/>
      <c r="K422" s="14"/>
      <c r="M422" s="14"/>
    </row>
    <row r="423" spans="2:13" ht="12.75" customHeight="1" x14ac:dyDescent="0.25">
      <c r="B423" s="14"/>
      <c r="D423" s="14"/>
      <c r="E423" s="14"/>
      <c r="F423" s="14"/>
      <c r="G423" s="14"/>
      <c r="H423" s="14"/>
      <c r="I423" s="14"/>
      <c r="J423" s="14"/>
      <c r="K423" s="14"/>
      <c r="M423" s="14"/>
    </row>
    <row r="424" spans="2:13" ht="12.75" customHeight="1" x14ac:dyDescent="0.25">
      <c r="B424" s="14"/>
      <c r="D424" s="14"/>
      <c r="E424" s="14"/>
      <c r="F424" s="14"/>
      <c r="G424" s="14"/>
      <c r="H424" s="14"/>
      <c r="I424" s="14"/>
      <c r="J424" s="14"/>
      <c r="K424" s="14"/>
      <c r="M424" s="14"/>
    </row>
    <row r="425" spans="2:13" ht="12.75" customHeight="1" x14ac:dyDescent="0.25">
      <c r="B425" s="14"/>
      <c r="D425" s="14"/>
      <c r="E425" s="14"/>
      <c r="F425" s="14"/>
      <c r="G425" s="14"/>
      <c r="H425" s="14"/>
      <c r="I425" s="14"/>
      <c r="J425" s="14"/>
      <c r="K425" s="14"/>
      <c r="M425" s="14"/>
    </row>
    <row r="426" spans="2:13" ht="12.75" customHeight="1" x14ac:dyDescent="0.25">
      <c r="B426" s="14"/>
      <c r="D426" s="14"/>
      <c r="E426" s="14"/>
      <c r="F426" s="14"/>
      <c r="G426" s="14"/>
      <c r="H426" s="14"/>
      <c r="I426" s="14"/>
      <c r="J426" s="14"/>
      <c r="K426" s="14"/>
      <c r="M426" s="14"/>
    </row>
    <row r="427" spans="2:13" ht="12.75" customHeight="1" x14ac:dyDescent="0.25">
      <c r="B427" s="14"/>
      <c r="D427" s="14"/>
      <c r="E427" s="14"/>
      <c r="F427" s="14"/>
      <c r="G427" s="14"/>
      <c r="H427" s="14"/>
      <c r="I427" s="14"/>
      <c r="J427" s="14"/>
      <c r="K427" s="14"/>
      <c r="M427" s="14"/>
    </row>
    <row r="428" spans="2:13" ht="12.75" customHeight="1" x14ac:dyDescent="0.25">
      <c r="B428" s="14"/>
      <c r="D428" s="14"/>
      <c r="E428" s="14"/>
      <c r="F428" s="14"/>
      <c r="G428" s="14"/>
      <c r="H428" s="14"/>
      <c r="I428" s="14"/>
      <c r="J428" s="14"/>
      <c r="K428" s="14"/>
      <c r="M428" s="14"/>
    </row>
    <row r="429" spans="2:13" ht="12.75" customHeight="1" x14ac:dyDescent="0.25">
      <c r="B429" s="14"/>
      <c r="D429" s="14"/>
      <c r="E429" s="14"/>
      <c r="F429" s="14"/>
      <c r="G429" s="14"/>
      <c r="H429" s="14"/>
      <c r="I429" s="14"/>
      <c r="J429" s="14"/>
      <c r="K429" s="14"/>
      <c r="M429" s="14"/>
    </row>
    <row r="430" spans="2:13" ht="12.75" customHeight="1" x14ac:dyDescent="0.25">
      <c r="B430" s="14"/>
      <c r="D430" s="14"/>
      <c r="E430" s="14"/>
      <c r="F430" s="14"/>
      <c r="G430" s="14"/>
      <c r="H430" s="14"/>
      <c r="I430" s="14"/>
      <c r="J430" s="14"/>
      <c r="K430" s="14"/>
      <c r="M430" s="14"/>
    </row>
    <row r="431" spans="2:13" ht="12.75" customHeight="1" x14ac:dyDescent="0.25">
      <c r="B431" s="14"/>
      <c r="D431" s="14"/>
      <c r="E431" s="14"/>
      <c r="F431" s="14"/>
      <c r="G431" s="14"/>
      <c r="H431" s="14"/>
      <c r="I431" s="14"/>
      <c r="J431" s="14"/>
      <c r="K431" s="14"/>
      <c r="M431" s="14"/>
    </row>
    <row r="432" spans="2:13" ht="12.75" customHeight="1" x14ac:dyDescent="0.25">
      <c r="B432" s="14"/>
      <c r="D432" s="14"/>
      <c r="E432" s="14"/>
      <c r="F432" s="14"/>
      <c r="G432" s="14"/>
      <c r="H432" s="14"/>
      <c r="I432" s="14"/>
      <c r="J432" s="14"/>
      <c r="K432" s="14"/>
      <c r="M432" s="14"/>
    </row>
    <row r="433" spans="2:13" ht="12.75" customHeight="1" x14ac:dyDescent="0.25">
      <c r="B433" s="14"/>
      <c r="D433" s="14"/>
      <c r="E433" s="14"/>
      <c r="F433" s="14"/>
      <c r="G433" s="14"/>
      <c r="H433" s="14"/>
      <c r="I433" s="14"/>
      <c r="J433" s="14"/>
      <c r="K433" s="14"/>
      <c r="M433" s="14"/>
    </row>
    <row r="434" spans="2:13" ht="12.75" customHeight="1" x14ac:dyDescent="0.25">
      <c r="B434" s="14"/>
      <c r="D434" s="14"/>
      <c r="E434" s="14"/>
      <c r="F434" s="14"/>
      <c r="G434" s="14"/>
      <c r="H434" s="14"/>
      <c r="I434" s="14"/>
      <c r="J434" s="14"/>
      <c r="K434" s="14"/>
      <c r="M434" s="14"/>
    </row>
    <row r="435" spans="2:13" ht="12.75" customHeight="1" x14ac:dyDescent="0.25">
      <c r="B435" s="14"/>
      <c r="D435" s="14"/>
      <c r="E435" s="14"/>
      <c r="F435" s="14"/>
      <c r="G435" s="14"/>
      <c r="H435" s="14"/>
      <c r="I435" s="14"/>
      <c r="J435" s="14"/>
      <c r="K435" s="14"/>
      <c r="M435" s="14"/>
    </row>
    <row r="436" spans="2:13" ht="12.75" customHeight="1" x14ac:dyDescent="0.25">
      <c r="B436" s="14"/>
      <c r="D436" s="14"/>
      <c r="E436" s="14"/>
      <c r="F436" s="14"/>
      <c r="G436" s="14"/>
      <c r="H436" s="14"/>
      <c r="I436" s="14"/>
      <c r="J436" s="14"/>
      <c r="K436" s="14"/>
      <c r="M436" s="14"/>
    </row>
    <row r="437" spans="2:13" ht="12.75" customHeight="1" x14ac:dyDescent="0.25">
      <c r="B437" s="14"/>
      <c r="D437" s="14"/>
      <c r="E437" s="14"/>
      <c r="F437" s="14"/>
      <c r="G437" s="14"/>
      <c r="H437" s="14"/>
      <c r="I437" s="14"/>
      <c r="J437" s="14"/>
      <c r="K437" s="14"/>
      <c r="M437" s="14"/>
    </row>
    <row r="438" spans="2:13" ht="12.75" customHeight="1" x14ac:dyDescent="0.25">
      <c r="B438" s="14"/>
      <c r="D438" s="14"/>
      <c r="E438" s="14"/>
      <c r="F438" s="14"/>
      <c r="G438" s="14"/>
      <c r="H438" s="14"/>
      <c r="I438" s="14"/>
      <c r="J438" s="14"/>
      <c r="K438" s="14"/>
      <c r="M438" s="14"/>
    </row>
    <row r="439" spans="2:13" ht="12.75" customHeight="1" x14ac:dyDescent="0.25">
      <c r="B439" s="14"/>
      <c r="D439" s="14"/>
      <c r="E439" s="14"/>
      <c r="F439" s="14"/>
      <c r="G439" s="14"/>
      <c r="H439" s="14"/>
      <c r="I439" s="14"/>
      <c r="J439" s="14"/>
      <c r="K439" s="14"/>
      <c r="M439" s="14"/>
    </row>
    <row r="440" spans="2:13" ht="12.75" customHeight="1" x14ac:dyDescent="0.25">
      <c r="B440" s="14"/>
      <c r="D440" s="14"/>
      <c r="E440" s="14"/>
      <c r="F440" s="14"/>
      <c r="G440" s="14"/>
      <c r="H440" s="14"/>
      <c r="I440" s="14"/>
      <c r="J440" s="14"/>
      <c r="K440" s="14"/>
      <c r="M440" s="14"/>
    </row>
    <row r="441" spans="2:13" ht="12.75" customHeight="1" x14ac:dyDescent="0.25">
      <c r="B441" s="14"/>
      <c r="D441" s="14"/>
      <c r="E441" s="14"/>
      <c r="F441" s="14"/>
      <c r="G441" s="14"/>
      <c r="H441" s="14"/>
      <c r="I441" s="14"/>
      <c r="J441" s="14"/>
      <c r="K441" s="14"/>
      <c r="M441" s="14"/>
    </row>
    <row r="442" spans="2:13" ht="12.75" customHeight="1" x14ac:dyDescent="0.25">
      <c r="B442" s="14"/>
      <c r="D442" s="14"/>
      <c r="E442" s="14"/>
      <c r="F442" s="14"/>
      <c r="G442" s="14"/>
      <c r="H442" s="14"/>
      <c r="I442" s="14"/>
      <c r="J442" s="14"/>
      <c r="K442" s="14"/>
      <c r="M442" s="14"/>
    </row>
    <row r="443" spans="2:13" ht="12.75" customHeight="1" x14ac:dyDescent="0.25">
      <c r="B443" s="14"/>
      <c r="D443" s="14"/>
      <c r="E443" s="14"/>
      <c r="F443" s="14"/>
      <c r="G443" s="14"/>
      <c r="H443" s="14"/>
      <c r="I443" s="14"/>
      <c r="J443" s="14"/>
      <c r="K443" s="14"/>
      <c r="M443" s="14"/>
    </row>
    <row r="444" spans="2:13" ht="12.75" customHeight="1" x14ac:dyDescent="0.25">
      <c r="B444" s="14"/>
      <c r="D444" s="14"/>
      <c r="E444" s="14"/>
      <c r="F444" s="14"/>
      <c r="G444" s="14"/>
      <c r="H444" s="14"/>
      <c r="I444" s="14"/>
      <c r="J444" s="14"/>
      <c r="K444" s="14"/>
      <c r="M444" s="14"/>
    </row>
    <row r="445" spans="2:13" ht="12.75" customHeight="1" x14ac:dyDescent="0.25">
      <c r="B445" s="14"/>
      <c r="D445" s="14"/>
      <c r="E445" s="14"/>
      <c r="F445" s="14"/>
      <c r="G445" s="14"/>
      <c r="H445" s="14"/>
      <c r="I445" s="14"/>
      <c r="J445" s="14"/>
      <c r="K445" s="14"/>
      <c r="M445" s="14"/>
    </row>
    <row r="446" spans="2:13" ht="12.75" customHeight="1" x14ac:dyDescent="0.25">
      <c r="B446" s="14"/>
      <c r="D446" s="14"/>
      <c r="E446" s="14"/>
      <c r="F446" s="14"/>
      <c r="G446" s="14"/>
      <c r="H446" s="14"/>
      <c r="I446" s="14"/>
      <c r="J446" s="14"/>
      <c r="K446" s="14"/>
      <c r="M446" s="14"/>
    </row>
    <row r="447" spans="2:13" ht="12.75" customHeight="1" x14ac:dyDescent="0.25">
      <c r="B447" s="14"/>
      <c r="D447" s="14"/>
      <c r="E447" s="14"/>
      <c r="F447" s="14"/>
      <c r="G447" s="14"/>
      <c r="H447" s="14"/>
      <c r="I447" s="14"/>
      <c r="J447" s="14"/>
      <c r="K447" s="14"/>
      <c r="M447" s="14"/>
    </row>
    <row r="448" spans="2:13" ht="12.75" customHeight="1" x14ac:dyDescent="0.25">
      <c r="B448" s="14"/>
      <c r="D448" s="14"/>
      <c r="E448" s="14"/>
      <c r="F448" s="14"/>
      <c r="G448" s="14"/>
      <c r="H448" s="14"/>
      <c r="I448" s="14"/>
      <c r="J448" s="14"/>
      <c r="K448" s="14"/>
      <c r="M448" s="14"/>
    </row>
    <row r="449" spans="2:13" ht="12.75" customHeight="1" x14ac:dyDescent="0.25">
      <c r="B449" s="14"/>
      <c r="D449" s="14"/>
      <c r="E449" s="14"/>
      <c r="F449" s="14"/>
      <c r="G449" s="14"/>
      <c r="H449" s="14"/>
      <c r="I449" s="14"/>
      <c r="J449" s="14"/>
      <c r="K449" s="14"/>
      <c r="M449" s="14"/>
    </row>
    <row r="450" spans="2:13" ht="12.75" customHeight="1" x14ac:dyDescent="0.25">
      <c r="B450" s="14"/>
      <c r="D450" s="14"/>
      <c r="E450" s="14"/>
      <c r="F450" s="14"/>
      <c r="G450" s="14"/>
      <c r="H450" s="14"/>
      <c r="I450" s="14"/>
      <c r="J450" s="14"/>
      <c r="K450" s="14"/>
      <c r="M450" s="14"/>
    </row>
    <row r="451" spans="2:13" ht="12.75" customHeight="1" x14ac:dyDescent="0.25">
      <c r="B451" s="14"/>
      <c r="D451" s="14"/>
      <c r="E451" s="14"/>
      <c r="F451" s="14"/>
      <c r="G451" s="14"/>
      <c r="H451" s="14"/>
      <c r="I451" s="14"/>
      <c r="J451" s="14"/>
      <c r="K451" s="14"/>
      <c r="M451" s="14"/>
    </row>
    <row r="452" spans="2:13" ht="12.75" customHeight="1" x14ac:dyDescent="0.25">
      <c r="B452" s="14"/>
      <c r="D452" s="14"/>
      <c r="E452" s="14"/>
      <c r="F452" s="14"/>
      <c r="G452" s="14"/>
      <c r="H452" s="14"/>
      <c r="I452" s="14"/>
      <c r="J452" s="14"/>
      <c r="K452" s="14"/>
      <c r="M452" s="14"/>
    </row>
    <row r="453" spans="2:13" ht="12.75" customHeight="1" x14ac:dyDescent="0.25">
      <c r="B453" s="14"/>
      <c r="D453" s="14"/>
      <c r="E453" s="14"/>
      <c r="F453" s="14"/>
      <c r="G453" s="14"/>
      <c r="H453" s="14"/>
      <c r="I453" s="14"/>
      <c r="J453" s="14"/>
      <c r="K453" s="14"/>
      <c r="M453" s="14"/>
    </row>
    <row r="454" spans="2:13" ht="12.75" customHeight="1" x14ac:dyDescent="0.25">
      <c r="B454" s="14"/>
      <c r="D454" s="14"/>
      <c r="E454" s="14"/>
      <c r="F454" s="14"/>
      <c r="G454" s="14"/>
      <c r="H454" s="14"/>
      <c r="I454" s="14"/>
      <c r="J454" s="14"/>
      <c r="K454" s="14"/>
      <c r="M454" s="14"/>
    </row>
    <row r="455" spans="2:13" ht="12.75" customHeight="1" x14ac:dyDescent="0.25">
      <c r="B455" s="14"/>
      <c r="D455" s="14"/>
      <c r="E455" s="14"/>
      <c r="F455" s="14"/>
      <c r="G455" s="14"/>
      <c r="H455" s="14"/>
      <c r="I455" s="14"/>
      <c r="J455" s="14"/>
      <c r="K455" s="14"/>
      <c r="M455" s="14"/>
    </row>
    <row r="456" spans="2:13" ht="12.75" customHeight="1" x14ac:dyDescent="0.25">
      <c r="B456" s="14"/>
      <c r="D456" s="14"/>
      <c r="E456" s="14"/>
      <c r="F456" s="14"/>
      <c r="G456" s="14"/>
      <c r="H456" s="14"/>
      <c r="I456" s="14"/>
      <c r="J456" s="14"/>
      <c r="K456" s="14"/>
      <c r="M456" s="14"/>
    </row>
    <row r="457" spans="2:13" ht="12.75" customHeight="1" x14ac:dyDescent="0.25">
      <c r="B457" s="14"/>
      <c r="D457" s="14"/>
      <c r="E457" s="14"/>
      <c r="F457" s="14"/>
      <c r="G457" s="14"/>
      <c r="H457" s="14"/>
      <c r="I457" s="14"/>
      <c r="J457" s="14"/>
      <c r="K457" s="14"/>
      <c r="M457" s="14"/>
    </row>
    <row r="458" spans="2:13" ht="12.75" customHeight="1" x14ac:dyDescent="0.25">
      <c r="B458" s="14"/>
      <c r="D458" s="14"/>
      <c r="E458" s="14"/>
      <c r="F458" s="14"/>
      <c r="G458" s="14"/>
      <c r="H458" s="14"/>
      <c r="I458" s="14"/>
      <c r="J458" s="14"/>
      <c r="K458" s="14"/>
      <c r="M458" s="14"/>
    </row>
    <row r="459" spans="2:13" ht="12.75" customHeight="1" x14ac:dyDescent="0.25">
      <c r="B459" s="14"/>
      <c r="D459" s="14"/>
      <c r="E459" s="14"/>
      <c r="F459" s="14"/>
      <c r="G459" s="14"/>
      <c r="H459" s="14"/>
      <c r="I459" s="14"/>
      <c r="J459" s="14"/>
      <c r="K459" s="14"/>
      <c r="M459" s="14"/>
    </row>
    <row r="460" spans="2:13" ht="12.75" customHeight="1" x14ac:dyDescent="0.25">
      <c r="B460" s="14"/>
      <c r="D460" s="14"/>
      <c r="E460" s="14"/>
      <c r="F460" s="14"/>
      <c r="G460" s="14"/>
      <c r="H460" s="14"/>
      <c r="I460" s="14"/>
      <c r="J460" s="14"/>
      <c r="K460" s="14"/>
      <c r="M460" s="14"/>
    </row>
    <row r="461" spans="2:13" ht="12.75" customHeight="1" x14ac:dyDescent="0.25">
      <c r="B461" s="14"/>
      <c r="D461" s="14"/>
      <c r="E461" s="14"/>
      <c r="F461" s="14"/>
      <c r="G461" s="14"/>
      <c r="H461" s="14"/>
      <c r="I461" s="14"/>
      <c r="J461" s="14"/>
      <c r="K461" s="14"/>
      <c r="M461" s="14"/>
    </row>
    <row r="462" spans="2:13" ht="12.75" customHeight="1" x14ac:dyDescent="0.25">
      <c r="B462" s="14"/>
      <c r="D462" s="14"/>
      <c r="E462" s="14"/>
      <c r="F462" s="14"/>
      <c r="G462" s="14"/>
      <c r="H462" s="14"/>
      <c r="I462" s="14"/>
      <c r="J462" s="14"/>
      <c r="K462" s="14"/>
      <c r="M462" s="14"/>
    </row>
    <row r="463" spans="2:13" ht="12.75" customHeight="1" x14ac:dyDescent="0.25">
      <c r="B463" s="14"/>
      <c r="D463" s="14"/>
      <c r="E463" s="14"/>
      <c r="F463" s="14"/>
      <c r="G463" s="14"/>
      <c r="H463" s="14"/>
      <c r="I463" s="14"/>
      <c r="J463" s="14"/>
      <c r="K463" s="14"/>
      <c r="M463" s="14"/>
    </row>
    <row r="464" spans="2:13" ht="12.75" customHeight="1" x14ac:dyDescent="0.25">
      <c r="B464" s="14"/>
      <c r="D464" s="14"/>
      <c r="E464" s="14"/>
      <c r="F464" s="14"/>
      <c r="G464" s="14"/>
      <c r="H464" s="14"/>
      <c r="I464" s="14"/>
      <c r="J464" s="14"/>
      <c r="K464" s="14"/>
      <c r="M464" s="14"/>
    </row>
    <row r="465" spans="2:13" ht="12.75" customHeight="1" x14ac:dyDescent="0.25">
      <c r="B465" s="14"/>
      <c r="D465" s="14"/>
      <c r="E465" s="14"/>
      <c r="F465" s="14"/>
      <c r="G465" s="14"/>
      <c r="H465" s="14"/>
      <c r="I465" s="14"/>
      <c r="J465" s="14"/>
      <c r="K465" s="14"/>
      <c r="M465" s="14"/>
    </row>
    <row r="466" spans="2:13" ht="12.75" customHeight="1" x14ac:dyDescent="0.25">
      <c r="B466" s="14"/>
      <c r="D466" s="14"/>
      <c r="E466" s="14"/>
      <c r="F466" s="14"/>
      <c r="G466" s="14"/>
      <c r="H466" s="14"/>
      <c r="I466" s="14"/>
      <c r="J466" s="14"/>
      <c r="K466" s="14"/>
      <c r="M466" s="14"/>
    </row>
    <row r="467" spans="2:13" ht="12.75" customHeight="1" x14ac:dyDescent="0.25">
      <c r="B467" s="14"/>
      <c r="D467" s="14"/>
      <c r="E467" s="14"/>
      <c r="F467" s="14"/>
      <c r="G467" s="14"/>
      <c r="H467" s="14"/>
      <c r="I467" s="14"/>
      <c r="J467" s="14"/>
      <c r="K467" s="14"/>
      <c r="M467" s="14"/>
    </row>
    <row r="468" spans="2:13" ht="12.75" customHeight="1" x14ac:dyDescent="0.25">
      <c r="B468" s="14"/>
      <c r="D468" s="14"/>
      <c r="E468" s="14"/>
      <c r="F468" s="14"/>
      <c r="G468" s="14"/>
      <c r="H468" s="14"/>
      <c r="I468" s="14"/>
      <c r="J468" s="14"/>
      <c r="K468" s="14"/>
      <c r="M468" s="14"/>
    </row>
    <row r="469" spans="2:13" ht="12.75" customHeight="1" x14ac:dyDescent="0.25">
      <c r="B469" s="14"/>
      <c r="D469" s="14"/>
      <c r="E469" s="14"/>
      <c r="F469" s="14"/>
      <c r="G469" s="14"/>
      <c r="H469" s="14"/>
      <c r="I469" s="14"/>
      <c r="J469" s="14"/>
      <c r="K469" s="14"/>
      <c r="M469" s="14"/>
    </row>
    <row r="470" spans="2:13" ht="12.75" customHeight="1" x14ac:dyDescent="0.25">
      <c r="B470" s="14"/>
      <c r="D470" s="14"/>
      <c r="E470" s="14"/>
      <c r="F470" s="14"/>
      <c r="G470" s="14"/>
      <c r="H470" s="14"/>
      <c r="I470" s="14"/>
      <c r="J470" s="14"/>
      <c r="K470" s="14"/>
      <c r="M470" s="14"/>
    </row>
    <row r="471" spans="2:13" ht="12.75" customHeight="1" x14ac:dyDescent="0.25">
      <c r="B471" s="14"/>
      <c r="D471" s="14"/>
      <c r="E471" s="14"/>
      <c r="F471" s="14"/>
      <c r="G471" s="14"/>
      <c r="H471" s="14"/>
      <c r="I471" s="14"/>
      <c r="J471" s="14"/>
      <c r="K471" s="14"/>
      <c r="M471" s="14"/>
    </row>
    <row r="472" spans="2:13" ht="12.75" customHeight="1" x14ac:dyDescent="0.25">
      <c r="B472" s="14"/>
      <c r="D472" s="14"/>
      <c r="E472" s="14"/>
      <c r="F472" s="14"/>
      <c r="G472" s="14"/>
      <c r="H472" s="14"/>
      <c r="I472" s="14"/>
      <c r="J472" s="14"/>
      <c r="K472" s="14"/>
      <c r="M472" s="14"/>
    </row>
    <row r="473" spans="2:13" ht="12.75" customHeight="1" x14ac:dyDescent="0.25">
      <c r="B473" s="14"/>
      <c r="D473" s="14"/>
      <c r="E473" s="14"/>
      <c r="F473" s="14"/>
      <c r="G473" s="14"/>
      <c r="H473" s="14"/>
      <c r="I473" s="14"/>
      <c r="J473" s="14"/>
      <c r="K473" s="14"/>
      <c r="M473" s="14"/>
    </row>
    <row r="474" spans="2:13" ht="12.75" customHeight="1" x14ac:dyDescent="0.25">
      <c r="B474" s="14"/>
      <c r="D474" s="14"/>
      <c r="E474" s="14"/>
      <c r="F474" s="14"/>
      <c r="G474" s="14"/>
      <c r="H474" s="14"/>
      <c r="I474" s="14"/>
      <c r="J474" s="14"/>
      <c r="K474" s="14"/>
      <c r="M474" s="14"/>
    </row>
    <row r="475" spans="2:13" ht="12.75" customHeight="1" x14ac:dyDescent="0.25">
      <c r="B475" s="14"/>
      <c r="D475" s="14"/>
      <c r="E475" s="14"/>
      <c r="F475" s="14"/>
      <c r="G475" s="14"/>
      <c r="H475" s="14"/>
      <c r="I475" s="14"/>
      <c r="J475" s="14"/>
      <c r="K475" s="14"/>
      <c r="M475" s="14"/>
    </row>
    <row r="476" spans="2:13" ht="12.75" customHeight="1" x14ac:dyDescent="0.25">
      <c r="B476" s="14"/>
      <c r="D476" s="14"/>
      <c r="E476" s="14"/>
      <c r="F476" s="14"/>
      <c r="G476" s="14"/>
      <c r="H476" s="14"/>
      <c r="I476" s="14"/>
      <c r="J476" s="14"/>
      <c r="K476" s="14"/>
      <c r="M476" s="14"/>
    </row>
    <row r="477" spans="2:13" ht="12.75" customHeight="1" x14ac:dyDescent="0.25">
      <c r="B477" s="14"/>
      <c r="D477" s="14"/>
      <c r="E477" s="14"/>
      <c r="F477" s="14"/>
      <c r="G477" s="14"/>
      <c r="H477" s="14"/>
      <c r="I477" s="14"/>
      <c r="J477" s="14"/>
      <c r="K477" s="14"/>
      <c r="M477" s="14"/>
    </row>
    <row r="478" spans="2:13" ht="12.75" customHeight="1" x14ac:dyDescent="0.25">
      <c r="B478" s="14"/>
      <c r="D478" s="14"/>
      <c r="E478" s="14"/>
      <c r="F478" s="14"/>
      <c r="G478" s="14"/>
      <c r="H478" s="14"/>
      <c r="I478" s="14"/>
      <c r="J478" s="14"/>
      <c r="K478" s="14"/>
      <c r="M478" s="14"/>
    </row>
    <row r="479" spans="2:13" ht="12.75" customHeight="1" x14ac:dyDescent="0.25">
      <c r="B479" s="14"/>
      <c r="D479" s="14"/>
      <c r="E479" s="14"/>
      <c r="F479" s="14"/>
      <c r="G479" s="14"/>
      <c r="H479" s="14"/>
      <c r="I479" s="14"/>
      <c r="J479" s="14"/>
      <c r="K479" s="14"/>
      <c r="M479" s="14"/>
    </row>
    <row r="480" spans="2:13" ht="12.75" customHeight="1" x14ac:dyDescent="0.25">
      <c r="B480" s="14"/>
      <c r="D480" s="14"/>
      <c r="E480" s="14"/>
      <c r="F480" s="14"/>
      <c r="G480" s="14"/>
      <c r="H480" s="14"/>
      <c r="I480" s="14"/>
      <c r="J480" s="14"/>
      <c r="K480" s="14"/>
      <c r="M480" s="14"/>
    </row>
    <row r="481" spans="2:13" ht="12.75" customHeight="1" x14ac:dyDescent="0.25">
      <c r="B481" s="14"/>
      <c r="D481" s="14"/>
      <c r="E481" s="14"/>
      <c r="F481" s="14"/>
      <c r="G481" s="14"/>
      <c r="H481" s="14"/>
      <c r="I481" s="14"/>
      <c r="J481" s="14"/>
      <c r="K481" s="14"/>
      <c r="M481" s="14"/>
    </row>
    <row r="482" spans="2:13" ht="12.75" customHeight="1" x14ac:dyDescent="0.25">
      <c r="B482" s="14"/>
      <c r="D482" s="14"/>
      <c r="E482" s="14"/>
      <c r="F482" s="14"/>
      <c r="G482" s="14"/>
      <c r="H482" s="14"/>
      <c r="I482" s="14"/>
      <c r="J482" s="14"/>
      <c r="K482" s="14"/>
      <c r="M482" s="14"/>
    </row>
    <row r="483" spans="2:13" ht="12.75" customHeight="1" x14ac:dyDescent="0.25">
      <c r="B483" s="14"/>
      <c r="D483" s="14"/>
      <c r="E483" s="14"/>
      <c r="F483" s="14"/>
      <c r="G483" s="14"/>
      <c r="H483" s="14"/>
      <c r="I483" s="14"/>
      <c r="J483" s="14"/>
      <c r="K483" s="14"/>
      <c r="M483" s="14"/>
    </row>
    <row r="484" spans="2:13" ht="12.75" customHeight="1" x14ac:dyDescent="0.25">
      <c r="B484" s="14"/>
      <c r="D484" s="14"/>
      <c r="E484" s="14"/>
      <c r="F484" s="14"/>
      <c r="G484" s="14"/>
      <c r="H484" s="14"/>
      <c r="I484" s="14"/>
      <c r="J484" s="14"/>
      <c r="K484" s="14"/>
      <c r="M484" s="14"/>
    </row>
    <row r="485" spans="2:13" ht="12.75" customHeight="1" x14ac:dyDescent="0.25">
      <c r="B485" s="14"/>
      <c r="D485" s="14"/>
      <c r="E485" s="14"/>
      <c r="F485" s="14"/>
      <c r="G485" s="14"/>
      <c r="H485" s="14"/>
      <c r="I485" s="14"/>
      <c r="J485" s="14"/>
      <c r="K485" s="14"/>
      <c r="M485" s="14"/>
    </row>
    <row r="486" spans="2:13" ht="12.75" customHeight="1" x14ac:dyDescent="0.25">
      <c r="B486" s="14"/>
      <c r="D486" s="14"/>
      <c r="E486" s="14"/>
      <c r="F486" s="14"/>
      <c r="G486" s="14"/>
      <c r="H486" s="14"/>
      <c r="I486" s="14"/>
      <c r="J486" s="14"/>
      <c r="K486" s="14"/>
      <c r="M486" s="14"/>
    </row>
    <row r="487" spans="2:13" ht="12.75" customHeight="1" x14ac:dyDescent="0.25">
      <c r="B487" s="14"/>
      <c r="D487" s="14"/>
      <c r="E487" s="14"/>
      <c r="F487" s="14"/>
      <c r="G487" s="14"/>
      <c r="H487" s="14"/>
      <c r="I487" s="14"/>
      <c r="J487" s="14"/>
      <c r="K487" s="14"/>
      <c r="M487" s="14"/>
    </row>
    <row r="488" spans="2:13" ht="12.75" customHeight="1" x14ac:dyDescent="0.25">
      <c r="B488" s="14"/>
      <c r="D488" s="14"/>
      <c r="E488" s="14"/>
      <c r="F488" s="14"/>
      <c r="G488" s="14"/>
      <c r="H488" s="14"/>
      <c r="I488" s="14"/>
      <c r="J488" s="14"/>
      <c r="K488" s="14"/>
      <c r="M488" s="14"/>
    </row>
    <row r="489" spans="2:13" ht="12.75" customHeight="1" x14ac:dyDescent="0.25">
      <c r="B489" s="14"/>
      <c r="D489" s="14"/>
      <c r="E489" s="14"/>
      <c r="F489" s="14"/>
      <c r="G489" s="14"/>
      <c r="H489" s="14"/>
      <c r="I489" s="14"/>
      <c r="J489" s="14"/>
      <c r="K489" s="14"/>
      <c r="M489" s="14"/>
    </row>
    <row r="490" spans="2:13" ht="12.75" customHeight="1" x14ac:dyDescent="0.25">
      <c r="B490" s="14"/>
      <c r="D490" s="14"/>
      <c r="E490" s="14"/>
      <c r="F490" s="14"/>
      <c r="G490" s="14"/>
      <c r="H490" s="14"/>
      <c r="I490" s="14"/>
      <c r="J490" s="14"/>
      <c r="K490" s="14"/>
      <c r="M490" s="14"/>
    </row>
    <row r="491" spans="2:13" ht="12.75" customHeight="1" x14ac:dyDescent="0.25">
      <c r="B491" s="14"/>
      <c r="D491" s="14"/>
      <c r="E491" s="14"/>
      <c r="F491" s="14"/>
      <c r="G491" s="14"/>
      <c r="H491" s="14"/>
      <c r="I491" s="14"/>
      <c r="J491" s="14"/>
      <c r="K491" s="14"/>
      <c r="M491" s="14"/>
    </row>
    <row r="492" spans="2:13" ht="12.75" customHeight="1" x14ac:dyDescent="0.25">
      <c r="B492" s="14"/>
      <c r="D492" s="14"/>
      <c r="E492" s="14"/>
      <c r="F492" s="14"/>
      <c r="G492" s="14"/>
      <c r="H492" s="14"/>
      <c r="I492" s="14"/>
      <c r="J492" s="14"/>
      <c r="K492" s="14"/>
      <c r="M492" s="14"/>
    </row>
    <row r="493" spans="2:13" ht="12.75" customHeight="1" x14ac:dyDescent="0.25">
      <c r="B493" s="14"/>
      <c r="D493" s="14"/>
      <c r="E493" s="14"/>
      <c r="F493" s="14"/>
      <c r="G493" s="14"/>
      <c r="H493" s="14"/>
      <c r="I493" s="14"/>
      <c r="J493" s="14"/>
      <c r="K493" s="14"/>
      <c r="M493" s="14"/>
    </row>
    <row r="494" spans="2:13" ht="12.75" customHeight="1" x14ac:dyDescent="0.25">
      <c r="B494" s="14"/>
      <c r="D494" s="14"/>
      <c r="E494" s="14"/>
      <c r="F494" s="14"/>
      <c r="G494" s="14"/>
      <c r="H494" s="14"/>
      <c r="I494" s="14"/>
      <c r="J494" s="14"/>
      <c r="K494" s="14"/>
      <c r="M494" s="14"/>
    </row>
    <row r="495" spans="2:13" ht="12.75" customHeight="1" x14ac:dyDescent="0.25">
      <c r="B495" s="14"/>
      <c r="D495" s="14"/>
      <c r="E495" s="14"/>
      <c r="F495" s="14"/>
      <c r="G495" s="14"/>
      <c r="H495" s="14"/>
      <c r="I495" s="14"/>
      <c r="J495" s="14"/>
      <c r="K495" s="14"/>
      <c r="M495" s="14"/>
    </row>
    <row r="496" spans="2:13" ht="12.75" customHeight="1" x14ac:dyDescent="0.25">
      <c r="B496" s="14"/>
      <c r="D496" s="14"/>
      <c r="E496" s="14"/>
      <c r="F496" s="14"/>
      <c r="G496" s="14"/>
      <c r="H496" s="14"/>
      <c r="I496" s="14"/>
      <c r="J496" s="14"/>
      <c r="K496" s="14"/>
      <c r="M496" s="14"/>
    </row>
    <row r="497" spans="2:13" ht="12.75" customHeight="1" x14ac:dyDescent="0.25">
      <c r="B497" s="14"/>
      <c r="D497" s="14"/>
      <c r="E497" s="14"/>
      <c r="F497" s="14"/>
      <c r="G497" s="14"/>
      <c r="H497" s="14"/>
      <c r="I497" s="14"/>
      <c r="J497" s="14"/>
      <c r="K497" s="14"/>
      <c r="M497" s="14"/>
    </row>
    <row r="498" spans="2:13" ht="12.75" customHeight="1" x14ac:dyDescent="0.25">
      <c r="B498" s="14"/>
      <c r="D498" s="14"/>
      <c r="E498" s="14"/>
      <c r="F498" s="14"/>
      <c r="G498" s="14"/>
      <c r="H498" s="14"/>
      <c r="I498" s="14"/>
      <c r="J498" s="14"/>
      <c r="K498" s="14"/>
      <c r="M498" s="14"/>
    </row>
    <row r="499" spans="2:13" ht="12.75" customHeight="1" x14ac:dyDescent="0.25">
      <c r="B499" s="14"/>
      <c r="D499" s="14"/>
      <c r="E499" s="14"/>
      <c r="F499" s="14"/>
      <c r="G499" s="14"/>
      <c r="H499" s="14"/>
      <c r="I499" s="14"/>
      <c r="J499" s="14"/>
      <c r="K499" s="14"/>
      <c r="M499" s="14"/>
    </row>
    <row r="500" spans="2:13" ht="12.75" customHeight="1" x14ac:dyDescent="0.25">
      <c r="B500" s="14"/>
      <c r="D500" s="14"/>
      <c r="E500" s="14"/>
      <c r="F500" s="14"/>
      <c r="G500" s="14"/>
      <c r="H500" s="14"/>
      <c r="I500" s="14"/>
      <c r="J500" s="14"/>
      <c r="K500" s="14"/>
      <c r="M500" s="14"/>
    </row>
    <row r="501" spans="2:13" ht="12.75" customHeight="1" x14ac:dyDescent="0.25">
      <c r="B501" s="14"/>
      <c r="D501" s="14"/>
      <c r="E501" s="14"/>
      <c r="F501" s="14"/>
      <c r="G501" s="14"/>
      <c r="H501" s="14"/>
      <c r="I501" s="14"/>
      <c r="J501" s="14"/>
      <c r="K501" s="14"/>
      <c r="M501" s="14"/>
    </row>
    <row r="502" spans="2:13" ht="12.75" customHeight="1" x14ac:dyDescent="0.25">
      <c r="B502" s="14"/>
      <c r="D502" s="14"/>
      <c r="E502" s="14"/>
      <c r="F502" s="14"/>
      <c r="G502" s="14"/>
      <c r="H502" s="14"/>
      <c r="I502" s="14"/>
      <c r="J502" s="14"/>
      <c r="K502" s="14"/>
      <c r="M502" s="14"/>
    </row>
    <row r="503" spans="2:13" ht="12.75" customHeight="1" x14ac:dyDescent="0.25">
      <c r="B503" s="14"/>
      <c r="D503" s="14"/>
      <c r="E503" s="14"/>
      <c r="F503" s="14"/>
      <c r="G503" s="14"/>
      <c r="H503" s="14"/>
      <c r="I503" s="14"/>
      <c r="J503" s="14"/>
      <c r="K503" s="14"/>
      <c r="M503" s="14"/>
    </row>
    <row r="504" spans="2:13" ht="12.75" customHeight="1" x14ac:dyDescent="0.25">
      <c r="B504" s="14"/>
      <c r="D504" s="14"/>
      <c r="E504" s="14"/>
      <c r="F504" s="14"/>
      <c r="G504" s="14"/>
      <c r="H504" s="14"/>
      <c r="I504" s="14"/>
      <c r="J504" s="14"/>
      <c r="K504" s="14"/>
      <c r="M504" s="14"/>
    </row>
    <row r="505" spans="2:13" ht="12.75" customHeight="1" x14ac:dyDescent="0.25">
      <c r="B505" s="14"/>
      <c r="D505" s="14"/>
      <c r="E505" s="14"/>
      <c r="F505" s="14"/>
      <c r="G505" s="14"/>
      <c r="H505" s="14"/>
      <c r="I505" s="14"/>
      <c r="J505" s="14"/>
      <c r="K505" s="14"/>
      <c r="M505" s="14"/>
    </row>
    <row r="506" spans="2:13" ht="12.75" customHeight="1" x14ac:dyDescent="0.25">
      <c r="B506" s="14"/>
      <c r="D506" s="14"/>
      <c r="E506" s="14"/>
      <c r="F506" s="14"/>
      <c r="G506" s="14"/>
      <c r="H506" s="14"/>
      <c r="I506" s="14"/>
      <c r="J506" s="14"/>
      <c r="K506" s="14"/>
      <c r="M506" s="14"/>
    </row>
    <row r="507" spans="2:13" ht="12.75" customHeight="1" x14ac:dyDescent="0.25">
      <c r="B507" s="14"/>
      <c r="D507" s="14"/>
      <c r="E507" s="14"/>
      <c r="F507" s="14"/>
      <c r="G507" s="14"/>
      <c r="H507" s="14"/>
      <c r="I507" s="14"/>
      <c r="J507" s="14"/>
      <c r="K507" s="14"/>
      <c r="M507" s="14"/>
    </row>
    <row r="508" spans="2:13" ht="12.75" customHeight="1" x14ac:dyDescent="0.25">
      <c r="B508" s="14"/>
      <c r="D508" s="14"/>
      <c r="E508" s="14"/>
      <c r="F508" s="14"/>
      <c r="G508" s="14"/>
      <c r="H508" s="14"/>
      <c r="I508" s="14"/>
      <c r="J508" s="14"/>
      <c r="K508" s="14"/>
      <c r="M508" s="14"/>
    </row>
    <row r="509" spans="2:13" ht="12.75" customHeight="1" x14ac:dyDescent="0.25">
      <c r="B509" s="14"/>
      <c r="D509" s="14"/>
      <c r="E509" s="14"/>
      <c r="F509" s="14"/>
      <c r="G509" s="14"/>
      <c r="H509" s="14"/>
      <c r="I509" s="14"/>
      <c r="J509" s="14"/>
      <c r="K509" s="14"/>
      <c r="M509" s="14"/>
    </row>
    <row r="510" spans="2:13" ht="12.75" customHeight="1" x14ac:dyDescent="0.25">
      <c r="B510" s="14"/>
      <c r="D510" s="14"/>
      <c r="E510" s="14"/>
      <c r="F510" s="14"/>
      <c r="G510" s="14"/>
      <c r="H510" s="14"/>
      <c r="I510" s="14"/>
      <c r="J510" s="14"/>
      <c r="K510" s="14"/>
      <c r="M510" s="14"/>
    </row>
    <row r="511" spans="2:13" ht="12.75" customHeight="1" x14ac:dyDescent="0.25">
      <c r="B511" s="14"/>
      <c r="D511" s="14"/>
      <c r="E511" s="14"/>
      <c r="F511" s="14"/>
      <c r="G511" s="14"/>
      <c r="H511" s="14"/>
      <c r="I511" s="14"/>
      <c r="J511" s="14"/>
      <c r="K511" s="14"/>
      <c r="M511" s="14"/>
    </row>
    <row r="512" spans="2:13" ht="12.75" customHeight="1" x14ac:dyDescent="0.25">
      <c r="B512" s="14"/>
      <c r="D512" s="14"/>
      <c r="E512" s="14"/>
      <c r="F512" s="14"/>
      <c r="G512" s="14"/>
      <c r="H512" s="14"/>
      <c r="I512" s="14"/>
      <c r="J512" s="14"/>
      <c r="K512" s="14"/>
      <c r="M512" s="14"/>
    </row>
    <row r="513" spans="2:13" ht="12.75" customHeight="1" x14ac:dyDescent="0.25">
      <c r="B513" s="14"/>
      <c r="D513" s="14"/>
      <c r="E513" s="14"/>
      <c r="F513" s="14"/>
      <c r="G513" s="14"/>
      <c r="H513" s="14"/>
      <c r="I513" s="14"/>
      <c r="J513" s="14"/>
      <c r="K513" s="14"/>
      <c r="M513" s="14"/>
    </row>
    <row r="514" spans="2:13" ht="12.75" customHeight="1" x14ac:dyDescent="0.25">
      <c r="B514" s="14"/>
      <c r="D514" s="14"/>
      <c r="E514" s="14"/>
      <c r="F514" s="14"/>
      <c r="G514" s="14"/>
      <c r="H514" s="14"/>
      <c r="I514" s="14"/>
      <c r="J514" s="14"/>
      <c r="K514" s="14"/>
      <c r="M514" s="14"/>
    </row>
    <row r="515" spans="2:13" ht="12.75" customHeight="1" x14ac:dyDescent="0.25">
      <c r="B515" s="14"/>
      <c r="D515" s="14"/>
      <c r="E515" s="14"/>
      <c r="F515" s="14"/>
      <c r="G515" s="14"/>
      <c r="H515" s="14"/>
      <c r="I515" s="14"/>
      <c r="J515" s="14"/>
      <c r="K515" s="14"/>
      <c r="M515" s="14"/>
    </row>
    <row r="516" spans="2:13" ht="12.75" customHeight="1" x14ac:dyDescent="0.25">
      <c r="B516" s="14"/>
      <c r="D516" s="14"/>
      <c r="E516" s="14"/>
      <c r="F516" s="14"/>
      <c r="G516" s="14"/>
      <c r="H516" s="14"/>
      <c r="I516" s="14"/>
      <c r="J516" s="14"/>
      <c r="K516" s="14"/>
      <c r="M516" s="14"/>
    </row>
    <row r="517" spans="2:13" ht="12.75" customHeight="1" x14ac:dyDescent="0.25">
      <c r="B517" s="14"/>
      <c r="D517" s="14"/>
      <c r="E517" s="14"/>
      <c r="F517" s="14"/>
      <c r="G517" s="14"/>
      <c r="H517" s="14"/>
      <c r="I517" s="14"/>
      <c r="J517" s="14"/>
      <c r="K517" s="14"/>
      <c r="M517" s="14"/>
    </row>
    <row r="518" spans="2:13" ht="12.75" customHeight="1" x14ac:dyDescent="0.25">
      <c r="B518" s="14"/>
      <c r="D518" s="14"/>
      <c r="E518" s="14"/>
      <c r="F518" s="14"/>
      <c r="G518" s="14"/>
      <c r="H518" s="14"/>
      <c r="I518" s="14"/>
      <c r="J518" s="14"/>
      <c r="K518" s="14"/>
      <c r="M518" s="14"/>
    </row>
    <row r="519" spans="2:13" ht="12.75" customHeight="1" x14ac:dyDescent="0.25">
      <c r="B519" s="14"/>
      <c r="D519" s="14"/>
      <c r="E519" s="14"/>
      <c r="F519" s="14"/>
      <c r="G519" s="14"/>
      <c r="H519" s="14"/>
      <c r="I519" s="14"/>
      <c r="J519" s="14"/>
      <c r="K519" s="14"/>
      <c r="M519" s="14"/>
    </row>
    <row r="520" spans="2:13" ht="12.75" customHeight="1" x14ac:dyDescent="0.25">
      <c r="B520" s="14"/>
      <c r="D520" s="14"/>
      <c r="E520" s="14"/>
      <c r="F520" s="14"/>
      <c r="G520" s="14"/>
      <c r="H520" s="14"/>
      <c r="I520" s="14"/>
      <c r="J520" s="14"/>
      <c r="K520" s="14"/>
      <c r="M520" s="14"/>
    </row>
    <row r="521" spans="2:13" ht="12.75" customHeight="1" x14ac:dyDescent="0.25">
      <c r="B521" s="14"/>
      <c r="D521" s="14"/>
      <c r="E521" s="14"/>
      <c r="F521" s="14"/>
      <c r="G521" s="14"/>
      <c r="H521" s="14"/>
      <c r="I521" s="14"/>
      <c r="J521" s="14"/>
      <c r="K521" s="14"/>
      <c r="M521" s="14"/>
    </row>
    <row r="522" spans="2:13" ht="12.75" customHeight="1" x14ac:dyDescent="0.25">
      <c r="B522" s="14"/>
      <c r="D522" s="14"/>
      <c r="E522" s="14"/>
      <c r="F522" s="14"/>
      <c r="G522" s="14"/>
      <c r="H522" s="14"/>
      <c r="I522" s="14"/>
      <c r="J522" s="14"/>
      <c r="K522" s="14"/>
      <c r="M522" s="14"/>
    </row>
    <row r="523" spans="2:13" ht="12.75" customHeight="1" x14ac:dyDescent="0.25">
      <c r="B523" s="14"/>
      <c r="D523" s="14"/>
      <c r="E523" s="14"/>
      <c r="F523" s="14"/>
      <c r="G523" s="14"/>
      <c r="H523" s="14"/>
      <c r="I523" s="14"/>
      <c r="J523" s="14"/>
      <c r="K523" s="14"/>
      <c r="M523" s="14"/>
    </row>
    <row r="524" spans="2:13" ht="12.75" customHeight="1" x14ac:dyDescent="0.25">
      <c r="B524" s="14"/>
      <c r="D524" s="14"/>
      <c r="E524" s="14"/>
      <c r="F524" s="14"/>
      <c r="G524" s="14"/>
      <c r="H524" s="14"/>
      <c r="I524" s="14"/>
      <c r="J524" s="14"/>
      <c r="K524" s="14"/>
      <c r="M524" s="14"/>
    </row>
    <row r="525" spans="2:13" ht="12.75" customHeight="1" x14ac:dyDescent="0.25">
      <c r="B525" s="14"/>
      <c r="D525" s="14"/>
      <c r="E525" s="14"/>
      <c r="F525" s="14"/>
      <c r="G525" s="14"/>
      <c r="H525" s="14"/>
      <c r="I525" s="14"/>
      <c r="J525" s="14"/>
      <c r="K525" s="14"/>
      <c r="M525" s="14"/>
    </row>
    <row r="526" spans="2:13" ht="12.75" customHeight="1" x14ac:dyDescent="0.25">
      <c r="B526" s="14"/>
      <c r="D526" s="14"/>
      <c r="E526" s="14"/>
      <c r="F526" s="14"/>
      <c r="G526" s="14"/>
      <c r="H526" s="14"/>
      <c r="I526" s="14"/>
      <c r="J526" s="14"/>
      <c r="K526" s="14"/>
      <c r="M526" s="14"/>
    </row>
    <row r="527" spans="2:13" ht="12.75" customHeight="1" x14ac:dyDescent="0.25">
      <c r="B527" s="14"/>
      <c r="D527" s="14"/>
      <c r="E527" s="14"/>
      <c r="F527" s="14"/>
      <c r="G527" s="14"/>
      <c r="H527" s="14"/>
      <c r="I527" s="14"/>
      <c r="J527" s="14"/>
      <c r="K527" s="14"/>
      <c r="M527" s="14"/>
    </row>
    <row r="528" spans="2:13" ht="12.75" customHeight="1" x14ac:dyDescent="0.25">
      <c r="B528" s="14"/>
      <c r="D528" s="14"/>
      <c r="E528" s="14"/>
      <c r="F528" s="14"/>
      <c r="G528" s="14"/>
      <c r="H528" s="14"/>
      <c r="I528" s="14"/>
      <c r="J528" s="14"/>
      <c r="K528" s="14"/>
      <c r="M528" s="14"/>
    </row>
    <row r="529" spans="2:13" ht="12.75" customHeight="1" x14ac:dyDescent="0.25">
      <c r="B529" s="14"/>
      <c r="D529" s="14"/>
      <c r="E529" s="14"/>
      <c r="F529" s="14"/>
      <c r="G529" s="14"/>
      <c r="H529" s="14"/>
      <c r="I529" s="14"/>
      <c r="J529" s="14"/>
      <c r="K529" s="14"/>
      <c r="M529" s="14"/>
    </row>
    <row r="530" spans="2:13" ht="12.75" customHeight="1" x14ac:dyDescent="0.25">
      <c r="B530" s="14"/>
      <c r="D530" s="14"/>
      <c r="E530" s="14"/>
      <c r="F530" s="14"/>
      <c r="G530" s="14"/>
      <c r="H530" s="14"/>
      <c r="I530" s="14"/>
      <c r="J530" s="14"/>
      <c r="K530" s="14"/>
      <c r="M530" s="14"/>
    </row>
    <row r="531" spans="2:13" ht="12.75" customHeight="1" x14ac:dyDescent="0.25">
      <c r="B531" s="14"/>
      <c r="D531" s="14"/>
      <c r="E531" s="14"/>
      <c r="F531" s="14"/>
      <c r="G531" s="14"/>
      <c r="H531" s="14"/>
      <c r="I531" s="14"/>
      <c r="J531" s="14"/>
      <c r="K531" s="14"/>
      <c r="M531" s="14"/>
    </row>
    <row r="532" spans="2:13" ht="12.75" customHeight="1" x14ac:dyDescent="0.25">
      <c r="B532" s="14"/>
      <c r="D532" s="14"/>
      <c r="E532" s="14"/>
      <c r="F532" s="14"/>
      <c r="G532" s="14"/>
      <c r="H532" s="14"/>
      <c r="I532" s="14"/>
      <c r="J532" s="14"/>
      <c r="K532" s="14"/>
      <c r="M532" s="14"/>
    </row>
    <row r="533" spans="2:13" ht="12.75" customHeight="1" x14ac:dyDescent="0.25">
      <c r="B533" s="14"/>
      <c r="D533" s="14"/>
      <c r="E533" s="14"/>
      <c r="F533" s="14"/>
      <c r="G533" s="14"/>
      <c r="H533" s="14"/>
      <c r="I533" s="14"/>
      <c r="J533" s="14"/>
      <c r="K533" s="14"/>
      <c r="M533" s="14"/>
    </row>
    <row r="534" spans="2:13" ht="12.75" customHeight="1" x14ac:dyDescent="0.25">
      <c r="B534" s="14"/>
      <c r="D534" s="14"/>
      <c r="E534" s="14"/>
      <c r="F534" s="14"/>
      <c r="G534" s="14"/>
      <c r="H534" s="14"/>
      <c r="I534" s="14"/>
      <c r="J534" s="14"/>
      <c r="K534" s="14"/>
      <c r="M534" s="14"/>
    </row>
    <row r="535" spans="2:13" ht="12.75" customHeight="1" x14ac:dyDescent="0.25">
      <c r="B535" s="14"/>
      <c r="D535" s="14"/>
      <c r="E535" s="14"/>
      <c r="F535" s="14"/>
      <c r="G535" s="14"/>
      <c r="H535" s="14"/>
      <c r="I535" s="14"/>
      <c r="J535" s="14"/>
      <c r="K535" s="14"/>
      <c r="M535" s="14"/>
    </row>
    <row r="536" spans="2:13" ht="12.75" customHeight="1" x14ac:dyDescent="0.25">
      <c r="B536" s="14"/>
      <c r="D536" s="14"/>
      <c r="E536" s="14"/>
      <c r="F536" s="14"/>
      <c r="G536" s="14"/>
      <c r="H536" s="14"/>
      <c r="I536" s="14"/>
      <c r="J536" s="14"/>
      <c r="K536" s="14"/>
      <c r="M536" s="14"/>
    </row>
    <row r="537" spans="2:13" ht="12.75" customHeight="1" x14ac:dyDescent="0.25">
      <c r="B537" s="14"/>
      <c r="D537" s="14"/>
      <c r="E537" s="14"/>
      <c r="F537" s="14"/>
      <c r="G537" s="14"/>
      <c r="H537" s="14"/>
      <c r="I537" s="14"/>
      <c r="J537" s="14"/>
      <c r="K537" s="14"/>
      <c r="M537" s="14"/>
    </row>
    <row r="538" spans="2:13" ht="12.75" customHeight="1" x14ac:dyDescent="0.25">
      <c r="B538" s="14"/>
      <c r="D538" s="14"/>
      <c r="E538" s="14"/>
      <c r="F538" s="14"/>
      <c r="G538" s="14"/>
      <c r="H538" s="14"/>
      <c r="I538" s="14"/>
      <c r="J538" s="14"/>
      <c r="K538" s="14"/>
      <c r="M538" s="14"/>
    </row>
    <row r="539" spans="2:13" ht="12.75" customHeight="1" x14ac:dyDescent="0.25">
      <c r="B539" s="14"/>
      <c r="D539" s="14"/>
      <c r="E539" s="14"/>
      <c r="F539" s="14"/>
      <c r="G539" s="14"/>
      <c r="H539" s="14"/>
      <c r="I539" s="14"/>
      <c r="J539" s="14"/>
      <c r="K539" s="14"/>
      <c r="M539" s="14"/>
    </row>
    <row r="540" spans="2:13" ht="12.75" customHeight="1" x14ac:dyDescent="0.25">
      <c r="B540" s="14"/>
      <c r="D540" s="14"/>
      <c r="E540" s="14"/>
      <c r="F540" s="14"/>
      <c r="G540" s="14"/>
      <c r="H540" s="14"/>
      <c r="I540" s="14"/>
      <c r="J540" s="14"/>
      <c r="K540" s="14"/>
      <c r="M540" s="14"/>
    </row>
    <row r="541" spans="2:13" ht="12.75" customHeight="1" x14ac:dyDescent="0.25">
      <c r="B541" s="14"/>
      <c r="D541" s="14"/>
      <c r="E541" s="14"/>
      <c r="F541" s="14"/>
      <c r="G541" s="14"/>
      <c r="H541" s="14"/>
      <c r="I541" s="14"/>
      <c r="J541" s="14"/>
      <c r="K541" s="14"/>
      <c r="M541" s="14"/>
    </row>
    <row r="542" spans="2:13" ht="12.75" customHeight="1" x14ac:dyDescent="0.25">
      <c r="B542" s="14"/>
      <c r="D542" s="14"/>
      <c r="E542" s="14"/>
      <c r="F542" s="14"/>
      <c r="G542" s="14"/>
      <c r="H542" s="14"/>
      <c r="I542" s="14"/>
      <c r="J542" s="14"/>
      <c r="K542" s="14"/>
      <c r="M542" s="14"/>
    </row>
    <row r="543" spans="2:13" ht="12.75" customHeight="1" x14ac:dyDescent="0.25">
      <c r="B543" s="14"/>
      <c r="D543" s="14"/>
      <c r="E543" s="14"/>
      <c r="F543" s="14"/>
      <c r="G543" s="14"/>
      <c r="H543" s="14"/>
      <c r="I543" s="14"/>
      <c r="J543" s="14"/>
      <c r="K543" s="14"/>
      <c r="M543" s="14"/>
    </row>
    <row r="544" spans="2:13" ht="12.75" customHeight="1" x14ac:dyDescent="0.25">
      <c r="B544" s="14"/>
      <c r="D544" s="14"/>
      <c r="E544" s="14"/>
      <c r="F544" s="14"/>
      <c r="G544" s="14"/>
      <c r="H544" s="14"/>
      <c r="I544" s="14"/>
      <c r="J544" s="14"/>
      <c r="K544" s="14"/>
      <c r="M544" s="14"/>
    </row>
    <row r="545" spans="2:13" ht="12.75" customHeight="1" x14ac:dyDescent="0.25">
      <c r="B545" s="14"/>
      <c r="D545" s="14"/>
      <c r="E545" s="14"/>
      <c r="F545" s="14"/>
      <c r="G545" s="14"/>
      <c r="H545" s="14"/>
      <c r="I545" s="14"/>
      <c r="J545" s="14"/>
      <c r="K545" s="14"/>
      <c r="M545" s="14"/>
    </row>
    <row r="546" spans="2:13" ht="12.75" customHeight="1" x14ac:dyDescent="0.25">
      <c r="B546" s="14"/>
      <c r="D546" s="14"/>
      <c r="E546" s="14"/>
      <c r="F546" s="14"/>
      <c r="G546" s="14"/>
      <c r="H546" s="14"/>
      <c r="I546" s="14"/>
      <c r="J546" s="14"/>
      <c r="K546" s="14"/>
      <c r="M546" s="14"/>
    </row>
    <row r="547" spans="2:13" ht="12.75" customHeight="1" x14ac:dyDescent="0.25">
      <c r="B547" s="14"/>
      <c r="D547" s="14"/>
      <c r="E547" s="14"/>
      <c r="F547" s="14"/>
      <c r="G547" s="14"/>
      <c r="H547" s="14"/>
      <c r="I547" s="14"/>
      <c r="J547" s="14"/>
      <c r="K547" s="14"/>
      <c r="M547" s="14"/>
    </row>
    <row r="548" spans="2:13" ht="12.75" customHeight="1" x14ac:dyDescent="0.25">
      <c r="B548" s="14"/>
      <c r="D548" s="14"/>
      <c r="E548" s="14"/>
      <c r="F548" s="14"/>
      <c r="G548" s="14"/>
      <c r="H548" s="14"/>
      <c r="I548" s="14"/>
      <c r="J548" s="14"/>
      <c r="K548" s="14"/>
      <c r="M548" s="14"/>
    </row>
    <row r="549" spans="2:13" ht="12.75" customHeight="1" x14ac:dyDescent="0.25">
      <c r="B549" s="14"/>
      <c r="D549" s="14"/>
      <c r="E549" s="14"/>
      <c r="F549" s="14"/>
      <c r="G549" s="14"/>
      <c r="H549" s="14"/>
      <c r="I549" s="14"/>
      <c r="J549" s="14"/>
      <c r="K549" s="14"/>
      <c r="M549" s="14"/>
    </row>
    <row r="550" spans="2:13" ht="12.75" customHeight="1" x14ac:dyDescent="0.25">
      <c r="B550" s="14"/>
      <c r="D550" s="14"/>
      <c r="E550" s="14"/>
      <c r="F550" s="14"/>
      <c r="G550" s="14"/>
      <c r="H550" s="14"/>
      <c r="I550" s="14"/>
      <c r="J550" s="14"/>
      <c r="K550" s="14"/>
      <c r="M550" s="14"/>
    </row>
    <row r="551" spans="2:13" ht="12.75" customHeight="1" x14ac:dyDescent="0.25">
      <c r="B551" s="14"/>
      <c r="D551" s="14"/>
      <c r="E551" s="14"/>
      <c r="F551" s="14"/>
      <c r="G551" s="14"/>
      <c r="H551" s="14"/>
      <c r="I551" s="14"/>
      <c r="J551" s="14"/>
      <c r="K551" s="14"/>
      <c r="M551" s="14"/>
    </row>
    <row r="552" spans="2:13" ht="12.75" customHeight="1" x14ac:dyDescent="0.25">
      <c r="B552" s="14"/>
      <c r="D552" s="14"/>
      <c r="E552" s="14"/>
      <c r="F552" s="14"/>
      <c r="G552" s="14"/>
      <c r="H552" s="14"/>
      <c r="I552" s="14"/>
      <c r="J552" s="14"/>
      <c r="K552" s="14"/>
      <c r="M552" s="14"/>
    </row>
    <row r="553" spans="2:13" ht="12.75" customHeight="1" x14ac:dyDescent="0.25">
      <c r="B553" s="14"/>
      <c r="D553" s="14"/>
      <c r="E553" s="14"/>
      <c r="F553" s="14"/>
      <c r="G553" s="14"/>
      <c r="H553" s="14"/>
      <c r="I553" s="14"/>
      <c r="J553" s="14"/>
      <c r="K553" s="14"/>
      <c r="M553" s="14"/>
    </row>
    <row r="554" spans="2:13" ht="12.75" customHeight="1" x14ac:dyDescent="0.25">
      <c r="B554" s="14"/>
      <c r="D554" s="14"/>
      <c r="E554" s="14"/>
      <c r="F554" s="14"/>
      <c r="G554" s="14"/>
      <c r="H554" s="14"/>
      <c r="I554" s="14"/>
      <c r="J554" s="14"/>
      <c r="K554" s="14"/>
      <c r="M554" s="14"/>
    </row>
    <row r="555" spans="2:13" ht="12.75" customHeight="1" x14ac:dyDescent="0.25">
      <c r="B555" s="14"/>
      <c r="D555" s="14"/>
      <c r="E555" s="14"/>
      <c r="F555" s="14"/>
      <c r="G555" s="14"/>
      <c r="H555" s="14"/>
      <c r="I555" s="14"/>
      <c r="J555" s="14"/>
      <c r="K555" s="14"/>
      <c r="M555" s="14"/>
    </row>
    <row r="556" spans="2:13" ht="12.75" customHeight="1" x14ac:dyDescent="0.25">
      <c r="B556" s="14"/>
      <c r="D556" s="14"/>
      <c r="E556" s="14"/>
      <c r="F556" s="14"/>
      <c r="G556" s="14"/>
      <c r="H556" s="14"/>
      <c r="I556" s="14"/>
      <c r="J556" s="14"/>
      <c r="K556" s="14"/>
      <c r="M556" s="14"/>
    </row>
    <row r="557" spans="2:13" ht="12.75" customHeight="1" x14ac:dyDescent="0.25">
      <c r="B557" s="14"/>
      <c r="D557" s="14"/>
      <c r="E557" s="14"/>
      <c r="F557" s="14"/>
      <c r="G557" s="14"/>
      <c r="H557" s="14"/>
      <c r="I557" s="14"/>
      <c r="J557" s="14"/>
      <c r="K557" s="14"/>
      <c r="M557" s="14"/>
    </row>
    <row r="558" spans="2:13" ht="12.75" customHeight="1" x14ac:dyDescent="0.25">
      <c r="B558" s="14"/>
      <c r="D558" s="14"/>
      <c r="E558" s="14"/>
      <c r="F558" s="14"/>
      <c r="G558" s="14"/>
      <c r="H558" s="14"/>
      <c r="I558" s="14"/>
      <c r="J558" s="14"/>
      <c r="K558" s="14"/>
      <c r="M558" s="14"/>
    </row>
    <row r="559" spans="2:13" ht="12.75" customHeight="1" x14ac:dyDescent="0.25">
      <c r="B559" s="14"/>
      <c r="D559" s="14"/>
      <c r="E559" s="14"/>
      <c r="F559" s="14"/>
      <c r="G559" s="14"/>
      <c r="H559" s="14"/>
      <c r="I559" s="14"/>
      <c r="J559" s="14"/>
      <c r="K559" s="14"/>
      <c r="M559" s="14"/>
    </row>
    <row r="560" spans="2:13" ht="12.75" customHeight="1" x14ac:dyDescent="0.25">
      <c r="B560" s="14"/>
      <c r="D560" s="14"/>
      <c r="E560" s="14"/>
      <c r="F560" s="14"/>
      <c r="G560" s="14"/>
      <c r="H560" s="14"/>
      <c r="I560" s="14"/>
      <c r="J560" s="14"/>
      <c r="K560" s="14"/>
      <c r="M560" s="14"/>
    </row>
    <row r="561" spans="2:13" ht="12.75" customHeight="1" x14ac:dyDescent="0.25">
      <c r="B561" s="14"/>
      <c r="D561" s="14"/>
      <c r="E561" s="14"/>
      <c r="F561" s="14"/>
      <c r="G561" s="14"/>
      <c r="H561" s="14"/>
      <c r="I561" s="14"/>
      <c r="J561" s="14"/>
      <c r="K561" s="14"/>
      <c r="M561" s="14"/>
    </row>
    <row r="562" spans="2:13" ht="12.75" customHeight="1" x14ac:dyDescent="0.25">
      <c r="B562" s="14"/>
      <c r="D562" s="14"/>
      <c r="E562" s="14"/>
      <c r="F562" s="14"/>
      <c r="G562" s="14"/>
      <c r="H562" s="14"/>
      <c r="I562" s="14"/>
      <c r="J562" s="14"/>
      <c r="K562" s="14"/>
      <c r="M562" s="14"/>
    </row>
    <row r="563" spans="2:13" ht="12.75" customHeight="1" x14ac:dyDescent="0.25">
      <c r="B563" s="14"/>
      <c r="D563" s="14"/>
      <c r="E563" s="14"/>
      <c r="F563" s="14"/>
      <c r="G563" s="14"/>
      <c r="H563" s="14"/>
      <c r="I563" s="14"/>
      <c r="J563" s="14"/>
      <c r="K563" s="14"/>
      <c r="M563" s="14"/>
    </row>
    <row r="564" spans="2:13" ht="12.75" customHeight="1" x14ac:dyDescent="0.25">
      <c r="B564" s="14"/>
      <c r="D564" s="14"/>
      <c r="E564" s="14"/>
      <c r="F564" s="14"/>
      <c r="G564" s="14"/>
      <c r="H564" s="14"/>
      <c r="I564" s="14"/>
      <c r="J564" s="14"/>
      <c r="K564" s="14"/>
      <c r="M564" s="14"/>
    </row>
    <row r="565" spans="2:13" ht="12.75" customHeight="1" x14ac:dyDescent="0.25">
      <c r="B565" s="14"/>
      <c r="D565" s="14"/>
      <c r="E565" s="14"/>
      <c r="F565" s="14"/>
      <c r="G565" s="14"/>
      <c r="H565" s="14"/>
      <c r="I565" s="14"/>
      <c r="J565" s="14"/>
      <c r="K565" s="14"/>
      <c r="M565" s="14"/>
    </row>
    <row r="566" spans="2:13" ht="12.75" customHeight="1" x14ac:dyDescent="0.25">
      <c r="B566" s="14"/>
      <c r="D566" s="14"/>
      <c r="E566" s="14"/>
      <c r="F566" s="14"/>
      <c r="G566" s="14"/>
      <c r="H566" s="14"/>
      <c r="I566" s="14"/>
      <c r="J566" s="14"/>
      <c r="K566" s="14"/>
      <c r="M566" s="14"/>
    </row>
    <row r="567" spans="2:13" ht="12.75" customHeight="1" x14ac:dyDescent="0.25">
      <c r="B567" s="14"/>
      <c r="D567" s="14"/>
      <c r="E567" s="14"/>
      <c r="F567" s="14"/>
      <c r="G567" s="14"/>
      <c r="H567" s="14"/>
      <c r="I567" s="14"/>
      <c r="J567" s="14"/>
      <c r="K567" s="14"/>
      <c r="M567" s="14"/>
    </row>
    <row r="568" spans="2:13" ht="12.75" customHeight="1" x14ac:dyDescent="0.25">
      <c r="B568" s="14"/>
      <c r="D568" s="14"/>
      <c r="E568" s="14"/>
      <c r="F568" s="14"/>
      <c r="G568" s="14"/>
      <c r="H568" s="14"/>
      <c r="I568" s="14"/>
      <c r="J568" s="14"/>
      <c r="K568" s="14"/>
      <c r="M568" s="14"/>
    </row>
    <row r="569" spans="2:13" ht="12.75" customHeight="1" x14ac:dyDescent="0.25">
      <c r="B569" s="14"/>
      <c r="D569" s="14"/>
      <c r="E569" s="14"/>
      <c r="F569" s="14"/>
      <c r="G569" s="14"/>
      <c r="H569" s="14"/>
      <c r="I569" s="14"/>
      <c r="J569" s="14"/>
      <c r="K569" s="14"/>
      <c r="M569" s="14"/>
    </row>
    <row r="570" spans="2:13" ht="12.75" customHeight="1" x14ac:dyDescent="0.25">
      <c r="B570" s="14"/>
      <c r="D570" s="14"/>
      <c r="E570" s="14"/>
      <c r="F570" s="14"/>
      <c r="G570" s="14"/>
      <c r="H570" s="14"/>
      <c r="I570" s="14"/>
      <c r="J570" s="14"/>
      <c r="K570" s="14"/>
      <c r="M570" s="14"/>
    </row>
    <row r="571" spans="2:13" ht="12.75" customHeight="1" x14ac:dyDescent="0.25">
      <c r="B571" s="14"/>
      <c r="D571" s="14"/>
      <c r="E571" s="14"/>
      <c r="F571" s="14"/>
      <c r="G571" s="14"/>
      <c r="H571" s="14"/>
      <c r="I571" s="14"/>
      <c r="J571" s="14"/>
      <c r="K571" s="14"/>
      <c r="M571" s="14"/>
    </row>
    <row r="572" spans="2:13" ht="12.75" customHeight="1" x14ac:dyDescent="0.25">
      <c r="B572" s="14"/>
      <c r="D572" s="14"/>
      <c r="E572" s="14"/>
      <c r="F572" s="14"/>
      <c r="G572" s="14"/>
      <c r="H572" s="14"/>
      <c r="I572" s="14"/>
      <c r="J572" s="14"/>
      <c r="K572" s="14"/>
      <c r="M572" s="14"/>
    </row>
    <row r="573" spans="2:13" ht="12.75" customHeight="1" x14ac:dyDescent="0.25">
      <c r="B573" s="14"/>
      <c r="D573" s="14"/>
      <c r="E573" s="14"/>
      <c r="F573" s="14"/>
      <c r="G573" s="14"/>
      <c r="H573" s="14"/>
      <c r="I573" s="14"/>
      <c r="J573" s="14"/>
      <c r="K573" s="14"/>
      <c r="M573" s="14"/>
    </row>
    <row r="574" spans="2:13" ht="12.75" customHeight="1" x14ac:dyDescent="0.25">
      <c r="B574" s="14"/>
      <c r="D574" s="14"/>
      <c r="E574" s="14"/>
      <c r="F574" s="14"/>
      <c r="G574" s="14"/>
      <c r="H574" s="14"/>
      <c r="I574" s="14"/>
      <c r="J574" s="14"/>
      <c r="K574" s="14"/>
      <c r="M574" s="14"/>
    </row>
    <row r="575" spans="2:13" ht="12.75" customHeight="1" x14ac:dyDescent="0.25">
      <c r="B575" s="14"/>
      <c r="D575" s="14"/>
      <c r="E575" s="14"/>
      <c r="F575" s="14"/>
      <c r="G575" s="14"/>
      <c r="H575" s="14"/>
      <c r="I575" s="14"/>
      <c r="J575" s="14"/>
      <c r="K575" s="14"/>
      <c r="M575" s="14"/>
    </row>
    <row r="576" spans="2:13" ht="12.75" customHeight="1" x14ac:dyDescent="0.25">
      <c r="B576" s="14"/>
      <c r="D576" s="14"/>
      <c r="E576" s="14"/>
      <c r="F576" s="14"/>
      <c r="G576" s="14"/>
      <c r="H576" s="14"/>
      <c r="I576" s="14"/>
      <c r="J576" s="14"/>
      <c r="K576" s="14"/>
      <c r="M576" s="14"/>
    </row>
    <row r="577" spans="2:13" ht="12.75" customHeight="1" x14ac:dyDescent="0.25">
      <c r="B577" s="14"/>
      <c r="D577" s="14"/>
      <c r="E577" s="14"/>
      <c r="F577" s="14"/>
      <c r="G577" s="14"/>
      <c r="H577" s="14"/>
      <c r="I577" s="14"/>
      <c r="J577" s="14"/>
      <c r="K577" s="14"/>
      <c r="M577" s="14"/>
    </row>
    <row r="578" spans="2:13" ht="12.75" customHeight="1" x14ac:dyDescent="0.25">
      <c r="B578" s="14"/>
      <c r="D578" s="14"/>
      <c r="E578" s="14"/>
      <c r="F578" s="14"/>
      <c r="G578" s="14"/>
      <c r="H578" s="14"/>
      <c r="I578" s="14"/>
      <c r="J578" s="14"/>
      <c r="K578" s="14"/>
      <c r="M578" s="14"/>
    </row>
    <row r="579" spans="2:13" ht="12.75" customHeight="1" x14ac:dyDescent="0.25">
      <c r="B579" s="14"/>
      <c r="D579" s="14"/>
      <c r="E579" s="14"/>
      <c r="F579" s="14"/>
      <c r="G579" s="14"/>
      <c r="H579" s="14"/>
      <c r="I579" s="14"/>
      <c r="J579" s="14"/>
      <c r="K579" s="14"/>
      <c r="M579" s="14"/>
    </row>
    <row r="580" spans="2:13" ht="12.75" customHeight="1" x14ac:dyDescent="0.25">
      <c r="B580" s="14"/>
      <c r="D580" s="14"/>
      <c r="E580" s="14"/>
      <c r="F580" s="14"/>
      <c r="G580" s="14"/>
      <c r="H580" s="14"/>
      <c r="I580" s="14"/>
      <c r="J580" s="14"/>
      <c r="K580" s="14"/>
      <c r="M580" s="14"/>
    </row>
    <row r="581" spans="2:13" ht="12.75" customHeight="1" x14ac:dyDescent="0.25">
      <c r="B581" s="14"/>
      <c r="D581" s="14"/>
      <c r="E581" s="14"/>
      <c r="F581" s="14"/>
      <c r="G581" s="14"/>
      <c r="H581" s="14"/>
      <c r="I581" s="14"/>
      <c r="J581" s="14"/>
      <c r="K581" s="14"/>
      <c r="M581" s="14"/>
    </row>
    <row r="582" spans="2:13" ht="12.75" customHeight="1" x14ac:dyDescent="0.25">
      <c r="B582" s="14"/>
      <c r="D582" s="14"/>
      <c r="E582" s="14"/>
      <c r="F582" s="14"/>
      <c r="G582" s="14"/>
      <c r="H582" s="14"/>
      <c r="I582" s="14"/>
      <c r="J582" s="14"/>
      <c r="K582" s="14"/>
      <c r="M582" s="14"/>
    </row>
    <row r="583" spans="2:13" ht="12.75" customHeight="1" x14ac:dyDescent="0.25">
      <c r="B583" s="14"/>
      <c r="D583" s="14"/>
      <c r="E583" s="14"/>
      <c r="F583" s="14"/>
      <c r="G583" s="14"/>
      <c r="H583" s="14"/>
      <c r="I583" s="14"/>
      <c r="J583" s="14"/>
      <c r="K583" s="14"/>
      <c r="M583" s="14"/>
    </row>
    <row r="584" spans="2:13" ht="12.75" customHeight="1" x14ac:dyDescent="0.25">
      <c r="B584" s="14"/>
      <c r="D584" s="14"/>
      <c r="E584" s="14"/>
      <c r="F584" s="14"/>
      <c r="G584" s="14"/>
      <c r="H584" s="14"/>
      <c r="I584" s="14"/>
      <c r="J584" s="14"/>
      <c r="K584" s="14"/>
      <c r="M584" s="14"/>
    </row>
    <row r="585" spans="2:13" ht="12.75" customHeight="1" x14ac:dyDescent="0.25">
      <c r="B585" s="14"/>
      <c r="D585" s="14"/>
      <c r="E585" s="14"/>
      <c r="F585" s="14"/>
      <c r="G585" s="14"/>
      <c r="H585" s="14"/>
      <c r="I585" s="14"/>
      <c r="J585" s="14"/>
      <c r="K585" s="14"/>
      <c r="M585" s="14"/>
    </row>
    <row r="586" spans="2:13" ht="12.75" customHeight="1" x14ac:dyDescent="0.25">
      <c r="B586" s="14"/>
      <c r="D586" s="14"/>
      <c r="E586" s="14"/>
      <c r="F586" s="14"/>
      <c r="G586" s="14"/>
      <c r="H586" s="14"/>
      <c r="I586" s="14"/>
      <c r="J586" s="14"/>
      <c r="K586" s="14"/>
      <c r="M586" s="14"/>
    </row>
    <row r="587" spans="2:13" ht="12.75" customHeight="1" x14ac:dyDescent="0.25">
      <c r="B587" s="14"/>
      <c r="D587" s="14"/>
      <c r="E587" s="14"/>
      <c r="F587" s="14"/>
      <c r="G587" s="14"/>
      <c r="H587" s="14"/>
      <c r="I587" s="14"/>
      <c r="J587" s="14"/>
      <c r="K587" s="14"/>
      <c r="M587" s="14"/>
    </row>
    <row r="588" spans="2:13" ht="12.75" customHeight="1" x14ac:dyDescent="0.25">
      <c r="B588" s="14"/>
      <c r="D588" s="14"/>
      <c r="E588" s="14"/>
      <c r="F588" s="14"/>
      <c r="G588" s="14"/>
      <c r="H588" s="14"/>
      <c r="I588" s="14"/>
      <c r="J588" s="14"/>
      <c r="K588" s="14"/>
      <c r="M588" s="14"/>
    </row>
    <row r="589" spans="2:13" ht="12.75" customHeight="1" x14ac:dyDescent="0.25">
      <c r="B589" s="14"/>
      <c r="D589" s="14"/>
      <c r="E589" s="14"/>
      <c r="F589" s="14"/>
      <c r="G589" s="14"/>
      <c r="H589" s="14"/>
      <c r="I589" s="14"/>
      <c r="J589" s="14"/>
      <c r="K589" s="14"/>
      <c r="M589" s="14"/>
    </row>
    <row r="590" spans="2:13" ht="12.75" customHeight="1" x14ac:dyDescent="0.25">
      <c r="B590" s="14"/>
      <c r="D590" s="14"/>
      <c r="E590" s="14"/>
      <c r="F590" s="14"/>
      <c r="G590" s="14"/>
      <c r="H590" s="14"/>
      <c r="I590" s="14"/>
      <c r="J590" s="14"/>
      <c r="K590" s="14"/>
      <c r="M590" s="14"/>
    </row>
    <row r="591" spans="2:13" ht="12.75" customHeight="1" x14ac:dyDescent="0.25">
      <c r="B591" s="14"/>
      <c r="D591" s="14"/>
      <c r="E591" s="14"/>
      <c r="F591" s="14"/>
      <c r="G591" s="14"/>
      <c r="H591" s="14"/>
      <c r="I591" s="14"/>
      <c r="J591" s="14"/>
      <c r="K591" s="14"/>
      <c r="M591" s="14"/>
    </row>
    <row r="592" spans="2:13" ht="12.75" customHeight="1" x14ac:dyDescent="0.25">
      <c r="B592" s="14"/>
      <c r="D592" s="14"/>
      <c r="E592" s="14"/>
      <c r="F592" s="14"/>
      <c r="G592" s="14"/>
      <c r="H592" s="14"/>
      <c r="I592" s="14"/>
      <c r="J592" s="14"/>
      <c r="K592" s="14"/>
      <c r="M592" s="14"/>
    </row>
    <row r="593" spans="2:13" ht="12.75" customHeight="1" x14ac:dyDescent="0.25">
      <c r="B593" s="14"/>
      <c r="D593" s="14"/>
      <c r="E593" s="14"/>
      <c r="F593" s="14"/>
      <c r="G593" s="14"/>
      <c r="H593" s="14"/>
      <c r="I593" s="14"/>
      <c r="J593" s="14"/>
      <c r="K593" s="14"/>
      <c r="M593" s="14"/>
    </row>
    <row r="594" spans="2:13" ht="12.75" customHeight="1" x14ac:dyDescent="0.25">
      <c r="B594" s="14"/>
      <c r="D594" s="14"/>
      <c r="E594" s="14"/>
      <c r="F594" s="14"/>
      <c r="G594" s="14"/>
      <c r="H594" s="14"/>
      <c r="I594" s="14"/>
      <c r="J594" s="14"/>
      <c r="K594" s="14"/>
      <c r="M594" s="14"/>
    </row>
    <row r="595" spans="2:13" ht="12.75" customHeight="1" x14ac:dyDescent="0.25">
      <c r="B595" s="14"/>
      <c r="D595" s="14"/>
      <c r="E595" s="14"/>
      <c r="F595" s="14"/>
      <c r="G595" s="14"/>
      <c r="H595" s="14"/>
      <c r="I595" s="14"/>
      <c r="J595" s="14"/>
      <c r="K595" s="14"/>
      <c r="M595" s="14"/>
    </row>
    <row r="596" spans="2:13" ht="12.75" customHeight="1" x14ac:dyDescent="0.25">
      <c r="B596" s="14"/>
      <c r="D596" s="14"/>
      <c r="E596" s="14"/>
      <c r="F596" s="14"/>
      <c r="G596" s="14"/>
      <c r="H596" s="14"/>
      <c r="I596" s="14"/>
      <c r="J596" s="14"/>
      <c r="K596" s="14"/>
      <c r="M596" s="14"/>
    </row>
    <row r="597" spans="2:13" ht="12.75" customHeight="1" x14ac:dyDescent="0.25">
      <c r="B597" s="14"/>
      <c r="D597" s="14"/>
      <c r="E597" s="14"/>
      <c r="F597" s="14"/>
      <c r="G597" s="14"/>
      <c r="H597" s="14"/>
      <c r="I597" s="14"/>
      <c r="J597" s="14"/>
      <c r="K597" s="14"/>
      <c r="M597" s="14"/>
    </row>
    <row r="598" spans="2:13" ht="12.75" customHeight="1" x14ac:dyDescent="0.25">
      <c r="B598" s="14"/>
      <c r="D598" s="14"/>
      <c r="E598" s="14"/>
      <c r="F598" s="14"/>
      <c r="G598" s="14"/>
      <c r="H598" s="14"/>
      <c r="I598" s="14"/>
      <c r="J598" s="14"/>
      <c r="K598" s="14"/>
      <c r="M598" s="14"/>
    </row>
    <row r="599" spans="2:13" ht="12.75" customHeight="1" x14ac:dyDescent="0.25">
      <c r="B599" s="14"/>
      <c r="D599" s="14"/>
      <c r="E599" s="14"/>
      <c r="F599" s="14"/>
      <c r="G599" s="14"/>
      <c r="H599" s="14"/>
      <c r="I599" s="14"/>
      <c r="J599" s="14"/>
      <c r="K599" s="14"/>
      <c r="M599" s="14"/>
    </row>
    <row r="600" spans="2:13" ht="12.75" customHeight="1" x14ac:dyDescent="0.25">
      <c r="B600" s="14"/>
      <c r="D600" s="14"/>
      <c r="E600" s="14"/>
      <c r="F600" s="14"/>
      <c r="G600" s="14"/>
      <c r="H600" s="14"/>
      <c r="I600" s="14"/>
      <c r="J600" s="14"/>
      <c r="K600" s="14"/>
      <c r="M600" s="14"/>
    </row>
    <row r="601" spans="2:13" ht="12.75" customHeight="1" x14ac:dyDescent="0.25">
      <c r="B601" s="14"/>
      <c r="D601" s="14"/>
      <c r="E601" s="14"/>
      <c r="F601" s="14"/>
      <c r="G601" s="14"/>
      <c r="H601" s="14"/>
      <c r="I601" s="14"/>
      <c r="J601" s="14"/>
      <c r="K601" s="14"/>
      <c r="M601" s="14"/>
    </row>
    <row r="602" spans="2:13" ht="12.75" customHeight="1" x14ac:dyDescent="0.25">
      <c r="B602" s="14"/>
      <c r="D602" s="14"/>
      <c r="E602" s="14"/>
      <c r="F602" s="14"/>
      <c r="G602" s="14"/>
      <c r="H602" s="14"/>
      <c r="I602" s="14"/>
      <c r="J602" s="14"/>
      <c r="K602" s="14"/>
      <c r="M602" s="14"/>
    </row>
    <row r="603" spans="2:13" ht="12.75" customHeight="1" x14ac:dyDescent="0.25">
      <c r="B603" s="14"/>
      <c r="D603" s="14"/>
      <c r="E603" s="14"/>
      <c r="F603" s="14"/>
      <c r="G603" s="14"/>
      <c r="H603" s="14"/>
      <c r="I603" s="14"/>
      <c r="J603" s="14"/>
      <c r="K603" s="14"/>
      <c r="M603" s="14"/>
    </row>
    <row r="604" spans="2:13" ht="12.75" customHeight="1" x14ac:dyDescent="0.25">
      <c r="B604" s="14"/>
      <c r="D604" s="14"/>
      <c r="E604" s="14"/>
      <c r="F604" s="14"/>
      <c r="G604" s="14"/>
      <c r="H604" s="14"/>
      <c r="I604" s="14"/>
      <c r="J604" s="14"/>
      <c r="K604" s="14"/>
      <c r="M604" s="14"/>
    </row>
    <row r="605" spans="2:13" ht="12.75" customHeight="1" x14ac:dyDescent="0.25">
      <c r="B605" s="14"/>
      <c r="D605" s="14"/>
      <c r="E605" s="14"/>
      <c r="F605" s="14"/>
      <c r="G605" s="14"/>
      <c r="H605" s="14"/>
      <c r="I605" s="14"/>
      <c r="J605" s="14"/>
      <c r="K605" s="14"/>
      <c r="M605" s="14"/>
    </row>
    <row r="606" spans="2:13" ht="12.75" customHeight="1" x14ac:dyDescent="0.25">
      <c r="B606" s="14"/>
      <c r="D606" s="14"/>
      <c r="E606" s="14"/>
      <c r="F606" s="14"/>
      <c r="G606" s="14"/>
      <c r="H606" s="14"/>
      <c r="I606" s="14"/>
      <c r="J606" s="14"/>
      <c r="K606" s="14"/>
      <c r="M606" s="14"/>
    </row>
    <row r="607" spans="2:13" ht="12.75" customHeight="1" x14ac:dyDescent="0.25">
      <c r="B607" s="14"/>
      <c r="D607" s="14"/>
      <c r="E607" s="14"/>
      <c r="F607" s="14"/>
      <c r="G607" s="14"/>
      <c r="H607" s="14"/>
      <c r="I607" s="14"/>
      <c r="J607" s="14"/>
      <c r="K607" s="14"/>
      <c r="M607" s="14"/>
    </row>
    <row r="608" spans="2:13" ht="12.75" customHeight="1" x14ac:dyDescent="0.25">
      <c r="B608" s="14"/>
      <c r="D608" s="14"/>
      <c r="E608" s="14"/>
      <c r="F608" s="14"/>
      <c r="G608" s="14"/>
      <c r="H608" s="14"/>
      <c r="I608" s="14"/>
      <c r="J608" s="14"/>
      <c r="K608" s="14"/>
      <c r="M608" s="14"/>
    </row>
    <row r="609" spans="2:13" ht="12.75" customHeight="1" x14ac:dyDescent="0.25">
      <c r="B609" s="14"/>
      <c r="D609" s="14"/>
      <c r="E609" s="14"/>
      <c r="F609" s="14"/>
      <c r="G609" s="14"/>
      <c r="H609" s="14"/>
      <c r="I609" s="14"/>
      <c r="J609" s="14"/>
      <c r="K609" s="14"/>
      <c r="M609" s="14"/>
    </row>
    <row r="610" spans="2:13" ht="12.75" customHeight="1" x14ac:dyDescent="0.25">
      <c r="B610" s="14"/>
      <c r="D610" s="14"/>
      <c r="E610" s="14"/>
      <c r="F610" s="14"/>
      <c r="G610" s="14"/>
      <c r="H610" s="14"/>
      <c r="I610" s="14"/>
      <c r="J610" s="14"/>
      <c r="K610" s="14"/>
      <c r="M610" s="14"/>
    </row>
    <row r="611" spans="2:13" ht="12.75" customHeight="1" x14ac:dyDescent="0.25">
      <c r="B611" s="14"/>
      <c r="D611" s="14"/>
      <c r="E611" s="14"/>
      <c r="F611" s="14"/>
      <c r="G611" s="14"/>
      <c r="H611" s="14"/>
      <c r="I611" s="14"/>
      <c r="J611" s="14"/>
      <c r="K611" s="14"/>
      <c r="M611" s="14"/>
    </row>
    <row r="612" spans="2:13" ht="12.75" customHeight="1" x14ac:dyDescent="0.25">
      <c r="B612" s="14"/>
      <c r="D612" s="14"/>
      <c r="E612" s="14"/>
      <c r="F612" s="14"/>
      <c r="G612" s="14"/>
      <c r="H612" s="14"/>
      <c r="I612" s="14"/>
      <c r="J612" s="14"/>
      <c r="K612" s="14"/>
      <c r="M612" s="14"/>
    </row>
    <row r="613" spans="2:13" ht="12.75" customHeight="1" x14ac:dyDescent="0.25">
      <c r="B613" s="14"/>
      <c r="D613" s="14"/>
      <c r="E613" s="14"/>
      <c r="F613" s="14"/>
      <c r="G613" s="14"/>
      <c r="H613" s="14"/>
      <c r="I613" s="14"/>
      <c r="J613" s="14"/>
      <c r="K613" s="14"/>
      <c r="M613" s="14"/>
    </row>
    <row r="614" spans="2:13" ht="12.75" customHeight="1" x14ac:dyDescent="0.25">
      <c r="B614" s="14"/>
      <c r="D614" s="14"/>
      <c r="E614" s="14"/>
      <c r="F614" s="14"/>
      <c r="G614" s="14"/>
      <c r="H614" s="14"/>
      <c r="I614" s="14"/>
      <c r="J614" s="14"/>
      <c r="K614" s="14"/>
      <c r="M614" s="14"/>
    </row>
    <row r="615" spans="2:13" ht="12.75" customHeight="1" x14ac:dyDescent="0.25">
      <c r="B615" s="14"/>
      <c r="D615" s="14"/>
      <c r="E615" s="14"/>
      <c r="F615" s="14"/>
      <c r="G615" s="14"/>
      <c r="H615" s="14"/>
      <c r="I615" s="14"/>
      <c r="J615" s="14"/>
      <c r="K615" s="14"/>
      <c r="M615" s="14"/>
    </row>
    <row r="616" spans="2:13" ht="12.75" customHeight="1" x14ac:dyDescent="0.25">
      <c r="B616" s="14"/>
      <c r="D616" s="14"/>
      <c r="E616" s="14"/>
      <c r="F616" s="14"/>
      <c r="G616" s="14"/>
      <c r="H616" s="14"/>
      <c r="I616" s="14"/>
      <c r="J616" s="14"/>
      <c r="K616" s="14"/>
      <c r="M616" s="14"/>
    </row>
    <row r="617" spans="2:13" ht="12.75" customHeight="1" x14ac:dyDescent="0.25">
      <c r="B617" s="14"/>
      <c r="D617" s="14"/>
      <c r="E617" s="14"/>
      <c r="F617" s="14"/>
      <c r="G617" s="14"/>
      <c r="H617" s="14"/>
      <c r="I617" s="14"/>
      <c r="J617" s="14"/>
      <c r="K617" s="14"/>
      <c r="M617" s="14"/>
    </row>
    <row r="618" spans="2:13" ht="12.75" customHeight="1" x14ac:dyDescent="0.25">
      <c r="B618" s="14"/>
      <c r="D618" s="14"/>
      <c r="E618" s="14"/>
      <c r="F618" s="14"/>
      <c r="G618" s="14"/>
      <c r="H618" s="14"/>
      <c r="I618" s="14"/>
      <c r="J618" s="14"/>
      <c r="K618" s="14"/>
      <c r="M618" s="14"/>
    </row>
    <row r="619" spans="2:13" ht="12.75" customHeight="1" x14ac:dyDescent="0.25">
      <c r="B619" s="14"/>
      <c r="D619" s="14"/>
      <c r="E619" s="14"/>
      <c r="F619" s="14"/>
      <c r="G619" s="14"/>
      <c r="H619" s="14"/>
      <c r="I619" s="14"/>
      <c r="J619" s="14"/>
      <c r="K619" s="14"/>
      <c r="M619" s="14"/>
    </row>
    <row r="620" spans="2:13" ht="12.75" customHeight="1" x14ac:dyDescent="0.25">
      <c r="B620" s="14"/>
      <c r="D620" s="14"/>
      <c r="E620" s="14"/>
      <c r="F620" s="14"/>
      <c r="G620" s="14"/>
      <c r="H620" s="14"/>
      <c r="I620" s="14"/>
      <c r="J620" s="14"/>
      <c r="K620" s="14"/>
      <c r="M620" s="14"/>
    </row>
    <row r="621" spans="2:13" ht="12.75" customHeight="1" x14ac:dyDescent="0.25">
      <c r="B621" s="14"/>
      <c r="D621" s="14"/>
      <c r="E621" s="14"/>
      <c r="F621" s="14"/>
      <c r="G621" s="14"/>
      <c r="H621" s="14"/>
      <c r="I621" s="14"/>
      <c r="J621" s="14"/>
      <c r="K621" s="14"/>
      <c r="M621" s="14"/>
    </row>
    <row r="622" spans="2:13" ht="12.75" customHeight="1" x14ac:dyDescent="0.25">
      <c r="B622" s="14"/>
      <c r="D622" s="14"/>
      <c r="E622" s="14"/>
      <c r="F622" s="14"/>
      <c r="G622" s="14"/>
      <c r="H622" s="14"/>
      <c r="I622" s="14"/>
      <c r="J622" s="14"/>
      <c r="K622" s="14"/>
      <c r="M622" s="14"/>
    </row>
    <row r="623" spans="2:13" ht="12.75" customHeight="1" x14ac:dyDescent="0.25">
      <c r="B623" s="14"/>
      <c r="D623" s="14"/>
      <c r="E623" s="14"/>
      <c r="F623" s="14"/>
      <c r="G623" s="14"/>
      <c r="H623" s="14"/>
      <c r="I623" s="14"/>
      <c r="J623" s="14"/>
      <c r="K623" s="14"/>
      <c r="M623" s="14"/>
    </row>
    <row r="624" spans="2:13" ht="12.75" customHeight="1" x14ac:dyDescent="0.25">
      <c r="B624" s="14"/>
      <c r="D624" s="14"/>
      <c r="E624" s="14"/>
      <c r="F624" s="14"/>
      <c r="G624" s="14"/>
      <c r="H624" s="14"/>
      <c r="I624" s="14"/>
      <c r="J624" s="14"/>
      <c r="K624" s="14"/>
      <c r="M624" s="14"/>
    </row>
    <row r="625" spans="2:13" ht="12.75" customHeight="1" x14ac:dyDescent="0.25">
      <c r="B625" s="14"/>
      <c r="D625" s="14"/>
      <c r="E625" s="14"/>
      <c r="F625" s="14"/>
      <c r="G625" s="14"/>
      <c r="H625" s="14"/>
      <c r="I625" s="14"/>
      <c r="J625" s="14"/>
      <c r="K625" s="14"/>
      <c r="M625" s="14"/>
    </row>
    <row r="626" spans="2:13" ht="12.75" customHeight="1" x14ac:dyDescent="0.25">
      <c r="B626" s="14"/>
      <c r="D626" s="14"/>
      <c r="E626" s="14"/>
      <c r="F626" s="14"/>
      <c r="G626" s="14"/>
      <c r="H626" s="14"/>
      <c r="I626" s="14"/>
      <c r="J626" s="14"/>
      <c r="K626" s="14"/>
      <c r="M626" s="14"/>
    </row>
    <row r="627" spans="2:13" ht="12.75" customHeight="1" x14ac:dyDescent="0.25">
      <c r="B627" s="14"/>
      <c r="D627" s="14"/>
      <c r="E627" s="14"/>
      <c r="F627" s="14"/>
      <c r="G627" s="14"/>
      <c r="H627" s="14"/>
      <c r="I627" s="14"/>
      <c r="J627" s="14"/>
      <c r="K627" s="14"/>
      <c r="M627" s="14"/>
    </row>
    <row r="628" spans="2:13" ht="12.75" customHeight="1" x14ac:dyDescent="0.25">
      <c r="B628" s="14"/>
      <c r="D628" s="14"/>
      <c r="E628" s="14"/>
      <c r="F628" s="14"/>
      <c r="G628" s="14"/>
      <c r="H628" s="14"/>
      <c r="I628" s="14"/>
      <c r="J628" s="14"/>
      <c r="K628" s="14"/>
      <c r="M628" s="14"/>
    </row>
    <row r="629" spans="2:13" ht="12.75" customHeight="1" x14ac:dyDescent="0.25">
      <c r="B629" s="14"/>
      <c r="D629" s="14"/>
      <c r="E629" s="14"/>
      <c r="F629" s="14"/>
      <c r="G629" s="14"/>
      <c r="H629" s="14"/>
      <c r="I629" s="14"/>
      <c r="J629" s="14"/>
      <c r="K629" s="14"/>
      <c r="M629" s="14"/>
    </row>
    <row r="630" spans="2:13" ht="12.75" customHeight="1" x14ac:dyDescent="0.25">
      <c r="B630" s="14"/>
      <c r="D630" s="14"/>
      <c r="E630" s="14"/>
      <c r="F630" s="14"/>
      <c r="G630" s="14"/>
      <c r="H630" s="14"/>
      <c r="I630" s="14"/>
      <c r="J630" s="14"/>
      <c r="K630" s="14"/>
      <c r="M630" s="14"/>
    </row>
    <row r="631" spans="2:13" ht="12.75" customHeight="1" x14ac:dyDescent="0.25">
      <c r="B631" s="14"/>
      <c r="D631" s="14"/>
      <c r="E631" s="14"/>
      <c r="F631" s="14"/>
      <c r="G631" s="14"/>
      <c r="H631" s="14"/>
      <c r="I631" s="14"/>
      <c r="J631" s="14"/>
      <c r="K631" s="14"/>
      <c r="M631" s="14"/>
    </row>
    <row r="632" spans="2:13" ht="12.75" customHeight="1" x14ac:dyDescent="0.25">
      <c r="B632" s="14"/>
      <c r="D632" s="14"/>
      <c r="E632" s="14"/>
      <c r="F632" s="14"/>
      <c r="G632" s="14"/>
      <c r="H632" s="14"/>
      <c r="I632" s="14"/>
      <c r="J632" s="14"/>
      <c r="K632" s="14"/>
      <c r="M632" s="14"/>
    </row>
    <row r="633" spans="2:13" ht="12.75" customHeight="1" x14ac:dyDescent="0.25">
      <c r="B633" s="14"/>
      <c r="D633" s="14"/>
      <c r="E633" s="14"/>
      <c r="F633" s="14"/>
      <c r="G633" s="14"/>
      <c r="H633" s="14"/>
      <c r="I633" s="14"/>
      <c r="J633" s="14"/>
      <c r="K633" s="14"/>
      <c r="M633" s="14"/>
    </row>
    <row r="634" spans="2:13" ht="12.75" customHeight="1" x14ac:dyDescent="0.25">
      <c r="B634" s="14"/>
      <c r="D634" s="14"/>
      <c r="E634" s="14"/>
      <c r="F634" s="14"/>
      <c r="G634" s="14"/>
      <c r="H634" s="14"/>
      <c r="I634" s="14"/>
      <c r="J634" s="14"/>
      <c r="K634" s="14"/>
      <c r="M634" s="14"/>
    </row>
    <row r="635" spans="2:13" ht="12.75" customHeight="1" x14ac:dyDescent="0.25">
      <c r="B635" s="14"/>
      <c r="D635" s="14"/>
      <c r="E635" s="14"/>
      <c r="F635" s="14"/>
      <c r="G635" s="14"/>
      <c r="H635" s="14"/>
      <c r="I635" s="14"/>
      <c r="J635" s="14"/>
      <c r="K635" s="14"/>
      <c r="M635" s="14"/>
    </row>
    <row r="636" spans="2:13" ht="12.75" customHeight="1" x14ac:dyDescent="0.25">
      <c r="B636" s="14"/>
      <c r="D636" s="14"/>
      <c r="E636" s="14"/>
      <c r="F636" s="14"/>
      <c r="G636" s="14"/>
      <c r="H636" s="14"/>
      <c r="I636" s="14"/>
      <c r="J636" s="14"/>
      <c r="K636" s="14"/>
      <c r="M636" s="14"/>
    </row>
    <row r="637" spans="2:13" ht="12.75" customHeight="1" x14ac:dyDescent="0.25">
      <c r="B637" s="14"/>
      <c r="D637" s="14"/>
      <c r="E637" s="14"/>
      <c r="F637" s="14"/>
      <c r="G637" s="14"/>
      <c r="H637" s="14"/>
      <c r="I637" s="14"/>
      <c r="J637" s="14"/>
      <c r="K637" s="14"/>
      <c r="M637" s="14"/>
    </row>
    <row r="638" spans="2:13" ht="12.75" customHeight="1" x14ac:dyDescent="0.25">
      <c r="B638" s="14"/>
      <c r="D638" s="14"/>
      <c r="E638" s="14"/>
      <c r="F638" s="14"/>
      <c r="G638" s="14"/>
      <c r="H638" s="14"/>
      <c r="I638" s="14"/>
      <c r="J638" s="14"/>
      <c r="K638" s="14"/>
      <c r="M638" s="14"/>
    </row>
    <row r="639" spans="2:13" ht="12.75" customHeight="1" x14ac:dyDescent="0.25">
      <c r="B639" s="14"/>
      <c r="D639" s="14"/>
      <c r="E639" s="14"/>
      <c r="F639" s="14"/>
      <c r="G639" s="14"/>
      <c r="H639" s="14"/>
      <c r="I639" s="14"/>
      <c r="J639" s="14"/>
      <c r="K639" s="14"/>
      <c r="M639" s="14"/>
    </row>
    <row r="640" spans="2:13" ht="12.75" customHeight="1" x14ac:dyDescent="0.25">
      <c r="B640" s="14"/>
      <c r="D640" s="14"/>
      <c r="E640" s="14"/>
      <c r="F640" s="14"/>
      <c r="G640" s="14"/>
      <c r="H640" s="14"/>
      <c r="I640" s="14"/>
      <c r="J640" s="14"/>
      <c r="K640" s="14"/>
      <c r="M640" s="14"/>
    </row>
    <row r="641" spans="2:13" ht="12.75" customHeight="1" x14ac:dyDescent="0.25">
      <c r="B641" s="14"/>
      <c r="D641" s="14"/>
      <c r="E641" s="14"/>
      <c r="F641" s="14"/>
      <c r="G641" s="14"/>
      <c r="H641" s="14"/>
      <c r="I641" s="14"/>
      <c r="J641" s="14"/>
      <c r="K641" s="14"/>
      <c r="M641" s="14"/>
    </row>
    <row r="642" spans="2:13" ht="12.75" customHeight="1" x14ac:dyDescent="0.25">
      <c r="B642" s="14"/>
      <c r="D642" s="14"/>
      <c r="E642" s="14"/>
      <c r="F642" s="14"/>
      <c r="G642" s="14"/>
      <c r="H642" s="14"/>
      <c r="I642" s="14"/>
      <c r="J642" s="14"/>
      <c r="K642" s="14"/>
      <c r="M642" s="14"/>
    </row>
    <row r="643" spans="2:13" ht="12.75" customHeight="1" x14ac:dyDescent="0.25">
      <c r="B643" s="14"/>
      <c r="D643" s="14"/>
      <c r="E643" s="14"/>
      <c r="F643" s="14"/>
      <c r="G643" s="14"/>
      <c r="H643" s="14"/>
      <c r="I643" s="14"/>
      <c r="J643" s="14"/>
      <c r="K643" s="14"/>
      <c r="M643" s="14"/>
    </row>
    <row r="644" spans="2:13" ht="12.75" customHeight="1" x14ac:dyDescent="0.25">
      <c r="B644" s="14"/>
      <c r="D644" s="14"/>
      <c r="E644" s="14"/>
      <c r="F644" s="14"/>
      <c r="G644" s="14"/>
      <c r="H644" s="14"/>
      <c r="I644" s="14"/>
      <c r="J644" s="14"/>
      <c r="K644" s="14"/>
      <c r="M644" s="14"/>
    </row>
    <row r="645" spans="2:13" ht="12.75" customHeight="1" x14ac:dyDescent="0.25">
      <c r="B645" s="14"/>
      <c r="D645" s="14"/>
      <c r="E645" s="14"/>
      <c r="F645" s="14"/>
      <c r="G645" s="14"/>
      <c r="H645" s="14"/>
      <c r="I645" s="14"/>
      <c r="J645" s="14"/>
      <c r="K645" s="14"/>
      <c r="M645" s="14"/>
    </row>
    <row r="646" spans="2:13" ht="12.75" customHeight="1" x14ac:dyDescent="0.25">
      <c r="B646" s="14"/>
      <c r="D646" s="14"/>
      <c r="E646" s="14"/>
      <c r="F646" s="14"/>
      <c r="G646" s="14"/>
      <c r="H646" s="14"/>
      <c r="I646" s="14"/>
      <c r="J646" s="14"/>
      <c r="K646" s="14"/>
      <c r="M646" s="14"/>
    </row>
    <row r="647" spans="2:13" ht="12.75" customHeight="1" x14ac:dyDescent="0.25">
      <c r="B647" s="14"/>
      <c r="D647" s="14"/>
      <c r="E647" s="14"/>
      <c r="F647" s="14"/>
      <c r="G647" s="14"/>
      <c r="H647" s="14"/>
      <c r="I647" s="14"/>
      <c r="J647" s="14"/>
      <c r="K647" s="14"/>
      <c r="M647" s="14"/>
    </row>
    <row r="648" spans="2:13" ht="12.75" customHeight="1" x14ac:dyDescent="0.25">
      <c r="B648" s="14"/>
      <c r="D648" s="14"/>
      <c r="E648" s="14"/>
      <c r="F648" s="14"/>
      <c r="G648" s="14"/>
      <c r="H648" s="14"/>
      <c r="I648" s="14"/>
      <c r="J648" s="14"/>
      <c r="K648" s="14"/>
      <c r="M648" s="14"/>
    </row>
    <row r="649" spans="2:13" ht="12.75" customHeight="1" x14ac:dyDescent="0.25">
      <c r="B649" s="14"/>
      <c r="D649" s="14"/>
      <c r="E649" s="14"/>
      <c r="F649" s="14"/>
      <c r="G649" s="14"/>
      <c r="H649" s="14"/>
      <c r="I649" s="14"/>
      <c r="J649" s="14"/>
      <c r="K649" s="14"/>
      <c r="M649" s="14"/>
    </row>
    <row r="650" spans="2:13" ht="12.75" customHeight="1" x14ac:dyDescent="0.25">
      <c r="B650" s="14"/>
      <c r="D650" s="14"/>
      <c r="E650" s="14"/>
      <c r="F650" s="14"/>
      <c r="G650" s="14"/>
      <c r="H650" s="14"/>
      <c r="I650" s="14"/>
      <c r="J650" s="14"/>
      <c r="K650" s="14"/>
      <c r="M650" s="14"/>
    </row>
    <row r="651" spans="2:13" ht="12.75" customHeight="1" x14ac:dyDescent="0.25">
      <c r="B651" s="14"/>
      <c r="D651" s="14"/>
      <c r="E651" s="14"/>
      <c r="F651" s="14"/>
      <c r="G651" s="14"/>
      <c r="H651" s="14"/>
      <c r="I651" s="14"/>
      <c r="J651" s="14"/>
      <c r="K651" s="14"/>
      <c r="M651" s="14"/>
    </row>
    <row r="652" spans="2:13" ht="12.75" customHeight="1" x14ac:dyDescent="0.25">
      <c r="B652" s="14"/>
      <c r="D652" s="14"/>
      <c r="E652" s="14"/>
      <c r="F652" s="14"/>
      <c r="G652" s="14"/>
      <c r="H652" s="14"/>
      <c r="I652" s="14"/>
      <c r="J652" s="14"/>
      <c r="K652" s="14"/>
      <c r="M652" s="14"/>
    </row>
    <row r="653" spans="2:13" ht="12.75" customHeight="1" x14ac:dyDescent="0.25">
      <c r="B653" s="14"/>
      <c r="D653" s="14"/>
      <c r="E653" s="14"/>
      <c r="F653" s="14"/>
      <c r="G653" s="14"/>
      <c r="H653" s="14"/>
      <c r="I653" s="14"/>
      <c r="J653" s="14"/>
      <c r="K653" s="14"/>
      <c r="M653" s="14"/>
    </row>
    <row r="654" spans="2:13" ht="12.75" customHeight="1" x14ac:dyDescent="0.25">
      <c r="B654" s="14"/>
      <c r="D654" s="14"/>
      <c r="E654" s="14"/>
      <c r="F654" s="14"/>
      <c r="G654" s="14"/>
      <c r="H654" s="14"/>
      <c r="I654" s="14"/>
      <c r="J654" s="14"/>
      <c r="K654" s="14"/>
      <c r="M654" s="14"/>
    </row>
    <row r="655" spans="2:13" ht="12.75" customHeight="1" x14ac:dyDescent="0.25">
      <c r="B655" s="14"/>
      <c r="D655" s="14"/>
      <c r="E655" s="14"/>
      <c r="F655" s="14"/>
      <c r="G655" s="14"/>
      <c r="H655" s="14"/>
      <c r="I655" s="14"/>
      <c r="J655" s="14"/>
      <c r="K655" s="14"/>
      <c r="M655" s="14"/>
    </row>
    <row r="656" spans="2:13" ht="12.75" customHeight="1" x14ac:dyDescent="0.25">
      <c r="B656" s="14"/>
      <c r="D656" s="14"/>
      <c r="E656" s="14"/>
      <c r="F656" s="14"/>
      <c r="G656" s="14"/>
      <c r="H656" s="14"/>
      <c r="I656" s="14"/>
      <c r="J656" s="14"/>
      <c r="K656" s="14"/>
      <c r="M656" s="14"/>
    </row>
    <row r="657" spans="2:13" ht="12.75" customHeight="1" x14ac:dyDescent="0.25">
      <c r="B657" s="14"/>
      <c r="D657" s="14"/>
      <c r="E657" s="14"/>
      <c r="F657" s="14"/>
      <c r="G657" s="14"/>
      <c r="H657" s="14"/>
      <c r="I657" s="14"/>
      <c r="J657" s="14"/>
      <c r="K657" s="14"/>
      <c r="M657" s="14"/>
    </row>
    <row r="658" spans="2:13" ht="12.75" customHeight="1" x14ac:dyDescent="0.25">
      <c r="B658" s="14"/>
      <c r="D658" s="14"/>
      <c r="E658" s="14"/>
      <c r="F658" s="14"/>
      <c r="G658" s="14"/>
      <c r="H658" s="14"/>
      <c r="I658" s="14"/>
      <c r="J658" s="14"/>
      <c r="K658" s="14"/>
      <c r="M658" s="14"/>
    </row>
    <row r="659" spans="2:13" ht="12.75" customHeight="1" x14ac:dyDescent="0.25">
      <c r="B659" s="14"/>
      <c r="D659" s="14"/>
      <c r="E659" s="14"/>
      <c r="F659" s="14"/>
      <c r="G659" s="14"/>
      <c r="H659" s="14"/>
      <c r="I659" s="14"/>
      <c r="J659" s="14"/>
      <c r="K659" s="14"/>
      <c r="M659" s="14"/>
    </row>
    <row r="660" spans="2:13" ht="12.75" customHeight="1" x14ac:dyDescent="0.25">
      <c r="B660" s="14"/>
      <c r="D660" s="14"/>
      <c r="E660" s="14"/>
      <c r="F660" s="14"/>
      <c r="G660" s="14"/>
      <c r="H660" s="14"/>
      <c r="I660" s="14"/>
      <c r="J660" s="14"/>
      <c r="K660" s="14"/>
      <c r="M660" s="14"/>
    </row>
    <row r="661" spans="2:13" ht="12.75" customHeight="1" x14ac:dyDescent="0.25">
      <c r="B661" s="14"/>
      <c r="D661" s="14"/>
      <c r="E661" s="14"/>
      <c r="F661" s="14"/>
      <c r="G661" s="14"/>
      <c r="H661" s="14"/>
      <c r="I661" s="14"/>
      <c r="J661" s="14"/>
      <c r="K661" s="14"/>
      <c r="M661" s="14"/>
    </row>
    <row r="662" spans="2:13" ht="12.75" customHeight="1" x14ac:dyDescent="0.25">
      <c r="B662" s="14"/>
      <c r="D662" s="14"/>
      <c r="E662" s="14"/>
      <c r="F662" s="14"/>
      <c r="G662" s="14"/>
      <c r="H662" s="14"/>
      <c r="I662" s="14"/>
      <c r="J662" s="14"/>
      <c r="K662" s="14"/>
      <c r="M662" s="14"/>
    </row>
    <row r="663" spans="2:13" ht="12.75" customHeight="1" x14ac:dyDescent="0.25">
      <c r="B663" s="14"/>
      <c r="D663" s="14"/>
      <c r="E663" s="14"/>
      <c r="F663" s="14"/>
      <c r="G663" s="14"/>
      <c r="H663" s="14"/>
      <c r="I663" s="14"/>
      <c r="J663" s="14"/>
      <c r="K663" s="14"/>
      <c r="M663" s="14"/>
    </row>
    <row r="664" spans="2:13" ht="12.75" customHeight="1" x14ac:dyDescent="0.25">
      <c r="B664" s="14"/>
      <c r="D664" s="14"/>
      <c r="E664" s="14"/>
      <c r="F664" s="14"/>
      <c r="G664" s="14"/>
      <c r="H664" s="14"/>
      <c r="I664" s="14"/>
      <c r="J664" s="14"/>
      <c r="K664" s="14"/>
      <c r="M664" s="14"/>
    </row>
    <row r="665" spans="2:13" ht="12.75" customHeight="1" x14ac:dyDescent="0.25">
      <c r="B665" s="14"/>
      <c r="D665" s="14"/>
      <c r="E665" s="14"/>
      <c r="F665" s="14"/>
      <c r="G665" s="14"/>
      <c r="H665" s="14"/>
      <c r="I665" s="14"/>
      <c r="J665" s="14"/>
      <c r="K665" s="14"/>
      <c r="M665" s="14"/>
    </row>
    <row r="666" spans="2:13" ht="12.75" customHeight="1" x14ac:dyDescent="0.25">
      <c r="B666" s="14"/>
      <c r="D666" s="14"/>
      <c r="E666" s="14"/>
      <c r="F666" s="14"/>
      <c r="G666" s="14"/>
      <c r="H666" s="14"/>
      <c r="I666" s="14"/>
      <c r="J666" s="14"/>
      <c r="K666" s="14"/>
      <c r="M666" s="14"/>
    </row>
    <row r="667" spans="2:13" ht="12.75" customHeight="1" x14ac:dyDescent="0.25">
      <c r="B667" s="14"/>
      <c r="D667" s="14"/>
      <c r="E667" s="14"/>
      <c r="F667" s="14"/>
      <c r="G667" s="14"/>
      <c r="H667" s="14"/>
      <c r="I667" s="14"/>
      <c r="J667" s="14"/>
      <c r="K667" s="14"/>
      <c r="M667" s="14"/>
    </row>
    <row r="668" spans="2:13" ht="12.75" customHeight="1" x14ac:dyDescent="0.25">
      <c r="B668" s="14"/>
      <c r="D668" s="14"/>
      <c r="E668" s="14"/>
      <c r="F668" s="14"/>
      <c r="G668" s="14"/>
      <c r="H668" s="14"/>
      <c r="I668" s="14"/>
      <c r="J668" s="14"/>
      <c r="K668" s="14"/>
      <c r="M668" s="14"/>
    </row>
    <row r="669" spans="2:13" ht="12.75" customHeight="1" x14ac:dyDescent="0.25">
      <c r="B669" s="14"/>
      <c r="D669" s="14"/>
      <c r="E669" s="14"/>
      <c r="F669" s="14"/>
      <c r="G669" s="14"/>
      <c r="H669" s="14"/>
      <c r="I669" s="14"/>
      <c r="J669" s="14"/>
      <c r="K669" s="14"/>
      <c r="M669" s="14"/>
    </row>
    <row r="670" spans="2:13" ht="12.75" customHeight="1" x14ac:dyDescent="0.25">
      <c r="B670" s="14"/>
      <c r="D670" s="14"/>
      <c r="E670" s="14"/>
      <c r="F670" s="14"/>
      <c r="G670" s="14"/>
      <c r="H670" s="14"/>
      <c r="I670" s="14"/>
      <c r="J670" s="14"/>
      <c r="K670" s="14"/>
      <c r="M670" s="14"/>
    </row>
    <row r="671" spans="2:13" ht="12.75" customHeight="1" x14ac:dyDescent="0.25">
      <c r="B671" s="14"/>
      <c r="D671" s="14"/>
      <c r="E671" s="14"/>
      <c r="F671" s="14"/>
      <c r="G671" s="14"/>
      <c r="H671" s="14"/>
      <c r="I671" s="14"/>
      <c r="J671" s="14"/>
      <c r="K671" s="14"/>
      <c r="M671" s="14"/>
    </row>
    <row r="672" spans="2:13" ht="12.75" customHeight="1" x14ac:dyDescent="0.25">
      <c r="B672" s="14"/>
      <c r="D672" s="14"/>
      <c r="E672" s="14"/>
      <c r="F672" s="14"/>
      <c r="G672" s="14"/>
      <c r="H672" s="14"/>
      <c r="I672" s="14"/>
      <c r="J672" s="14"/>
      <c r="K672" s="14"/>
      <c r="M672" s="14"/>
    </row>
    <row r="673" spans="2:13" ht="12.75" customHeight="1" x14ac:dyDescent="0.25">
      <c r="B673" s="14"/>
      <c r="D673" s="14"/>
      <c r="E673" s="14"/>
      <c r="F673" s="14"/>
      <c r="G673" s="14"/>
      <c r="H673" s="14"/>
      <c r="I673" s="14"/>
      <c r="J673" s="14"/>
      <c r="K673" s="14"/>
      <c r="M673" s="14"/>
    </row>
    <row r="674" spans="2:13" ht="12.75" customHeight="1" x14ac:dyDescent="0.25">
      <c r="B674" s="14"/>
      <c r="D674" s="14"/>
      <c r="E674" s="14"/>
      <c r="F674" s="14"/>
      <c r="G674" s="14"/>
      <c r="H674" s="14"/>
      <c r="I674" s="14"/>
      <c r="J674" s="14"/>
      <c r="K674" s="14"/>
      <c r="M674" s="14"/>
    </row>
    <row r="675" spans="2:13" ht="12.75" customHeight="1" x14ac:dyDescent="0.25">
      <c r="B675" s="14"/>
      <c r="D675" s="14"/>
      <c r="E675" s="14"/>
      <c r="F675" s="14"/>
      <c r="G675" s="14"/>
      <c r="H675" s="14"/>
      <c r="I675" s="14"/>
      <c r="J675" s="14"/>
      <c r="K675" s="14"/>
      <c r="M675" s="14"/>
    </row>
    <row r="676" spans="2:13" ht="12.75" customHeight="1" x14ac:dyDescent="0.25">
      <c r="B676" s="14"/>
      <c r="D676" s="14"/>
      <c r="E676" s="14"/>
      <c r="F676" s="14"/>
      <c r="G676" s="14"/>
      <c r="H676" s="14"/>
      <c r="I676" s="14"/>
      <c r="J676" s="14"/>
      <c r="K676" s="14"/>
      <c r="M676" s="14"/>
    </row>
    <row r="677" spans="2:13" ht="12.75" customHeight="1" x14ac:dyDescent="0.25">
      <c r="B677" s="14"/>
      <c r="D677" s="14"/>
      <c r="E677" s="14"/>
      <c r="F677" s="14"/>
      <c r="G677" s="14"/>
      <c r="H677" s="14"/>
      <c r="I677" s="14"/>
      <c r="J677" s="14"/>
      <c r="K677" s="14"/>
      <c r="M677" s="14"/>
    </row>
    <row r="678" spans="2:13" ht="12.75" customHeight="1" x14ac:dyDescent="0.25">
      <c r="B678" s="14"/>
      <c r="D678" s="14"/>
      <c r="E678" s="14"/>
      <c r="F678" s="14"/>
      <c r="G678" s="14"/>
      <c r="H678" s="14"/>
      <c r="I678" s="14"/>
      <c r="J678" s="14"/>
      <c r="K678" s="14"/>
      <c r="M678" s="14"/>
    </row>
    <row r="679" spans="2:13" ht="12.75" customHeight="1" x14ac:dyDescent="0.25">
      <c r="B679" s="14"/>
      <c r="D679" s="14"/>
      <c r="E679" s="14"/>
      <c r="F679" s="14"/>
      <c r="G679" s="14"/>
      <c r="H679" s="14"/>
      <c r="I679" s="14"/>
      <c r="J679" s="14"/>
      <c r="K679" s="14"/>
      <c r="M679" s="14"/>
    </row>
    <row r="680" spans="2:13" ht="12.75" customHeight="1" x14ac:dyDescent="0.25">
      <c r="B680" s="14"/>
      <c r="D680" s="14"/>
      <c r="E680" s="14"/>
      <c r="F680" s="14"/>
      <c r="G680" s="14"/>
      <c r="H680" s="14"/>
      <c r="I680" s="14"/>
      <c r="J680" s="14"/>
      <c r="K680" s="14"/>
      <c r="M680" s="14"/>
    </row>
    <row r="681" spans="2:13" ht="12.75" customHeight="1" x14ac:dyDescent="0.25">
      <c r="B681" s="14"/>
      <c r="D681" s="14"/>
      <c r="E681" s="14"/>
      <c r="F681" s="14"/>
      <c r="G681" s="14"/>
      <c r="H681" s="14"/>
      <c r="I681" s="14"/>
      <c r="J681" s="14"/>
      <c r="K681" s="14"/>
      <c r="M681" s="14"/>
    </row>
    <row r="682" spans="2:13" ht="12.75" customHeight="1" x14ac:dyDescent="0.25">
      <c r="B682" s="14"/>
      <c r="D682" s="14"/>
      <c r="E682" s="14"/>
      <c r="F682" s="14"/>
      <c r="G682" s="14"/>
      <c r="H682" s="14"/>
      <c r="I682" s="14"/>
      <c r="J682" s="14"/>
      <c r="K682" s="14"/>
      <c r="M682" s="14"/>
    </row>
    <row r="683" spans="2:13" ht="12.75" customHeight="1" x14ac:dyDescent="0.25">
      <c r="B683" s="14"/>
      <c r="D683" s="14"/>
      <c r="E683" s="14"/>
      <c r="F683" s="14"/>
      <c r="G683" s="14"/>
      <c r="H683" s="14"/>
      <c r="I683" s="14"/>
      <c r="J683" s="14"/>
      <c r="K683" s="14"/>
      <c r="M683" s="14"/>
    </row>
    <row r="684" spans="2:13" ht="12.75" customHeight="1" x14ac:dyDescent="0.25">
      <c r="B684" s="14"/>
      <c r="D684" s="14"/>
      <c r="E684" s="14"/>
      <c r="F684" s="14"/>
      <c r="G684" s="14"/>
      <c r="H684" s="14"/>
      <c r="I684" s="14"/>
      <c r="J684" s="14"/>
      <c r="K684" s="14"/>
      <c r="M684" s="14"/>
    </row>
    <row r="685" spans="2:13" ht="12.75" customHeight="1" x14ac:dyDescent="0.25">
      <c r="B685" s="14"/>
      <c r="D685" s="14"/>
      <c r="E685" s="14"/>
      <c r="F685" s="14"/>
      <c r="G685" s="14"/>
      <c r="H685" s="14"/>
      <c r="I685" s="14"/>
      <c r="J685" s="14"/>
      <c r="K685" s="14"/>
      <c r="M685" s="14"/>
    </row>
    <row r="686" spans="2:13" ht="12.75" customHeight="1" x14ac:dyDescent="0.25">
      <c r="B686" s="14"/>
      <c r="D686" s="14"/>
      <c r="E686" s="14"/>
      <c r="F686" s="14"/>
      <c r="G686" s="14"/>
      <c r="H686" s="14"/>
      <c r="I686" s="14"/>
      <c r="J686" s="14"/>
      <c r="K686" s="14"/>
      <c r="M686" s="14"/>
    </row>
    <row r="687" spans="2:13" ht="12.75" customHeight="1" x14ac:dyDescent="0.25">
      <c r="B687" s="14"/>
      <c r="D687" s="14"/>
      <c r="E687" s="14"/>
      <c r="F687" s="14"/>
      <c r="G687" s="14"/>
      <c r="H687" s="14"/>
      <c r="I687" s="14"/>
      <c r="J687" s="14"/>
      <c r="K687" s="14"/>
      <c r="M687" s="14"/>
    </row>
    <row r="688" spans="2:13" ht="12.75" customHeight="1" x14ac:dyDescent="0.25">
      <c r="B688" s="14"/>
      <c r="D688" s="14"/>
      <c r="E688" s="14"/>
      <c r="F688" s="14"/>
      <c r="G688" s="14"/>
      <c r="H688" s="14"/>
      <c r="I688" s="14"/>
      <c r="J688" s="14"/>
      <c r="K688" s="14"/>
      <c r="M688" s="14"/>
    </row>
    <row r="689" spans="2:13" ht="12.75" customHeight="1" x14ac:dyDescent="0.25">
      <c r="B689" s="14"/>
      <c r="D689" s="14"/>
      <c r="E689" s="14"/>
      <c r="F689" s="14"/>
      <c r="G689" s="14"/>
      <c r="H689" s="14"/>
      <c r="I689" s="14"/>
      <c r="J689" s="14"/>
      <c r="K689" s="14"/>
      <c r="M689" s="14"/>
    </row>
    <row r="690" spans="2:13" ht="12.75" customHeight="1" x14ac:dyDescent="0.25">
      <c r="B690" s="14"/>
      <c r="D690" s="14"/>
      <c r="E690" s="14"/>
      <c r="F690" s="14"/>
      <c r="G690" s="14"/>
      <c r="H690" s="14"/>
      <c r="I690" s="14"/>
      <c r="J690" s="14"/>
      <c r="K690" s="14"/>
      <c r="M690" s="14"/>
    </row>
    <row r="691" spans="2:13" ht="12.75" customHeight="1" x14ac:dyDescent="0.25">
      <c r="B691" s="14"/>
      <c r="D691" s="14"/>
      <c r="E691" s="14"/>
      <c r="F691" s="14"/>
      <c r="G691" s="14"/>
      <c r="H691" s="14"/>
      <c r="I691" s="14"/>
      <c r="J691" s="14"/>
      <c r="K691" s="14"/>
      <c r="M691" s="14"/>
    </row>
    <row r="692" spans="2:13" ht="12.75" customHeight="1" x14ac:dyDescent="0.25">
      <c r="B692" s="14"/>
      <c r="D692" s="14"/>
      <c r="E692" s="14"/>
      <c r="F692" s="14"/>
      <c r="G692" s="14"/>
      <c r="H692" s="14"/>
      <c r="I692" s="14"/>
      <c r="J692" s="14"/>
      <c r="K692" s="14"/>
      <c r="M692" s="14"/>
    </row>
    <row r="693" spans="2:13" ht="12.75" customHeight="1" x14ac:dyDescent="0.25">
      <c r="B693" s="14"/>
      <c r="D693" s="14"/>
      <c r="E693" s="14"/>
      <c r="F693" s="14"/>
      <c r="G693" s="14"/>
      <c r="H693" s="14"/>
      <c r="I693" s="14"/>
      <c r="J693" s="14"/>
      <c r="K693" s="14"/>
      <c r="M693" s="14"/>
    </row>
    <row r="694" spans="2:13" ht="12.75" customHeight="1" x14ac:dyDescent="0.25">
      <c r="B694" s="14"/>
      <c r="D694" s="14"/>
      <c r="E694" s="14"/>
      <c r="F694" s="14"/>
      <c r="G694" s="14"/>
      <c r="H694" s="14"/>
      <c r="I694" s="14"/>
      <c r="J694" s="14"/>
      <c r="K694" s="14"/>
      <c r="M694" s="14"/>
    </row>
    <row r="695" spans="2:13" ht="12.75" customHeight="1" x14ac:dyDescent="0.25">
      <c r="B695" s="14"/>
      <c r="D695" s="14"/>
      <c r="E695" s="14"/>
      <c r="F695" s="14"/>
      <c r="G695" s="14"/>
      <c r="H695" s="14"/>
      <c r="I695" s="14"/>
      <c r="J695" s="14"/>
      <c r="K695" s="14"/>
      <c r="M695" s="14"/>
    </row>
    <row r="696" spans="2:13" ht="12.75" customHeight="1" x14ac:dyDescent="0.25">
      <c r="B696" s="14"/>
      <c r="D696" s="14"/>
      <c r="E696" s="14"/>
      <c r="F696" s="14"/>
      <c r="G696" s="14"/>
      <c r="H696" s="14"/>
      <c r="I696" s="14"/>
      <c r="J696" s="14"/>
      <c r="K696" s="14"/>
      <c r="M696" s="14"/>
    </row>
    <row r="697" spans="2:13" ht="12.75" customHeight="1" x14ac:dyDescent="0.25">
      <c r="B697" s="14"/>
      <c r="D697" s="14"/>
      <c r="E697" s="14"/>
      <c r="F697" s="14"/>
      <c r="G697" s="14"/>
      <c r="H697" s="14"/>
      <c r="I697" s="14"/>
      <c r="J697" s="14"/>
      <c r="K697" s="14"/>
      <c r="M697" s="14"/>
    </row>
    <row r="698" spans="2:13" ht="12.75" customHeight="1" x14ac:dyDescent="0.25">
      <c r="B698" s="14"/>
      <c r="D698" s="14"/>
      <c r="E698" s="14"/>
      <c r="F698" s="14"/>
      <c r="G698" s="14"/>
      <c r="H698" s="14"/>
      <c r="I698" s="14"/>
      <c r="J698" s="14"/>
      <c r="K698" s="14"/>
      <c r="M698" s="14"/>
    </row>
    <row r="699" spans="2:13" ht="12.75" customHeight="1" x14ac:dyDescent="0.25">
      <c r="B699" s="14"/>
      <c r="D699" s="14"/>
      <c r="E699" s="14"/>
      <c r="F699" s="14"/>
      <c r="G699" s="14"/>
      <c r="H699" s="14"/>
      <c r="I699" s="14"/>
      <c r="J699" s="14"/>
      <c r="K699" s="14"/>
      <c r="M699" s="14"/>
    </row>
    <row r="700" spans="2:13" ht="12.75" customHeight="1" x14ac:dyDescent="0.25">
      <c r="B700" s="14"/>
      <c r="D700" s="14"/>
      <c r="E700" s="14"/>
      <c r="F700" s="14"/>
      <c r="G700" s="14"/>
      <c r="H700" s="14"/>
      <c r="I700" s="14"/>
      <c r="J700" s="14"/>
      <c r="K700" s="14"/>
      <c r="M700" s="14"/>
    </row>
    <row r="701" spans="2:13" ht="12.75" customHeight="1" x14ac:dyDescent="0.25">
      <c r="B701" s="14"/>
      <c r="D701" s="14"/>
      <c r="E701" s="14"/>
      <c r="F701" s="14"/>
      <c r="G701" s="14"/>
      <c r="H701" s="14"/>
      <c r="I701" s="14"/>
      <c r="J701" s="14"/>
      <c r="K701" s="14"/>
      <c r="M701" s="14"/>
    </row>
    <row r="702" spans="2:13" ht="12.75" customHeight="1" x14ac:dyDescent="0.25">
      <c r="B702" s="14"/>
      <c r="D702" s="14"/>
      <c r="E702" s="14"/>
      <c r="F702" s="14"/>
      <c r="G702" s="14"/>
      <c r="H702" s="14"/>
      <c r="I702" s="14"/>
      <c r="J702" s="14"/>
      <c r="K702" s="14"/>
      <c r="M702" s="14"/>
    </row>
    <row r="703" spans="2:13" ht="12.75" customHeight="1" x14ac:dyDescent="0.25">
      <c r="B703" s="14"/>
      <c r="D703" s="14"/>
      <c r="E703" s="14"/>
      <c r="F703" s="14"/>
      <c r="G703" s="14"/>
      <c r="H703" s="14"/>
      <c r="I703" s="14"/>
      <c r="J703" s="14"/>
      <c r="K703" s="14"/>
      <c r="M703" s="14"/>
    </row>
    <row r="704" spans="2:13" ht="12.75" customHeight="1" x14ac:dyDescent="0.25">
      <c r="B704" s="14"/>
      <c r="D704" s="14"/>
      <c r="E704" s="14"/>
      <c r="F704" s="14"/>
      <c r="G704" s="14"/>
      <c r="H704" s="14"/>
      <c r="I704" s="14"/>
      <c r="J704" s="14"/>
      <c r="K704" s="14"/>
      <c r="M704" s="14"/>
    </row>
    <row r="705" spans="2:13" ht="12.75" customHeight="1" x14ac:dyDescent="0.25">
      <c r="B705" s="14"/>
      <c r="D705" s="14"/>
      <c r="E705" s="14"/>
      <c r="F705" s="14"/>
      <c r="G705" s="14"/>
      <c r="H705" s="14"/>
      <c r="I705" s="14"/>
      <c r="J705" s="14"/>
      <c r="K705" s="14"/>
      <c r="M705" s="14"/>
    </row>
    <row r="706" spans="2:13" ht="12.75" customHeight="1" x14ac:dyDescent="0.25">
      <c r="B706" s="14"/>
      <c r="D706" s="14"/>
      <c r="E706" s="14"/>
      <c r="F706" s="14"/>
      <c r="G706" s="14"/>
      <c r="H706" s="14"/>
      <c r="I706" s="14"/>
      <c r="J706" s="14"/>
      <c r="K706" s="14"/>
      <c r="M706" s="14"/>
    </row>
    <row r="707" spans="2:13" ht="12.75" customHeight="1" x14ac:dyDescent="0.25">
      <c r="B707" s="14"/>
      <c r="D707" s="14"/>
      <c r="E707" s="14"/>
      <c r="F707" s="14"/>
      <c r="G707" s="14"/>
      <c r="H707" s="14"/>
      <c r="I707" s="14"/>
      <c r="J707" s="14"/>
      <c r="K707" s="14"/>
      <c r="M707" s="14"/>
    </row>
    <row r="708" spans="2:13" ht="12.75" customHeight="1" x14ac:dyDescent="0.25">
      <c r="B708" s="14"/>
      <c r="D708" s="14"/>
      <c r="E708" s="14"/>
      <c r="F708" s="14"/>
      <c r="G708" s="14"/>
      <c r="H708" s="14"/>
      <c r="I708" s="14"/>
      <c r="J708" s="14"/>
      <c r="K708" s="14"/>
      <c r="M708" s="14"/>
    </row>
    <row r="709" spans="2:13" ht="12.75" customHeight="1" x14ac:dyDescent="0.25">
      <c r="B709" s="14"/>
      <c r="D709" s="14"/>
      <c r="E709" s="14"/>
      <c r="F709" s="14"/>
      <c r="G709" s="14"/>
      <c r="H709" s="14"/>
      <c r="I709" s="14"/>
      <c r="J709" s="14"/>
      <c r="K709" s="14"/>
      <c r="M709" s="14"/>
    </row>
    <row r="710" spans="2:13" ht="12.75" customHeight="1" x14ac:dyDescent="0.25">
      <c r="B710" s="14"/>
      <c r="D710" s="14"/>
      <c r="E710" s="14"/>
      <c r="F710" s="14"/>
      <c r="G710" s="14"/>
      <c r="H710" s="14"/>
      <c r="I710" s="14"/>
      <c r="J710" s="14"/>
      <c r="K710" s="14"/>
      <c r="M710" s="14"/>
    </row>
    <row r="711" spans="2:13" ht="12.75" customHeight="1" x14ac:dyDescent="0.25">
      <c r="B711" s="14"/>
      <c r="D711" s="14"/>
      <c r="E711" s="14"/>
      <c r="F711" s="14"/>
      <c r="G711" s="14"/>
      <c r="H711" s="14"/>
      <c r="I711" s="14"/>
      <c r="J711" s="14"/>
      <c r="K711" s="14"/>
      <c r="M711" s="14"/>
    </row>
    <row r="712" spans="2:13" ht="12.75" customHeight="1" x14ac:dyDescent="0.25">
      <c r="B712" s="14"/>
      <c r="D712" s="14"/>
      <c r="E712" s="14"/>
      <c r="F712" s="14"/>
      <c r="G712" s="14"/>
      <c r="H712" s="14"/>
      <c r="I712" s="14"/>
      <c r="J712" s="14"/>
      <c r="K712" s="14"/>
      <c r="M712" s="14"/>
    </row>
    <row r="713" spans="2:13" ht="12.75" customHeight="1" x14ac:dyDescent="0.25">
      <c r="B713" s="14"/>
      <c r="D713" s="14"/>
      <c r="E713" s="14"/>
      <c r="F713" s="14"/>
      <c r="G713" s="14"/>
      <c r="H713" s="14"/>
      <c r="I713" s="14"/>
      <c r="J713" s="14"/>
      <c r="K713" s="14"/>
      <c r="M713" s="14"/>
    </row>
    <row r="714" spans="2:13" ht="12.75" customHeight="1" x14ac:dyDescent="0.25">
      <c r="B714" s="14"/>
      <c r="D714" s="14"/>
      <c r="E714" s="14"/>
      <c r="F714" s="14"/>
      <c r="G714" s="14"/>
      <c r="H714" s="14"/>
      <c r="I714" s="14"/>
      <c r="J714" s="14"/>
      <c r="K714" s="14"/>
      <c r="M714" s="14"/>
    </row>
    <row r="715" spans="2:13" ht="12.75" customHeight="1" x14ac:dyDescent="0.25">
      <c r="B715" s="14"/>
      <c r="D715" s="14"/>
      <c r="E715" s="14"/>
      <c r="F715" s="14"/>
      <c r="G715" s="14"/>
      <c r="H715" s="14"/>
      <c r="I715" s="14"/>
      <c r="J715" s="14"/>
      <c r="K715" s="14"/>
      <c r="M715" s="14"/>
    </row>
    <row r="716" spans="2:13" ht="12.75" customHeight="1" x14ac:dyDescent="0.25">
      <c r="B716" s="14"/>
      <c r="D716" s="14"/>
      <c r="E716" s="14"/>
      <c r="F716" s="14"/>
      <c r="G716" s="14"/>
      <c r="H716" s="14"/>
      <c r="I716" s="14"/>
      <c r="J716" s="14"/>
      <c r="K716" s="14"/>
      <c r="M716" s="14"/>
    </row>
    <row r="717" spans="2:13" ht="12.75" customHeight="1" x14ac:dyDescent="0.25">
      <c r="B717" s="14"/>
      <c r="D717" s="14"/>
      <c r="E717" s="14"/>
      <c r="F717" s="14"/>
      <c r="G717" s="14"/>
      <c r="H717" s="14"/>
      <c r="I717" s="14"/>
      <c r="J717" s="14"/>
      <c r="K717" s="14"/>
      <c r="M717" s="14"/>
    </row>
    <row r="718" spans="2:13" ht="12.75" customHeight="1" x14ac:dyDescent="0.25">
      <c r="B718" s="14"/>
      <c r="D718" s="14"/>
      <c r="E718" s="14"/>
      <c r="F718" s="14"/>
      <c r="G718" s="14"/>
      <c r="H718" s="14"/>
      <c r="I718" s="14"/>
      <c r="J718" s="14"/>
      <c r="K718" s="14"/>
      <c r="M718" s="14"/>
    </row>
    <row r="719" spans="2:13" ht="12.75" customHeight="1" x14ac:dyDescent="0.25">
      <c r="B719" s="14"/>
      <c r="D719" s="14"/>
      <c r="E719" s="14"/>
      <c r="F719" s="14"/>
      <c r="G719" s="14"/>
      <c r="H719" s="14"/>
      <c r="I719" s="14"/>
      <c r="J719" s="14"/>
      <c r="K719" s="14"/>
      <c r="M719" s="14"/>
    </row>
    <row r="720" spans="2:13" ht="12.75" customHeight="1" x14ac:dyDescent="0.25">
      <c r="B720" s="14"/>
      <c r="D720" s="14"/>
      <c r="E720" s="14"/>
      <c r="F720" s="14"/>
      <c r="G720" s="14"/>
      <c r="H720" s="14"/>
      <c r="I720" s="14"/>
      <c r="J720" s="14"/>
      <c r="K720" s="14"/>
      <c r="M720" s="14"/>
    </row>
    <row r="721" spans="2:13" ht="12.75" customHeight="1" x14ac:dyDescent="0.25">
      <c r="B721" s="14"/>
      <c r="D721" s="14"/>
      <c r="E721" s="14"/>
      <c r="F721" s="14"/>
      <c r="G721" s="14"/>
      <c r="H721" s="14"/>
      <c r="I721" s="14"/>
      <c r="J721" s="14"/>
      <c r="K721" s="14"/>
      <c r="M721" s="14"/>
    </row>
    <row r="722" spans="2:13" ht="12.75" customHeight="1" x14ac:dyDescent="0.25">
      <c r="B722" s="14"/>
      <c r="D722" s="14"/>
      <c r="E722" s="14"/>
      <c r="F722" s="14"/>
      <c r="G722" s="14"/>
      <c r="H722" s="14"/>
      <c r="I722" s="14"/>
      <c r="J722" s="14"/>
      <c r="K722" s="14"/>
      <c r="M722" s="14"/>
    </row>
    <row r="723" spans="2:13" ht="12.75" customHeight="1" x14ac:dyDescent="0.25">
      <c r="B723" s="14"/>
      <c r="D723" s="14"/>
      <c r="E723" s="14"/>
      <c r="F723" s="14"/>
      <c r="G723" s="14"/>
      <c r="H723" s="14"/>
      <c r="I723" s="14"/>
      <c r="J723" s="14"/>
      <c r="K723" s="14"/>
      <c r="M723" s="14"/>
    </row>
    <row r="724" spans="2:13" ht="12.75" customHeight="1" x14ac:dyDescent="0.25">
      <c r="B724" s="14"/>
      <c r="D724" s="14"/>
      <c r="E724" s="14"/>
      <c r="F724" s="14"/>
      <c r="G724" s="14"/>
      <c r="H724" s="14"/>
      <c r="I724" s="14"/>
      <c r="J724" s="14"/>
      <c r="K724" s="14"/>
      <c r="M724" s="14"/>
    </row>
    <row r="725" spans="2:13" ht="12.75" customHeight="1" x14ac:dyDescent="0.25">
      <c r="B725" s="14"/>
      <c r="D725" s="14"/>
      <c r="E725" s="14"/>
      <c r="F725" s="14"/>
      <c r="G725" s="14"/>
      <c r="H725" s="14"/>
      <c r="I725" s="14"/>
      <c r="J725" s="14"/>
      <c r="K725" s="14"/>
      <c r="M725" s="14"/>
    </row>
    <row r="726" spans="2:13" ht="12.75" customHeight="1" x14ac:dyDescent="0.25">
      <c r="B726" s="14"/>
      <c r="D726" s="14"/>
      <c r="E726" s="14"/>
      <c r="F726" s="14"/>
      <c r="G726" s="14"/>
      <c r="H726" s="14"/>
      <c r="I726" s="14"/>
      <c r="J726" s="14"/>
      <c r="K726" s="14"/>
      <c r="M726" s="14"/>
    </row>
    <row r="727" spans="2:13" ht="12.75" customHeight="1" x14ac:dyDescent="0.25">
      <c r="B727" s="14"/>
      <c r="D727" s="14"/>
      <c r="E727" s="14"/>
      <c r="F727" s="14"/>
      <c r="G727" s="14"/>
      <c r="H727" s="14"/>
      <c r="I727" s="14"/>
      <c r="J727" s="14"/>
      <c r="K727" s="14"/>
      <c r="M727" s="14"/>
    </row>
    <row r="728" spans="2:13" ht="12.75" customHeight="1" x14ac:dyDescent="0.25">
      <c r="B728" s="14"/>
      <c r="D728" s="14"/>
      <c r="E728" s="14"/>
      <c r="F728" s="14"/>
      <c r="G728" s="14"/>
      <c r="H728" s="14"/>
      <c r="I728" s="14"/>
      <c r="J728" s="14"/>
      <c r="K728" s="14"/>
      <c r="M728" s="14"/>
    </row>
    <row r="729" spans="2:13" ht="12.75" customHeight="1" x14ac:dyDescent="0.25">
      <c r="B729" s="14"/>
      <c r="D729" s="14"/>
      <c r="E729" s="14"/>
      <c r="F729" s="14"/>
      <c r="G729" s="14"/>
      <c r="H729" s="14"/>
      <c r="I729" s="14"/>
      <c r="J729" s="14"/>
      <c r="K729" s="14"/>
      <c r="M729" s="14"/>
    </row>
    <row r="730" spans="2:13" ht="12.75" customHeight="1" x14ac:dyDescent="0.25">
      <c r="B730" s="14"/>
      <c r="D730" s="14"/>
      <c r="E730" s="14"/>
      <c r="F730" s="14"/>
      <c r="G730" s="14"/>
      <c r="H730" s="14"/>
      <c r="I730" s="14"/>
      <c r="J730" s="14"/>
      <c r="K730" s="14"/>
      <c r="M730" s="14"/>
    </row>
    <row r="731" spans="2:13" ht="12.75" customHeight="1" x14ac:dyDescent="0.25">
      <c r="B731" s="14"/>
      <c r="D731" s="14"/>
      <c r="E731" s="14"/>
      <c r="F731" s="14"/>
      <c r="G731" s="14"/>
      <c r="H731" s="14"/>
      <c r="I731" s="14"/>
      <c r="J731" s="14"/>
      <c r="K731" s="14"/>
      <c r="M731" s="14"/>
    </row>
    <row r="732" spans="2:13" ht="12.75" customHeight="1" x14ac:dyDescent="0.25">
      <c r="B732" s="14"/>
      <c r="D732" s="14"/>
      <c r="E732" s="14"/>
      <c r="F732" s="14"/>
      <c r="G732" s="14"/>
      <c r="H732" s="14"/>
      <c r="I732" s="14"/>
      <c r="J732" s="14"/>
      <c r="K732" s="14"/>
      <c r="M732" s="14"/>
    </row>
    <row r="733" spans="2:13" ht="12.75" customHeight="1" x14ac:dyDescent="0.25">
      <c r="B733" s="14"/>
      <c r="D733" s="14"/>
      <c r="E733" s="14"/>
      <c r="F733" s="14"/>
      <c r="G733" s="14"/>
      <c r="H733" s="14"/>
      <c r="I733" s="14"/>
      <c r="J733" s="14"/>
      <c r="K733" s="14"/>
      <c r="M733" s="14"/>
    </row>
    <row r="734" spans="2:13" ht="12.75" customHeight="1" x14ac:dyDescent="0.25">
      <c r="B734" s="14"/>
      <c r="D734" s="14"/>
      <c r="E734" s="14"/>
      <c r="F734" s="14"/>
      <c r="G734" s="14"/>
      <c r="H734" s="14"/>
      <c r="I734" s="14"/>
      <c r="J734" s="14"/>
      <c r="K734" s="14"/>
      <c r="M734" s="14"/>
    </row>
    <row r="735" spans="2:13" ht="12.75" customHeight="1" x14ac:dyDescent="0.25">
      <c r="B735" s="14"/>
      <c r="D735" s="14"/>
      <c r="E735" s="14"/>
      <c r="F735" s="14"/>
      <c r="G735" s="14"/>
      <c r="H735" s="14"/>
      <c r="I735" s="14"/>
      <c r="J735" s="14"/>
      <c r="K735" s="14"/>
      <c r="M735" s="14"/>
    </row>
    <row r="736" spans="2:13" ht="12.75" customHeight="1" x14ac:dyDescent="0.25">
      <c r="B736" s="14"/>
      <c r="D736" s="14"/>
      <c r="E736" s="14"/>
      <c r="F736" s="14"/>
      <c r="G736" s="14"/>
      <c r="H736" s="14"/>
      <c r="I736" s="14"/>
      <c r="J736" s="14"/>
      <c r="K736" s="14"/>
      <c r="M736" s="14"/>
    </row>
    <row r="737" spans="2:13" ht="12.75" customHeight="1" x14ac:dyDescent="0.25">
      <c r="B737" s="14"/>
      <c r="D737" s="14"/>
      <c r="E737" s="14"/>
      <c r="F737" s="14"/>
      <c r="G737" s="14"/>
      <c r="H737" s="14"/>
      <c r="I737" s="14"/>
      <c r="J737" s="14"/>
      <c r="K737" s="14"/>
      <c r="M737" s="14"/>
    </row>
    <row r="738" spans="2:13" ht="12.75" customHeight="1" x14ac:dyDescent="0.25">
      <c r="B738" s="14"/>
      <c r="D738" s="14"/>
      <c r="E738" s="14"/>
      <c r="F738" s="14"/>
      <c r="G738" s="14"/>
      <c r="H738" s="14"/>
      <c r="I738" s="14"/>
      <c r="J738" s="14"/>
      <c r="K738" s="14"/>
      <c r="M738" s="14"/>
    </row>
    <row r="739" spans="2:13" ht="12.75" customHeight="1" x14ac:dyDescent="0.25">
      <c r="B739" s="14"/>
      <c r="D739" s="14"/>
      <c r="E739" s="14"/>
      <c r="F739" s="14"/>
      <c r="G739" s="14"/>
      <c r="H739" s="14"/>
      <c r="I739" s="14"/>
      <c r="J739" s="14"/>
      <c r="K739" s="14"/>
      <c r="M739" s="14"/>
    </row>
    <row r="740" spans="2:13" ht="12.75" customHeight="1" x14ac:dyDescent="0.25">
      <c r="B740" s="14"/>
      <c r="D740" s="14"/>
      <c r="E740" s="14"/>
      <c r="F740" s="14"/>
      <c r="G740" s="14"/>
      <c r="H740" s="14"/>
      <c r="I740" s="14"/>
      <c r="J740" s="14"/>
      <c r="K740" s="14"/>
      <c r="M740" s="14"/>
    </row>
    <row r="741" spans="2:13" ht="12.75" customHeight="1" x14ac:dyDescent="0.25">
      <c r="B741" s="14"/>
      <c r="D741" s="14"/>
      <c r="E741" s="14"/>
      <c r="F741" s="14"/>
      <c r="G741" s="14"/>
      <c r="H741" s="14"/>
      <c r="I741" s="14"/>
      <c r="J741" s="14"/>
      <c r="K741" s="14"/>
      <c r="M741" s="14"/>
    </row>
    <row r="742" spans="2:13" ht="12.75" customHeight="1" x14ac:dyDescent="0.25">
      <c r="B742" s="14"/>
      <c r="D742" s="14"/>
      <c r="E742" s="14"/>
      <c r="F742" s="14"/>
      <c r="G742" s="14"/>
      <c r="H742" s="14"/>
      <c r="I742" s="14"/>
      <c r="J742" s="14"/>
      <c r="K742" s="14"/>
      <c r="M742" s="14"/>
    </row>
    <row r="743" spans="2:13" ht="12.75" customHeight="1" x14ac:dyDescent="0.25">
      <c r="B743" s="14"/>
      <c r="D743" s="14"/>
      <c r="E743" s="14"/>
      <c r="F743" s="14"/>
      <c r="G743" s="14"/>
      <c r="H743" s="14"/>
      <c r="I743" s="14"/>
      <c r="J743" s="14"/>
      <c r="K743" s="14"/>
      <c r="M743" s="14"/>
    </row>
    <row r="744" spans="2:13" ht="12.75" customHeight="1" x14ac:dyDescent="0.25">
      <c r="B744" s="14"/>
      <c r="D744" s="14"/>
      <c r="E744" s="14"/>
      <c r="F744" s="14"/>
      <c r="G744" s="14"/>
      <c r="H744" s="14"/>
      <c r="I744" s="14"/>
      <c r="J744" s="14"/>
      <c r="K744" s="14"/>
      <c r="M744" s="14"/>
    </row>
    <row r="745" spans="2:13" ht="12.75" customHeight="1" x14ac:dyDescent="0.25">
      <c r="B745" s="14"/>
      <c r="D745" s="14"/>
      <c r="E745" s="14"/>
      <c r="F745" s="14"/>
      <c r="G745" s="14"/>
      <c r="H745" s="14"/>
      <c r="I745" s="14"/>
      <c r="J745" s="14"/>
      <c r="K745" s="14"/>
      <c r="M745" s="14"/>
    </row>
    <row r="746" spans="2:13" ht="12.75" customHeight="1" x14ac:dyDescent="0.25">
      <c r="B746" s="14"/>
      <c r="D746" s="14"/>
      <c r="E746" s="14"/>
      <c r="F746" s="14"/>
      <c r="G746" s="14"/>
      <c r="H746" s="14"/>
      <c r="I746" s="14"/>
      <c r="J746" s="14"/>
      <c r="K746" s="14"/>
      <c r="M746" s="14"/>
    </row>
    <row r="747" spans="2:13" ht="12.75" customHeight="1" x14ac:dyDescent="0.25">
      <c r="B747" s="14"/>
      <c r="D747" s="14"/>
      <c r="E747" s="14"/>
      <c r="F747" s="14"/>
      <c r="G747" s="14"/>
      <c r="H747" s="14"/>
      <c r="I747" s="14"/>
      <c r="J747" s="14"/>
      <c r="K747" s="14"/>
      <c r="M747" s="14"/>
    </row>
    <row r="748" spans="2:13" ht="12.75" customHeight="1" x14ac:dyDescent="0.25">
      <c r="B748" s="14"/>
      <c r="D748" s="14"/>
      <c r="E748" s="14"/>
      <c r="F748" s="14"/>
      <c r="G748" s="14"/>
      <c r="H748" s="14"/>
      <c r="I748" s="14"/>
      <c r="J748" s="14"/>
      <c r="K748" s="14"/>
      <c r="M748" s="14"/>
    </row>
    <row r="749" spans="2:13" ht="12.75" customHeight="1" x14ac:dyDescent="0.25">
      <c r="B749" s="14"/>
      <c r="D749" s="14"/>
      <c r="E749" s="14"/>
      <c r="F749" s="14"/>
      <c r="G749" s="14"/>
      <c r="H749" s="14"/>
      <c r="I749" s="14"/>
      <c r="J749" s="14"/>
      <c r="K749" s="14"/>
      <c r="M749" s="14"/>
    </row>
    <row r="750" spans="2:13" ht="12.75" customHeight="1" x14ac:dyDescent="0.25">
      <c r="B750" s="14"/>
      <c r="D750" s="14"/>
      <c r="E750" s="14"/>
      <c r="F750" s="14"/>
      <c r="G750" s="14"/>
      <c r="H750" s="14"/>
      <c r="I750" s="14"/>
      <c r="J750" s="14"/>
      <c r="K750" s="14"/>
      <c r="M750" s="14"/>
    </row>
    <row r="751" spans="2:13" ht="12.75" customHeight="1" x14ac:dyDescent="0.25">
      <c r="B751" s="14"/>
      <c r="D751" s="14"/>
      <c r="E751" s="14"/>
      <c r="F751" s="14"/>
      <c r="G751" s="14"/>
      <c r="H751" s="14"/>
      <c r="I751" s="14"/>
      <c r="J751" s="14"/>
      <c r="K751" s="14"/>
      <c r="M751" s="14"/>
    </row>
    <row r="752" spans="2:13" ht="12.75" customHeight="1" x14ac:dyDescent="0.25">
      <c r="B752" s="14"/>
      <c r="D752" s="14"/>
      <c r="E752" s="14"/>
      <c r="F752" s="14"/>
      <c r="G752" s="14"/>
      <c r="H752" s="14"/>
      <c r="I752" s="14"/>
      <c r="J752" s="14"/>
      <c r="K752" s="14"/>
      <c r="M752" s="14"/>
    </row>
    <row r="753" spans="2:13" ht="12.75" customHeight="1" x14ac:dyDescent="0.25">
      <c r="B753" s="14"/>
      <c r="D753" s="14"/>
      <c r="E753" s="14"/>
      <c r="F753" s="14"/>
      <c r="G753" s="14"/>
      <c r="H753" s="14"/>
      <c r="I753" s="14"/>
      <c r="J753" s="14"/>
      <c r="K753" s="14"/>
      <c r="M753" s="14"/>
    </row>
    <row r="754" spans="2:13" ht="12.75" customHeight="1" x14ac:dyDescent="0.25">
      <c r="B754" s="14"/>
      <c r="D754" s="14"/>
      <c r="E754" s="14"/>
      <c r="F754" s="14"/>
      <c r="G754" s="14"/>
      <c r="H754" s="14"/>
      <c r="I754" s="14"/>
      <c r="J754" s="14"/>
      <c r="K754" s="14"/>
      <c r="M754" s="14"/>
    </row>
    <row r="755" spans="2:13" ht="12.75" customHeight="1" x14ac:dyDescent="0.25">
      <c r="B755" s="14"/>
      <c r="D755" s="14"/>
      <c r="E755" s="14"/>
      <c r="F755" s="14"/>
      <c r="G755" s="14"/>
      <c r="H755" s="14"/>
      <c r="I755" s="14"/>
      <c r="J755" s="14"/>
      <c r="K755" s="14"/>
      <c r="M755" s="14"/>
    </row>
    <row r="756" spans="2:13" ht="12.75" customHeight="1" x14ac:dyDescent="0.25">
      <c r="B756" s="14"/>
      <c r="D756" s="14"/>
      <c r="E756" s="14"/>
      <c r="F756" s="14"/>
      <c r="G756" s="14"/>
      <c r="H756" s="14"/>
      <c r="I756" s="14"/>
      <c r="J756" s="14"/>
      <c r="K756" s="14"/>
      <c r="M756" s="14"/>
    </row>
    <row r="757" spans="2:13" ht="12.75" customHeight="1" x14ac:dyDescent="0.25">
      <c r="B757" s="14"/>
      <c r="D757" s="14"/>
      <c r="E757" s="14"/>
      <c r="F757" s="14"/>
      <c r="G757" s="14"/>
      <c r="H757" s="14"/>
      <c r="I757" s="14"/>
      <c r="J757" s="14"/>
      <c r="K757" s="14"/>
      <c r="M757" s="14"/>
    </row>
    <row r="758" spans="2:13" ht="12.75" customHeight="1" x14ac:dyDescent="0.25">
      <c r="B758" s="14"/>
      <c r="D758" s="14"/>
      <c r="E758" s="14"/>
      <c r="F758" s="14"/>
      <c r="G758" s="14"/>
      <c r="H758" s="14"/>
      <c r="I758" s="14"/>
      <c r="J758" s="14"/>
      <c r="K758" s="14"/>
      <c r="M758" s="14"/>
    </row>
    <row r="759" spans="2:13" ht="12.75" customHeight="1" x14ac:dyDescent="0.25">
      <c r="B759" s="14"/>
      <c r="D759" s="14"/>
      <c r="E759" s="14"/>
      <c r="F759" s="14"/>
      <c r="G759" s="14"/>
      <c r="H759" s="14"/>
      <c r="I759" s="14"/>
      <c r="J759" s="14"/>
      <c r="K759" s="14"/>
      <c r="M759" s="14"/>
    </row>
    <row r="760" spans="2:13" ht="12.75" customHeight="1" x14ac:dyDescent="0.25">
      <c r="B760" s="14"/>
      <c r="D760" s="14"/>
      <c r="E760" s="14"/>
      <c r="F760" s="14"/>
      <c r="G760" s="14"/>
      <c r="H760" s="14"/>
      <c r="I760" s="14"/>
      <c r="J760" s="14"/>
      <c r="K760" s="14"/>
      <c r="M760" s="14"/>
    </row>
    <row r="761" spans="2:13" ht="12.75" customHeight="1" x14ac:dyDescent="0.25">
      <c r="B761" s="14"/>
      <c r="D761" s="14"/>
      <c r="E761" s="14"/>
      <c r="F761" s="14"/>
      <c r="G761" s="14"/>
      <c r="H761" s="14"/>
      <c r="I761" s="14"/>
      <c r="J761" s="14"/>
      <c r="K761" s="14"/>
      <c r="M761" s="14"/>
    </row>
    <row r="762" spans="2:13" ht="12.75" customHeight="1" x14ac:dyDescent="0.25">
      <c r="B762" s="14"/>
      <c r="D762" s="14"/>
      <c r="E762" s="14"/>
      <c r="F762" s="14"/>
      <c r="G762" s="14"/>
      <c r="H762" s="14"/>
      <c r="I762" s="14"/>
      <c r="J762" s="14"/>
      <c r="K762" s="14"/>
      <c r="M762" s="14"/>
    </row>
    <row r="763" spans="2:13" ht="12.75" customHeight="1" x14ac:dyDescent="0.25">
      <c r="B763" s="14"/>
      <c r="D763" s="14"/>
      <c r="E763" s="14"/>
      <c r="F763" s="14"/>
      <c r="G763" s="14"/>
      <c r="H763" s="14"/>
      <c r="I763" s="14"/>
      <c r="J763" s="14"/>
      <c r="K763" s="14"/>
      <c r="M763" s="14"/>
    </row>
    <row r="764" spans="2:13" ht="12.75" customHeight="1" x14ac:dyDescent="0.25">
      <c r="B764" s="14"/>
      <c r="D764" s="14"/>
      <c r="E764" s="14"/>
      <c r="F764" s="14"/>
      <c r="G764" s="14"/>
      <c r="H764" s="14"/>
      <c r="I764" s="14"/>
      <c r="J764" s="14"/>
      <c r="K764" s="14"/>
      <c r="M764" s="14"/>
    </row>
    <row r="765" spans="2:13" ht="12.75" customHeight="1" x14ac:dyDescent="0.25">
      <c r="B765" s="14"/>
      <c r="D765" s="14"/>
      <c r="E765" s="14"/>
      <c r="F765" s="14"/>
      <c r="G765" s="14"/>
      <c r="H765" s="14"/>
      <c r="I765" s="14"/>
      <c r="J765" s="14"/>
      <c r="K765" s="14"/>
      <c r="M765" s="14"/>
    </row>
    <row r="766" spans="2:13" ht="12.75" customHeight="1" x14ac:dyDescent="0.25">
      <c r="B766" s="14"/>
      <c r="D766" s="14"/>
      <c r="E766" s="14"/>
      <c r="F766" s="14"/>
      <c r="G766" s="14"/>
      <c r="H766" s="14"/>
      <c r="I766" s="14"/>
      <c r="J766" s="14"/>
      <c r="K766" s="14"/>
      <c r="M766" s="14"/>
    </row>
    <row r="767" spans="2:13" ht="12.75" customHeight="1" x14ac:dyDescent="0.25">
      <c r="B767" s="14"/>
      <c r="D767" s="14"/>
      <c r="E767" s="14"/>
      <c r="F767" s="14"/>
      <c r="G767" s="14"/>
      <c r="H767" s="14"/>
      <c r="I767" s="14"/>
      <c r="J767" s="14"/>
      <c r="K767" s="14"/>
      <c r="M767" s="14"/>
    </row>
    <row r="768" spans="2:13" ht="12.75" customHeight="1" x14ac:dyDescent="0.25">
      <c r="B768" s="14"/>
      <c r="D768" s="14"/>
      <c r="E768" s="14"/>
      <c r="F768" s="14"/>
      <c r="G768" s="14"/>
      <c r="H768" s="14"/>
      <c r="I768" s="14"/>
      <c r="J768" s="14"/>
      <c r="K768" s="14"/>
      <c r="M768" s="14"/>
    </row>
    <row r="769" spans="2:13" ht="12.75" customHeight="1" x14ac:dyDescent="0.25">
      <c r="B769" s="14"/>
      <c r="D769" s="14"/>
      <c r="E769" s="14"/>
      <c r="F769" s="14"/>
      <c r="G769" s="14"/>
      <c r="H769" s="14"/>
      <c r="I769" s="14"/>
      <c r="J769" s="14"/>
      <c r="K769" s="14"/>
      <c r="M769" s="14"/>
    </row>
    <row r="770" spans="2:13" ht="12.75" customHeight="1" x14ac:dyDescent="0.25">
      <c r="B770" s="14"/>
      <c r="D770" s="14"/>
      <c r="E770" s="14"/>
      <c r="F770" s="14"/>
      <c r="G770" s="14"/>
      <c r="H770" s="14"/>
      <c r="I770" s="14"/>
      <c r="J770" s="14"/>
      <c r="K770" s="14"/>
      <c r="M770" s="14"/>
    </row>
    <row r="771" spans="2:13" ht="12.75" customHeight="1" x14ac:dyDescent="0.25">
      <c r="B771" s="14"/>
      <c r="D771" s="14"/>
      <c r="E771" s="14"/>
      <c r="F771" s="14"/>
      <c r="G771" s="14"/>
      <c r="H771" s="14"/>
      <c r="I771" s="14"/>
      <c r="J771" s="14"/>
      <c r="K771" s="14"/>
      <c r="M771" s="14"/>
    </row>
    <row r="772" spans="2:13" ht="12.75" customHeight="1" x14ac:dyDescent="0.25">
      <c r="B772" s="14"/>
      <c r="D772" s="14"/>
      <c r="E772" s="14"/>
      <c r="F772" s="14"/>
      <c r="G772" s="14"/>
      <c r="H772" s="14"/>
      <c r="I772" s="14"/>
      <c r="J772" s="14"/>
      <c r="K772" s="14"/>
      <c r="M772" s="14"/>
    </row>
    <row r="773" spans="2:13" ht="12.75" customHeight="1" x14ac:dyDescent="0.25">
      <c r="B773" s="14"/>
      <c r="D773" s="14"/>
      <c r="E773" s="14"/>
      <c r="F773" s="14"/>
      <c r="G773" s="14"/>
      <c r="H773" s="14"/>
      <c r="I773" s="14"/>
      <c r="J773" s="14"/>
      <c r="K773" s="14"/>
      <c r="M773" s="14"/>
    </row>
    <row r="774" spans="2:13" ht="12.75" customHeight="1" x14ac:dyDescent="0.25">
      <c r="B774" s="14"/>
      <c r="D774" s="14"/>
      <c r="E774" s="14"/>
      <c r="F774" s="14"/>
      <c r="G774" s="14"/>
      <c r="H774" s="14"/>
      <c r="I774" s="14"/>
      <c r="J774" s="14"/>
      <c r="K774" s="14"/>
      <c r="M774" s="14"/>
    </row>
    <row r="775" spans="2:13" ht="12.75" customHeight="1" x14ac:dyDescent="0.25">
      <c r="B775" s="14"/>
      <c r="D775" s="14"/>
      <c r="E775" s="14"/>
      <c r="F775" s="14"/>
      <c r="G775" s="14"/>
      <c r="H775" s="14"/>
      <c r="I775" s="14"/>
      <c r="J775" s="14"/>
      <c r="K775" s="14"/>
      <c r="M775" s="14"/>
    </row>
    <row r="776" spans="2:13" ht="12.75" customHeight="1" x14ac:dyDescent="0.25">
      <c r="B776" s="14"/>
      <c r="D776" s="14"/>
      <c r="E776" s="14"/>
      <c r="F776" s="14"/>
      <c r="G776" s="14"/>
      <c r="H776" s="14"/>
      <c r="I776" s="14"/>
      <c r="J776" s="14"/>
      <c r="K776" s="14"/>
      <c r="M776" s="14"/>
    </row>
    <row r="777" spans="2:13" ht="12.75" customHeight="1" x14ac:dyDescent="0.25">
      <c r="B777" s="14"/>
      <c r="D777" s="14"/>
      <c r="E777" s="14"/>
      <c r="F777" s="14"/>
      <c r="G777" s="14"/>
      <c r="H777" s="14"/>
      <c r="I777" s="14"/>
      <c r="J777" s="14"/>
      <c r="K777" s="14"/>
      <c r="M777" s="14"/>
    </row>
    <row r="778" spans="2:13" ht="12.75" customHeight="1" x14ac:dyDescent="0.25">
      <c r="B778" s="14"/>
      <c r="D778" s="14"/>
      <c r="E778" s="14"/>
      <c r="F778" s="14"/>
      <c r="G778" s="14"/>
      <c r="H778" s="14"/>
      <c r="I778" s="14"/>
      <c r="J778" s="14"/>
      <c r="K778" s="14"/>
      <c r="M778" s="14"/>
    </row>
    <row r="779" spans="2:13" ht="12.75" customHeight="1" x14ac:dyDescent="0.25">
      <c r="B779" s="14"/>
      <c r="D779" s="14"/>
      <c r="E779" s="14"/>
      <c r="F779" s="14"/>
      <c r="G779" s="14"/>
      <c r="H779" s="14"/>
      <c r="I779" s="14"/>
      <c r="J779" s="14"/>
      <c r="K779" s="14"/>
      <c r="M779" s="14"/>
    </row>
    <row r="780" spans="2:13" ht="12.75" customHeight="1" x14ac:dyDescent="0.25">
      <c r="B780" s="14"/>
      <c r="D780" s="14"/>
      <c r="E780" s="14"/>
      <c r="F780" s="14"/>
      <c r="G780" s="14"/>
      <c r="H780" s="14"/>
      <c r="I780" s="14"/>
      <c r="J780" s="14"/>
      <c r="K780" s="14"/>
      <c r="M780" s="14"/>
    </row>
    <row r="781" spans="2:13" ht="12.75" customHeight="1" x14ac:dyDescent="0.25">
      <c r="B781" s="14"/>
      <c r="D781" s="14"/>
      <c r="E781" s="14"/>
      <c r="F781" s="14"/>
      <c r="G781" s="14"/>
      <c r="H781" s="14"/>
      <c r="I781" s="14"/>
      <c r="J781" s="14"/>
      <c r="K781" s="14"/>
      <c r="M781" s="14"/>
    </row>
    <row r="782" spans="2:13" ht="12.75" customHeight="1" x14ac:dyDescent="0.25">
      <c r="B782" s="14"/>
      <c r="D782" s="14"/>
      <c r="E782" s="14"/>
      <c r="F782" s="14"/>
      <c r="G782" s="14"/>
      <c r="H782" s="14"/>
      <c r="I782" s="14"/>
      <c r="J782" s="14"/>
      <c r="K782" s="14"/>
      <c r="M782" s="14"/>
    </row>
    <row r="783" spans="2:13" ht="12.75" customHeight="1" x14ac:dyDescent="0.25">
      <c r="B783" s="14"/>
      <c r="D783" s="14"/>
      <c r="E783" s="14"/>
      <c r="F783" s="14"/>
      <c r="G783" s="14"/>
      <c r="H783" s="14"/>
      <c r="I783" s="14"/>
      <c r="J783" s="14"/>
      <c r="K783" s="14"/>
      <c r="M783" s="14"/>
    </row>
    <row r="784" spans="2:13" ht="12.75" customHeight="1" x14ac:dyDescent="0.25">
      <c r="B784" s="14"/>
      <c r="D784" s="14"/>
      <c r="E784" s="14"/>
      <c r="F784" s="14"/>
      <c r="G784" s="14"/>
      <c r="H784" s="14"/>
      <c r="I784" s="14"/>
      <c r="J784" s="14"/>
      <c r="K784" s="14"/>
      <c r="M784" s="14"/>
    </row>
    <row r="785" spans="2:13" ht="12.75" customHeight="1" x14ac:dyDescent="0.25">
      <c r="B785" s="14"/>
      <c r="D785" s="14"/>
      <c r="E785" s="14"/>
      <c r="F785" s="14"/>
      <c r="G785" s="14"/>
      <c r="H785" s="14"/>
      <c r="I785" s="14"/>
      <c r="J785" s="14"/>
      <c r="K785" s="14"/>
      <c r="M785" s="14"/>
    </row>
    <row r="786" spans="2:13" ht="12.75" customHeight="1" x14ac:dyDescent="0.25">
      <c r="B786" s="14"/>
      <c r="D786" s="14"/>
      <c r="E786" s="14"/>
      <c r="F786" s="14"/>
      <c r="G786" s="14"/>
      <c r="H786" s="14"/>
      <c r="I786" s="14"/>
      <c r="J786" s="14"/>
      <c r="K786" s="14"/>
      <c r="M786" s="14"/>
    </row>
    <row r="787" spans="2:13" ht="12.75" customHeight="1" x14ac:dyDescent="0.25">
      <c r="B787" s="14"/>
      <c r="D787" s="14"/>
      <c r="E787" s="14"/>
      <c r="F787" s="14"/>
      <c r="G787" s="14"/>
      <c r="H787" s="14"/>
      <c r="I787" s="14"/>
      <c r="J787" s="14"/>
      <c r="K787" s="14"/>
      <c r="M787" s="14"/>
    </row>
    <row r="788" spans="2:13" ht="12.75" customHeight="1" x14ac:dyDescent="0.25">
      <c r="B788" s="14"/>
      <c r="D788" s="14"/>
      <c r="E788" s="14"/>
      <c r="F788" s="14"/>
      <c r="G788" s="14"/>
      <c r="H788" s="14"/>
      <c r="I788" s="14"/>
      <c r="J788" s="14"/>
      <c r="K788" s="14"/>
      <c r="M788" s="14"/>
    </row>
    <row r="789" spans="2:13" ht="12.75" customHeight="1" x14ac:dyDescent="0.25">
      <c r="B789" s="14"/>
      <c r="D789" s="14"/>
      <c r="E789" s="14"/>
      <c r="F789" s="14"/>
      <c r="G789" s="14"/>
      <c r="H789" s="14"/>
      <c r="I789" s="14"/>
      <c r="J789" s="14"/>
      <c r="K789" s="14"/>
      <c r="M789" s="14"/>
    </row>
    <row r="790" spans="2:13" ht="12.75" customHeight="1" x14ac:dyDescent="0.25">
      <c r="B790" s="14"/>
      <c r="D790" s="14"/>
      <c r="E790" s="14"/>
      <c r="F790" s="14"/>
      <c r="G790" s="14"/>
      <c r="H790" s="14"/>
      <c r="I790" s="14"/>
      <c r="J790" s="14"/>
      <c r="K790" s="14"/>
      <c r="M790" s="14"/>
    </row>
    <row r="791" spans="2:13" ht="12.75" customHeight="1" x14ac:dyDescent="0.25">
      <c r="B791" s="14"/>
      <c r="D791" s="14"/>
      <c r="E791" s="14"/>
      <c r="F791" s="14"/>
      <c r="G791" s="14"/>
      <c r="H791" s="14"/>
      <c r="I791" s="14"/>
      <c r="J791" s="14"/>
      <c r="K791" s="14"/>
      <c r="M791" s="14"/>
    </row>
    <row r="792" spans="2:13" ht="12.75" customHeight="1" x14ac:dyDescent="0.25">
      <c r="B792" s="14"/>
      <c r="D792" s="14"/>
      <c r="E792" s="14"/>
      <c r="F792" s="14"/>
      <c r="G792" s="14"/>
      <c r="H792" s="14"/>
      <c r="I792" s="14"/>
      <c r="J792" s="14"/>
      <c r="K792" s="14"/>
      <c r="M792" s="14"/>
    </row>
    <row r="793" spans="2:13" ht="12.75" customHeight="1" x14ac:dyDescent="0.25">
      <c r="B793" s="14"/>
      <c r="D793" s="14"/>
      <c r="E793" s="14"/>
      <c r="F793" s="14"/>
      <c r="G793" s="14"/>
      <c r="H793" s="14"/>
      <c r="I793" s="14"/>
      <c r="J793" s="14"/>
      <c r="K793" s="14"/>
      <c r="M793" s="14"/>
    </row>
    <row r="794" spans="2:13" ht="12.75" customHeight="1" x14ac:dyDescent="0.25">
      <c r="B794" s="14"/>
      <c r="D794" s="14"/>
      <c r="E794" s="14"/>
      <c r="F794" s="14"/>
      <c r="G794" s="14"/>
      <c r="H794" s="14"/>
      <c r="I794" s="14"/>
      <c r="J794" s="14"/>
      <c r="K794" s="14"/>
      <c r="M794" s="14"/>
    </row>
    <row r="795" spans="2:13" ht="12.75" customHeight="1" x14ac:dyDescent="0.25">
      <c r="B795" s="14"/>
      <c r="D795" s="14"/>
      <c r="E795" s="14"/>
      <c r="F795" s="14"/>
      <c r="G795" s="14"/>
      <c r="H795" s="14"/>
      <c r="I795" s="14"/>
      <c r="J795" s="14"/>
      <c r="K795" s="14"/>
      <c r="M795" s="14"/>
    </row>
    <row r="796" spans="2:13" ht="12.75" customHeight="1" x14ac:dyDescent="0.25">
      <c r="B796" s="14"/>
      <c r="D796" s="14"/>
      <c r="E796" s="14"/>
      <c r="F796" s="14"/>
      <c r="G796" s="14"/>
      <c r="H796" s="14"/>
      <c r="I796" s="14"/>
      <c r="J796" s="14"/>
      <c r="K796" s="14"/>
      <c r="M796" s="14"/>
    </row>
    <row r="797" spans="2:13" ht="12.75" customHeight="1" x14ac:dyDescent="0.25">
      <c r="B797" s="14"/>
      <c r="D797" s="14"/>
      <c r="E797" s="14"/>
      <c r="F797" s="14"/>
      <c r="G797" s="14"/>
      <c r="H797" s="14"/>
      <c r="I797" s="14"/>
      <c r="J797" s="14"/>
      <c r="K797" s="14"/>
      <c r="M797" s="14"/>
    </row>
    <row r="798" spans="2:13" ht="12.75" customHeight="1" x14ac:dyDescent="0.25">
      <c r="B798" s="14"/>
      <c r="D798" s="14"/>
      <c r="E798" s="14"/>
      <c r="F798" s="14"/>
      <c r="G798" s="14"/>
      <c r="H798" s="14"/>
      <c r="I798" s="14"/>
      <c r="J798" s="14"/>
      <c r="K798" s="14"/>
      <c r="M798" s="14"/>
    </row>
    <row r="799" spans="2:13" ht="12.75" customHeight="1" x14ac:dyDescent="0.25">
      <c r="B799" s="14"/>
      <c r="D799" s="14"/>
      <c r="E799" s="14"/>
      <c r="F799" s="14"/>
      <c r="G799" s="14"/>
      <c r="H799" s="14"/>
      <c r="I799" s="14"/>
      <c r="J799" s="14"/>
      <c r="K799" s="14"/>
      <c r="M799" s="14"/>
    </row>
    <row r="800" spans="2:13" ht="12.75" customHeight="1" x14ac:dyDescent="0.25">
      <c r="B800" s="14"/>
      <c r="D800" s="14"/>
      <c r="E800" s="14"/>
      <c r="F800" s="14"/>
      <c r="G800" s="14"/>
      <c r="H800" s="14"/>
      <c r="I800" s="14"/>
      <c r="J800" s="14"/>
      <c r="K800" s="14"/>
      <c r="M800" s="14"/>
    </row>
    <row r="801" spans="2:13" ht="12.75" customHeight="1" x14ac:dyDescent="0.25">
      <c r="B801" s="14"/>
      <c r="D801" s="14"/>
      <c r="E801" s="14"/>
      <c r="F801" s="14"/>
      <c r="G801" s="14"/>
      <c r="H801" s="14"/>
      <c r="I801" s="14"/>
      <c r="J801" s="14"/>
      <c r="K801" s="14"/>
      <c r="M801" s="14"/>
    </row>
    <row r="802" spans="2:13" ht="12.75" customHeight="1" x14ac:dyDescent="0.25">
      <c r="B802" s="14"/>
      <c r="D802" s="14"/>
      <c r="E802" s="14"/>
      <c r="F802" s="14"/>
      <c r="G802" s="14"/>
      <c r="H802" s="14"/>
      <c r="I802" s="14"/>
      <c r="J802" s="14"/>
      <c r="K802" s="14"/>
      <c r="M802" s="14"/>
    </row>
    <row r="803" spans="2:13" ht="12.75" customHeight="1" x14ac:dyDescent="0.25">
      <c r="B803" s="14"/>
      <c r="D803" s="14"/>
      <c r="E803" s="14"/>
      <c r="F803" s="14"/>
      <c r="G803" s="14"/>
      <c r="H803" s="14"/>
      <c r="I803" s="14"/>
      <c r="J803" s="14"/>
      <c r="K803" s="14"/>
      <c r="M803" s="14"/>
    </row>
    <row r="804" spans="2:13" ht="12.75" customHeight="1" x14ac:dyDescent="0.25">
      <c r="B804" s="14"/>
      <c r="D804" s="14"/>
      <c r="E804" s="14"/>
      <c r="F804" s="14"/>
      <c r="G804" s="14"/>
      <c r="H804" s="14"/>
      <c r="I804" s="14"/>
      <c r="J804" s="14"/>
      <c r="K804" s="14"/>
      <c r="M804" s="14"/>
    </row>
    <row r="805" spans="2:13" ht="12.75" customHeight="1" x14ac:dyDescent="0.25">
      <c r="B805" s="14"/>
      <c r="D805" s="14"/>
      <c r="E805" s="14"/>
      <c r="F805" s="14"/>
      <c r="G805" s="14"/>
      <c r="H805" s="14"/>
      <c r="I805" s="14"/>
      <c r="J805" s="14"/>
      <c r="K805" s="14"/>
      <c r="M805" s="14"/>
    </row>
    <row r="806" spans="2:13" ht="12.75" customHeight="1" x14ac:dyDescent="0.25">
      <c r="B806" s="14"/>
      <c r="D806" s="14"/>
      <c r="E806" s="14"/>
      <c r="F806" s="14"/>
      <c r="G806" s="14"/>
      <c r="H806" s="14"/>
      <c r="I806" s="14"/>
      <c r="J806" s="14"/>
      <c r="K806" s="14"/>
      <c r="M806" s="14"/>
    </row>
    <row r="807" spans="2:13" ht="12.75" customHeight="1" x14ac:dyDescent="0.25">
      <c r="B807" s="14"/>
      <c r="D807" s="14"/>
      <c r="E807" s="14"/>
      <c r="F807" s="14"/>
      <c r="G807" s="14"/>
      <c r="H807" s="14"/>
      <c r="I807" s="14"/>
      <c r="J807" s="14"/>
      <c r="K807" s="14"/>
      <c r="M807" s="14"/>
    </row>
    <row r="808" spans="2:13" ht="12.75" customHeight="1" x14ac:dyDescent="0.25">
      <c r="B808" s="14"/>
      <c r="D808" s="14"/>
      <c r="E808" s="14"/>
      <c r="F808" s="14"/>
      <c r="G808" s="14"/>
      <c r="H808" s="14"/>
      <c r="I808" s="14"/>
      <c r="J808" s="14"/>
      <c r="K808" s="14"/>
      <c r="M808" s="14"/>
    </row>
    <row r="809" spans="2:13" ht="12.75" customHeight="1" x14ac:dyDescent="0.25">
      <c r="B809" s="14"/>
      <c r="D809" s="14"/>
      <c r="E809" s="14"/>
      <c r="F809" s="14"/>
      <c r="G809" s="14"/>
      <c r="H809" s="14"/>
      <c r="I809" s="14"/>
      <c r="J809" s="14"/>
      <c r="K809" s="14"/>
      <c r="M809" s="14"/>
    </row>
    <row r="810" spans="2:13" ht="12.75" customHeight="1" x14ac:dyDescent="0.25">
      <c r="B810" s="14"/>
      <c r="D810" s="14"/>
      <c r="E810" s="14"/>
      <c r="F810" s="14"/>
      <c r="G810" s="14"/>
      <c r="H810" s="14"/>
      <c r="I810" s="14"/>
      <c r="J810" s="14"/>
      <c r="K810" s="14"/>
      <c r="M810" s="14"/>
    </row>
    <row r="811" spans="2:13" ht="12.75" customHeight="1" x14ac:dyDescent="0.25">
      <c r="B811" s="14"/>
      <c r="D811" s="14"/>
      <c r="E811" s="14"/>
      <c r="F811" s="14"/>
      <c r="G811" s="14"/>
      <c r="H811" s="14"/>
      <c r="I811" s="14"/>
      <c r="J811" s="14"/>
      <c r="K811" s="14"/>
      <c r="M811" s="14"/>
    </row>
    <row r="812" spans="2:13" ht="12.75" customHeight="1" x14ac:dyDescent="0.25">
      <c r="B812" s="14"/>
      <c r="D812" s="14"/>
      <c r="E812" s="14"/>
      <c r="F812" s="14"/>
      <c r="G812" s="14"/>
      <c r="H812" s="14"/>
      <c r="I812" s="14"/>
      <c r="J812" s="14"/>
      <c r="K812" s="14"/>
      <c r="M812" s="14"/>
    </row>
    <row r="813" spans="2:13" ht="12.75" customHeight="1" x14ac:dyDescent="0.25">
      <c r="B813" s="14"/>
      <c r="D813" s="14"/>
      <c r="E813" s="14"/>
      <c r="F813" s="14"/>
      <c r="G813" s="14"/>
      <c r="H813" s="14"/>
      <c r="I813" s="14"/>
      <c r="J813" s="14"/>
      <c r="K813" s="14"/>
      <c r="M813" s="14"/>
    </row>
    <row r="814" spans="2:13" ht="12.75" customHeight="1" x14ac:dyDescent="0.25">
      <c r="B814" s="14"/>
      <c r="D814" s="14"/>
      <c r="E814" s="14"/>
      <c r="F814" s="14"/>
      <c r="G814" s="14"/>
      <c r="H814" s="14"/>
      <c r="I814" s="14"/>
      <c r="J814" s="14"/>
      <c r="K814" s="14"/>
      <c r="M814" s="14"/>
    </row>
    <row r="815" spans="2:13" ht="12.75" customHeight="1" x14ac:dyDescent="0.25">
      <c r="B815" s="14"/>
      <c r="D815" s="14"/>
      <c r="E815" s="14"/>
      <c r="F815" s="14"/>
      <c r="G815" s="14"/>
      <c r="H815" s="14"/>
      <c r="I815" s="14"/>
      <c r="J815" s="14"/>
      <c r="K815" s="14"/>
      <c r="M815" s="14"/>
    </row>
    <row r="816" spans="2:13" ht="12.75" customHeight="1" x14ac:dyDescent="0.25">
      <c r="B816" s="14"/>
      <c r="D816" s="14"/>
      <c r="E816" s="14"/>
      <c r="F816" s="14"/>
      <c r="G816" s="14"/>
      <c r="H816" s="14"/>
      <c r="I816" s="14"/>
      <c r="J816" s="14"/>
      <c r="K816" s="14"/>
      <c r="M816" s="14"/>
    </row>
    <row r="817" spans="2:13" ht="12.75" customHeight="1" x14ac:dyDescent="0.25">
      <c r="B817" s="14"/>
      <c r="D817" s="14"/>
      <c r="E817" s="14"/>
      <c r="F817" s="14"/>
      <c r="G817" s="14"/>
      <c r="H817" s="14"/>
      <c r="I817" s="14"/>
      <c r="J817" s="14"/>
      <c r="K817" s="14"/>
      <c r="M817" s="14"/>
    </row>
    <row r="818" spans="2:13" ht="12.75" customHeight="1" x14ac:dyDescent="0.25">
      <c r="B818" s="14"/>
      <c r="D818" s="14"/>
      <c r="E818" s="14"/>
      <c r="F818" s="14"/>
      <c r="G818" s="14"/>
      <c r="H818" s="14"/>
      <c r="I818" s="14"/>
      <c r="J818" s="14"/>
      <c r="K818" s="14"/>
      <c r="M818" s="14"/>
    </row>
    <row r="819" spans="2:13" ht="12.75" customHeight="1" x14ac:dyDescent="0.25">
      <c r="B819" s="14"/>
      <c r="D819" s="14"/>
      <c r="E819" s="14"/>
      <c r="F819" s="14"/>
      <c r="G819" s="14"/>
      <c r="H819" s="14"/>
      <c r="I819" s="14"/>
      <c r="J819" s="14"/>
      <c r="K819" s="14"/>
      <c r="M819" s="14"/>
    </row>
    <row r="820" spans="2:13" ht="12.75" customHeight="1" x14ac:dyDescent="0.25">
      <c r="B820" s="14"/>
      <c r="D820" s="14"/>
      <c r="E820" s="14"/>
      <c r="F820" s="14"/>
      <c r="G820" s="14"/>
      <c r="H820" s="14"/>
      <c r="I820" s="14"/>
      <c r="J820" s="14"/>
      <c r="K820" s="14"/>
      <c r="M820" s="14"/>
    </row>
    <row r="821" spans="2:13" ht="12.75" customHeight="1" x14ac:dyDescent="0.25">
      <c r="B821" s="14"/>
      <c r="D821" s="14"/>
      <c r="E821" s="14"/>
      <c r="F821" s="14"/>
      <c r="G821" s="14"/>
      <c r="H821" s="14"/>
      <c r="I821" s="14"/>
      <c r="J821" s="14"/>
      <c r="K821" s="14"/>
      <c r="M821" s="14"/>
    </row>
    <row r="822" spans="2:13" ht="12.75" customHeight="1" x14ac:dyDescent="0.25">
      <c r="B822" s="14"/>
      <c r="D822" s="14"/>
      <c r="E822" s="14"/>
      <c r="F822" s="14"/>
      <c r="G822" s="14"/>
      <c r="H822" s="14"/>
      <c r="I822" s="14"/>
      <c r="J822" s="14"/>
      <c r="K822" s="14"/>
      <c r="M822" s="14"/>
    </row>
    <row r="823" spans="2:13" ht="12.75" customHeight="1" x14ac:dyDescent="0.25">
      <c r="B823" s="14"/>
      <c r="D823" s="14"/>
      <c r="E823" s="14"/>
      <c r="F823" s="14"/>
      <c r="G823" s="14"/>
      <c r="H823" s="14"/>
      <c r="I823" s="14"/>
      <c r="J823" s="14"/>
      <c r="K823" s="14"/>
      <c r="M823" s="14"/>
    </row>
    <row r="824" spans="2:13" ht="12.75" customHeight="1" x14ac:dyDescent="0.25">
      <c r="B824" s="14"/>
      <c r="D824" s="14"/>
      <c r="E824" s="14"/>
      <c r="F824" s="14"/>
      <c r="G824" s="14"/>
      <c r="H824" s="14"/>
      <c r="I824" s="14"/>
      <c r="J824" s="14"/>
      <c r="K824" s="14"/>
      <c r="M824" s="14"/>
    </row>
    <row r="825" spans="2:13" ht="12.75" customHeight="1" x14ac:dyDescent="0.25">
      <c r="B825" s="14"/>
      <c r="D825" s="14"/>
      <c r="E825" s="14"/>
      <c r="F825" s="14"/>
      <c r="G825" s="14"/>
      <c r="H825" s="14"/>
      <c r="I825" s="14"/>
      <c r="J825" s="14"/>
      <c r="K825" s="14"/>
      <c r="M825" s="14"/>
    </row>
    <row r="826" spans="2:13" ht="12.75" customHeight="1" x14ac:dyDescent="0.25">
      <c r="B826" s="14"/>
      <c r="D826" s="14"/>
      <c r="E826" s="14"/>
      <c r="F826" s="14"/>
      <c r="G826" s="14"/>
      <c r="H826" s="14"/>
      <c r="I826" s="14"/>
      <c r="J826" s="14"/>
      <c r="K826" s="14"/>
      <c r="M826" s="14"/>
    </row>
    <row r="827" spans="2:13" ht="12.75" customHeight="1" x14ac:dyDescent="0.25">
      <c r="B827" s="14"/>
      <c r="D827" s="14"/>
      <c r="E827" s="14"/>
      <c r="F827" s="14"/>
      <c r="G827" s="14"/>
      <c r="H827" s="14"/>
      <c r="I827" s="14"/>
      <c r="J827" s="14"/>
      <c r="K827" s="14"/>
      <c r="M827" s="14"/>
    </row>
    <row r="828" spans="2:13" ht="12.75" customHeight="1" x14ac:dyDescent="0.25">
      <c r="B828" s="14"/>
      <c r="D828" s="14"/>
      <c r="E828" s="14"/>
      <c r="F828" s="14"/>
      <c r="G828" s="14"/>
      <c r="H828" s="14"/>
      <c r="I828" s="14"/>
      <c r="J828" s="14"/>
      <c r="K828" s="14"/>
      <c r="M828" s="14"/>
    </row>
    <row r="829" spans="2:13" ht="12.75" customHeight="1" x14ac:dyDescent="0.25">
      <c r="B829" s="14"/>
      <c r="D829" s="14"/>
      <c r="E829" s="14"/>
      <c r="F829" s="14"/>
      <c r="G829" s="14"/>
      <c r="H829" s="14"/>
      <c r="I829" s="14"/>
      <c r="J829" s="14"/>
      <c r="K829" s="14"/>
      <c r="M829" s="14"/>
    </row>
    <row r="830" spans="2:13" ht="12.75" customHeight="1" x14ac:dyDescent="0.25">
      <c r="B830" s="14"/>
      <c r="D830" s="14"/>
      <c r="E830" s="14"/>
      <c r="F830" s="14"/>
      <c r="G830" s="14"/>
      <c r="H830" s="14"/>
      <c r="I830" s="14"/>
      <c r="J830" s="14"/>
      <c r="K830" s="14"/>
      <c r="M830" s="14"/>
    </row>
    <row r="831" spans="2:13" ht="12.75" customHeight="1" x14ac:dyDescent="0.25">
      <c r="B831" s="14"/>
      <c r="D831" s="14"/>
      <c r="E831" s="14"/>
      <c r="F831" s="14"/>
      <c r="G831" s="14"/>
      <c r="H831" s="14"/>
      <c r="I831" s="14"/>
      <c r="J831" s="14"/>
      <c r="K831" s="14"/>
      <c r="M831" s="14"/>
    </row>
    <row r="832" spans="2:13" ht="12.75" customHeight="1" x14ac:dyDescent="0.25">
      <c r="B832" s="14"/>
      <c r="D832" s="14"/>
      <c r="E832" s="14"/>
      <c r="F832" s="14"/>
      <c r="G832" s="14"/>
      <c r="H832" s="14"/>
      <c r="I832" s="14"/>
      <c r="J832" s="14"/>
      <c r="K832" s="14"/>
      <c r="M832" s="14"/>
    </row>
    <row r="833" spans="2:13" ht="12.75" customHeight="1" x14ac:dyDescent="0.25">
      <c r="B833" s="14"/>
      <c r="D833" s="14"/>
      <c r="E833" s="14"/>
      <c r="F833" s="14"/>
      <c r="G833" s="14"/>
      <c r="H833" s="14"/>
      <c r="I833" s="14"/>
      <c r="J833" s="14"/>
      <c r="K833" s="14"/>
      <c r="M833" s="14"/>
    </row>
    <row r="834" spans="2:13" ht="12.75" customHeight="1" x14ac:dyDescent="0.25">
      <c r="B834" s="14"/>
      <c r="D834" s="14"/>
      <c r="E834" s="14"/>
      <c r="F834" s="14"/>
      <c r="G834" s="14"/>
      <c r="H834" s="14"/>
      <c r="I834" s="14"/>
      <c r="J834" s="14"/>
      <c r="K834" s="14"/>
      <c r="M834" s="14"/>
    </row>
    <row r="835" spans="2:13" ht="12.75" customHeight="1" x14ac:dyDescent="0.25">
      <c r="B835" s="14"/>
      <c r="D835" s="14"/>
      <c r="E835" s="14"/>
      <c r="F835" s="14"/>
      <c r="G835" s="14"/>
      <c r="H835" s="14"/>
      <c r="I835" s="14"/>
      <c r="J835" s="14"/>
      <c r="K835" s="14"/>
      <c r="M835" s="14"/>
    </row>
    <row r="836" spans="2:13" ht="12.75" customHeight="1" x14ac:dyDescent="0.25">
      <c r="B836" s="14"/>
      <c r="D836" s="14"/>
      <c r="E836" s="14"/>
      <c r="F836" s="14"/>
      <c r="G836" s="14"/>
      <c r="H836" s="14"/>
      <c r="I836" s="14"/>
      <c r="J836" s="14"/>
      <c r="K836" s="14"/>
      <c r="M836" s="14"/>
    </row>
    <row r="837" spans="2:13" ht="12.75" customHeight="1" x14ac:dyDescent="0.25">
      <c r="B837" s="14"/>
      <c r="D837" s="14"/>
      <c r="E837" s="14"/>
      <c r="F837" s="14"/>
      <c r="G837" s="14"/>
      <c r="H837" s="14"/>
      <c r="I837" s="14"/>
      <c r="J837" s="14"/>
      <c r="K837" s="14"/>
      <c r="M837" s="14"/>
    </row>
    <row r="838" spans="2:13" ht="12.75" customHeight="1" x14ac:dyDescent="0.25">
      <c r="B838" s="14"/>
      <c r="D838" s="14"/>
      <c r="E838" s="14"/>
      <c r="F838" s="14"/>
      <c r="G838" s="14"/>
      <c r="H838" s="14"/>
      <c r="I838" s="14"/>
      <c r="J838" s="14"/>
      <c r="K838" s="14"/>
      <c r="M838" s="14"/>
    </row>
    <row r="839" spans="2:13" ht="12.75" customHeight="1" x14ac:dyDescent="0.25">
      <c r="B839" s="14"/>
      <c r="D839" s="14"/>
      <c r="E839" s="14"/>
      <c r="F839" s="14"/>
      <c r="G839" s="14"/>
      <c r="H839" s="14"/>
      <c r="I839" s="14"/>
      <c r="J839" s="14"/>
      <c r="K839" s="14"/>
      <c r="M839" s="14"/>
    </row>
    <row r="840" spans="2:13" ht="12.75" customHeight="1" x14ac:dyDescent="0.25">
      <c r="B840" s="14"/>
      <c r="D840" s="14"/>
      <c r="E840" s="14"/>
      <c r="F840" s="14"/>
      <c r="G840" s="14"/>
      <c r="H840" s="14"/>
      <c r="I840" s="14"/>
      <c r="J840" s="14"/>
      <c r="K840" s="14"/>
      <c r="M840" s="14"/>
    </row>
    <row r="841" spans="2:13" ht="12.75" customHeight="1" x14ac:dyDescent="0.25">
      <c r="B841" s="14"/>
      <c r="D841" s="14"/>
      <c r="E841" s="14"/>
      <c r="F841" s="14"/>
      <c r="G841" s="14"/>
      <c r="H841" s="14"/>
      <c r="I841" s="14"/>
      <c r="J841" s="14"/>
      <c r="K841" s="14"/>
      <c r="M841" s="14"/>
    </row>
    <row r="842" spans="2:13" ht="12.75" customHeight="1" x14ac:dyDescent="0.25">
      <c r="B842" s="14"/>
      <c r="D842" s="14"/>
      <c r="E842" s="14"/>
      <c r="F842" s="14"/>
      <c r="G842" s="14"/>
      <c r="H842" s="14"/>
      <c r="I842" s="14"/>
      <c r="J842" s="14"/>
      <c r="K842" s="14"/>
      <c r="M842" s="14"/>
    </row>
    <row r="843" spans="2:13" ht="12.75" customHeight="1" x14ac:dyDescent="0.25">
      <c r="B843" s="14"/>
      <c r="D843" s="14"/>
      <c r="E843" s="14"/>
      <c r="F843" s="14"/>
      <c r="G843" s="14"/>
      <c r="H843" s="14"/>
      <c r="I843" s="14"/>
      <c r="J843" s="14"/>
      <c r="K843" s="14"/>
      <c r="M843" s="14"/>
    </row>
    <row r="844" spans="2:13" ht="12.75" customHeight="1" x14ac:dyDescent="0.25">
      <c r="B844" s="14"/>
      <c r="D844" s="14"/>
      <c r="E844" s="14"/>
      <c r="F844" s="14"/>
      <c r="G844" s="14"/>
      <c r="H844" s="14"/>
      <c r="I844" s="14"/>
      <c r="J844" s="14"/>
      <c r="K844" s="14"/>
      <c r="M844" s="14"/>
    </row>
    <row r="845" spans="2:13" ht="12.75" customHeight="1" x14ac:dyDescent="0.25">
      <c r="B845" s="14"/>
      <c r="D845" s="14"/>
      <c r="E845" s="14"/>
      <c r="F845" s="14"/>
      <c r="G845" s="14"/>
      <c r="H845" s="14"/>
      <c r="I845" s="14"/>
      <c r="J845" s="14"/>
      <c r="K845" s="14"/>
      <c r="M845" s="14"/>
    </row>
    <row r="846" spans="2:13" ht="12.75" customHeight="1" x14ac:dyDescent="0.25">
      <c r="B846" s="14"/>
      <c r="D846" s="14"/>
      <c r="E846" s="14"/>
      <c r="F846" s="14"/>
      <c r="G846" s="14"/>
      <c r="H846" s="14"/>
      <c r="I846" s="14"/>
      <c r="J846" s="14"/>
      <c r="K846" s="14"/>
      <c r="M846" s="14"/>
    </row>
    <row r="847" spans="2:13" ht="12.75" customHeight="1" x14ac:dyDescent="0.25">
      <c r="B847" s="14"/>
      <c r="D847" s="14"/>
      <c r="E847" s="14"/>
      <c r="F847" s="14"/>
      <c r="G847" s="14"/>
      <c r="H847" s="14"/>
      <c r="I847" s="14"/>
      <c r="J847" s="14"/>
      <c r="K847" s="14"/>
      <c r="M847" s="14"/>
    </row>
    <row r="848" spans="2:13" ht="12.75" customHeight="1" x14ac:dyDescent="0.25">
      <c r="B848" s="14"/>
      <c r="D848" s="14"/>
      <c r="E848" s="14"/>
      <c r="F848" s="14"/>
      <c r="G848" s="14"/>
      <c r="H848" s="14"/>
      <c r="I848" s="14"/>
      <c r="J848" s="14"/>
      <c r="K848" s="14"/>
      <c r="M848" s="14"/>
    </row>
    <row r="849" spans="2:13" ht="12.75" customHeight="1" x14ac:dyDescent="0.25">
      <c r="B849" s="14"/>
      <c r="D849" s="14"/>
      <c r="E849" s="14"/>
      <c r="F849" s="14"/>
      <c r="G849" s="14"/>
      <c r="H849" s="14"/>
      <c r="I849" s="14"/>
      <c r="J849" s="14"/>
      <c r="K849" s="14"/>
      <c r="M849" s="14"/>
    </row>
    <row r="850" spans="2:13" ht="12.75" customHeight="1" x14ac:dyDescent="0.25">
      <c r="B850" s="14"/>
      <c r="D850" s="14"/>
      <c r="E850" s="14"/>
      <c r="F850" s="14"/>
      <c r="G850" s="14"/>
      <c r="H850" s="14"/>
      <c r="I850" s="14"/>
      <c r="J850" s="14"/>
      <c r="K850" s="14"/>
      <c r="M850" s="14"/>
    </row>
    <row r="851" spans="2:13" ht="12.75" customHeight="1" x14ac:dyDescent="0.25">
      <c r="B851" s="14"/>
      <c r="D851" s="14"/>
      <c r="E851" s="14"/>
      <c r="F851" s="14"/>
      <c r="G851" s="14"/>
      <c r="H851" s="14"/>
      <c r="I851" s="14"/>
      <c r="J851" s="14"/>
      <c r="K851" s="14"/>
      <c r="M851" s="14"/>
    </row>
    <row r="852" spans="2:13" ht="12.75" customHeight="1" x14ac:dyDescent="0.25">
      <c r="B852" s="14"/>
      <c r="D852" s="14"/>
      <c r="E852" s="14"/>
      <c r="F852" s="14"/>
      <c r="G852" s="14"/>
      <c r="H852" s="14"/>
      <c r="I852" s="14"/>
      <c r="J852" s="14"/>
      <c r="K852" s="14"/>
      <c r="M852" s="14"/>
    </row>
    <row r="853" spans="2:13" ht="12.75" customHeight="1" x14ac:dyDescent="0.25">
      <c r="B853" s="14"/>
      <c r="D853" s="14"/>
      <c r="E853" s="14"/>
      <c r="F853" s="14"/>
      <c r="G853" s="14"/>
      <c r="H853" s="14"/>
      <c r="I853" s="14"/>
      <c r="J853" s="14"/>
      <c r="K853" s="14"/>
      <c r="M853" s="14"/>
    </row>
    <row r="854" spans="2:13" ht="12.75" customHeight="1" x14ac:dyDescent="0.25">
      <c r="B854" s="14"/>
      <c r="D854" s="14"/>
      <c r="E854" s="14"/>
      <c r="F854" s="14"/>
      <c r="G854" s="14"/>
      <c r="H854" s="14"/>
      <c r="I854" s="14"/>
      <c r="J854" s="14"/>
      <c r="K854" s="14"/>
      <c r="M854" s="14"/>
    </row>
    <row r="855" spans="2:13" ht="12.75" customHeight="1" x14ac:dyDescent="0.25">
      <c r="B855" s="14"/>
      <c r="D855" s="14"/>
      <c r="E855" s="14"/>
      <c r="F855" s="14"/>
      <c r="G855" s="14"/>
      <c r="H855" s="14"/>
      <c r="I855" s="14"/>
      <c r="J855" s="14"/>
      <c r="K855" s="14"/>
      <c r="M855" s="14"/>
    </row>
    <row r="856" spans="2:13" ht="12.75" customHeight="1" x14ac:dyDescent="0.25">
      <c r="B856" s="14"/>
      <c r="D856" s="14"/>
      <c r="E856" s="14"/>
      <c r="F856" s="14"/>
      <c r="G856" s="14"/>
      <c r="H856" s="14"/>
      <c r="I856" s="14"/>
      <c r="J856" s="14"/>
      <c r="K856" s="14"/>
      <c r="M856" s="14"/>
    </row>
    <row r="857" spans="2:13" ht="12.75" customHeight="1" x14ac:dyDescent="0.25">
      <c r="B857" s="14"/>
      <c r="D857" s="14"/>
      <c r="E857" s="14"/>
      <c r="F857" s="14"/>
      <c r="G857" s="14"/>
      <c r="H857" s="14"/>
      <c r="I857" s="14"/>
      <c r="J857" s="14"/>
      <c r="K857" s="14"/>
      <c r="M857" s="14"/>
    </row>
    <row r="858" spans="2:13" ht="12.75" customHeight="1" x14ac:dyDescent="0.25">
      <c r="B858" s="14"/>
      <c r="D858" s="14"/>
      <c r="E858" s="14"/>
      <c r="F858" s="14"/>
      <c r="G858" s="14"/>
      <c r="H858" s="14"/>
      <c r="I858" s="14"/>
      <c r="J858" s="14"/>
      <c r="K858" s="14"/>
      <c r="M858" s="14"/>
    </row>
    <row r="859" spans="2:13" ht="12.75" customHeight="1" x14ac:dyDescent="0.25">
      <c r="B859" s="14"/>
      <c r="D859" s="14"/>
      <c r="E859" s="14"/>
      <c r="F859" s="14"/>
      <c r="G859" s="14"/>
      <c r="H859" s="14"/>
      <c r="I859" s="14"/>
      <c r="J859" s="14"/>
      <c r="K859" s="14"/>
      <c r="M859" s="14"/>
    </row>
    <row r="860" spans="2:13" ht="12.75" customHeight="1" x14ac:dyDescent="0.25">
      <c r="B860" s="14"/>
      <c r="D860" s="14"/>
      <c r="E860" s="14"/>
      <c r="F860" s="14"/>
      <c r="G860" s="14"/>
      <c r="H860" s="14"/>
      <c r="I860" s="14"/>
      <c r="J860" s="14"/>
      <c r="K860" s="14"/>
      <c r="M860" s="14"/>
    </row>
    <row r="861" spans="2:13" ht="12.75" customHeight="1" x14ac:dyDescent="0.25">
      <c r="B861" s="14"/>
      <c r="D861" s="14"/>
      <c r="E861" s="14"/>
      <c r="F861" s="14"/>
      <c r="G861" s="14"/>
      <c r="H861" s="14"/>
      <c r="I861" s="14"/>
      <c r="J861" s="14"/>
      <c r="K861" s="14"/>
      <c r="M861" s="14"/>
    </row>
    <row r="862" spans="2:13" ht="12.75" customHeight="1" x14ac:dyDescent="0.25">
      <c r="B862" s="14"/>
      <c r="D862" s="14"/>
      <c r="E862" s="14"/>
      <c r="F862" s="14"/>
      <c r="G862" s="14"/>
      <c r="H862" s="14"/>
      <c r="I862" s="14"/>
      <c r="J862" s="14"/>
      <c r="K862" s="14"/>
      <c r="M862" s="14"/>
    </row>
    <row r="863" spans="2:13" ht="12.75" customHeight="1" x14ac:dyDescent="0.25">
      <c r="B863" s="14"/>
      <c r="D863" s="14"/>
      <c r="E863" s="14"/>
      <c r="F863" s="14"/>
      <c r="G863" s="14"/>
      <c r="H863" s="14"/>
      <c r="I863" s="14"/>
      <c r="J863" s="14"/>
      <c r="K863" s="14"/>
      <c r="M863" s="14"/>
    </row>
    <row r="864" spans="2:13" ht="12.75" customHeight="1" x14ac:dyDescent="0.25">
      <c r="B864" s="14"/>
      <c r="D864" s="14"/>
      <c r="E864" s="14"/>
      <c r="F864" s="14"/>
      <c r="G864" s="14"/>
      <c r="H864" s="14"/>
      <c r="I864" s="14"/>
      <c r="J864" s="14"/>
      <c r="K864" s="14"/>
      <c r="M864" s="14"/>
    </row>
    <row r="865" spans="2:13" ht="12.75" customHeight="1" x14ac:dyDescent="0.25">
      <c r="B865" s="14"/>
      <c r="D865" s="14"/>
      <c r="E865" s="14"/>
      <c r="F865" s="14"/>
      <c r="G865" s="14"/>
      <c r="H865" s="14"/>
      <c r="I865" s="14"/>
      <c r="J865" s="14"/>
      <c r="K865" s="14"/>
      <c r="M865" s="14"/>
    </row>
    <row r="866" spans="2:13" ht="12.75" customHeight="1" x14ac:dyDescent="0.25">
      <c r="B866" s="14"/>
      <c r="D866" s="14"/>
      <c r="E866" s="14"/>
      <c r="F866" s="14"/>
      <c r="G866" s="14"/>
      <c r="H866" s="14"/>
      <c r="I866" s="14"/>
      <c r="J866" s="14"/>
      <c r="K866" s="14"/>
      <c r="M866" s="14"/>
    </row>
    <row r="867" spans="2:13" ht="12.75" customHeight="1" x14ac:dyDescent="0.25">
      <c r="B867" s="14"/>
      <c r="D867" s="14"/>
      <c r="E867" s="14"/>
      <c r="F867" s="14"/>
      <c r="G867" s="14"/>
      <c r="H867" s="14"/>
      <c r="I867" s="14"/>
      <c r="J867" s="14"/>
      <c r="K867" s="14"/>
      <c r="M867" s="14"/>
    </row>
    <row r="868" spans="2:13" ht="12.75" customHeight="1" x14ac:dyDescent="0.25">
      <c r="B868" s="14"/>
      <c r="D868" s="14"/>
      <c r="E868" s="14"/>
      <c r="F868" s="14"/>
      <c r="G868" s="14"/>
      <c r="H868" s="14"/>
      <c r="I868" s="14"/>
      <c r="J868" s="14"/>
      <c r="K868" s="14"/>
      <c r="M868" s="14"/>
    </row>
    <row r="869" spans="2:13" ht="12.75" customHeight="1" x14ac:dyDescent="0.25">
      <c r="B869" s="14"/>
      <c r="D869" s="14"/>
      <c r="E869" s="14"/>
      <c r="F869" s="14"/>
      <c r="G869" s="14"/>
      <c r="H869" s="14"/>
      <c r="I869" s="14"/>
      <c r="J869" s="14"/>
      <c r="K869" s="14"/>
      <c r="M869" s="14"/>
    </row>
    <row r="870" spans="2:13" ht="12.75" customHeight="1" x14ac:dyDescent="0.25">
      <c r="B870" s="14"/>
      <c r="D870" s="14"/>
      <c r="E870" s="14"/>
      <c r="F870" s="14"/>
      <c r="G870" s="14"/>
      <c r="H870" s="14"/>
      <c r="I870" s="14"/>
      <c r="J870" s="14"/>
      <c r="K870" s="14"/>
      <c r="M870" s="14"/>
    </row>
    <row r="871" spans="2:13" ht="12.75" customHeight="1" x14ac:dyDescent="0.25">
      <c r="B871" s="14"/>
      <c r="D871" s="14"/>
      <c r="E871" s="14"/>
      <c r="F871" s="14"/>
      <c r="G871" s="14"/>
      <c r="H871" s="14"/>
      <c r="I871" s="14"/>
      <c r="J871" s="14"/>
      <c r="K871" s="14"/>
      <c r="M871" s="14"/>
    </row>
    <row r="872" spans="2:13" ht="12.75" customHeight="1" x14ac:dyDescent="0.25">
      <c r="B872" s="14"/>
      <c r="D872" s="14"/>
      <c r="E872" s="14"/>
      <c r="F872" s="14"/>
      <c r="G872" s="14"/>
      <c r="H872" s="14"/>
      <c r="I872" s="14"/>
      <c r="J872" s="14"/>
      <c r="K872" s="14"/>
      <c r="M872" s="14"/>
    </row>
    <row r="873" spans="2:13" ht="12.75" customHeight="1" x14ac:dyDescent="0.25">
      <c r="B873" s="14"/>
      <c r="D873" s="14"/>
      <c r="E873" s="14"/>
      <c r="F873" s="14"/>
      <c r="G873" s="14"/>
      <c r="H873" s="14"/>
      <c r="I873" s="14"/>
      <c r="J873" s="14"/>
      <c r="K873" s="14"/>
      <c r="M873" s="14"/>
    </row>
    <row r="874" spans="2:13" ht="12.75" customHeight="1" x14ac:dyDescent="0.25">
      <c r="B874" s="14"/>
      <c r="D874" s="14"/>
      <c r="E874" s="14"/>
      <c r="F874" s="14"/>
      <c r="G874" s="14"/>
      <c r="H874" s="14"/>
      <c r="I874" s="14"/>
      <c r="J874" s="14"/>
      <c r="K874" s="14"/>
      <c r="M874" s="14"/>
    </row>
    <row r="875" spans="2:13" ht="12.75" customHeight="1" x14ac:dyDescent="0.25">
      <c r="B875" s="14"/>
      <c r="D875" s="14"/>
      <c r="E875" s="14"/>
      <c r="F875" s="14"/>
      <c r="G875" s="14"/>
      <c r="H875" s="14"/>
      <c r="I875" s="14"/>
      <c r="J875" s="14"/>
      <c r="K875" s="14"/>
      <c r="M875" s="14"/>
    </row>
    <row r="876" spans="2:13" ht="12.75" customHeight="1" x14ac:dyDescent="0.25">
      <c r="B876" s="14"/>
      <c r="D876" s="14"/>
      <c r="E876" s="14"/>
      <c r="F876" s="14"/>
      <c r="G876" s="14"/>
      <c r="H876" s="14"/>
      <c r="I876" s="14"/>
      <c r="J876" s="14"/>
      <c r="K876" s="14"/>
      <c r="M876" s="14"/>
    </row>
    <row r="877" spans="2:13" ht="12.75" customHeight="1" x14ac:dyDescent="0.25">
      <c r="B877" s="14"/>
      <c r="D877" s="14"/>
      <c r="E877" s="14"/>
      <c r="F877" s="14"/>
      <c r="G877" s="14"/>
      <c r="H877" s="14"/>
      <c r="I877" s="14"/>
      <c r="J877" s="14"/>
      <c r="K877" s="14"/>
      <c r="M877" s="14"/>
    </row>
    <row r="878" spans="2:13" ht="12.75" customHeight="1" x14ac:dyDescent="0.25">
      <c r="B878" s="14"/>
      <c r="D878" s="14"/>
      <c r="E878" s="14"/>
      <c r="F878" s="14"/>
      <c r="G878" s="14"/>
      <c r="H878" s="14"/>
      <c r="I878" s="14"/>
      <c r="J878" s="14"/>
      <c r="K878" s="14"/>
      <c r="M878" s="14"/>
    </row>
    <row r="879" spans="2:13" ht="12.75" customHeight="1" x14ac:dyDescent="0.25">
      <c r="B879" s="14"/>
      <c r="D879" s="14"/>
      <c r="E879" s="14"/>
      <c r="F879" s="14"/>
      <c r="G879" s="14"/>
      <c r="H879" s="14"/>
      <c r="I879" s="14"/>
      <c r="J879" s="14"/>
      <c r="K879" s="14"/>
      <c r="M879" s="14"/>
    </row>
    <row r="880" spans="2:13" ht="12.75" customHeight="1" x14ac:dyDescent="0.25">
      <c r="B880" s="14"/>
      <c r="D880" s="14"/>
      <c r="E880" s="14"/>
      <c r="F880" s="14"/>
      <c r="G880" s="14"/>
      <c r="H880" s="14"/>
      <c r="I880" s="14"/>
      <c r="J880" s="14"/>
      <c r="K880" s="14"/>
      <c r="M880" s="14"/>
    </row>
    <row r="881" spans="2:13" ht="12.75" customHeight="1" x14ac:dyDescent="0.25">
      <c r="B881" s="14"/>
      <c r="D881" s="14"/>
      <c r="E881" s="14"/>
      <c r="F881" s="14"/>
      <c r="G881" s="14"/>
      <c r="H881" s="14"/>
      <c r="I881" s="14"/>
      <c r="J881" s="14"/>
      <c r="K881" s="14"/>
      <c r="M881" s="14"/>
    </row>
    <row r="882" spans="2:13" ht="12.75" customHeight="1" x14ac:dyDescent="0.25">
      <c r="B882" s="14"/>
      <c r="D882" s="14"/>
      <c r="E882" s="14"/>
      <c r="F882" s="14"/>
      <c r="G882" s="14"/>
      <c r="H882" s="14"/>
      <c r="I882" s="14"/>
      <c r="J882" s="14"/>
      <c r="K882" s="14"/>
      <c r="M882" s="14"/>
    </row>
    <row r="883" spans="2:13" ht="12.75" customHeight="1" x14ac:dyDescent="0.25">
      <c r="B883" s="14"/>
      <c r="D883" s="14"/>
      <c r="E883" s="14"/>
      <c r="F883" s="14"/>
      <c r="G883" s="14"/>
      <c r="H883" s="14"/>
      <c r="I883" s="14"/>
      <c r="J883" s="14"/>
      <c r="K883" s="14"/>
      <c r="M883" s="14"/>
    </row>
    <row r="884" spans="2:13" ht="12.75" customHeight="1" x14ac:dyDescent="0.25">
      <c r="B884" s="14"/>
      <c r="D884" s="14"/>
      <c r="E884" s="14"/>
      <c r="F884" s="14"/>
      <c r="G884" s="14"/>
      <c r="H884" s="14"/>
      <c r="I884" s="14"/>
      <c r="J884" s="14"/>
      <c r="K884" s="14"/>
      <c r="M884" s="14"/>
    </row>
    <row r="885" spans="2:13" ht="12.75" customHeight="1" x14ac:dyDescent="0.25">
      <c r="B885" s="14"/>
      <c r="D885" s="14"/>
      <c r="E885" s="14"/>
      <c r="F885" s="14"/>
      <c r="G885" s="14"/>
      <c r="H885" s="14"/>
      <c r="I885" s="14"/>
      <c r="J885" s="14"/>
      <c r="K885" s="14"/>
      <c r="M885" s="14"/>
    </row>
    <row r="886" spans="2:13" ht="12.75" customHeight="1" x14ac:dyDescent="0.25">
      <c r="B886" s="14"/>
      <c r="D886" s="14"/>
      <c r="E886" s="14"/>
      <c r="F886" s="14"/>
      <c r="G886" s="14"/>
      <c r="H886" s="14"/>
      <c r="I886" s="14"/>
      <c r="J886" s="14"/>
      <c r="K886" s="14"/>
      <c r="M886" s="14"/>
    </row>
    <row r="887" spans="2:13" ht="12.75" customHeight="1" x14ac:dyDescent="0.25">
      <c r="B887" s="14"/>
      <c r="D887" s="14"/>
      <c r="E887" s="14"/>
      <c r="F887" s="14"/>
      <c r="G887" s="14"/>
      <c r="H887" s="14"/>
      <c r="I887" s="14"/>
      <c r="J887" s="14"/>
      <c r="K887" s="14"/>
      <c r="M887" s="14"/>
    </row>
    <row r="888" spans="2:13" ht="12.75" customHeight="1" x14ac:dyDescent="0.25">
      <c r="B888" s="14"/>
      <c r="D888" s="14"/>
      <c r="E888" s="14"/>
      <c r="F888" s="14"/>
      <c r="G888" s="14"/>
      <c r="H888" s="14"/>
      <c r="I888" s="14"/>
      <c r="J888" s="14"/>
      <c r="K888" s="14"/>
      <c r="M888" s="14"/>
    </row>
    <row r="889" spans="2:13" ht="12.75" customHeight="1" x14ac:dyDescent="0.25">
      <c r="B889" s="14"/>
      <c r="D889" s="14"/>
      <c r="E889" s="14"/>
      <c r="F889" s="14"/>
      <c r="G889" s="14"/>
      <c r="H889" s="14"/>
      <c r="I889" s="14"/>
      <c r="J889" s="14"/>
      <c r="K889" s="14"/>
      <c r="M889" s="14"/>
    </row>
    <row r="890" spans="2:13" ht="12.75" customHeight="1" x14ac:dyDescent="0.25">
      <c r="B890" s="14"/>
      <c r="D890" s="14"/>
      <c r="E890" s="14"/>
      <c r="F890" s="14"/>
      <c r="G890" s="14"/>
      <c r="H890" s="14"/>
      <c r="I890" s="14"/>
      <c r="J890" s="14"/>
      <c r="K890" s="14"/>
      <c r="M890" s="14"/>
    </row>
    <row r="891" spans="2:13" ht="12.75" customHeight="1" x14ac:dyDescent="0.25">
      <c r="B891" s="14"/>
      <c r="D891" s="14"/>
      <c r="E891" s="14"/>
      <c r="F891" s="14"/>
      <c r="G891" s="14"/>
      <c r="H891" s="14"/>
      <c r="I891" s="14"/>
      <c r="J891" s="14"/>
      <c r="K891" s="14"/>
      <c r="M891" s="14"/>
    </row>
    <row r="892" spans="2:13" ht="12.75" customHeight="1" x14ac:dyDescent="0.25">
      <c r="B892" s="14"/>
      <c r="D892" s="14"/>
      <c r="E892" s="14"/>
      <c r="F892" s="14"/>
      <c r="G892" s="14"/>
      <c r="H892" s="14"/>
      <c r="I892" s="14"/>
      <c r="J892" s="14"/>
      <c r="K892" s="14"/>
      <c r="M892" s="14"/>
    </row>
    <row r="893" spans="2:13" ht="12.75" customHeight="1" x14ac:dyDescent="0.25">
      <c r="B893" s="14"/>
      <c r="D893" s="14"/>
      <c r="E893" s="14"/>
      <c r="F893" s="14"/>
      <c r="G893" s="14"/>
      <c r="H893" s="14"/>
      <c r="I893" s="14"/>
      <c r="J893" s="14"/>
      <c r="K893" s="14"/>
      <c r="M893" s="14"/>
    </row>
    <row r="894" spans="2:13" ht="12.75" customHeight="1" x14ac:dyDescent="0.25">
      <c r="B894" s="14"/>
      <c r="D894" s="14"/>
      <c r="E894" s="14"/>
      <c r="F894" s="14"/>
      <c r="G894" s="14"/>
      <c r="H894" s="14"/>
      <c r="I894" s="14"/>
      <c r="J894" s="14"/>
      <c r="K894" s="14"/>
      <c r="M894" s="14"/>
    </row>
    <row r="895" spans="2:13" ht="12.75" customHeight="1" x14ac:dyDescent="0.25">
      <c r="B895" s="14"/>
      <c r="D895" s="14"/>
      <c r="E895" s="14"/>
      <c r="F895" s="14"/>
      <c r="G895" s="14"/>
      <c r="H895" s="14"/>
      <c r="I895" s="14"/>
      <c r="J895" s="14"/>
      <c r="K895" s="14"/>
      <c r="M895" s="14"/>
    </row>
    <row r="896" spans="2:13" ht="12.75" customHeight="1" x14ac:dyDescent="0.25">
      <c r="B896" s="14"/>
      <c r="D896" s="14"/>
      <c r="E896" s="14"/>
      <c r="F896" s="14"/>
      <c r="G896" s="14"/>
      <c r="H896" s="14"/>
      <c r="I896" s="14"/>
      <c r="J896" s="14"/>
      <c r="K896" s="14"/>
      <c r="M896" s="14"/>
    </row>
    <row r="897" spans="2:13" ht="12.75" customHeight="1" x14ac:dyDescent="0.25">
      <c r="B897" s="14"/>
      <c r="D897" s="14"/>
      <c r="E897" s="14"/>
      <c r="F897" s="14"/>
      <c r="G897" s="14"/>
      <c r="H897" s="14"/>
      <c r="I897" s="14"/>
      <c r="J897" s="14"/>
      <c r="K897" s="14"/>
      <c r="M897" s="14"/>
    </row>
    <row r="898" spans="2:13" ht="12.75" customHeight="1" x14ac:dyDescent="0.25">
      <c r="B898" s="14"/>
      <c r="D898" s="14"/>
      <c r="E898" s="14"/>
      <c r="F898" s="14"/>
      <c r="G898" s="14"/>
      <c r="H898" s="14"/>
      <c r="I898" s="14"/>
      <c r="J898" s="14"/>
      <c r="K898" s="14"/>
      <c r="M898" s="14"/>
    </row>
    <row r="899" spans="2:13" ht="12.75" customHeight="1" x14ac:dyDescent="0.25">
      <c r="B899" s="14"/>
      <c r="D899" s="14"/>
      <c r="E899" s="14"/>
      <c r="F899" s="14"/>
      <c r="G899" s="14"/>
      <c r="H899" s="14"/>
      <c r="I899" s="14"/>
      <c r="J899" s="14"/>
      <c r="K899" s="14"/>
      <c r="M899" s="14"/>
    </row>
    <row r="900" spans="2:13" ht="12.75" customHeight="1" x14ac:dyDescent="0.25">
      <c r="B900" s="14"/>
      <c r="D900" s="14"/>
      <c r="E900" s="14"/>
      <c r="F900" s="14"/>
      <c r="G900" s="14"/>
      <c r="H900" s="14"/>
      <c r="I900" s="14"/>
      <c r="J900" s="14"/>
      <c r="K900" s="14"/>
      <c r="M900" s="14"/>
    </row>
    <row r="901" spans="2:13" ht="12.75" customHeight="1" x14ac:dyDescent="0.25">
      <c r="B901" s="14"/>
      <c r="D901" s="14"/>
      <c r="E901" s="14"/>
      <c r="F901" s="14"/>
      <c r="G901" s="14"/>
      <c r="H901" s="14"/>
      <c r="I901" s="14"/>
      <c r="J901" s="14"/>
      <c r="K901" s="14"/>
      <c r="M901" s="14"/>
    </row>
    <row r="902" spans="2:13" ht="12.75" customHeight="1" x14ac:dyDescent="0.25">
      <c r="B902" s="14"/>
      <c r="D902" s="14"/>
      <c r="E902" s="14"/>
      <c r="F902" s="14"/>
      <c r="G902" s="14"/>
      <c r="H902" s="14"/>
      <c r="I902" s="14"/>
      <c r="J902" s="14"/>
      <c r="K902" s="14"/>
      <c r="M902" s="14"/>
    </row>
    <row r="903" spans="2:13" ht="12.75" customHeight="1" x14ac:dyDescent="0.25">
      <c r="B903" s="14"/>
      <c r="D903" s="14"/>
      <c r="E903" s="14"/>
      <c r="F903" s="14"/>
      <c r="G903" s="14"/>
      <c r="H903" s="14"/>
      <c r="I903" s="14"/>
      <c r="J903" s="14"/>
      <c r="K903" s="14"/>
      <c r="M903" s="14"/>
    </row>
    <row r="904" spans="2:13" ht="12.75" customHeight="1" x14ac:dyDescent="0.25">
      <c r="B904" s="14"/>
      <c r="D904" s="14"/>
      <c r="E904" s="14"/>
      <c r="F904" s="14"/>
      <c r="G904" s="14"/>
      <c r="H904" s="14"/>
      <c r="I904" s="14"/>
      <c r="J904" s="14"/>
      <c r="K904" s="14"/>
      <c r="M904" s="14"/>
    </row>
    <row r="905" spans="2:13" ht="12.75" customHeight="1" x14ac:dyDescent="0.25">
      <c r="B905" s="14"/>
      <c r="D905" s="14"/>
      <c r="E905" s="14"/>
      <c r="F905" s="14"/>
      <c r="G905" s="14"/>
      <c r="H905" s="14"/>
      <c r="I905" s="14"/>
      <c r="J905" s="14"/>
      <c r="K905" s="14"/>
      <c r="M905" s="14"/>
    </row>
    <row r="906" spans="2:13" ht="12.75" customHeight="1" x14ac:dyDescent="0.25">
      <c r="B906" s="14"/>
      <c r="D906" s="14"/>
      <c r="E906" s="14"/>
      <c r="F906" s="14"/>
      <c r="G906" s="14"/>
      <c r="H906" s="14"/>
      <c r="I906" s="14"/>
      <c r="J906" s="14"/>
      <c r="K906" s="14"/>
      <c r="M906" s="14"/>
    </row>
    <row r="907" spans="2:13" ht="12.75" customHeight="1" x14ac:dyDescent="0.25">
      <c r="B907" s="14"/>
      <c r="D907" s="14"/>
      <c r="E907" s="14"/>
      <c r="F907" s="14"/>
      <c r="G907" s="14"/>
      <c r="H907" s="14"/>
      <c r="I907" s="14"/>
      <c r="J907" s="14"/>
      <c r="K907" s="14"/>
      <c r="M907" s="14"/>
    </row>
    <row r="908" spans="2:13" ht="12.75" customHeight="1" x14ac:dyDescent="0.25">
      <c r="B908" s="14"/>
      <c r="D908" s="14"/>
      <c r="E908" s="14"/>
      <c r="F908" s="14"/>
      <c r="G908" s="14"/>
      <c r="H908" s="14"/>
      <c r="I908" s="14"/>
      <c r="J908" s="14"/>
      <c r="K908" s="14"/>
      <c r="M908" s="14"/>
    </row>
    <row r="909" spans="2:13" ht="12.75" customHeight="1" x14ac:dyDescent="0.25">
      <c r="B909" s="14"/>
      <c r="D909" s="14"/>
      <c r="E909" s="14"/>
      <c r="F909" s="14"/>
      <c r="G909" s="14"/>
      <c r="H909" s="14"/>
      <c r="I909" s="14"/>
      <c r="J909" s="14"/>
      <c r="K909" s="14"/>
      <c r="M909" s="14"/>
    </row>
    <row r="910" spans="2:13" ht="12.75" customHeight="1" x14ac:dyDescent="0.25">
      <c r="B910" s="14"/>
      <c r="D910" s="14"/>
      <c r="E910" s="14"/>
      <c r="F910" s="14"/>
      <c r="G910" s="14"/>
      <c r="H910" s="14"/>
      <c r="I910" s="14"/>
      <c r="J910" s="14"/>
      <c r="K910" s="14"/>
      <c r="M910" s="14"/>
    </row>
    <row r="911" spans="2:13" ht="12.75" customHeight="1" x14ac:dyDescent="0.25">
      <c r="B911" s="14"/>
      <c r="D911" s="14"/>
      <c r="E911" s="14"/>
      <c r="F911" s="14"/>
      <c r="G911" s="14"/>
      <c r="H911" s="14"/>
      <c r="I911" s="14"/>
      <c r="J911" s="14"/>
      <c r="K911" s="14"/>
      <c r="M911" s="14"/>
    </row>
    <row r="912" spans="2:13" ht="12.75" customHeight="1" x14ac:dyDescent="0.25">
      <c r="B912" s="14"/>
      <c r="D912" s="14"/>
      <c r="E912" s="14"/>
      <c r="F912" s="14"/>
      <c r="G912" s="14"/>
      <c r="H912" s="14"/>
      <c r="I912" s="14"/>
      <c r="J912" s="14"/>
      <c r="K912" s="14"/>
      <c r="M912" s="14"/>
    </row>
    <row r="913" spans="2:13" ht="12.75" customHeight="1" x14ac:dyDescent="0.25">
      <c r="B913" s="14"/>
      <c r="D913" s="14"/>
      <c r="E913" s="14"/>
      <c r="F913" s="14"/>
      <c r="G913" s="14"/>
      <c r="H913" s="14"/>
      <c r="I913" s="14"/>
      <c r="J913" s="14"/>
      <c r="K913" s="14"/>
      <c r="M913" s="14"/>
    </row>
    <row r="914" spans="2:13" ht="12.75" customHeight="1" x14ac:dyDescent="0.25">
      <c r="B914" s="14"/>
      <c r="D914" s="14"/>
      <c r="E914" s="14"/>
      <c r="F914" s="14"/>
      <c r="G914" s="14"/>
      <c r="H914" s="14"/>
      <c r="I914" s="14"/>
      <c r="J914" s="14"/>
      <c r="K914" s="14"/>
      <c r="M914" s="14"/>
    </row>
    <row r="915" spans="2:13" ht="12.75" customHeight="1" x14ac:dyDescent="0.25">
      <c r="B915" s="14"/>
      <c r="D915" s="14"/>
      <c r="E915" s="14"/>
      <c r="F915" s="14"/>
      <c r="G915" s="14"/>
      <c r="H915" s="14"/>
      <c r="I915" s="14"/>
      <c r="J915" s="14"/>
      <c r="K915" s="14"/>
      <c r="M915" s="14"/>
    </row>
    <row r="916" spans="2:13" ht="12.75" customHeight="1" x14ac:dyDescent="0.25">
      <c r="B916" s="14"/>
      <c r="D916" s="14"/>
      <c r="E916" s="14"/>
      <c r="F916" s="14"/>
      <c r="G916" s="14"/>
      <c r="H916" s="14"/>
      <c r="I916" s="14"/>
      <c r="J916" s="14"/>
      <c r="K916" s="14"/>
      <c r="M916" s="14"/>
    </row>
    <row r="917" spans="2:13" ht="12.75" customHeight="1" x14ac:dyDescent="0.25">
      <c r="B917" s="14"/>
      <c r="D917" s="14"/>
      <c r="E917" s="14"/>
      <c r="F917" s="14"/>
      <c r="G917" s="14"/>
      <c r="H917" s="14"/>
      <c r="I917" s="14"/>
      <c r="J917" s="14"/>
      <c r="K917" s="14"/>
      <c r="M917" s="14"/>
    </row>
    <row r="918" spans="2:13" ht="12.75" customHeight="1" x14ac:dyDescent="0.25">
      <c r="B918" s="14"/>
      <c r="D918" s="14"/>
      <c r="E918" s="14"/>
      <c r="F918" s="14"/>
      <c r="G918" s="14"/>
      <c r="H918" s="14"/>
      <c r="I918" s="14"/>
      <c r="J918" s="14"/>
      <c r="K918" s="14"/>
      <c r="M918" s="14"/>
    </row>
    <row r="919" spans="2:13" ht="12.75" customHeight="1" x14ac:dyDescent="0.25">
      <c r="B919" s="14"/>
      <c r="D919" s="14"/>
      <c r="E919" s="14"/>
      <c r="F919" s="14"/>
      <c r="G919" s="14"/>
      <c r="H919" s="14"/>
      <c r="I919" s="14"/>
      <c r="J919" s="14"/>
      <c r="K919" s="14"/>
      <c r="M919" s="14"/>
    </row>
    <row r="920" spans="2:13" ht="12.75" customHeight="1" x14ac:dyDescent="0.25">
      <c r="B920" s="14"/>
      <c r="D920" s="14"/>
      <c r="E920" s="14"/>
      <c r="F920" s="14"/>
      <c r="G920" s="14"/>
      <c r="H920" s="14"/>
      <c r="I920" s="14"/>
      <c r="J920" s="14"/>
      <c r="K920" s="14"/>
      <c r="M920" s="14"/>
    </row>
    <row r="921" spans="2:13" ht="12.75" customHeight="1" x14ac:dyDescent="0.25">
      <c r="B921" s="14"/>
      <c r="D921" s="14"/>
      <c r="E921" s="14"/>
      <c r="F921" s="14"/>
      <c r="G921" s="14"/>
      <c r="H921" s="14"/>
      <c r="I921" s="14"/>
      <c r="J921" s="14"/>
      <c r="K921" s="14"/>
      <c r="M921" s="14"/>
    </row>
    <row r="922" spans="2:13" ht="12.75" customHeight="1" x14ac:dyDescent="0.25">
      <c r="B922" s="14"/>
      <c r="D922" s="14"/>
      <c r="E922" s="14"/>
      <c r="F922" s="14"/>
      <c r="G922" s="14"/>
      <c r="H922" s="14"/>
      <c r="I922" s="14"/>
      <c r="J922" s="14"/>
      <c r="K922" s="14"/>
      <c r="M922" s="14"/>
    </row>
    <row r="923" spans="2:13" ht="12.75" customHeight="1" x14ac:dyDescent="0.25">
      <c r="B923" s="14"/>
      <c r="D923" s="14"/>
      <c r="E923" s="14"/>
      <c r="F923" s="14"/>
      <c r="G923" s="14"/>
      <c r="H923" s="14"/>
      <c r="I923" s="14"/>
      <c r="J923" s="14"/>
      <c r="K923" s="14"/>
      <c r="M923" s="14"/>
    </row>
    <row r="924" spans="2:13" ht="12.75" customHeight="1" x14ac:dyDescent="0.25">
      <c r="B924" s="14"/>
      <c r="D924" s="14"/>
      <c r="E924" s="14"/>
      <c r="F924" s="14"/>
      <c r="G924" s="14"/>
      <c r="H924" s="14"/>
      <c r="I924" s="14"/>
      <c r="J924" s="14"/>
      <c r="K924" s="14"/>
      <c r="M924" s="14"/>
    </row>
    <row r="925" spans="2:13" ht="12.75" customHeight="1" x14ac:dyDescent="0.25">
      <c r="B925" s="14"/>
      <c r="D925" s="14"/>
      <c r="E925" s="14"/>
      <c r="F925" s="14"/>
      <c r="G925" s="14"/>
      <c r="H925" s="14"/>
      <c r="I925" s="14"/>
      <c r="J925" s="14"/>
      <c r="K925" s="14"/>
      <c r="M925" s="14"/>
    </row>
    <row r="926" spans="2:13" ht="12.75" customHeight="1" x14ac:dyDescent="0.25">
      <c r="B926" s="14"/>
      <c r="D926" s="14"/>
      <c r="E926" s="14"/>
      <c r="F926" s="14"/>
      <c r="G926" s="14"/>
      <c r="H926" s="14"/>
      <c r="I926" s="14"/>
      <c r="J926" s="14"/>
      <c r="K926" s="14"/>
      <c r="M926" s="14"/>
    </row>
    <row r="927" spans="2:13" ht="12.75" customHeight="1" x14ac:dyDescent="0.25">
      <c r="B927" s="14"/>
      <c r="D927" s="14"/>
      <c r="E927" s="14"/>
      <c r="F927" s="14"/>
      <c r="G927" s="14"/>
      <c r="H927" s="14"/>
      <c r="I927" s="14"/>
      <c r="J927" s="14"/>
      <c r="K927" s="14"/>
      <c r="M927" s="14"/>
    </row>
    <row r="928" spans="2:13" ht="12.75" customHeight="1" x14ac:dyDescent="0.25">
      <c r="B928" s="14"/>
      <c r="D928" s="14"/>
      <c r="E928" s="14"/>
      <c r="F928" s="14"/>
      <c r="G928" s="14"/>
      <c r="H928" s="14"/>
      <c r="I928" s="14"/>
      <c r="J928" s="14"/>
      <c r="K928" s="14"/>
      <c r="M928" s="14"/>
    </row>
    <row r="929" spans="2:13" ht="12.75" customHeight="1" x14ac:dyDescent="0.25">
      <c r="B929" s="14"/>
      <c r="D929" s="14"/>
      <c r="E929" s="14"/>
      <c r="F929" s="14"/>
      <c r="G929" s="14"/>
      <c r="H929" s="14"/>
      <c r="I929" s="14"/>
      <c r="J929" s="14"/>
      <c r="K929" s="14"/>
      <c r="M929" s="14"/>
    </row>
    <row r="930" spans="2:13" ht="12.75" customHeight="1" x14ac:dyDescent="0.25">
      <c r="B930" s="14"/>
      <c r="D930" s="14"/>
      <c r="E930" s="14"/>
      <c r="F930" s="14"/>
      <c r="G930" s="14"/>
      <c r="H930" s="14"/>
      <c r="I930" s="14"/>
      <c r="J930" s="14"/>
      <c r="K930" s="14"/>
      <c r="M930" s="14"/>
    </row>
    <row r="931" spans="2:13" ht="12.75" customHeight="1" x14ac:dyDescent="0.25">
      <c r="B931" s="14"/>
      <c r="D931" s="14"/>
      <c r="E931" s="14"/>
      <c r="F931" s="14"/>
      <c r="G931" s="14"/>
      <c r="H931" s="14"/>
      <c r="I931" s="14"/>
      <c r="J931" s="14"/>
      <c r="K931" s="14"/>
      <c r="M931" s="14"/>
    </row>
    <row r="932" spans="2:13" ht="12.75" customHeight="1" x14ac:dyDescent="0.25">
      <c r="B932" s="14"/>
      <c r="D932" s="14"/>
      <c r="E932" s="14"/>
      <c r="F932" s="14"/>
      <c r="G932" s="14"/>
      <c r="H932" s="14"/>
      <c r="I932" s="14"/>
      <c r="J932" s="14"/>
      <c r="K932" s="14"/>
      <c r="M932" s="14"/>
    </row>
    <row r="933" spans="2:13" ht="12.75" customHeight="1" x14ac:dyDescent="0.25">
      <c r="B933" s="14"/>
      <c r="D933" s="14"/>
      <c r="E933" s="14"/>
      <c r="F933" s="14"/>
      <c r="G933" s="14"/>
      <c r="H933" s="14"/>
      <c r="I933" s="14"/>
      <c r="J933" s="14"/>
      <c r="K933" s="14"/>
      <c r="M933" s="14"/>
    </row>
    <row r="934" spans="2:13" ht="12.75" customHeight="1" x14ac:dyDescent="0.25">
      <c r="B934" s="14"/>
      <c r="D934" s="14"/>
      <c r="E934" s="14"/>
      <c r="F934" s="14"/>
      <c r="G934" s="14"/>
      <c r="H934" s="14"/>
      <c r="I934" s="14"/>
      <c r="J934" s="14"/>
      <c r="K934" s="14"/>
      <c r="M934" s="14"/>
    </row>
    <row r="935" spans="2:13" ht="12.75" customHeight="1" x14ac:dyDescent="0.25">
      <c r="B935" s="14"/>
      <c r="D935" s="14"/>
      <c r="E935" s="14"/>
      <c r="F935" s="14"/>
      <c r="G935" s="14"/>
      <c r="H935" s="14"/>
      <c r="I935" s="14"/>
      <c r="J935" s="14"/>
      <c r="K935" s="14"/>
      <c r="M935" s="14"/>
    </row>
    <row r="936" spans="2:13" ht="12.75" customHeight="1" x14ac:dyDescent="0.25">
      <c r="B936" s="14"/>
      <c r="D936" s="14"/>
      <c r="E936" s="14"/>
      <c r="F936" s="14"/>
      <c r="G936" s="14"/>
      <c r="H936" s="14"/>
      <c r="I936" s="14"/>
      <c r="J936" s="14"/>
      <c r="K936" s="14"/>
      <c r="M936" s="14"/>
    </row>
    <row r="937" spans="2:13" ht="12.75" customHeight="1" x14ac:dyDescent="0.25">
      <c r="B937" s="14"/>
      <c r="D937" s="14"/>
      <c r="E937" s="14"/>
      <c r="F937" s="14"/>
      <c r="G937" s="14"/>
      <c r="H937" s="14"/>
      <c r="I937" s="14"/>
      <c r="J937" s="14"/>
      <c r="K937" s="14"/>
      <c r="M937" s="14"/>
    </row>
    <row r="938" spans="2:13" ht="12.75" customHeight="1" x14ac:dyDescent="0.25">
      <c r="B938" s="14"/>
      <c r="D938" s="14"/>
      <c r="E938" s="14"/>
      <c r="F938" s="14"/>
      <c r="G938" s="14"/>
      <c r="H938" s="14"/>
      <c r="I938" s="14"/>
      <c r="J938" s="14"/>
      <c r="K938" s="14"/>
      <c r="M938" s="14"/>
    </row>
    <row r="939" spans="2:13" ht="12.75" customHeight="1" x14ac:dyDescent="0.25">
      <c r="B939" s="14"/>
      <c r="D939" s="14"/>
      <c r="E939" s="14"/>
      <c r="F939" s="14"/>
      <c r="G939" s="14"/>
      <c r="H939" s="14"/>
      <c r="I939" s="14"/>
      <c r="J939" s="14"/>
      <c r="K939" s="14"/>
      <c r="M939" s="14"/>
    </row>
    <row r="940" spans="2:13" ht="12.75" customHeight="1" x14ac:dyDescent="0.25">
      <c r="B940" s="14"/>
      <c r="D940" s="14"/>
      <c r="E940" s="14"/>
      <c r="F940" s="14"/>
      <c r="G940" s="14"/>
      <c r="H940" s="14"/>
      <c r="I940" s="14"/>
      <c r="J940" s="14"/>
      <c r="K940" s="14"/>
      <c r="M940" s="14"/>
    </row>
    <row r="941" spans="2:13" ht="12.75" customHeight="1" x14ac:dyDescent="0.25">
      <c r="B941" s="14"/>
      <c r="D941" s="14"/>
      <c r="E941" s="14"/>
      <c r="F941" s="14"/>
      <c r="G941" s="14"/>
      <c r="H941" s="14"/>
      <c r="I941" s="14"/>
      <c r="J941" s="14"/>
      <c r="K941" s="14"/>
      <c r="M941" s="14"/>
    </row>
    <row r="942" spans="2:13" ht="12.75" customHeight="1" x14ac:dyDescent="0.25">
      <c r="B942" s="14"/>
      <c r="D942" s="14"/>
      <c r="E942" s="14"/>
      <c r="F942" s="14"/>
      <c r="G942" s="14"/>
      <c r="H942" s="14"/>
      <c r="I942" s="14"/>
      <c r="J942" s="14"/>
      <c r="K942" s="14"/>
      <c r="M942" s="14"/>
    </row>
    <row r="943" spans="2:13" ht="12.75" customHeight="1" x14ac:dyDescent="0.25">
      <c r="B943" s="14"/>
      <c r="D943" s="14"/>
      <c r="E943" s="14"/>
      <c r="F943" s="14"/>
      <c r="G943" s="14"/>
      <c r="H943" s="14"/>
      <c r="I943" s="14"/>
      <c r="J943" s="14"/>
      <c r="K943" s="14"/>
      <c r="M943" s="14"/>
    </row>
    <row r="944" spans="2:13" ht="12.75" customHeight="1" x14ac:dyDescent="0.25">
      <c r="B944" s="14"/>
      <c r="D944" s="14"/>
      <c r="E944" s="14"/>
      <c r="F944" s="14"/>
      <c r="G944" s="14"/>
      <c r="H944" s="14"/>
      <c r="I944" s="14"/>
      <c r="J944" s="14"/>
      <c r="K944" s="14"/>
      <c r="M944" s="14"/>
    </row>
    <row r="945" spans="2:13" ht="12.75" customHeight="1" x14ac:dyDescent="0.25">
      <c r="B945" s="14"/>
      <c r="D945" s="14"/>
      <c r="E945" s="14"/>
      <c r="F945" s="14"/>
      <c r="G945" s="14"/>
      <c r="H945" s="14"/>
      <c r="I945" s="14"/>
      <c r="J945" s="14"/>
      <c r="K945" s="14"/>
      <c r="M945" s="14"/>
    </row>
    <row r="946" spans="2:13" ht="12.75" customHeight="1" x14ac:dyDescent="0.25">
      <c r="B946" s="14"/>
      <c r="D946" s="14"/>
      <c r="E946" s="14"/>
      <c r="F946" s="14"/>
      <c r="G946" s="14"/>
      <c r="H946" s="14"/>
      <c r="I946" s="14"/>
      <c r="J946" s="14"/>
      <c r="K946" s="14"/>
      <c r="M946" s="14"/>
    </row>
    <row r="947" spans="2:13" ht="12.75" customHeight="1" x14ac:dyDescent="0.25">
      <c r="B947" s="14"/>
      <c r="D947" s="14"/>
      <c r="E947" s="14"/>
      <c r="F947" s="14"/>
      <c r="G947" s="14"/>
      <c r="H947" s="14"/>
      <c r="I947" s="14"/>
      <c r="J947" s="14"/>
      <c r="K947" s="14"/>
      <c r="M947" s="14"/>
    </row>
    <row r="948" spans="2:13" ht="12.75" customHeight="1" x14ac:dyDescent="0.25">
      <c r="B948" s="14"/>
      <c r="D948" s="14"/>
      <c r="E948" s="14"/>
      <c r="F948" s="14"/>
      <c r="G948" s="14"/>
      <c r="H948" s="14"/>
      <c r="I948" s="14"/>
      <c r="J948" s="14"/>
      <c r="K948" s="14"/>
      <c r="M948" s="14"/>
    </row>
    <row r="949" spans="2:13" ht="12.75" customHeight="1" x14ac:dyDescent="0.25">
      <c r="B949" s="14"/>
      <c r="D949" s="14"/>
      <c r="E949" s="14"/>
      <c r="F949" s="14"/>
      <c r="G949" s="14"/>
      <c r="H949" s="14"/>
      <c r="I949" s="14"/>
      <c r="J949" s="14"/>
      <c r="K949" s="14"/>
      <c r="M949" s="14"/>
    </row>
    <row r="950" spans="2:13" ht="12.75" customHeight="1" x14ac:dyDescent="0.25">
      <c r="B950" s="14"/>
      <c r="D950" s="14"/>
      <c r="E950" s="14"/>
      <c r="F950" s="14"/>
      <c r="G950" s="14"/>
      <c r="H950" s="14"/>
      <c r="I950" s="14"/>
      <c r="J950" s="14"/>
      <c r="K950" s="14"/>
      <c r="M950" s="14"/>
    </row>
    <row r="951" spans="2:13" ht="12.75" customHeight="1" x14ac:dyDescent="0.25">
      <c r="B951" s="14"/>
      <c r="D951" s="14"/>
      <c r="E951" s="14"/>
      <c r="F951" s="14"/>
      <c r="G951" s="14"/>
      <c r="H951" s="14"/>
      <c r="I951" s="14"/>
      <c r="J951" s="14"/>
      <c r="K951" s="14"/>
      <c r="M951" s="14"/>
    </row>
    <row r="952" spans="2:13" ht="12.75" customHeight="1" x14ac:dyDescent="0.25">
      <c r="B952" s="14"/>
      <c r="D952" s="14"/>
      <c r="E952" s="14"/>
      <c r="F952" s="14"/>
      <c r="G952" s="14"/>
      <c r="H952" s="14"/>
      <c r="I952" s="14"/>
      <c r="J952" s="14"/>
      <c r="K952" s="14"/>
      <c r="M952" s="14"/>
    </row>
    <row r="953" spans="2:13" ht="12.75" customHeight="1" x14ac:dyDescent="0.25">
      <c r="B953" s="14"/>
      <c r="D953" s="14"/>
      <c r="E953" s="14"/>
      <c r="F953" s="14"/>
      <c r="G953" s="14"/>
      <c r="H953" s="14"/>
      <c r="I953" s="14"/>
      <c r="J953" s="14"/>
      <c r="K953" s="14"/>
      <c r="M953" s="14"/>
    </row>
    <row r="954" spans="2:13" ht="12.75" customHeight="1" x14ac:dyDescent="0.25">
      <c r="B954" s="14"/>
      <c r="D954" s="14"/>
      <c r="E954" s="14"/>
      <c r="F954" s="14"/>
      <c r="G954" s="14"/>
      <c r="H954" s="14"/>
      <c r="I954" s="14"/>
      <c r="J954" s="14"/>
      <c r="K954" s="14"/>
      <c r="M954" s="14"/>
    </row>
    <row r="955" spans="2:13" ht="12.75" customHeight="1" x14ac:dyDescent="0.25">
      <c r="B955" s="14"/>
      <c r="D955" s="14"/>
      <c r="E955" s="14"/>
      <c r="F955" s="14"/>
      <c r="G955" s="14"/>
      <c r="H955" s="14"/>
      <c r="I955" s="14"/>
      <c r="J955" s="14"/>
      <c r="K955" s="14"/>
      <c r="M955" s="14"/>
    </row>
    <row r="956" spans="2:13" ht="12.75" customHeight="1" x14ac:dyDescent="0.25">
      <c r="B956" s="14"/>
      <c r="D956" s="14"/>
      <c r="E956" s="14"/>
      <c r="F956" s="14"/>
      <c r="G956" s="14"/>
      <c r="H956" s="14"/>
      <c r="I956" s="14"/>
      <c r="J956" s="14"/>
      <c r="K956" s="14"/>
      <c r="M956" s="14"/>
    </row>
    <row r="957" spans="2:13" ht="12.75" customHeight="1" x14ac:dyDescent="0.25">
      <c r="B957" s="14"/>
      <c r="D957" s="14"/>
      <c r="E957" s="14"/>
      <c r="F957" s="14"/>
      <c r="G957" s="14"/>
      <c r="H957" s="14"/>
      <c r="I957" s="14"/>
      <c r="J957" s="14"/>
      <c r="K957" s="14"/>
      <c r="M957" s="14"/>
    </row>
    <row r="958" spans="2:13" ht="12.75" customHeight="1" x14ac:dyDescent="0.25">
      <c r="B958" s="14"/>
      <c r="D958" s="14"/>
      <c r="E958" s="14"/>
      <c r="F958" s="14"/>
      <c r="G958" s="14"/>
      <c r="H958" s="14"/>
      <c r="I958" s="14"/>
      <c r="J958" s="14"/>
      <c r="K958" s="14"/>
      <c r="M958" s="14"/>
    </row>
    <row r="959" spans="2:13" ht="12.75" customHeight="1" x14ac:dyDescent="0.25">
      <c r="B959" s="14"/>
      <c r="D959" s="14"/>
      <c r="E959" s="14"/>
      <c r="F959" s="14"/>
      <c r="G959" s="14"/>
      <c r="H959" s="14"/>
      <c r="I959" s="14"/>
      <c r="J959" s="14"/>
      <c r="K959" s="14"/>
      <c r="M959" s="14"/>
    </row>
    <row r="960" spans="2:13" ht="12.75" customHeight="1" x14ac:dyDescent="0.25">
      <c r="B960" s="14"/>
      <c r="D960" s="14"/>
      <c r="E960" s="14"/>
      <c r="F960" s="14"/>
      <c r="G960" s="14"/>
      <c r="H960" s="14"/>
      <c r="I960" s="14"/>
      <c r="J960" s="14"/>
      <c r="K960" s="14"/>
      <c r="M960" s="14"/>
    </row>
    <row r="961" spans="2:13" ht="12.75" customHeight="1" x14ac:dyDescent="0.25">
      <c r="B961" s="14"/>
      <c r="D961" s="14"/>
      <c r="E961" s="14"/>
      <c r="F961" s="14"/>
      <c r="G961" s="14"/>
      <c r="H961" s="14"/>
      <c r="I961" s="14"/>
      <c r="J961" s="14"/>
      <c r="K961" s="14"/>
      <c r="M961" s="14"/>
    </row>
    <row r="962" spans="2:13" ht="12.75" customHeight="1" x14ac:dyDescent="0.25">
      <c r="B962" s="14"/>
      <c r="D962" s="14"/>
      <c r="E962" s="14"/>
      <c r="F962" s="14"/>
      <c r="G962" s="14"/>
      <c r="H962" s="14"/>
      <c r="I962" s="14"/>
      <c r="J962" s="14"/>
      <c r="K962" s="14"/>
      <c r="M962" s="14"/>
    </row>
    <row r="963" spans="2:13" ht="12.75" customHeight="1" x14ac:dyDescent="0.25">
      <c r="B963" s="14"/>
      <c r="D963" s="14"/>
      <c r="E963" s="14"/>
      <c r="F963" s="14"/>
      <c r="G963" s="14"/>
      <c r="H963" s="14"/>
      <c r="I963" s="14"/>
      <c r="J963" s="14"/>
      <c r="K963" s="14"/>
      <c r="M963" s="14"/>
    </row>
    <row r="964" spans="2:13" ht="12.75" customHeight="1" x14ac:dyDescent="0.25">
      <c r="B964" s="14"/>
      <c r="D964" s="14"/>
      <c r="E964" s="14"/>
      <c r="F964" s="14"/>
      <c r="G964" s="14"/>
      <c r="H964" s="14"/>
      <c r="I964" s="14"/>
      <c r="J964" s="14"/>
      <c r="K964" s="14"/>
      <c r="M964" s="14"/>
    </row>
    <row r="965" spans="2:13" ht="12.75" customHeight="1" x14ac:dyDescent="0.25">
      <c r="B965" s="14"/>
      <c r="D965" s="14"/>
      <c r="E965" s="14"/>
      <c r="F965" s="14"/>
      <c r="G965" s="14"/>
      <c r="H965" s="14"/>
      <c r="I965" s="14"/>
      <c r="J965" s="14"/>
      <c r="K965" s="14"/>
      <c r="M965" s="14"/>
    </row>
    <row r="966" spans="2:13" ht="12.75" customHeight="1" x14ac:dyDescent="0.25">
      <c r="B966" s="14"/>
      <c r="D966" s="14"/>
      <c r="E966" s="14"/>
      <c r="F966" s="14"/>
      <c r="G966" s="14"/>
      <c r="H966" s="14"/>
      <c r="I966" s="14"/>
      <c r="J966" s="14"/>
      <c r="K966" s="14"/>
      <c r="M966" s="14"/>
    </row>
    <row r="967" spans="2:13" ht="12.75" customHeight="1" x14ac:dyDescent="0.25">
      <c r="B967" s="14"/>
      <c r="D967" s="14"/>
      <c r="E967" s="14"/>
      <c r="F967" s="14"/>
      <c r="G967" s="14"/>
      <c r="H967" s="14"/>
      <c r="I967" s="14"/>
      <c r="J967" s="14"/>
      <c r="K967" s="14"/>
      <c r="M967" s="14"/>
    </row>
    <row r="968" spans="2:13" ht="12.75" customHeight="1" x14ac:dyDescent="0.25">
      <c r="B968" s="14"/>
      <c r="D968" s="14"/>
      <c r="E968" s="14"/>
      <c r="F968" s="14"/>
      <c r="G968" s="14"/>
      <c r="H968" s="14"/>
      <c r="I968" s="14"/>
      <c r="J968" s="14"/>
      <c r="K968" s="14"/>
      <c r="M968" s="14"/>
    </row>
    <row r="969" spans="2:13" ht="12.75" customHeight="1" x14ac:dyDescent="0.25">
      <c r="B969" s="14"/>
      <c r="D969" s="14"/>
      <c r="E969" s="14"/>
      <c r="F969" s="14"/>
      <c r="G969" s="14"/>
      <c r="H969" s="14"/>
      <c r="I969" s="14"/>
      <c r="J969" s="14"/>
      <c r="K969" s="14"/>
      <c r="M969" s="14"/>
    </row>
    <row r="970" spans="2:13" ht="12.75" customHeight="1" x14ac:dyDescent="0.25">
      <c r="B970" s="14"/>
      <c r="D970" s="14"/>
      <c r="E970" s="14"/>
      <c r="F970" s="14"/>
      <c r="G970" s="14"/>
      <c r="H970" s="14"/>
      <c r="I970" s="14"/>
      <c r="J970" s="14"/>
      <c r="K970" s="14"/>
      <c r="M970" s="14"/>
    </row>
    <row r="971" spans="2:13" ht="12.75" customHeight="1" x14ac:dyDescent="0.25">
      <c r="B971" s="14"/>
      <c r="D971" s="14"/>
      <c r="E971" s="14"/>
      <c r="F971" s="14"/>
      <c r="G971" s="14"/>
      <c r="H971" s="14"/>
      <c r="I971" s="14"/>
      <c r="J971" s="14"/>
      <c r="K971" s="14"/>
      <c r="M971" s="14"/>
    </row>
    <row r="972" spans="2:13" ht="12.75" customHeight="1" x14ac:dyDescent="0.25">
      <c r="B972" s="14"/>
      <c r="D972" s="14"/>
      <c r="E972" s="14"/>
      <c r="F972" s="14"/>
      <c r="G972" s="14"/>
      <c r="H972" s="14"/>
      <c r="I972" s="14"/>
      <c r="J972" s="14"/>
      <c r="K972" s="14"/>
      <c r="M972" s="14"/>
    </row>
    <row r="973" spans="2:13" ht="12.75" customHeight="1" x14ac:dyDescent="0.25">
      <c r="B973" s="14"/>
      <c r="D973" s="14"/>
      <c r="E973" s="14"/>
      <c r="F973" s="14"/>
      <c r="G973" s="14"/>
      <c r="H973" s="14"/>
      <c r="I973" s="14"/>
      <c r="J973" s="14"/>
      <c r="K973" s="14"/>
      <c r="M973" s="14"/>
    </row>
    <row r="974" spans="2:13" ht="12.75" customHeight="1" x14ac:dyDescent="0.25">
      <c r="B974" s="14"/>
      <c r="D974" s="14"/>
      <c r="E974" s="14"/>
      <c r="F974" s="14"/>
      <c r="G974" s="14"/>
      <c r="H974" s="14"/>
      <c r="I974" s="14"/>
      <c r="J974" s="14"/>
      <c r="K974" s="14"/>
      <c r="M974" s="14"/>
    </row>
    <row r="975" spans="2:13" ht="12.75" customHeight="1" x14ac:dyDescent="0.25">
      <c r="B975" s="14"/>
      <c r="D975" s="14"/>
      <c r="E975" s="14"/>
      <c r="F975" s="14"/>
      <c r="G975" s="14"/>
      <c r="H975" s="14"/>
      <c r="I975" s="14"/>
      <c r="J975" s="14"/>
      <c r="K975" s="14"/>
      <c r="M975" s="14"/>
    </row>
    <row r="976" spans="2:13" ht="12.75" customHeight="1" x14ac:dyDescent="0.25">
      <c r="B976" s="14"/>
      <c r="D976" s="14"/>
      <c r="E976" s="14"/>
      <c r="F976" s="14"/>
      <c r="G976" s="14"/>
      <c r="H976" s="14"/>
      <c r="I976" s="14"/>
      <c r="J976" s="14"/>
      <c r="K976" s="14"/>
      <c r="M976" s="14"/>
    </row>
  </sheetData>
  <pageMargins left="0.7" right="0.7" top="0.75" bottom="0.75" header="0.3" footer="0.3"/>
  <pageSetup orientation="portrait" horizontalDpi="4294967293" verticalDpi="4294967293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H67"/>
  <sheetViews>
    <sheetView zoomScaleNormal="100" workbookViewId="0">
      <selection activeCell="G13" sqref="G13"/>
    </sheetView>
  </sheetViews>
  <sheetFormatPr defaultRowHeight="13.2" x14ac:dyDescent="0.25"/>
  <cols>
    <col min="1" max="1" width="37.33203125" style="44" customWidth="1"/>
    <col min="2" max="2" width="24.6640625" style="44" customWidth="1"/>
    <col min="3" max="3" width="19" style="44" customWidth="1"/>
    <col min="4" max="4" width="13.6640625" style="44" customWidth="1"/>
    <col min="5" max="5" width="8.88671875" style="44"/>
    <col min="6" max="6" width="54.109375" style="44" customWidth="1"/>
    <col min="7" max="7" width="16.109375" style="44" customWidth="1"/>
    <col min="8" max="8" width="21.109375" style="44" customWidth="1"/>
  </cols>
  <sheetData>
    <row r="1" spans="1:8" ht="53.4" customHeight="1" x14ac:dyDescent="0.25">
      <c r="A1" s="223" t="s">
        <v>304</v>
      </c>
      <c r="B1" s="223" t="s">
        <v>106</v>
      </c>
      <c r="C1" s="223" t="s">
        <v>302</v>
      </c>
      <c r="D1" s="223" t="s">
        <v>3</v>
      </c>
      <c r="E1" s="223" t="s">
        <v>303</v>
      </c>
      <c r="F1" s="223" t="s">
        <v>305</v>
      </c>
      <c r="G1" s="224" t="s">
        <v>307</v>
      </c>
      <c r="H1" s="225" t="s">
        <v>306</v>
      </c>
    </row>
    <row r="2" spans="1:8" ht="15.6" x14ac:dyDescent="0.25">
      <c r="A2" s="219" t="str">
        <f>Threats!B1</f>
        <v>Threats to The Level of Service</v>
      </c>
      <c r="B2" s="220" t="str">
        <f>Threats!A1</f>
        <v>T1-Power Loss</v>
      </c>
      <c r="C2" s="105">
        <f>'AHP Likelihood Calculation'!AD34</f>
        <v>0.24294982396184614</v>
      </c>
      <c r="D2" s="218">
        <f>'AHP Severity Calculation'!AE35</f>
        <v>10.613217223638992</v>
      </c>
      <c r="E2" s="221">
        <f>C2*D2</f>
        <v>2.5784792561519265</v>
      </c>
      <c r="F2" s="222" t="str">
        <f>'LP Optimization 2'!I2</f>
        <v>P1-Install USB</v>
      </c>
      <c r="G2" s="226">
        <f>'LP Optimization 2'!E2</f>
        <v>1.0681703604114981E-2</v>
      </c>
      <c r="H2" s="217">
        <f>'LP Optimization 2'!M2</f>
        <v>4000</v>
      </c>
    </row>
    <row r="3" spans="1:8" ht="15.6" x14ac:dyDescent="0.25">
      <c r="A3" s="219" t="str">
        <f>Threats!B2</f>
        <v>Threats to The Level of Service</v>
      </c>
      <c r="B3" s="220" t="str">
        <f>Threats!A2</f>
        <v>T2-Hardware Failure</v>
      </c>
      <c r="C3" s="105">
        <f>'AHP Likelihood Calculation'!AD35</f>
        <v>2.3492987243136903E-2</v>
      </c>
      <c r="D3" s="218">
        <f>'AHP Severity Calculation'!AE36</f>
        <v>9.4128583764372404</v>
      </c>
      <c r="E3" s="221">
        <f t="shared" ref="E3:E23" si="0">C3*D3</f>
        <v>0.22113616175909442</v>
      </c>
      <c r="F3" s="222" t="str">
        <f>'LP Optimization 2'!I3</f>
        <v>P2-Replicate Servers</v>
      </c>
      <c r="G3" s="226">
        <f>'LP Optimization 2'!E3</f>
        <v>1.352450237439456E-2</v>
      </c>
      <c r="H3" s="217">
        <f>'LP Optimization 2'!M3</f>
        <v>50000</v>
      </c>
    </row>
    <row r="4" spans="1:8" ht="15.6" x14ac:dyDescent="0.25">
      <c r="A4" s="219" t="str">
        <f>Threats!B3</f>
        <v>Threats to The Level of Service</v>
      </c>
      <c r="B4" s="220" t="str">
        <f>Threats!A3</f>
        <v>T3-Software Crash</v>
      </c>
      <c r="C4" s="105">
        <f>'AHP Likelihood Calculation'!AD36</f>
        <v>8.9952409245753914E-2</v>
      </c>
      <c r="D4" s="218">
        <f>'AHP Severity Calculation'!AE37</f>
        <v>10.038458252192566</v>
      </c>
      <c r="E4" s="221">
        <f t="shared" si="0"/>
        <v>0.90298350489764123</v>
      </c>
      <c r="F4" s="222" t="str">
        <f>'LP Optimization 2'!I4</f>
        <v>P18-Regular Software Patches</v>
      </c>
      <c r="G4" s="226">
        <f>'LP Optimization 2'!E4</f>
        <v>5.0350393313196894E-3</v>
      </c>
      <c r="H4" s="217">
        <f>'LP Optimization 2'!M4</f>
        <v>0</v>
      </c>
    </row>
    <row r="5" spans="1:8" ht="15.6" x14ac:dyDescent="0.25">
      <c r="A5" s="219" t="str">
        <f>Threats!B4</f>
        <v>Threats to The Level of Service</v>
      </c>
      <c r="B5" s="220" t="str">
        <f>Threats!A4</f>
        <v>T4-Operator Errors</v>
      </c>
      <c r="C5" s="105">
        <f>'AHP Likelihood Calculation'!AD37</f>
        <v>6.7227326913070706E-2</v>
      </c>
      <c r="D5" s="218">
        <f>'AHP Severity Calculation'!AE38</f>
        <v>11.578031610471333</v>
      </c>
      <c r="E5" s="221">
        <f t="shared" si="0"/>
        <v>0.77836011608702282</v>
      </c>
      <c r="F5" s="222" t="str">
        <f>'LP Optimization 2'!I5</f>
        <v>P4-Education and Assessment of Security Personal</v>
      </c>
      <c r="G5" s="226">
        <f>'LP Optimization 2'!E5</f>
        <v>6.2378403220160559E-3</v>
      </c>
      <c r="H5" s="217">
        <f>'LP Optimization 2'!M5</f>
        <v>36000</v>
      </c>
    </row>
    <row r="6" spans="1:8" ht="31.2" x14ac:dyDescent="0.25">
      <c r="A6" s="219" t="str">
        <f>Threats!B5</f>
        <v>Threats to The Level of Service</v>
      </c>
      <c r="B6" s="220" t="str">
        <f>Threats!A5</f>
        <v>T5-Malicious Inside Action</v>
      </c>
      <c r="C6" s="105">
        <f>'AHP Likelihood Calculation'!AD38</f>
        <v>4.4492642577803276E-2</v>
      </c>
      <c r="D6" s="218">
        <f>'AHP Severity Calculation'!AE39</f>
        <v>10.892287844474085</v>
      </c>
      <c r="E6" s="221">
        <f t="shared" si="0"/>
        <v>0.48462666991873676</v>
      </c>
      <c r="F6" s="222" t="str">
        <f>'LP Optimization 2'!I6</f>
        <v>P5-Functional Isolation</v>
      </c>
      <c r="G6" s="226">
        <f>'LP Optimization 2'!E6</f>
        <v>7.2007311086486068E-3</v>
      </c>
      <c r="H6" s="217">
        <f>'LP Optimization 2'!M6</f>
        <v>0</v>
      </c>
    </row>
    <row r="7" spans="1:8" ht="15.6" x14ac:dyDescent="0.25">
      <c r="A7" s="219" t="str">
        <f>Threats!B6</f>
        <v>Threats to The Level of Service</v>
      </c>
      <c r="B7" s="220" t="str">
        <f>Threats!A6</f>
        <v>T6-Trojan and Worms</v>
      </c>
      <c r="C7" s="105">
        <f>'AHP Likelihood Calculation'!AD39</f>
        <v>0.10407757204157696</v>
      </c>
      <c r="D7" s="218">
        <f>'AHP Severity Calculation'!AE40</f>
        <v>12.146807626184986</v>
      </c>
      <c r="E7" s="221">
        <f t="shared" si="0"/>
        <v>1.2642102457894442</v>
      </c>
      <c r="F7" s="222" t="str">
        <f>'LP Optimization 2'!I7</f>
        <v>P33-Limit Transfer of Executables</v>
      </c>
      <c r="G7" s="226">
        <f>'LP Optimization 2'!E7</f>
        <v>9.845049378712176E-3</v>
      </c>
      <c r="H7" s="217">
        <f>'LP Optimization 2'!M7</f>
        <v>0</v>
      </c>
    </row>
    <row r="8" spans="1:8" ht="15.6" x14ac:dyDescent="0.25">
      <c r="A8" s="219" t="str">
        <f>Threats!B7</f>
        <v>Threats to The Level of Service</v>
      </c>
      <c r="B8" s="220" t="str">
        <f>Threats!A7</f>
        <v>T7-Fire</v>
      </c>
      <c r="C8" s="105">
        <f>'AHP Likelihood Calculation'!AD40</f>
        <v>1.6665052229327772E-2</v>
      </c>
      <c r="D8" s="218">
        <f>'AHP Severity Calculation'!AE41</f>
        <v>12.191282029056886</v>
      </c>
      <c r="E8" s="221">
        <f t="shared" si="0"/>
        <v>0.20316835175669806</v>
      </c>
      <c r="F8" s="222" t="str">
        <f>'LP Optimization 2'!I8</f>
        <v>P9-FHM System</v>
      </c>
      <c r="G8" s="226">
        <f>'LP Optimization 2'!E8</f>
        <v>1.0178523622675711E-2</v>
      </c>
      <c r="H8" s="217">
        <f>'LP Optimization 2'!M8</f>
        <v>4500</v>
      </c>
    </row>
    <row r="9" spans="1:8" ht="46.8" x14ac:dyDescent="0.25">
      <c r="A9" s="219" t="str">
        <f>Threats!B8</f>
        <v>Threats to The Level of Service</v>
      </c>
      <c r="B9" s="220" t="str">
        <f>Threats!A8</f>
        <v>T8-Other Enviromental Disasters</v>
      </c>
      <c r="C9" s="105">
        <f>'AHP Likelihood Calculation'!AD41</f>
        <v>1.2039520225759709E-2</v>
      </c>
      <c r="D9" s="218">
        <f>'AHP Severity Calculation'!AE42</f>
        <v>12.129639210147253</v>
      </c>
      <c r="E9" s="221">
        <f t="shared" si="0"/>
        <v>0.14603503660173589</v>
      </c>
      <c r="F9" s="222" t="str">
        <f>'LP Optimization 2'!I9</f>
        <v>P8-Disaster Recovery on Cloud</v>
      </c>
      <c r="G9" s="226">
        <f>'LP Optimization 2'!E9</f>
        <v>7.4573414267062963E-3</v>
      </c>
      <c r="H9" s="217">
        <f>'LP Optimization 2'!M9</f>
        <v>6000</v>
      </c>
    </row>
    <row r="10" spans="1:8" ht="31.2" x14ac:dyDescent="0.25">
      <c r="A10" s="219" t="str">
        <f>Threats!B9</f>
        <v>Threats to The Level of Service</v>
      </c>
      <c r="B10" s="220" t="str">
        <f>Threats!A9</f>
        <v>T9-Availability Threats(DDOS)</v>
      </c>
      <c r="C10" s="105">
        <f>'AHP Likelihood Calculation'!AD42</f>
        <v>2.3550794265172554E-2</v>
      </c>
      <c r="D10" s="218">
        <f>'AHP Severity Calculation'!AE43</f>
        <v>6.4964999759679465</v>
      </c>
      <c r="E10" s="221">
        <f t="shared" si="0"/>
        <v>0.15299773437771955</v>
      </c>
      <c r="F10" s="222" t="str">
        <f>'LP Optimization 2'!I10</f>
        <v>P10-Increase Bandwidth</v>
      </c>
      <c r="G10" s="226">
        <f>'LP Optimization 2'!E10</f>
        <v>1.7221380389182439E-3</v>
      </c>
      <c r="H10" s="217">
        <f>'LP Optimization 2'!M10</f>
        <v>6000</v>
      </c>
    </row>
    <row r="11" spans="1:8" ht="15.6" x14ac:dyDescent="0.25">
      <c r="A11" s="219" t="str">
        <f>Threats!B10</f>
        <v>Threats to the Information Base</v>
      </c>
      <c r="B11" s="220" t="str">
        <f>Threats!A10</f>
        <v>T10-Disk Failure</v>
      </c>
      <c r="C11" s="105">
        <f>'AHP Likelihood Calculation'!AD43</f>
        <v>7.291793331983723E-2</v>
      </c>
      <c r="D11" s="218">
        <f>'AHP Severity Calculation'!AE44</f>
        <v>7.5276755814544218</v>
      </c>
      <c r="E11" s="221">
        <f t="shared" si="0"/>
        <v>0.54890254610186051</v>
      </c>
      <c r="F11" s="222" t="str">
        <f>'LP Optimization 2'!I11</f>
        <v>P13-Backup Tapes</v>
      </c>
      <c r="G11" s="226">
        <f>'LP Optimization 2'!E11</f>
        <v>8.4769337159762096E-3</v>
      </c>
      <c r="H11" s="217">
        <f>'LP Optimization 2'!M11</f>
        <v>3000</v>
      </c>
    </row>
    <row r="12" spans="1:8" ht="15.6" x14ac:dyDescent="0.25">
      <c r="A12" s="219" t="str">
        <f>Threats!B11</f>
        <v>Threats to the Information Base</v>
      </c>
      <c r="B12" s="220" t="str">
        <f>Threats!A11</f>
        <v>T11-Data Corruption</v>
      </c>
      <c r="C12" s="105">
        <f>'AHP Likelihood Calculation'!AD44</f>
        <v>9.3795170093336891E-2</v>
      </c>
      <c r="D12" s="218">
        <f>'AHP Severity Calculation'!AE45</f>
        <v>6.0211041391251729</v>
      </c>
      <c r="E12" s="221">
        <f t="shared" si="0"/>
        <v>0.56475048687894036</v>
      </c>
      <c r="F12" s="222" t="str">
        <f>'LP Optimization 2'!I12</f>
        <v>P6-AntiVirus</v>
      </c>
      <c r="G12" s="226">
        <f>'LP Optimization 2'!E12</f>
        <v>4.8787360697017963E-3</v>
      </c>
      <c r="H12" s="217">
        <f>'LP Optimization 2'!M12</f>
        <v>3750</v>
      </c>
    </row>
    <row r="13" spans="1:8" ht="15.6" x14ac:dyDescent="0.25">
      <c r="A13" s="219" t="str">
        <f>Threats!B12</f>
        <v>Threats to the Information Base</v>
      </c>
      <c r="B13" s="220" t="str">
        <f>Threats!A12</f>
        <v>T12-Inaccurrate Data</v>
      </c>
      <c r="C13" s="105">
        <f>'AHP Likelihood Calculation'!AD45</f>
        <v>7.3606513466022649E-2</v>
      </c>
      <c r="D13" s="218">
        <f>'AHP Severity Calculation'!AE46</f>
        <v>6.8689179197053472</v>
      </c>
      <c r="E13" s="221">
        <f t="shared" si="0"/>
        <v>0.50559709935379593</v>
      </c>
      <c r="F13" s="222" t="str">
        <f>'LP Optimization 2'!I13</f>
        <v>P3-Add validation to forms</v>
      </c>
      <c r="G13" s="226">
        <f>'LP Optimization 2'!E13</f>
        <v>0</v>
      </c>
      <c r="H13" s="217">
        <f>'LP Optimization 2'!M13</f>
        <v>0</v>
      </c>
    </row>
    <row r="14" spans="1:8" ht="31.2" x14ac:dyDescent="0.25">
      <c r="A14" s="219" t="str">
        <f>Threats!B13</f>
        <v>Threats to the Information Base</v>
      </c>
      <c r="B14" s="220" t="str">
        <f>Threats!A13</f>
        <v>T13-Un-authorized Access</v>
      </c>
      <c r="C14" s="105">
        <f>'AHP Likelihood Calculation'!AD46</f>
        <v>0.26976623313860026</v>
      </c>
      <c r="D14" s="218">
        <f>'AHP Severity Calculation'!AE47</f>
        <v>6.6001333408927136</v>
      </c>
      <c r="E14" s="221">
        <f t="shared" si="0"/>
        <v>1.7804931095851124</v>
      </c>
      <c r="F14" s="222" t="str">
        <f>'LP Optimization 2'!I14</f>
        <v>P27-Identity and Access Management System</v>
      </c>
      <c r="G14" s="226">
        <f>'LP Optimization 2'!E14</f>
        <v>4.227915592209501E-2</v>
      </c>
      <c r="H14" s="217">
        <f>'LP Optimization 2'!M14</f>
        <v>10000</v>
      </c>
    </row>
    <row r="15" spans="1:8" ht="31.2" x14ac:dyDescent="0.25">
      <c r="A15" s="219" t="str">
        <f>Threats!B14</f>
        <v>Threats to the Information Base</v>
      </c>
      <c r="B15" s="220" t="str">
        <f>Threats!A14</f>
        <v>T14-Virus and Spyware</v>
      </c>
      <c r="C15" s="105">
        <f>'AHP Likelihood Calculation'!AD47</f>
        <v>0.70636436643241918</v>
      </c>
      <c r="D15" s="218">
        <f>'AHP Severity Calculation'!AE48</f>
        <v>8.441538406590734</v>
      </c>
      <c r="E15" s="221">
        <f t="shared" si="0"/>
        <v>5.9628019282863969</v>
      </c>
      <c r="F15" s="222" t="str">
        <f>'LP Optimization 2'!I15</f>
        <v>P6-AntiVirus</v>
      </c>
      <c r="G15" s="226">
        <f>'LP Optimization 2'!E15</f>
        <v>4.4775142827016987E-2</v>
      </c>
      <c r="H15" s="217">
        <f>'LP Optimization 2'!M15</f>
        <v>3750</v>
      </c>
    </row>
    <row r="16" spans="1:8" ht="15.6" x14ac:dyDescent="0.25">
      <c r="A16" s="219" t="str">
        <f>Threats!B15</f>
        <v>Threats to Information Leakage</v>
      </c>
      <c r="B16" s="220" t="str">
        <f>Threats!A15</f>
        <v>T15-Hacking</v>
      </c>
      <c r="C16" s="105">
        <f>'AHP Likelihood Calculation'!AD48</f>
        <v>9.5674681970019146E-2</v>
      </c>
      <c r="D16" s="218">
        <f>'AHP Severity Calculation'!AE49</f>
        <v>8.2339380545426568</v>
      </c>
      <c r="E16" s="221">
        <f t="shared" si="0"/>
        <v>0.78777940472920682</v>
      </c>
      <c r="F16" s="222" t="str">
        <f>'LP Optimization 2'!I16</f>
        <v>P17-Strong Passwords</v>
      </c>
      <c r="G16" s="226">
        <f>'LP Optimization 2'!E16</f>
        <v>1.3237660492317047E-2</v>
      </c>
      <c r="H16" s="217">
        <f>'LP Optimization 2'!M16</f>
        <v>2000</v>
      </c>
    </row>
    <row r="17" spans="1:8" ht="15.6" x14ac:dyDescent="0.25">
      <c r="A17" s="219" t="str">
        <f>Threats!B16</f>
        <v>Threats to Information Leakage</v>
      </c>
      <c r="B17" s="220" t="str">
        <f>Threats!A16</f>
        <v>T16-Media Leakage</v>
      </c>
      <c r="C17" s="105">
        <f>'AHP Likelihood Calculation'!AD49</f>
        <v>5.8604824167280453E-2</v>
      </c>
      <c r="D17" s="218">
        <f>'AHP Severity Calculation'!AE50</f>
        <v>8.3977019664680004</v>
      </c>
      <c r="E17" s="221">
        <f t="shared" si="0"/>
        <v>0.49214584715408244</v>
      </c>
      <c r="F17" s="222" t="str">
        <f>'LP Optimization 2'!I17</f>
        <v>P22-Increase Physical Security</v>
      </c>
      <c r="G17" s="226">
        <f>'LP Optimization 2'!E17</f>
        <v>8.1032962121138283E-4</v>
      </c>
      <c r="H17" s="217">
        <f>'LP Optimization 2'!M17</f>
        <v>500</v>
      </c>
    </row>
    <row r="18" spans="1:8" ht="46.8" x14ac:dyDescent="0.25">
      <c r="A18" s="219" t="str">
        <f>Threats!B17</f>
        <v>Threats to Information Leakage</v>
      </c>
      <c r="B18" s="220" t="str">
        <f>Threats!A17</f>
        <v>T17-Communication Preventers(Botnet, Dialer)</v>
      </c>
      <c r="C18" s="105">
        <f>'AHP Likelihood Calculation'!AD50</f>
        <v>0.27124323692319202</v>
      </c>
      <c r="D18" s="218">
        <f>'AHP Severity Calculation'!AE51</f>
        <v>8.4413389011697877</v>
      </c>
      <c r="E18" s="221">
        <f t="shared" si="0"/>
        <v>2.2896560875189542</v>
      </c>
      <c r="F18" s="222" t="str">
        <f>'LP Optimization 2'!I18</f>
        <v>P29-Intrusion Detection System</v>
      </c>
      <c r="G18" s="226">
        <f>'LP Optimization 2'!E18</f>
        <v>1.3057875172102834E-2</v>
      </c>
      <c r="H18" s="217">
        <f>'LP Optimization 2'!M18</f>
        <v>5000</v>
      </c>
    </row>
    <row r="19" spans="1:8" ht="31.2" x14ac:dyDescent="0.25">
      <c r="A19" s="219" t="str">
        <f>Threats!B18</f>
        <v>Threats to Information Leakage</v>
      </c>
      <c r="B19" s="220" t="str">
        <f>Threats!A18</f>
        <v>T18-Authentication Threats</v>
      </c>
      <c r="C19" s="105">
        <f>'AHP Likelihood Calculation'!AD51</f>
        <v>0.58184563157288882</v>
      </c>
      <c r="D19" s="218">
        <f>'AHP Severity Calculation'!AE52</f>
        <v>8.2991718636394793</v>
      </c>
      <c r="E19" s="221">
        <f t="shared" si="0"/>
        <v>4.8288368945312614</v>
      </c>
      <c r="F19" s="222" t="str">
        <f>'LP Optimization 2'!I19</f>
        <v>P30-Digital Signatures</v>
      </c>
      <c r="G19" s="226">
        <f>'LP Optimization 2'!E19</f>
        <v>2.4334993937835739E-2</v>
      </c>
      <c r="H19" s="217">
        <f>'LP Optimization 2'!M19</f>
        <v>7500</v>
      </c>
    </row>
    <row r="20" spans="1:8" ht="31.2" x14ac:dyDescent="0.25">
      <c r="A20" s="219" t="str">
        <f>Threats!B19</f>
        <v>Threats to Information Leakage</v>
      </c>
      <c r="B20" s="220" t="str">
        <f>Threats!A19</f>
        <v>T19-Non Repudiation Threats</v>
      </c>
      <c r="C20" s="105">
        <f>'AHP Likelihood Calculation'!AD52</f>
        <v>0.28643382192337691</v>
      </c>
      <c r="D20" s="218">
        <f>'AHP Severity Calculation'!AE53</f>
        <v>8.0690371763924471</v>
      </c>
      <c r="E20" s="221">
        <f t="shared" si="0"/>
        <v>2.3112451576759021</v>
      </c>
      <c r="F20" s="222" t="str">
        <f>'LP Optimization 2'!I20</f>
        <v>P28-Cryptologic Solutions(Digital Signatures)</v>
      </c>
      <c r="G20" s="226">
        <f>'LP Optimization 2'!E20</f>
        <v>1.3660826089720971E-2</v>
      </c>
      <c r="H20" s="217">
        <f>'LP Optimization 2'!M20</f>
        <v>10000</v>
      </c>
    </row>
    <row r="21" spans="1:8" ht="31.2" x14ac:dyDescent="0.25">
      <c r="A21" s="219" t="str">
        <f>Threats!B20</f>
        <v>Threats to Information Leakage</v>
      </c>
      <c r="B21" s="220" t="str">
        <f>Threats!A20</f>
        <v>T20-Separation of Duties</v>
      </c>
      <c r="C21" s="105">
        <f>'AHP Likelihood Calculation'!AD53</f>
        <v>0.3317214128842092</v>
      </c>
      <c r="D21" s="218">
        <f>'AHP Severity Calculation'!AE54</f>
        <v>8.4836205519710202</v>
      </c>
      <c r="E21" s="221">
        <f t="shared" si="0"/>
        <v>2.8141985958733415</v>
      </c>
      <c r="F21" s="222" t="str">
        <f>'LP Optimization 2'!I21</f>
        <v>P24-Auditing</v>
      </c>
      <c r="G21" s="226">
        <f>'LP Optimization 2'!E21</f>
        <v>8.872395499567717E-3</v>
      </c>
      <c r="H21" s="217">
        <f>'LP Optimization 2'!M21</f>
        <v>10000</v>
      </c>
    </row>
    <row r="22" spans="1:8" ht="31.2" x14ac:dyDescent="0.25">
      <c r="A22" s="219" t="str">
        <f>Threats!B21</f>
        <v>Threats to Information Leakage</v>
      </c>
      <c r="B22" s="220" t="str">
        <f>Threats!A21</f>
        <v>T21-Configuration Threats</v>
      </c>
      <c r="C22" s="105">
        <f>'AHP Likelihood Calculation'!AD54</f>
        <v>0.38319826966022075</v>
      </c>
      <c r="D22" s="218">
        <f>'AHP Severity Calculation'!AE55</f>
        <v>8.4535334730043985</v>
      </c>
      <c r="E22" s="221">
        <f t="shared" si="0"/>
        <v>3.2393793993700419</v>
      </c>
      <c r="F22" s="222" t="str">
        <f>'LP Optimization 2'!I22</f>
        <v>P24-Auditing</v>
      </c>
      <c r="G22" s="226">
        <f>'LP Optimization 2'!E22</f>
        <v>3.4871395193590331E-2</v>
      </c>
      <c r="H22" s="217">
        <f>'LP Optimization 2'!M22</f>
        <v>10000</v>
      </c>
    </row>
    <row r="23" spans="1:8" ht="31.2" x14ac:dyDescent="0.25">
      <c r="A23" s="219" t="str">
        <f>Threats!B22</f>
        <v>Threats to Information Leakage</v>
      </c>
      <c r="B23" s="220" t="str">
        <f>Threats!A22</f>
        <v>T22- Communications Threats</v>
      </c>
      <c r="C23" s="105">
        <f>'AHP Likelihood Calculation'!AD55</f>
        <v>0.29315402277471436</v>
      </c>
      <c r="D23" s="218">
        <f>'AHP Severity Calculation'!AE56</f>
        <v>0</v>
      </c>
      <c r="E23" s="221">
        <f t="shared" si="0"/>
        <v>0</v>
      </c>
      <c r="F23" s="222" t="str">
        <f>'LP Optimization 2'!I23</f>
        <v>P28-Cryptologic Solutions(Encryption)</v>
      </c>
      <c r="G23" s="226">
        <f>'LP Optimization 2'!E23</f>
        <v>1.731758220238995E-2</v>
      </c>
      <c r="H23" s="217">
        <f>'LP Optimization 2'!M23</f>
        <v>15000</v>
      </c>
    </row>
    <row r="24" spans="1:8" ht="15.6" x14ac:dyDescent="0.25">
      <c r="A24" s="219" t="str">
        <f>Threats!B1</f>
        <v>Threats to The Level of Service</v>
      </c>
      <c r="B24" s="220" t="str">
        <f>Threats!A1</f>
        <v>T1-Power Loss</v>
      </c>
      <c r="C24" s="105">
        <f>'AHP Likelihood Calculation'!AD34</f>
        <v>0.24294982396184614</v>
      </c>
      <c r="D24" s="218">
        <f>'AHP Severity Calculation'!AE35</f>
        <v>10.613217223638992</v>
      </c>
      <c r="E24" s="221">
        <f>C24*D24</f>
        <v>2.5784792561519265</v>
      </c>
      <c r="F24" s="222" t="str">
        <f>'LP Optimization 2'!Q2</f>
        <v>Non</v>
      </c>
      <c r="G24" s="226">
        <f>'LP Optimization 2'!F2</f>
        <v>0</v>
      </c>
      <c r="H24" s="217">
        <f>'LP Optimization 2'!U2</f>
        <v>0</v>
      </c>
    </row>
    <row r="25" spans="1:8" ht="15.6" x14ac:dyDescent="0.25">
      <c r="A25" s="219" t="str">
        <f>Threats!B2</f>
        <v>Threats to The Level of Service</v>
      </c>
      <c r="B25" s="220" t="str">
        <f>Threats!A2</f>
        <v>T2-Hardware Failure</v>
      </c>
      <c r="C25" s="105">
        <f>'AHP Likelihood Calculation'!AD35</f>
        <v>2.3492987243136903E-2</v>
      </c>
      <c r="D25" s="218">
        <f>'AHP Severity Calculation'!AE36</f>
        <v>9.4128583764372404</v>
      </c>
      <c r="E25" s="221">
        <f t="shared" ref="E25:E45" si="1">C25*D25</f>
        <v>0.22113616175909442</v>
      </c>
      <c r="F25" s="222" t="str">
        <f>'LP Optimization 2'!Q3</f>
        <v>P8-Disaster Recovery on Cloud</v>
      </c>
      <c r="G25" s="226">
        <f>'LP Optimization 2'!F3</f>
        <v>0</v>
      </c>
      <c r="H25" s="217">
        <f>'LP Optimization 2'!U3</f>
        <v>0</v>
      </c>
    </row>
    <row r="26" spans="1:8" ht="15.6" x14ac:dyDescent="0.25">
      <c r="A26" s="219" t="str">
        <f>Threats!B3</f>
        <v>Threats to The Level of Service</v>
      </c>
      <c r="B26" s="220" t="str">
        <f>Threats!A3</f>
        <v>T3-Software Crash</v>
      </c>
      <c r="C26" s="105">
        <f>'AHP Likelihood Calculation'!AD36</f>
        <v>8.9952409245753914E-2</v>
      </c>
      <c r="D26" s="218">
        <f>'AHP Severity Calculation'!AE37</f>
        <v>10.038458252192566</v>
      </c>
      <c r="E26" s="221">
        <f t="shared" si="1"/>
        <v>0.90298350489764123</v>
      </c>
      <c r="F26" s="222" t="str">
        <f>'LP Optimization 2'!Q4</f>
        <v>P23-Service Level Software Agreement</v>
      </c>
      <c r="G26" s="226">
        <f>'LP Optimization 2'!F4</f>
        <v>5.0350393313196894E-3</v>
      </c>
      <c r="H26" s="217">
        <f>'LP Optimization 2'!U4</f>
        <v>15000</v>
      </c>
    </row>
    <row r="27" spans="1:8" ht="15.6" x14ac:dyDescent="0.25">
      <c r="A27" s="219" t="str">
        <f>Threats!B4</f>
        <v>Threats to The Level of Service</v>
      </c>
      <c r="B27" s="220" t="str">
        <f>Threats!A4</f>
        <v>T4-Operator Errors</v>
      </c>
      <c r="C27" s="105">
        <f>'AHP Likelihood Calculation'!AD37</f>
        <v>6.7227326913070706E-2</v>
      </c>
      <c r="D27" s="218">
        <f>'AHP Severity Calculation'!AE38</f>
        <v>11.578031610471333</v>
      </c>
      <c r="E27" s="221">
        <f t="shared" si="1"/>
        <v>0.77836011608702282</v>
      </c>
      <c r="F27" s="222" t="str">
        <f>'LP Optimization 2'!Q5</f>
        <v>P15-Improvement in Data Distribution and Governance</v>
      </c>
      <c r="G27" s="226">
        <f>'LP Optimization 2'!F5</f>
        <v>0</v>
      </c>
      <c r="H27" s="217">
        <f>'LP Optimization 2'!U5</f>
        <v>0</v>
      </c>
    </row>
    <row r="28" spans="1:8" ht="31.2" x14ac:dyDescent="0.25">
      <c r="A28" s="219" t="str">
        <f>Threats!B5</f>
        <v>Threats to The Level of Service</v>
      </c>
      <c r="B28" s="220" t="str">
        <f>Threats!A5</f>
        <v>T5-Malicious Inside Action</v>
      </c>
      <c r="C28" s="105">
        <f>'AHP Likelihood Calculation'!AD38</f>
        <v>4.4492642577803276E-2</v>
      </c>
      <c r="D28" s="218">
        <f>'AHP Severity Calculation'!AE39</f>
        <v>10.892287844474085</v>
      </c>
      <c r="E28" s="221">
        <f t="shared" si="1"/>
        <v>0.48462666991873676</v>
      </c>
      <c r="F28" s="222" t="str">
        <f>'LP Optimization 2'!Q6</f>
        <v>P26-Mandatory vacations</v>
      </c>
      <c r="G28" s="226">
        <f>'LP Optimization 2'!F6</f>
        <v>4.8004874057657387E-3</v>
      </c>
      <c r="H28" s="217">
        <f>'LP Optimization 2'!U6</f>
        <v>0</v>
      </c>
    </row>
    <row r="29" spans="1:8" ht="15.6" x14ac:dyDescent="0.25">
      <c r="A29" s="219" t="str">
        <f>Threats!B6</f>
        <v>Threats to The Level of Service</v>
      </c>
      <c r="B29" s="220" t="str">
        <f>Threats!A6</f>
        <v>T6-Trojan and Worms</v>
      </c>
      <c r="C29" s="105">
        <f>'AHP Likelihood Calculation'!AD39</f>
        <v>0.10407757204157696</v>
      </c>
      <c r="D29" s="218">
        <f>'AHP Severity Calculation'!AE40</f>
        <v>12.146807626184986</v>
      </c>
      <c r="E29" s="221">
        <f t="shared" si="1"/>
        <v>1.2642102457894442</v>
      </c>
      <c r="F29" s="222" t="str">
        <f>'LP Optimization 2'!Q7</f>
        <v>P19-Use of 64 bit OS's</v>
      </c>
      <c r="G29" s="226">
        <f>'LP Optimization 2'!F7</f>
        <v>9.845049378712176E-3</v>
      </c>
      <c r="H29" s="217">
        <f>'LP Optimization 2'!U7</f>
        <v>0</v>
      </c>
    </row>
    <row r="30" spans="1:8" ht="15.6" x14ac:dyDescent="0.25">
      <c r="A30" s="219" t="str">
        <f>Threats!B7</f>
        <v>Threats to The Level of Service</v>
      </c>
      <c r="B30" s="220" t="str">
        <f>Threats!A7</f>
        <v>T7-Fire</v>
      </c>
      <c r="C30" s="105">
        <f>'AHP Likelihood Calculation'!AD40</f>
        <v>1.6665052229327772E-2</v>
      </c>
      <c r="D30" s="218">
        <f>'AHP Severity Calculation'!AE41</f>
        <v>12.191282029056886</v>
      </c>
      <c r="E30" s="221">
        <f t="shared" si="1"/>
        <v>0.20316835175669806</v>
      </c>
      <c r="F30" s="222" t="str">
        <f>'LP Optimization 2'!Q8</f>
        <v>P8-Disaster Recovery on Cloud</v>
      </c>
      <c r="G30" s="226">
        <f>'LP Optimization 2'!F8</f>
        <v>4.3622244097181627E-3</v>
      </c>
      <c r="H30" s="217">
        <f>'LP Optimization 2'!U8</f>
        <v>6000</v>
      </c>
    </row>
    <row r="31" spans="1:8" ht="46.8" x14ac:dyDescent="0.25">
      <c r="A31" s="219" t="str">
        <f>Threats!B8</f>
        <v>Threats to The Level of Service</v>
      </c>
      <c r="B31" s="220" t="str">
        <f>Threats!A8</f>
        <v>T8-Other Enviromental Disasters</v>
      </c>
      <c r="C31" s="105">
        <f>'AHP Likelihood Calculation'!AD41</f>
        <v>1.2039520225759709E-2</v>
      </c>
      <c r="D31" s="218">
        <f>'AHP Severity Calculation'!AE42</f>
        <v>12.129639210147253</v>
      </c>
      <c r="E31" s="221">
        <f t="shared" si="1"/>
        <v>0.14603503660173589</v>
      </c>
      <c r="F31" s="222" t="str">
        <f>'LP Optimization 2'!Q9</f>
        <v>P9-FHM System</v>
      </c>
      <c r="G31" s="226">
        <f>'LP Optimization 2'!F9</f>
        <v>3.1960034685884131E-3</v>
      </c>
      <c r="H31" s="217">
        <f>'LP Optimization 2'!U9</f>
        <v>4500</v>
      </c>
    </row>
    <row r="32" spans="1:8" ht="31.2" x14ac:dyDescent="0.25">
      <c r="A32" s="219" t="str">
        <f>Threats!B9</f>
        <v>Threats to The Level of Service</v>
      </c>
      <c r="B32" s="220" t="str">
        <f>Threats!A9</f>
        <v>T9-Availability Threats(DDOS)</v>
      </c>
      <c r="C32" s="105">
        <f>'AHP Likelihood Calculation'!AD42</f>
        <v>2.3550794265172554E-2</v>
      </c>
      <c r="D32" s="218">
        <f>'AHP Severity Calculation'!AE43</f>
        <v>6.4964999759679465</v>
      </c>
      <c r="E32" s="221">
        <f t="shared" si="1"/>
        <v>0.15299773437771955</v>
      </c>
      <c r="F32" s="222" t="str">
        <f>'LP Optimization 2'!Q10</f>
        <v>P12-Traffic Management</v>
      </c>
      <c r="G32" s="226">
        <f>'LP Optimization 2'!F10</f>
        <v>2.1526725486478047E-3</v>
      </c>
      <c r="H32" s="217">
        <f>'LP Optimization 2'!U10</f>
        <v>5000</v>
      </c>
    </row>
    <row r="33" spans="1:8" ht="15.6" x14ac:dyDescent="0.25">
      <c r="A33" s="219" t="str">
        <f>Threats!B10</f>
        <v>Threats to the Information Base</v>
      </c>
      <c r="B33" s="220" t="str">
        <f>Threats!A10</f>
        <v>T10-Disk Failure</v>
      </c>
      <c r="C33" s="105">
        <f>'AHP Likelihood Calculation'!AD43</f>
        <v>7.291793331983723E-2</v>
      </c>
      <c r="D33" s="218">
        <f>'AHP Severity Calculation'!AE44</f>
        <v>7.5276755814544218</v>
      </c>
      <c r="E33" s="221">
        <f t="shared" si="1"/>
        <v>0.54890254610186051</v>
      </c>
      <c r="F33" s="222" t="str">
        <f>'LP Optimization 2'!Q11</f>
        <v>Non</v>
      </c>
      <c r="G33" s="226">
        <f>'LP Optimization 2'!F11</f>
        <v>0</v>
      </c>
      <c r="H33" s="217">
        <f>'LP Optimization 2'!U11</f>
        <v>0</v>
      </c>
    </row>
    <row r="34" spans="1:8" ht="15.6" x14ac:dyDescent="0.25">
      <c r="A34" s="219" t="str">
        <f>Threats!B11</f>
        <v>Threats to the Information Base</v>
      </c>
      <c r="B34" s="220" t="str">
        <f>Threats!A11</f>
        <v>T11-Data Corruption</v>
      </c>
      <c r="C34" s="105">
        <f>'AHP Likelihood Calculation'!AD44</f>
        <v>9.3795170093336891E-2</v>
      </c>
      <c r="D34" s="218">
        <f>'AHP Severity Calculation'!AE45</f>
        <v>6.0211041391251729</v>
      </c>
      <c r="E34" s="221">
        <f t="shared" si="1"/>
        <v>0.56475048687894036</v>
      </c>
      <c r="F34" s="222" t="str">
        <f>'LP Optimization 2'!Q12</f>
        <v>P7-Anti spam</v>
      </c>
      <c r="G34" s="226">
        <f>'LP Optimization 2'!F12</f>
        <v>3.2524907131345308E-3</v>
      </c>
      <c r="H34" s="217">
        <f>'LP Optimization 2'!U12</f>
        <v>2500</v>
      </c>
    </row>
    <row r="35" spans="1:8" ht="15.6" x14ac:dyDescent="0.25">
      <c r="A35" s="219" t="str">
        <f>Threats!B12</f>
        <v>Threats to the Information Base</v>
      </c>
      <c r="B35" s="220" t="str">
        <f>Threats!A12</f>
        <v>T12-Inaccurrate Data</v>
      </c>
      <c r="C35" s="105">
        <f>'AHP Likelihood Calculation'!AD45</f>
        <v>7.3606513466022649E-2</v>
      </c>
      <c r="D35" s="218">
        <f>'AHP Severity Calculation'!AE46</f>
        <v>6.8689179197053472</v>
      </c>
      <c r="E35" s="221">
        <f t="shared" si="1"/>
        <v>0.50559709935379593</v>
      </c>
      <c r="F35" s="222" t="str">
        <f>'LP Optimization 2'!Q13</f>
        <v>P15-Improvement in Data Distribution and Governance Systems</v>
      </c>
      <c r="G35" s="226">
        <f>'LP Optimization 2'!F13</f>
        <v>1.4027752965906108E-3</v>
      </c>
      <c r="H35" s="217">
        <f>'LP Optimization 2'!U13</f>
        <v>3200</v>
      </c>
    </row>
    <row r="36" spans="1:8" ht="31.2" x14ac:dyDescent="0.25">
      <c r="A36" s="219" t="str">
        <f>Threats!B13</f>
        <v>Threats to the Information Base</v>
      </c>
      <c r="B36" s="220" t="str">
        <f>Threats!A13</f>
        <v>T13-Un-authorized Access</v>
      </c>
      <c r="C36" s="105">
        <f>'AHP Likelihood Calculation'!AD46</f>
        <v>0.26976623313860026</v>
      </c>
      <c r="D36" s="218">
        <f>'AHP Severity Calculation'!AE47</f>
        <v>6.6001333408927136</v>
      </c>
      <c r="E36" s="221">
        <f t="shared" si="1"/>
        <v>1.7804931095851124</v>
      </c>
      <c r="F36" s="222" t="str">
        <f>'LP Optimization 2'!Q14</f>
        <v>Non</v>
      </c>
      <c r="G36" s="226">
        <f>'LP Optimization 2'!F14</f>
        <v>0</v>
      </c>
      <c r="H36" s="217">
        <f>'LP Optimization 2'!U14</f>
        <v>0</v>
      </c>
    </row>
    <row r="37" spans="1:8" ht="31.2" x14ac:dyDescent="0.25">
      <c r="A37" s="219" t="str">
        <f>Threats!B14</f>
        <v>Threats to the Information Base</v>
      </c>
      <c r="B37" s="220" t="str">
        <f>Threats!A14</f>
        <v>T14-Virus and Spyware</v>
      </c>
      <c r="C37" s="105">
        <f>'AHP Likelihood Calculation'!AD47</f>
        <v>0.70636436643241918</v>
      </c>
      <c r="D37" s="218">
        <f>'AHP Severity Calculation'!AE48</f>
        <v>8.441538406590734</v>
      </c>
      <c r="E37" s="221">
        <f t="shared" si="1"/>
        <v>5.9628019282863969</v>
      </c>
      <c r="F37" s="222" t="str">
        <f>'LP Optimization 2'!Q15</f>
        <v>P7-Anti spam</v>
      </c>
      <c r="G37" s="226">
        <f>'LP Optimization 2'!F15</f>
        <v>4.4775142827016987E-2</v>
      </c>
      <c r="H37" s="217">
        <f>'LP Optimization 2'!U15</f>
        <v>2500</v>
      </c>
    </row>
    <row r="38" spans="1:8" ht="15.6" x14ac:dyDescent="0.25">
      <c r="A38" s="219" t="str">
        <f>Threats!B15</f>
        <v>Threats to Information Leakage</v>
      </c>
      <c r="B38" s="220" t="str">
        <f>Threats!A15</f>
        <v>T15-Hacking</v>
      </c>
      <c r="C38" s="105">
        <f>'AHP Likelihood Calculation'!AD48</f>
        <v>9.5674681970019146E-2</v>
      </c>
      <c r="D38" s="218">
        <f>'AHP Severity Calculation'!AE49</f>
        <v>8.2339380545426568</v>
      </c>
      <c r="E38" s="221">
        <f t="shared" si="1"/>
        <v>0.78777940472920682</v>
      </c>
      <c r="F38" s="222" t="str">
        <f>'LP Optimization 2'!Q16</f>
        <v>P14-Firewall</v>
      </c>
      <c r="G38" s="226">
        <f>'LP Optimization 2'!F16</f>
        <v>1.985649073847557E-2</v>
      </c>
      <c r="H38" s="217">
        <f>'LP Optimization 2'!U16</f>
        <v>8000</v>
      </c>
    </row>
    <row r="39" spans="1:8" ht="15.6" x14ac:dyDescent="0.25">
      <c r="A39" s="219" t="str">
        <f>Threats!B16</f>
        <v>Threats to Information Leakage</v>
      </c>
      <c r="B39" s="220" t="str">
        <f>Threats!A16</f>
        <v>T16-Media Leakage</v>
      </c>
      <c r="C39" s="105">
        <f>'AHP Likelihood Calculation'!AD49</f>
        <v>5.8604824167280453E-2</v>
      </c>
      <c r="D39" s="218">
        <f>'AHP Severity Calculation'!AE50</f>
        <v>8.3977019664680004</v>
      </c>
      <c r="E39" s="221">
        <f t="shared" si="1"/>
        <v>0.49214584715408244</v>
      </c>
      <c r="F39" s="222" t="str">
        <f>'LP Optimization 2'!Q17</f>
        <v>P33-Limit Transfer of Executables</v>
      </c>
      <c r="G39" s="226">
        <f>'LP Optimization 2'!F17</f>
        <v>8.1032962121138283E-4</v>
      </c>
      <c r="H39" s="217">
        <f>'LP Optimization 2'!U17</f>
        <v>0</v>
      </c>
    </row>
    <row r="40" spans="1:8" ht="46.8" x14ac:dyDescent="0.25">
      <c r="A40" s="219" t="str">
        <f>Threats!B17</f>
        <v>Threats to Information Leakage</v>
      </c>
      <c r="B40" s="220" t="str">
        <f>Threats!A17</f>
        <v>T17-Communication Preventers(Botnet, Dialer)</v>
      </c>
      <c r="C40" s="105">
        <f>'AHP Likelihood Calculation'!AD50</f>
        <v>0.27124323692319202</v>
      </c>
      <c r="D40" s="218">
        <f>'AHP Severity Calculation'!AE51</f>
        <v>8.4413389011697877</v>
      </c>
      <c r="E40" s="221">
        <f t="shared" si="1"/>
        <v>2.2896560875189542</v>
      </c>
      <c r="F40" s="222" t="str">
        <f>'LP Optimization 2'!Q18</f>
        <v>P31-Trusted Communication Channels</v>
      </c>
      <c r="G40" s="226">
        <f>'LP Optimization 2'!F18</f>
        <v>1.3057875172102834E-2</v>
      </c>
      <c r="H40" s="217">
        <f>'LP Optimization 2'!U18</f>
        <v>10000</v>
      </c>
    </row>
    <row r="41" spans="1:8" ht="31.2" x14ac:dyDescent="0.25">
      <c r="A41" s="219" t="str">
        <f>Threats!B18</f>
        <v>Threats to Information Leakage</v>
      </c>
      <c r="B41" s="220" t="str">
        <f>Threats!A18</f>
        <v>T18-Authentication Threats</v>
      </c>
      <c r="C41" s="105">
        <f>'AHP Likelihood Calculation'!AD51</f>
        <v>0.58184563157288882</v>
      </c>
      <c r="D41" s="218">
        <f>'AHP Severity Calculation'!AE52</f>
        <v>8.2991718636394793</v>
      </c>
      <c r="E41" s="221">
        <f t="shared" si="1"/>
        <v>4.8288368945312614</v>
      </c>
      <c r="F41" s="222" t="str">
        <f>'LP Optimization 2'!Q19</f>
        <v>P27-Identity and Access Management System</v>
      </c>
      <c r="G41" s="226">
        <f>'LP Optimization 2'!F19</f>
        <v>3.041874242229467E-2</v>
      </c>
      <c r="H41" s="217">
        <f>'LP Optimization 2'!U19</f>
        <v>5000</v>
      </c>
    </row>
    <row r="42" spans="1:8" ht="31.2" x14ac:dyDescent="0.25">
      <c r="A42" s="219" t="str">
        <f>Threats!B19</f>
        <v>Threats to Information Leakage</v>
      </c>
      <c r="B42" s="220" t="str">
        <f>Threats!A19</f>
        <v>T19-Non Repudiation Threats</v>
      </c>
      <c r="C42" s="105">
        <f>'AHP Likelihood Calculation'!AD52</f>
        <v>0.28643382192337691</v>
      </c>
      <c r="D42" s="218">
        <f>'AHP Severity Calculation'!AE53</f>
        <v>8.0690371763924471</v>
      </c>
      <c r="E42" s="221">
        <f t="shared" si="1"/>
        <v>2.3112451576759021</v>
      </c>
      <c r="F42" s="222" t="str">
        <f>'LP Optimization 2'!Q20</f>
        <v>P21-Load Unload Drivers</v>
      </c>
      <c r="G42" s="226">
        <f>'LP Optimization 2'!F20</f>
        <v>8.1964956538325816E-3</v>
      </c>
      <c r="H42" s="217">
        <f>'LP Optimization 2'!U20</f>
        <v>0</v>
      </c>
    </row>
    <row r="43" spans="1:8" ht="31.2" x14ac:dyDescent="0.25">
      <c r="A43" s="219" t="str">
        <f>Threats!B20</f>
        <v>Threats to Information Leakage</v>
      </c>
      <c r="B43" s="220" t="str">
        <f>Threats!A20</f>
        <v>T20-Separation of Duties</v>
      </c>
      <c r="C43" s="105">
        <f>'AHP Likelihood Calculation'!AD53</f>
        <v>0.3317214128842092</v>
      </c>
      <c r="D43" s="218">
        <f>'AHP Severity Calculation'!AE54</f>
        <v>8.4836205519710202</v>
      </c>
      <c r="E43" s="221">
        <f t="shared" si="1"/>
        <v>2.8141985958733415</v>
      </c>
      <c r="F43" s="222" t="str">
        <f>'LP Optimization 2'!Q21</f>
        <v>P22-Increase Physical Security</v>
      </c>
      <c r="G43" s="226">
        <f>'LP Optimization 2'!F21</f>
        <v>5.9149303330451449E-3</v>
      </c>
      <c r="H43" s="217">
        <f>'LP Optimization 2'!U21</f>
        <v>0</v>
      </c>
    </row>
    <row r="44" spans="1:8" ht="31.2" x14ac:dyDescent="0.25">
      <c r="A44" s="219" t="str">
        <f>Threats!B21</f>
        <v>Threats to Information Leakage</v>
      </c>
      <c r="B44" s="220" t="str">
        <f>Threats!A21</f>
        <v>T21-Configuration Threats</v>
      </c>
      <c r="C44" s="105">
        <f>'AHP Likelihood Calculation'!AD54</f>
        <v>0.38319826966022075</v>
      </c>
      <c r="D44" s="218">
        <f>'AHP Severity Calculation'!AE55</f>
        <v>8.4535334730043985</v>
      </c>
      <c r="E44" s="221">
        <f t="shared" si="1"/>
        <v>3.2393793993700419</v>
      </c>
      <c r="F44" s="222" t="str">
        <f>'LP Optimization 2'!Q22</f>
        <v>Non</v>
      </c>
      <c r="G44" s="226">
        <f>'LP Optimization 2'!F22</f>
        <v>0</v>
      </c>
      <c r="H44" s="217">
        <f>'LP Optimization 2'!U22</f>
        <v>0</v>
      </c>
    </row>
    <row r="45" spans="1:8" ht="31.2" x14ac:dyDescent="0.25">
      <c r="A45" s="219" t="str">
        <f>Threats!B22</f>
        <v>Threats to Information Leakage</v>
      </c>
      <c r="B45" s="220" t="str">
        <f>Threats!A22</f>
        <v>T22- Communications Threats</v>
      </c>
      <c r="C45" s="105">
        <f>'AHP Likelihood Calculation'!AD55</f>
        <v>0.29315402277471436</v>
      </c>
      <c r="D45" s="218">
        <f>'AHP Severity Calculation'!AE56</f>
        <v>0</v>
      </c>
      <c r="E45" s="221">
        <f t="shared" si="1"/>
        <v>0</v>
      </c>
      <c r="F45" s="222" t="str">
        <f>'LP Optimization 2'!Q23</f>
        <v>P32-Integrity Check</v>
      </c>
      <c r="G45" s="226">
        <f>'LP Optimization 2'!F23</f>
        <v>1.731758220238995E-2</v>
      </c>
      <c r="H45" s="217">
        <f>'LP Optimization 2'!U23</f>
        <v>1000</v>
      </c>
    </row>
    <row r="46" spans="1:8" ht="15.6" x14ac:dyDescent="0.25">
      <c r="A46" s="219" t="str">
        <f>Threats!B1</f>
        <v>Threats to The Level of Service</v>
      </c>
      <c r="B46" s="220" t="str">
        <f>Threats!A1</f>
        <v>T1-Power Loss</v>
      </c>
      <c r="C46" s="105">
        <f>'AHP Likelihood Calculation'!AD34</f>
        <v>0.24294982396184614</v>
      </c>
      <c r="D46" s="218">
        <f>'AHP Severity Calculation'!AE35</f>
        <v>10.613217223638992</v>
      </c>
      <c r="E46" s="221">
        <f>C46*D46</f>
        <v>2.5784792561519265</v>
      </c>
      <c r="F46" s="222" t="str">
        <f>'LP Optimization 2'!Y2</f>
        <v>Non</v>
      </c>
      <c r="G46" s="226">
        <f>'LP Optimization 2'!G2</f>
        <v>0</v>
      </c>
      <c r="H46" s="217">
        <f>'LP Optimization 2'!AC2</f>
        <v>0</v>
      </c>
    </row>
    <row r="47" spans="1:8" ht="15.6" x14ac:dyDescent="0.25">
      <c r="A47" s="219" t="str">
        <f>Threats!B2</f>
        <v>Threats to The Level of Service</v>
      </c>
      <c r="B47" s="220" t="str">
        <f>Threats!A2</f>
        <v>T2-Hardware Failure</v>
      </c>
      <c r="C47" s="105">
        <f>'AHP Likelihood Calculation'!AD35</f>
        <v>2.3492987243136903E-2</v>
      </c>
      <c r="D47" s="218">
        <f>'AHP Severity Calculation'!AE36</f>
        <v>9.4128583764372404</v>
      </c>
      <c r="E47" s="221">
        <f t="shared" ref="E47:E67" si="2">C47*D47</f>
        <v>0.22113616175909442</v>
      </c>
      <c r="F47" s="222" t="str">
        <f>'LP Optimization 2'!Y3</f>
        <v>Non</v>
      </c>
      <c r="G47" s="226">
        <f>'LP Optimization 2'!G3</f>
        <v>0</v>
      </c>
      <c r="H47" s="217">
        <f>'LP Optimization 2'!AC3</f>
        <v>0</v>
      </c>
    </row>
    <row r="48" spans="1:8" ht="15.6" x14ac:dyDescent="0.25">
      <c r="A48" s="219" t="str">
        <f>Threats!B3</f>
        <v>Threats to The Level of Service</v>
      </c>
      <c r="B48" s="220" t="str">
        <f>Threats!A3</f>
        <v>T3-Software Crash</v>
      </c>
      <c r="C48" s="105">
        <f>'AHP Likelihood Calculation'!AD36</f>
        <v>8.9952409245753914E-2</v>
      </c>
      <c r="D48" s="218">
        <f>'AHP Severity Calculation'!AE37</f>
        <v>10.038458252192566</v>
      </c>
      <c r="E48" s="221">
        <f t="shared" si="2"/>
        <v>0.90298350489764123</v>
      </c>
      <c r="F48" s="222" t="str">
        <f>'LP Optimization 2'!Y4</f>
        <v>Non</v>
      </c>
      <c r="G48" s="226">
        <f>'LP Optimization 2'!G4</f>
        <v>0</v>
      </c>
      <c r="H48" s="217">
        <f>'LP Optimization 2'!AC4</f>
        <v>0</v>
      </c>
    </row>
    <row r="49" spans="1:8" ht="15.6" x14ac:dyDescent="0.25">
      <c r="A49" s="219" t="str">
        <f>Threats!B4</f>
        <v>Threats to The Level of Service</v>
      </c>
      <c r="B49" s="220" t="str">
        <f>Threats!A4</f>
        <v>T4-Operator Errors</v>
      </c>
      <c r="C49" s="105">
        <f>'AHP Likelihood Calculation'!AD37</f>
        <v>6.7227326913070706E-2</v>
      </c>
      <c r="D49" s="218">
        <f>'AHP Severity Calculation'!AE38</f>
        <v>11.578031610471333</v>
      </c>
      <c r="E49" s="221">
        <f t="shared" si="2"/>
        <v>0.77836011608702282</v>
      </c>
      <c r="F49" s="222" t="str">
        <f>'LP Optimization 2'!Y5</f>
        <v>Non</v>
      </c>
      <c r="G49" s="226">
        <f>'LP Optimization 2'!G5</f>
        <v>0</v>
      </c>
      <c r="H49" s="217">
        <f>'LP Optimization 2'!AC5</f>
        <v>0</v>
      </c>
    </row>
    <row r="50" spans="1:8" ht="31.2" x14ac:dyDescent="0.25">
      <c r="A50" s="219" t="str">
        <f>Threats!B5</f>
        <v>Threats to The Level of Service</v>
      </c>
      <c r="B50" s="220" t="str">
        <f>Threats!A5</f>
        <v>T5-Malicious Inside Action</v>
      </c>
      <c r="C50" s="105">
        <f>'AHP Likelihood Calculation'!AD38</f>
        <v>4.4492642577803276E-2</v>
      </c>
      <c r="D50" s="218">
        <f>'AHP Severity Calculation'!AE39</f>
        <v>10.892287844474085</v>
      </c>
      <c r="E50" s="221">
        <f t="shared" si="2"/>
        <v>0.48462666991873676</v>
      </c>
      <c r="F50" s="222" t="str">
        <f>'LP Optimization 2'!Y6</f>
        <v>P25-Pre Employment Screening</v>
      </c>
      <c r="G50" s="226">
        <f>'LP Optimization 2'!G6</f>
        <v>1.2001218514414345E-2</v>
      </c>
      <c r="H50" s="217">
        <f>'LP Optimization 2'!AC6</f>
        <v>0</v>
      </c>
    </row>
    <row r="51" spans="1:8" ht="15.6" x14ac:dyDescent="0.25">
      <c r="A51" s="219" t="str">
        <f>Threats!B6</f>
        <v>Threats to The Level of Service</v>
      </c>
      <c r="B51" s="220" t="str">
        <f>Threats!A6</f>
        <v>T6-Trojan and Worms</v>
      </c>
      <c r="C51" s="105">
        <f>'AHP Likelihood Calculation'!AD39</f>
        <v>0.10407757204157696</v>
      </c>
      <c r="D51" s="218">
        <f>'AHP Severity Calculation'!AE40</f>
        <v>12.146807626184986</v>
      </c>
      <c r="E51" s="221">
        <f t="shared" si="2"/>
        <v>1.2642102457894442</v>
      </c>
      <c r="F51" s="222" t="str">
        <f>'LP Optimization 2'!Y7</f>
        <v>Non</v>
      </c>
      <c r="G51" s="226">
        <f>'LP Optimization 2'!G7</f>
        <v>0</v>
      </c>
      <c r="H51" s="217">
        <f>'LP Optimization 2'!AC7</f>
        <v>0</v>
      </c>
    </row>
    <row r="52" spans="1:8" ht="15.6" x14ac:dyDescent="0.25">
      <c r="A52" s="219" t="str">
        <f>Threats!B7</f>
        <v>Threats to The Level of Service</v>
      </c>
      <c r="B52" s="220" t="str">
        <f>Threats!A7</f>
        <v>T7-Fire</v>
      </c>
      <c r="C52" s="105">
        <f>'AHP Likelihood Calculation'!AD40</f>
        <v>1.6665052229327772E-2</v>
      </c>
      <c r="D52" s="218">
        <f>'AHP Severity Calculation'!AE41</f>
        <v>12.191282029056886</v>
      </c>
      <c r="E52" s="221">
        <f t="shared" si="2"/>
        <v>0.20316835175669806</v>
      </c>
      <c r="F52" s="222" t="str">
        <f>'LP Optimization 2'!Y8</f>
        <v>Non</v>
      </c>
      <c r="G52" s="226">
        <f>'LP Optimization 2'!G8</f>
        <v>0</v>
      </c>
      <c r="H52" s="217">
        <f>'LP Optimization 2'!AC8</f>
        <v>0</v>
      </c>
    </row>
    <row r="53" spans="1:8" ht="46.8" x14ac:dyDescent="0.25">
      <c r="A53" s="219" t="str">
        <f>Threats!B8</f>
        <v>Threats to The Level of Service</v>
      </c>
      <c r="B53" s="220" t="str">
        <f>Threats!A8</f>
        <v>T8-Other Enviromental Disasters</v>
      </c>
      <c r="C53" s="105">
        <f>'AHP Likelihood Calculation'!AD41</f>
        <v>1.2039520225759709E-2</v>
      </c>
      <c r="D53" s="218">
        <f>'AHP Severity Calculation'!AE42</f>
        <v>12.129639210147253</v>
      </c>
      <c r="E53" s="221">
        <f t="shared" si="2"/>
        <v>0.14603503660173589</v>
      </c>
      <c r="F53" s="222" t="str">
        <f>'LP Optimization 2'!Y9</f>
        <v>Non</v>
      </c>
      <c r="G53" s="226">
        <f>'LP Optimization 2'!G9</f>
        <v>0</v>
      </c>
      <c r="H53" s="217">
        <f>'LP Optimization 2'!AC9</f>
        <v>0</v>
      </c>
    </row>
    <row r="54" spans="1:8" ht="31.2" x14ac:dyDescent="0.25">
      <c r="A54" s="219" t="str">
        <f>Threats!B9</f>
        <v>Threats to The Level of Service</v>
      </c>
      <c r="B54" s="220" t="str">
        <f>Threats!A9</f>
        <v>T9-Availability Threats(DDOS)</v>
      </c>
      <c r="C54" s="105">
        <f>'AHP Likelihood Calculation'!AD42</f>
        <v>2.3550794265172554E-2</v>
      </c>
      <c r="D54" s="218">
        <f>'AHP Severity Calculation'!AE43</f>
        <v>6.4964999759679465</v>
      </c>
      <c r="E54" s="221">
        <f t="shared" si="2"/>
        <v>0.15299773437771955</v>
      </c>
      <c r="F54" s="222" t="str">
        <f>'LP Optimization 2'!Y10</f>
        <v>P11-Bandwidth Throtting Techniques</v>
      </c>
      <c r="G54" s="226">
        <f>'LP Optimization 2'!G10</f>
        <v>2.1526725486478047E-3</v>
      </c>
      <c r="H54" s="217">
        <f>'LP Optimization 2'!AC10</f>
        <v>6000</v>
      </c>
    </row>
    <row r="55" spans="1:8" ht="15.6" x14ac:dyDescent="0.25">
      <c r="A55" s="219" t="str">
        <f>Threats!B10</f>
        <v>Threats to the Information Base</v>
      </c>
      <c r="B55" s="220" t="str">
        <f>Threats!A10</f>
        <v>T10-Disk Failure</v>
      </c>
      <c r="C55" s="105">
        <f>'AHP Likelihood Calculation'!AD43</f>
        <v>7.291793331983723E-2</v>
      </c>
      <c r="D55" s="218">
        <f>'AHP Severity Calculation'!AE44</f>
        <v>7.5276755814544218</v>
      </c>
      <c r="E55" s="221">
        <f t="shared" si="2"/>
        <v>0.54890254610186051</v>
      </c>
      <c r="F55" s="222" t="str">
        <f>'LP Optimization 2'!Y11</f>
        <v>Non</v>
      </c>
      <c r="G55" s="226">
        <f>'LP Optimization 2'!G11</f>
        <v>0</v>
      </c>
      <c r="H55" s="217">
        <f>'LP Optimization 2'!AC11</f>
        <v>0</v>
      </c>
    </row>
    <row r="56" spans="1:8" ht="15.6" x14ac:dyDescent="0.25">
      <c r="A56" s="219" t="str">
        <f>Threats!B11</f>
        <v>Threats to the Information Base</v>
      </c>
      <c r="B56" s="220" t="str">
        <f>Threats!A11</f>
        <v>T11-Data Corruption</v>
      </c>
      <c r="C56" s="105">
        <f>'AHP Likelihood Calculation'!AD44</f>
        <v>9.3795170093336891E-2</v>
      </c>
      <c r="D56" s="218">
        <f>'AHP Severity Calculation'!AE45</f>
        <v>6.0211041391251729</v>
      </c>
      <c r="E56" s="221">
        <f t="shared" si="2"/>
        <v>0.56475048687894036</v>
      </c>
      <c r="F56" s="222" t="str">
        <f>'LP Optimization 2'!Y12</f>
        <v>Non</v>
      </c>
      <c r="G56" s="226">
        <f>'LP Optimization 2'!G12</f>
        <v>0</v>
      </c>
      <c r="H56" s="217">
        <f>'LP Optimization 2'!AC12</f>
        <v>0</v>
      </c>
    </row>
    <row r="57" spans="1:8" ht="15.6" x14ac:dyDescent="0.25">
      <c r="A57" s="219" t="str">
        <f>Threats!B12</f>
        <v>Threats to the Information Base</v>
      </c>
      <c r="B57" s="220" t="str">
        <f>Threats!A12</f>
        <v>T12-Inaccurrate Data</v>
      </c>
      <c r="C57" s="105">
        <f>'AHP Likelihood Calculation'!AD45</f>
        <v>7.3606513466022649E-2</v>
      </c>
      <c r="D57" s="218">
        <f>'AHP Severity Calculation'!AE46</f>
        <v>6.8689179197053472</v>
      </c>
      <c r="E57" s="221">
        <f t="shared" si="2"/>
        <v>0.50559709935379593</v>
      </c>
      <c r="F57" s="222" t="str">
        <f>'LP Optimization 2'!Y13</f>
        <v>Non</v>
      </c>
      <c r="G57" s="226">
        <f>'LP Optimization 2'!G13</f>
        <v>0</v>
      </c>
      <c r="H57" s="217">
        <f>'LP Optimization 2'!AC13</f>
        <v>0</v>
      </c>
    </row>
    <row r="58" spans="1:8" ht="31.2" x14ac:dyDescent="0.25">
      <c r="A58" s="219" t="str">
        <f>Threats!B13</f>
        <v>Threats to the Information Base</v>
      </c>
      <c r="B58" s="220" t="str">
        <f>Threats!A13</f>
        <v>T13-Un-authorized Access</v>
      </c>
      <c r="C58" s="105">
        <f>'AHP Likelihood Calculation'!AD46</f>
        <v>0.26976623313860026</v>
      </c>
      <c r="D58" s="218">
        <f>'AHP Severity Calculation'!AE47</f>
        <v>6.6001333408927136</v>
      </c>
      <c r="E58" s="221">
        <f t="shared" si="2"/>
        <v>1.7804931095851124</v>
      </c>
      <c r="F58" s="222" t="str">
        <f>'LP Optimization 2'!Y14</f>
        <v>Non</v>
      </c>
      <c r="G58" s="226">
        <f>'LP Optimization 2'!G14</f>
        <v>0</v>
      </c>
      <c r="H58" s="217">
        <f>'LP Optimization 2'!AC14</f>
        <v>0</v>
      </c>
    </row>
    <row r="59" spans="1:8" ht="31.2" x14ac:dyDescent="0.25">
      <c r="A59" s="219" t="str">
        <f>Threats!B14</f>
        <v>Threats to the Information Base</v>
      </c>
      <c r="B59" s="220" t="str">
        <f>Threats!A14</f>
        <v>T14-Virus and Spyware</v>
      </c>
      <c r="C59" s="105">
        <f>'AHP Likelihood Calculation'!AD47</f>
        <v>0.70636436643241918</v>
      </c>
      <c r="D59" s="218">
        <f>'AHP Severity Calculation'!AE48</f>
        <v>8.441538406590734</v>
      </c>
      <c r="E59" s="221">
        <f t="shared" si="2"/>
        <v>5.9628019282863969</v>
      </c>
      <c r="F59" s="222" t="str">
        <f>'LP Optimization 2'!Y15</f>
        <v>Non</v>
      </c>
      <c r="G59" s="226">
        <f>'LP Optimization 2'!G15</f>
        <v>0</v>
      </c>
      <c r="H59" s="217">
        <f>'LP Optimization 2'!AC15</f>
        <v>0</v>
      </c>
    </row>
    <row r="60" spans="1:8" ht="15.6" x14ac:dyDescent="0.25">
      <c r="A60" s="219" t="str">
        <f>Threats!B15</f>
        <v>Threats to Information Leakage</v>
      </c>
      <c r="B60" s="220" t="str">
        <f>Threats!A15</f>
        <v>T15-Hacking</v>
      </c>
      <c r="C60" s="105">
        <f>'AHP Likelihood Calculation'!AD48</f>
        <v>9.5674681970019146E-2</v>
      </c>
      <c r="D60" s="218">
        <f>'AHP Severity Calculation'!AE49</f>
        <v>8.2339380545426568</v>
      </c>
      <c r="E60" s="221">
        <f t="shared" si="2"/>
        <v>0.78777940472920682</v>
      </c>
      <c r="F60" s="222" t="str">
        <f>'LP Optimization 2'!Y16</f>
        <v>Non</v>
      </c>
      <c r="G60" s="226">
        <f>'LP Optimization 2'!G16</f>
        <v>0</v>
      </c>
      <c r="H60" s="217">
        <f>'LP Optimization 2'!AC16</f>
        <v>0</v>
      </c>
    </row>
    <row r="61" spans="1:8" ht="15.6" x14ac:dyDescent="0.25">
      <c r="A61" s="219" t="str">
        <f>Threats!B16</f>
        <v>Threats to Information Leakage</v>
      </c>
      <c r="B61" s="220" t="str">
        <f>Threats!A16</f>
        <v>T16-Media Leakage</v>
      </c>
      <c r="C61" s="105">
        <f>'AHP Likelihood Calculation'!AD49</f>
        <v>5.8604824167280453E-2</v>
      </c>
      <c r="D61" s="218">
        <f>'AHP Severity Calculation'!AE50</f>
        <v>8.3977019664680004</v>
      </c>
      <c r="E61" s="221">
        <f t="shared" si="2"/>
        <v>0.49214584715408244</v>
      </c>
      <c r="F61" s="222" t="str">
        <f>'LP Optimization 2'!Y17</f>
        <v>Non</v>
      </c>
      <c r="G61" s="226">
        <f>'LP Optimization 2'!G17</f>
        <v>0</v>
      </c>
      <c r="H61" s="217">
        <f>'LP Optimization 2'!AC17</f>
        <v>0</v>
      </c>
    </row>
    <row r="62" spans="1:8" ht="46.8" x14ac:dyDescent="0.25">
      <c r="A62" s="219" t="str">
        <f>Threats!B17</f>
        <v>Threats to Information Leakage</v>
      </c>
      <c r="B62" s="220" t="str">
        <f>Threats!A17</f>
        <v>T17-Communication Preventers(Botnet, Dialer)</v>
      </c>
      <c r="C62" s="105">
        <f>'AHP Likelihood Calculation'!AD50</f>
        <v>0.27124323692319202</v>
      </c>
      <c r="D62" s="218">
        <f>'AHP Severity Calculation'!AE51</f>
        <v>8.4413389011697877</v>
      </c>
      <c r="E62" s="221">
        <f t="shared" si="2"/>
        <v>2.2896560875189542</v>
      </c>
      <c r="F62" s="222" t="str">
        <f>'LP Optimization 2'!Y18</f>
        <v>Non</v>
      </c>
      <c r="G62" s="226">
        <f>'LP Optimization 2'!G18</f>
        <v>0</v>
      </c>
      <c r="H62" s="217">
        <f>'LP Optimization 2'!AC18</f>
        <v>0</v>
      </c>
    </row>
    <row r="63" spans="1:8" ht="31.2" x14ac:dyDescent="0.25">
      <c r="A63" s="219" t="str">
        <f>Threats!B18</f>
        <v>Threats to Information Leakage</v>
      </c>
      <c r="B63" s="220" t="str">
        <f>Threats!A18</f>
        <v>T18-Authentication Threats</v>
      </c>
      <c r="C63" s="105">
        <f>'AHP Likelihood Calculation'!AD51</f>
        <v>0.58184563157288882</v>
      </c>
      <c r="D63" s="218">
        <f>'AHP Severity Calculation'!AE52</f>
        <v>8.2991718636394793</v>
      </c>
      <c r="E63" s="221">
        <f t="shared" si="2"/>
        <v>4.8288368945312614</v>
      </c>
      <c r="F63" s="222" t="str">
        <f>'LP Optimization 2'!Y19</f>
        <v>P16-Pretty Good Privacy</v>
      </c>
      <c r="G63" s="226">
        <f>'LP Optimization 2'!G19</f>
        <v>6.0837484844589278E-3</v>
      </c>
      <c r="H63" s="217">
        <f>'LP Optimization 2'!AC19</f>
        <v>15000</v>
      </c>
    </row>
    <row r="64" spans="1:8" ht="31.2" x14ac:dyDescent="0.25">
      <c r="A64" s="219" t="str">
        <f>Threats!B19</f>
        <v>Threats to Information Leakage</v>
      </c>
      <c r="B64" s="220" t="str">
        <f>Threats!A19</f>
        <v>T19-Non Repudiation Threats</v>
      </c>
      <c r="C64" s="105">
        <f>'AHP Likelihood Calculation'!AD52</f>
        <v>0.28643382192337691</v>
      </c>
      <c r="D64" s="218">
        <f>'AHP Severity Calculation'!AE53</f>
        <v>8.0690371763924471</v>
      </c>
      <c r="E64" s="221">
        <f t="shared" si="2"/>
        <v>2.3112451576759021</v>
      </c>
      <c r="F64" s="222" t="str">
        <f>'LP Optimization 2'!Y20</f>
        <v>P20-Turn off AutoRun</v>
      </c>
      <c r="G64" s="226">
        <f>'LP Optimization 2'!G20</f>
        <v>5.4643304358883886E-3</v>
      </c>
      <c r="H64" s="217">
        <f>'LP Optimization 2'!AC20</f>
        <v>0</v>
      </c>
    </row>
    <row r="65" spans="1:8" ht="31.2" x14ac:dyDescent="0.25">
      <c r="A65" s="219" t="str">
        <f>Threats!B20</f>
        <v>Threats to Information Leakage</v>
      </c>
      <c r="B65" s="220" t="str">
        <f>Threats!A20</f>
        <v>T20-Separation of Duties</v>
      </c>
      <c r="C65" s="105">
        <f>'AHP Likelihood Calculation'!AD53</f>
        <v>0.3317214128842092</v>
      </c>
      <c r="D65" s="218">
        <f>'AHP Severity Calculation'!AE54</f>
        <v>8.4836205519710202</v>
      </c>
      <c r="E65" s="221">
        <f t="shared" si="2"/>
        <v>2.8141985958733415</v>
      </c>
      <c r="F65" s="222" t="str">
        <f>'LP Optimization 2'!Y21</f>
        <v>Non</v>
      </c>
      <c r="G65" s="226">
        <f>'LP Optimization 2'!G21</f>
        <v>0</v>
      </c>
      <c r="H65" s="217">
        <f>'LP Optimization 2'!AC21</f>
        <v>0</v>
      </c>
    </row>
    <row r="66" spans="1:8" ht="31.2" x14ac:dyDescent="0.25">
      <c r="A66" s="219" t="str">
        <f>Threats!B21</f>
        <v>Threats to Information Leakage</v>
      </c>
      <c r="B66" s="220" t="str">
        <f>Threats!A21</f>
        <v>T21-Configuration Threats</v>
      </c>
      <c r="C66" s="105">
        <f>'AHP Likelihood Calculation'!AD54</f>
        <v>0.38319826966022075</v>
      </c>
      <c r="D66" s="218">
        <f>'AHP Severity Calculation'!AE55</f>
        <v>8.4535334730043985</v>
      </c>
      <c r="E66" s="221">
        <f t="shared" si="2"/>
        <v>3.2393793993700419</v>
      </c>
      <c r="F66" s="222" t="str">
        <f>'LP Optimization 2'!Y22</f>
        <v>Non</v>
      </c>
      <c r="G66" s="226">
        <f>'LP Optimization 2'!G22</f>
        <v>0</v>
      </c>
      <c r="H66" s="217">
        <f>'LP Optimization 2'!AC22</f>
        <v>0</v>
      </c>
    </row>
    <row r="67" spans="1:8" ht="31.2" x14ac:dyDescent="0.25">
      <c r="A67" s="219" t="str">
        <f>Threats!B22</f>
        <v>Threats to Information Leakage</v>
      </c>
      <c r="B67" s="220" t="str">
        <f>Threats!A22</f>
        <v>T22- Communications Threats</v>
      </c>
      <c r="C67" s="105">
        <f>'AHP Likelihood Calculation'!AD55</f>
        <v>0.29315402277471436</v>
      </c>
      <c r="D67" s="218">
        <f>'AHP Severity Calculation'!AE56</f>
        <v>0</v>
      </c>
      <c r="E67" s="221">
        <f t="shared" si="2"/>
        <v>0</v>
      </c>
      <c r="F67" s="222" t="str">
        <f>'LP Optimization 2'!Y23</f>
        <v>Non</v>
      </c>
      <c r="G67" s="226">
        <f>'LP Optimization 2'!G23</f>
        <v>0</v>
      </c>
      <c r="H67" s="217">
        <f>'LP Optimization 2'!AC23</f>
        <v>0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D23"/>
  <sheetViews>
    <sheetView zoomScale="55" zoomScaleNormal="55" workbookViewId="0">
      <selection activeCell="D2" sqref="D2"/>
    </sheetView>
  </sheetViews>
  <sheetFormatPr defaultRowHeight="13.2" x14ac:dyDescent="0.25"/>
  <cols>
    <col min="1" max="1" width="23.6640625" customWidth="1"/>
    <col min="3" max="3" width="11" customWidth="1"/>
    <col min="4" max="4" width="12.88671875" customWidth="1"/>
  </cols>
  <sheetData>
    <row r="1" spans="1:4" ht="37.950000000000003" customHeight="1" x14ac:dyDescent="0.3">
      <c r="A1" s="227" t="s">
        <v>304</v>
      </c>
      <c r="B1" s="227" t="s">
        <v>106</v>
      </c>
      <c r="C1" s="227" t="s">
        <v>308</v>
      </c>
      <c r="D1" s="227" t="s">
        <v>309</v>
      </c>
    </row>
    <row r="2" spans="1:4" ht="26.4" x14ac:dyDescent="0.25">
      <c r="A2" s="228" t="str">
        <f>'Summary 1'!A2</f>
        <v>Threats to The Level of Service</v>
      </c>
      <c r="B2" s="229" t="str">
        <f>'Summary 1'!B2</f>
        <v>T1-Power Loss</v>
      </c>
      <c r="C2" s="229">
        <v>7.73543776845578</v>
      </c>
      <c r="D2" s="229">
        <v>4000</v>
      </c>
    </row>
    <row r="3" spans="1:4" ht="26.4" x14ac:dyDescent="0.25">
      <c r="A3" s="228" t="str">
        <f>'Summary 1'!A3</f>
        <v>Threats to The Level of Service</v>
      </c>
      <c r="B3" s="229" t="str">
        <f>'Summary 1'!B3</f>
        <v>T2-Hardware Failure</v>
      </c>
      <c r="C3" s="229">
        <v>0.66340848527728324</v>
      </c>
      <c r="D3" s="229">
        <v>50000</v>
      </c>
    </row>
    <row r="4" spans="1:4" ht="26.4" x14ac:dyDescent="0.25">
      <c r="A4" s="228" t="str">
        <f>'Summary 1'!A4</f>
        <v>Threats to The Level of Service</v>
      </c>
      <c r="B4" s="229" t="str">
        <f>'Summary 1'!B4</f>
        <v>T3-Software Crash</v>
      </c>
      <c r="C4" s="229">
        <v>2.7089505146929236</v>
      </c>
      <c r="D4" s="229">
        <v>15000</v>
      </c>
    </row>
    <row r="5" spans="1:4" ht="26.4" x14ac:dyDescent="0.25">
      <c r="A5" s="228" t="str">
        <f>'Summary 1'!A5</f>
        <v>Threats to The Level of Service</v>
      </c>
      <c r="B5" s="229" t="str">
        <f>'Summary 1'!B5</f>
        <v>T4-Operator Errors</v>
      </c>
      <c r="C5" s="229">
        <v>2.3350803482610685</v>
      </c>
      <c r="D5" s="229">
        <v>36000</v>
      </c>
    </row>
    <row r="6" spans="1:4" ht="26.4" x14ac:dyDescent="0.25">
      <c r="A6" s="228" t="str">
        <f>'Summary 1'!A6</f>
        <v>Threats to The Level of Service</v>
      </c>
      <c r="B6" s="229" t="str">
        <f>'Summary 1'!B6</f>
        <v>T5-Malicious Inside Action</v>
      </c>
      <c r="C6" s="229">
        <v>1.4538800097562103</v>
      </c>
      <c r="D6" s="229">
        <v>0</v>
      </c>
    </row>
    <row r="7" spans="1:4" ht="26.4" x14ac:dyDescent="0.25">
      <c r="A7" s="228" t="str">
        <f>'Summary 1'!A7</f>
        <v>Threats to The Level of Service</v>
      </c>
      <c r="B7" s="229" t="str">
        <f>'Summary 1'!B7</f>
        <v>T6-Trojan and Worms</v>
      </c>
      <c r="C7" s="229">
        <v>3.7926307373683326</v>
      </c>
      <c r="D7" s="229">
        <v>0</v>
      </c>
    </row>
    <row r="8" spans="1:4" ht="26.4" x14ac:dyDescent="0.25">
      <c r="A8" s="228" t="str">
        <f>'Summary 1'!A8</f>
        <v>Threats to The Level of Service</v>
      </c>
      <c r="B8" s="229" t="str">
        <f>'Summary 1'!B8</f>
        <v>T7-Fire</v>
      </c>
      <c r="C8" s="229">
        <v>0.60950505527009424</v>
      </c>
      <c r="D8" s="229">
        <v>10500</v>
      </c>
    </row>
    <row r="9" spans="1:4" ht="26.4" x14ac:dyDescent="0.25">
      <c r="A9" s="228" t="str">
        <f>'Summary 1'!A9</f>
        <v>Threats to The Level of Service</v>
      </c>
      <c r="B9" s="229" t="str">
        <f>'Summary 1'!B9</f>
        <v>T8-Other Enviromental Disasters</v>
      </c>
      <c r="C9" s="229">
        <v>0.43810510980520767</v>
      </c>
      <c r="D9" s="229">
        <v>10500</v>
      </c>
    </row>
    <row r="10" spans="1:4" ht="26.4" x14ac:dyDescent="0.25">
      <c r="A10" s="228" t="str">
        <f>'Summary 1'!A10</f>
        <v>Threats to The Level of Service</v>
      </c>
      <c r="B10" s="229" t="str">
        <f>'Summary 1'!B10</f>
        <v>T9-Availability Threats(DDOS)</v>
      </c>
      <c r="C10" s="229">
        <v>0.45899320313315861</v>
      </c>
      <c r="D10" s="229">
        <v>17000</v>
      </c>
    </row>
    <row r="11" spans="1:4" ht="26.4" x14ac:dyDescent="0.25">
      <c r="A11" s="228" t="str">
        <f>'Summary 1'!A11</f>
        <v>Threats to the Information Base</v>
      </c>
      <c r="B11" s="229" t="str">
        <f>'Summary 1'!B11</f>
        <v>T10-Disk Failure</v>
      </c>
      <c r="C11" s="229">
        <v>1.6467076383055814</v>
      </c>
      <c r="D11" s="229">
        <v>3000</v>
      </c>
    </row>
    <row r="12" spans="1:4" ht="26.4" x14ac:dyDescent="0.25">
      <c r="A12" s="228" t="str">
        <f>'Summary 1'!A12</f>
        <v>Threats to the Information Base</v>
      </c>
      <c r="B12" s="229" t="str">
        <f>'Summary 1'!B12</f>
        <v>T11-Data Corruption</v>
      </c>
      <c r="C12" s="229">
        <v>1.6942514606368211</v>
      </c>
      <c r="D12" s="229">
        <v>6250</v>
      </c>
    </row>
    <row r="13" spans="1:4" ht="26.4" x14ac:dyDescent="0.25">
      <c r="A13" s="228" t="str">
        <f>'Summary 1'!A13</f>
        <v>Threats to the Information Base</v>
      </c>
      <c r="B13" s="229" t="str">
        <f>'Summary 1'!B13</f>
        <v>T12-Inaccurrate Data</v>
      </c>
      <c r="C13" s="229">
        <v>1.5167912980613878</v>
      </c>
      <c r="D13" s="229">
        <v>3200</v>
      </c>
    </row>
    <row r="14" spans="1:4" ht="26.4" x14ac:dyDescent="0.25">
      <c r="A14" s="228" t="str">
        <f>'Summary 1'!A14</f>
        <v>Threats to the Information Base</v>
      </c>
      <c r="B14" s="229" t="str">
        <f>'Summary 1'!B14</f>
        <v>T13-Un-authorized Access</v>
      </c>
      <c r="C14" s="229">
        <v>5.3414793287553373</v>
      </c>
      <c r="D14" s="229">
        <v>10000</v>
      </c>
    </row>
    <row r="15" spans="1:4" ht="26.4" x14ac:dyDescent="0.25">
      <c r="A15" s="228" t="str">
        <f>'Summary 1'!A15</f>
        <v>Threats to the Information Base</v>
      </c>
      <c r="B15" s="229" t="str">
        <f>'Summary 1'!B15</f>
        <v>T14-Virus and Spyware</v>
      </c>
      <c r="C15" s="229">
        <v>17.888405784859192</v>
      </c>
      <c r="D15" s="229">
        <v>6250</v>
      </c>
    </row>
    <row r="16" spans="1:4" ht="26.4" x14ac:dyDescent="0.25">
      <c r="A16" s="228" t="str">
        <f>'Summary 1'!A16</f>
        <v>Threats to Information Leakage</v>
      </c>
      <c r="B16" s="229" t="str">
        <f>'Summary 1'!B16</f>
        <v>T15-Hacking</v>
      </c>
      <c r="C16" s="229">
        <v>2.3633382141876202</v>
      </c>
      <c r="D16" s="229">
        <v>10000</v>
      </c>
    </row>
    <row r="17" spans="1:4" ht="26.4" x14ac:dyDescent="0.25">
      <c r="A17" s="228" t="str">
        <f>'Summary 1'!A17</f>
        <v>Threats to Information Leakage</v>
      </c>
      <c r="B17" s="229" t="str">
        <f>'Summary 1'!B17</f>
        <v>T16-Media Leakage</v>
      </c>
      <c r="C17" s="229">
        <v>1.4764375414622473</v>
      </c>
      <c r="D17" s="229">
        <v>500</v>
      </c>
    </row>
    <row r="18" spans="1:4" ht="26.4" x14ac:dyDescent="0.25">
      <c r="A18" s="228" t="str">
        <f>'Summary 1'!A18</f>
        <v>Threats to Information Leakage</v>
      </c>
      <c r="B18" s="229" t="str">
        <f>'Summary 1'!B18</f>
        <v>T17-Communication Preventers(Botnet, Dialer)</v>
      </c>
      <c r="C18" s="229">
        <v>6.8689682625568622</v>
      </c>
      <c r="D18" s="229">
        <v>15000</v>
      </c>
    </row>
    <row r="19" spans="1:4" ht="26.4" x14ac:dyDescent="0.25">
      <c r="A19" s="228" t="str">
        <f>'Summary 1'!A19</f>
        <v>Threats to Information Leakage</v>
      </c>
      <c r="B19" s="229" t="str">
        <f>'Summary 1'!B19</f>
        <v>T18-Authentication Threats</v>
      </c>
      <c r="C19" s="229">
        <v>14.486510683593785</v>
      </c>
      <c r="D19" s="229">
        <v>27500</v>
      </c>
    </row>
    <row r="20" spans="1:4" ht="26.4" x14ac:dyDescent="0.25">
      <c r="A20" s="228" t="str">
        <f>'Summary 1'!A20</f>
        <v>Threats to Information Leakage</v>
      </c>
      <c r="B20" s="229" t="str">
        <f>'Summary 1'!B20</f>
        <v>T19-Non Repudiation Threats</v>
      </c>
      <c r="C20" s="229">
        <v>6.9337354730277063</v>
      </c>
      <c r="D20" s="229">
        <v>10000</v>
      </c>
    </row>
    <row r="21" spans="1:4" ht="26.4" x14ac:dyDescent="0.25">
      <c r="A21" s="228" t="str">
        <f>'Summary 1'!A21</f>
        <v>Threats to Information Leakage</v>
      </c>
      <c r="B21" s="229" t="str">
        <f>'Summary 1'!B21</f>
        <v>T20-Separation of Duties</v>
      </c>
      <c r="C21" s="229">
        <v>8.442595787620025</v>
      </c>
      <c r="D21" s="229">
        <v>10000</v>
      </c>
    </row>
    <row r="22" spans="1:4" ht="26.4" x14ac:dyDescent="0.25">
      <c r="A22" s="228" t="str">
        <f>'Summary 1'!A22</f>
        <v>Threats to Information Leakage</v>
      </c>
      <c r="B22" s="229" t="str">
        <f>'Summary 1'!B22</f>
        <v>T21-Configuration Threats</v>
      </c>
      <c r="C22" s="229">
        <v>9.7181381981101254</v>
      </c>
      <c r="D22" s="229">
        <v>10000</v>
      </c>
    </row>
    <row r="23" spans="1:4" ht="26.4" x14ac:dyDescent="0.25">
      <c r="A23" s="228" t="str">
        <f>'Summary 1'!A23</f>
        <v>Threats to Information Leakage</v>
      </c>
      <c r="B23" s="229" t="str">
        <f>'Summary 1'!B23</f>
        <v>T22- Communications Threats</v>
      </c>
      <c r="C23" s="229">
        <v>0</v>
      </c>
      <c r="D23" s="229">
        <v>16000</v>
      </c>
    </row>
  </sheetData>
  <pageMargins left="0.7" right="0.7" top="0.75" bottom="0.75" header="0.3" footer="0.3"/>
  <pageSetup orientation="portrait" horizontalDpi="4294967293" vertic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C34"/>
  <sheetViews>
    <sheetView zoomScale="70" zoomScaleNormal="70" workbookViewId="0">
      <selection activeCell="D37" sqref="D37"/>
    </sheetView>
  </sheetViews>
  <sheetFormatPr defaultRowHeight="13.2" x14ac:dyDescent="0.25"/>
  <cols>
    <col min="1" max="1" width="57.5546875" bestFit="1" customWidth="1"/>
    <col min="2" max="2" width="19.33203125" customWidth="1"/>
    <col min="3" max="3" width="23.33203125" customWidth="1"/>
  </cols>
  <sheetData>
    <row r="1" spans="1:3" ht="43.2" x14ac:dyDescent="0.3">
      <c r="A1" s="230" t="s">
        <v>305</v>
      </c>
      <c r="B1" s="227" t="s">
        <v>321</v>
      </c>
      <c r="C1" s="227" t="s">
        <v>309</v>
      </c>
    </row>
    <row r="2" spans="1:3" x14ac:dyDescent="0.25">
      <c r="A2" s="229" t="str">
        <f>Precautions!A1</f>
        <v>P1-Install USB</v>
      </c>
      <c r="B2" s="335">
        <v>1.0681703604114981E-2</v>
      </c>
      <c r="C2" s="229">
        <v>4000</v>
      </c>
    </row>
    <row r="3" spans="1:3" x14ac:dyDescent="0.25">
      <c r="A3" s="229" t="str">
        <f>Precautions!A2</f>
        <v>P2-Replicate Servers</v>
      </c>
      <c r="B3" s="335">
        <v>1.352450237439456E-2</v>
      </c>
      <c r="C3" s="229">
        <v>50000</v>
      </c>
    </row>
    <row r="4" spans="1:3" x14ac:dyDescent="0.25">
      <c r="A4" s="229" t="str">
        <f>Precautions!A3</f>
        <v>P3-Add validation to forms</v>
      </c>
      <c r="B4" s="335">
        <v>0</v>
      </c>
      <c r="C4" s="229">
        <v>0</v>
      </c>
    </row>
    <row r="5" spans="1:3" x14ac:dyDescent="0.25">
      <c r="A5" s="229" t="str">
        <f>Precautions!A4</f>
        <v>P4-Education and Assessment of Security Personal</v>
      </c>
      <c r="B5" s="335">
        <v>6.2378403220160559E-3</v>
      </c>
      <c r="C5" s="229">
        <v>36000</v>
      </c>
    </row>
    <row r="6" spans="1:3" x14ac:dyDescent="0.25">
      <c r="A6" s="229" t="str">
        <f>Precautions!A5</f>
        <v>P5-Functional Isolation</v>
      </c>
      <c r="B6" s="335">
        <v>7.2007311086486068E-3</v>
      </c>
      <c r="C6" s="229">
        <v>0</v>
      </c>
    </row>
    <row r="7" spans="1:3" x14ac:dyDescent="0.25">
      <c r="A7" s="229" t="str">
        <f>Precautions!A6</f>
        <v>P6-AntiVirus</v>
      </c>
      <c r="B7" s="335">
        <v>4.9653878896718781E-2</v>
      </c>
      <c r="C7" s="229">
        <v>7500</v>
      </c>
    </row>
    <row r="8" spans="1:3" x14ac:dyDescent="0.25">
      <c r="A8" s="229" t="str">
        <f>Precautions!A7</f>
        <v>P7-Anti spam</v>
      </c>
      <c r="B8" s="335">
        <v>4.8027633540151521E-2</v>
      </c>
      <c r="C8" s="229">
        <v>5000</v>
      </c>
    </row>
    <row r="9" spans="1:3" x14ac:dyDescent="0.25">
      <c r="A9" s="229" t="str">
        <f>Precautions!A8</f>
        <v>P8-Disaster Recovery on Cloud</v>
      </c>
      <c r="B9" s="335">
        <v>1.1819565836424458E-2</v>
      </c>
      <c r="C9" s="229">
        <v>12000</v>
      </c>
    </row>
    <row r="10" spans="1:3" x14ac:dyDescent="0.25">
      <c r="A10" s="229" t="str">
        <f>Precautions!A9</f>
        <v>P9-FHM System</v>
      </c>
      <c r="B10" s="335">
        <v>1.3374527091264125E-2</v>
      </c>
      <c r="C10" s="229">
        <v>9000</v>
      </c>
    </row>
    <row r="11" spans="1:3" x14ac:dyDescent="0.25">
      <c r="A11" s="229" t="str">
        <f>Precautions!A10</f>
        <v>P10-Increase Bandwidth</v>
      </c>
      <c r="B11" s="335">
        <v>1.7221380389182439E-3</v>
      </c>
      <c r="C11" s="229">
        <v>6000</v>
      </c>
    </row>
    <row r="12" spans="1:3" x14ac:dyDescent="0.25">
      <c r="A12" s="229" t="str">
        <f>Precautions!A11</f>
        <v>P11-Bandwidth throttling techniques</v>
      </c>
      <c r="B12" s="335">
        <v>0</v>
      </c>
      <c r="C12" s="229">
        <v>0</v>
      </c>
    </row>
    <row r="13" spans="1:3" x14ac:dyDescent="0.25">
      <c r="A13" s="229" t="str">
        <f>Precautions!A12</f>
        <v>P12-Traffic Management</v>
      </c>
      <c r="B13" s="335">
        <v>2.1526725486478047E-3</v>
      </c>
      <c r="C13" s="229">
        <v>5000</v>
      </c>
    </row>
    <row r="14" spans="1:3" x14ac:dyDescent="0.25">
      <c r="A14" s="229" t="str">
        <f>Precautions!A13</f>
        <v>P13-Backup Tapes</v>
      </c>
      <c r="B14" s="335">
        <v>8.4769337159762096E-3</v>
      </c>
      <c r="C14" s="229">
        <v>3000</v>
      </c>
    </row>
    <row r="15" spans="1:3" x14ac:dyDescent="0.25">
      <c r="A15" s="229" t="str">
        <f>Precautions!A14</f>
        <v>P14-Firewall</v>
      </c>
      <c r="B15" s="335">
        <v>1.985649073847557E-2</v>
      </c>
      <c r="C15" s="229">
        <v>8000</v>
      </c>
    </row>
    <row r="16" spans="1:3" x14ac:dyDescent="0.25">
      <c r="A16" s="229" t="str">
        <f>Precautions!A15</f>
        <v>P15-Improvement in Data Distribution and Data Governance Policies</v>
      </c>
      <c r="B16" s="335">
        <v>0</v>
      </c>
      <c r="C16" s="229">
        <v>0</v>
      </c>
    </row>
    <row r="17" spans="1:3" x14ac:dyDescent="0.25">
      <c r="A17" s="229" t="str">
        <f>Precautions!A16</f>
        <v>P16-Pretty Good Privacy</v>
      </c>
      <c r="B17" s="335">
        <v>6.0837484844589278E-3</v>
      </c>
      <c r="C17" s="229">
        <v>15000</v>
      </c>
    </row>
    <row r="18" spans="1:3" x14ac:dyDescent="0.25">
      <c r="A18" s="229" t="str">
        <f>Precautions!A17</f>
        <v>P17-Strong passwords</v>
      </c>
      <c r="B18" s="335">
        <v>0</v>
      </c>
      <c r="C18" s="229">
        <v>0</v>
      </c>
    </row>
    <row r="19" spans="1:3" x14ac:dyDescent="0.25">
      <c r="A19" s="229" t="str">
        <f>Precautions!A18</f>
        <v>P18-Regular software patches</v>
      </c>
      <c r="B19" s="335">
        <v>0</v>
      </c>
      <c r="C19" s="229">
        <v>0</v>
      </c>
    </row>
    <row r="20" spans="1:3" x14ac:dyDescent="0.25">
      <c r="A20" s="229" t="str">
        <f>Precautions!A19</f>
        <v>P19-Use of 64 bit OS</v>
      </c>
      <c r="B20" s="335">
        <v>0</v>
      </c>
      <c r="C20" s="229">
        <v>0</v>
      </c>
    </row>
    <row r="21" spans="1:3" x14ac:dyDescent="0.25">
      <c r="A21" s="229" t="str">
        <f>Precautions!A20</f>
        <v>P20-Turnoff Auto-Run</v>
      </c>
      <c r="B21" s="335">
        <v>0</v>
      </c>
      <c r="C21" s="229">
        <v>0</v>
      </c>
    </row>
    <row r="22" spans="1:3" x14ac:dyDescent="0.25">
      <c r="A22" s="229" t="str">
        <f>Precautions!A21</f>
        <v>P21-Load – Un-Load Drivers</v>
      </c>
      <c r="B22" s="335">
        <v>0</v>
      </c>
      <c r="C22" s="229">
        <v>0</v>
      </c>
    </row>
    <row r="23" spans="1:3" x14ac:dyDescent="0.25">
      <c r="A23" s="229" t="str">
        <f>Precautions!A22</f>
        <v>P22-Increase Physical Security</v>
      </c>
      <c r="B23" s="335">
        <v>6.7252599542565279E-3</v>
      </c>
      <c r="C23" s="229">
        <v>500</v>
      </c>
    </row>
    <row r="24" spans="1:3" x14ac:dyDescent="0.25">
      <c r="A24" s="229" t="str">
        <f>Precautions!A23</f>
        <v>P23-Service level software agreement, PAAS</v>
      </c>
      <c r="B24" s="335">
        <v>0</v>
      </c>
      <c r="C24" s="229">
        <v>0</v>
      </c>
    </row>
    <row r="25" spans="1:3" x14ac:dyDescent="0.25">
      <c r="A25" s="229" t="str">
        <f>Precautions!A24</f>
        <v>P24-Auditing</v>
      </c>
      <c r="B25" s="335">
        <v>4.3743790693158049E-2</v>
      </c>
      <c r="C25" s="229">
        <v>20000</v>
      </c>
    </row>
    <row r="26" spans="1:3" x14ac:dyDescent="0.25">
      <c r="A26" s="229" t="str">
        <f>Precautions!A25</f>
        <v>P25-Pre-employment screening</v>
      </c>
      <c r="B26" s="335">
        <v>0</v>
      </c>
      <c r="C26" s="229">
        <v>0</v>
      </c>
    </row>
    <row r="27" spans="1:3" x14ac:dyDescent="0.25">
      <c r="A27" s="229" t="str">
        <f>Precautions!A26</f>
        <v>P26-Mandatory vacations</v>
      </c>
      <c r="B27" s="335">
        <v>4.8004874057657387E-3</v>
      </c>
      <c r="C27" s="229">
        <v>0</v>
      </c>
    </row>
    <row r="28" spans="1:3" x14ac:dyDescent="0.25">
      <c r="A28" s="229" t="str">
        <f>Precautions!A27</f>
        <v>P27-Identity and Access Management (IAM) Systems</v>
      </c>
      <c r="B28" s="335">
        <v>0</v>
      </c>
      <c r="C28" s="229">
        <v>0</v>
      </c>
    </row>
    <row r="29" spans="1:3" x14ac:dyDescent="0.25">
      <c r="A29" s="229" t="str">
        <f>Precautions!A28</f>
        <v>P28-Encryption Solutions</v>
      </c>
      <c r="B29" s="335">
        <v>0</v>
      </c>
      <c r="C29" s="229">
        <v>0</v>
      </c>
    </row>
    <row r="30" spans="1:3" x14ac:dyDescent="0.25">
      <c r="A30" s="229" t="str">
        <f>Precautions!A29</f>
        <v>P29-Intrusion Detection and Prevention Systems</v>
      </c>
      <c r="B30" s="335">
        <v>0</v>
      </c>
      <c r="C30" s="229">
        <v>0</v>
      </c>
    </row>
    <row r="31" spans="1:3" x14ac:dyDescent="0.25">
      <c r="A31" s="229" t="str">
        <f>Precautions!A30</f>
        <v>P30-Digital Signatures</v>
      </c>
      <c r="B31" s="335">
        <v>2.4334993937835739E-2</v>
      </c>
      <c r="C31" s="229">
        <v>7500</v>
      </c>
    </row>
    <row r="32" spans="1:3" x14ac:dyDescent="0.25">
      <c r="A32" s="229" t="str">
        <f>Precautions!A31</f>
        <v>P31-Trusted Communication Channels</v>
      </c>
      <c r="B32" s="335">
        <v>1.3057875172102834E-2</v>
      </c>
      <c r="C32" s="229">
        <v>10000</v>
      </c>
    </row>
    <row r="33" spans="1:3" x14ac:dyDescent="0.25">
      <c r="A33" s="229" t="str">
        <f>Precautions!A32</f>
        <v>P32-Integrity Check</v>
      </c>
      <c r="B33" s="335">
        <v>1.731758220238995E-2</v>
      </c>
      <c r="C33" s="229">
        <v>1000</v>
      </c>
    </row>
    <row r="34" spans="1:3" x14ac:dyDescent="0.25">
      <c r="A34" s="229" t="str">
        <f>Precautions!A33</f>
        <v>P33-Limit Transfer of Executables</v>
      </c>
      <c r="B34" s="335">
        <v>1.0655378999923559E-2</v>
      </c>
      <c r="C34" s="229">
        <v>0</v>
      </c>
    </row>
  </sheetData>
  <pageMargins left="0.7" right="0.7" top="0.75" bottom="0.75" header="0.3" footer="0.3"/>
  <pageSetup orientation="portrait" horizontalDpi="4294967293" verticalDpi="429496729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K2:N38"/>
  <sheetViews>
    <sheetView topLeftCell="C1" zoomScale="115" zoomScaleNormal="115" workbookViewId="0">
      <selection activeCell="N38" sqref="K2:N38"/>
    </sheetView>
  </sheetViews>
  <sheetFormatPr defaultRowHeight="13.2" x14ac:dyDescent="0.25"/>
  <cols>
    <col min="10" max="10" width="9.5546875" customWidth="1"/>
    <col min="11" max="11" width="26.33203125" customWidth="1"/>
    <col min="12" max="12" width="31.109375" customWidth="1"/>
    <col min="13" max="13" width="25.6640625" customWidth="1"/>
  </cols>
  <sheetData>
    <row r="2" spans="11:14" x14ac:dyDescent="0.25">
      <c r="K2" s="416" t="s">
        <v>107</v>
      </c>
      <c r="L2" s="306" t="s">
        <v>9</v>
      </c>
      <c r="M2" s="306" t="s">
        <v>9</v>
      </c>
      <c r="N2" s="305" t="s">
        <v>10</v>
      </c>
    </row>
    <row r="3" spans="11:14" x14ac:dyDescent="0.25">
      <c r="K3" s="416"/>
      <c r="L3" s="306" t="s">
        <v>12</v>
      </c>
      <c r="M3" s="306" t="s">
        <v>12</v>
      </c>
      <c r="N3" s="305" t="s">
        <v>13</v>
      </c>
    </row>
    <row r="4" spans="11:14" x14ac:dyDescent="0.25">
      <c r="K4" s="416"/>
      <c r="L4" s="306" t="s">
        <v>15</v>
      </c>
      <c r="M4" s="306" t="s">
        <v>15</v>
      </c>
      <c r="N4" s="305" t="s">
        <v>16</v>
      </c>
    </row>
    <row r="5" spans="11:14" x14ac:dyDescent="0.25">
      <c r="K5" s="416"/>
      <c r="L5" s="306" t="s">
        <v>18</v>
      </c>
      <c r="M5" s="416" t="s">
        <v>17</v>
      </c>
      <c r="N5" s="415" t="s">
        <v>19</v>
      </c>
    </row>
    <row r="6" spans="11:14" x14ac:dyDescent="0.25">
      <c r="K6" s="416"/>
      <c r="L6" s="306" t="s">
        <v>21</v>
      </c>
      <c r="M6" s="416"/>
      <c r="N6" s="415"/>
    </row>
    <row r="7" spans="11:14" x14ac:dyDescent="0.25">
      <c r="K7" s="416"/>
      <c r="L7" s="306" t="s">
        <v>23</v>
      </c>
      <c r="M7" s="416"/>
      <c r="N7" s="415"/>
    </row>
    <row r="8" spans="11:14" x14ac:dyDescent="0.25">
      <c r="K8" s="416"/>
      <c r="L8" s="306" t="s">
        <v>327</v>
      </c>
      <c r="M8" s="416"/>
      <c r="N8" s="415"/>
    </row>
    <row r="9" spans="11:14" x14ac:dyDescent="0.25">
      <c r="K9" s="416"/>
      <c r="L9" s="306"/>
      <c r="M9" s="306" t="s">
        <v>25</v>
      </c>
      <c r="N9" s="305" t="s">
        <v>26</v>
      </c>
    </row>
    <row r="10" spans="11:14" x14ac:dyDescent="0.25">
      <c r="K10" s="416"/>
      <c r="L10" s="306" t="s">
        <v>29</v>
      </c>
      <c r="M10" s="416" t="s">
        <v>328</v>
      </c>
      <c r="N10" s="415" t="s">
        <v>30</v>
      </c>
    </row>
    <row r="11" spans="11:14" x14ac:dyDescent="0.25">
      <c r="K11" s="416"/>
      <c r="L11" s="306" t="s">
        <v>32</v>
      </c>
      <c r="M11" s="416"/>
      <c r="N11" s="415"/>
    </row>
    <row r="12" spans="11:14" x14ac:dyDescent="0.25">
      <c r="K12" s="416"/>
      <c r="L12" s="306" t="s">
        <v>33</v>
      </c>
      <c r="M12" s="416"/>
      <c r="N12" s="415"/>
    </row>
    <row r="13" spans="11:14" x14ac:dyDescent="0.25">
      <c r="K13" s="416"/>
      <c r="L13" s="306"/>
      <c r="M13" s="306" t="s">
        <v>34</v>
      </c>
      <c r="N13" s="305" t="s">
        <v>35</v>
      </c>
    </row>
    <row r="14" spans="11:14" ht="16.2" customHeight="1" x14ac:dyDescent="0.25">
      <c r="K14" s="416"/>
      <c r="L14" s="306" t="s">
        <v>333</v>
      </c>
      <c r="M14" s="416" t="s">
        <v>329</v>
      </c>
      <c r="N14" s="415" t="s">
        <v>43</v>
      </c>
    </row>
    <row r="15" spans="11:14" x14ac:dyDescent="0.25">
      <c r="K15" s="416"/>
      <c r="L15" s="306" t="s">
        <v>38</v>
      </c>
      <c r="M15" s="416"/>
      <c r="N15" s="415"/>
    </row>
    <row r="16" spans="11:14" x14ac:dyDescent="0.25">
      <c r="K16" s="416"/>
      <c r="L16" s="306" t="s">
        <v>39</v>
      </c>
      <c r="M16" s="416"/>
      <c r="N16" s="415"/>
    </row>
    <row r="17" spans="11:14" x14ac:dyDescent="0.25">
      <c r="K17" s="416"/>
      <c r="L17" s="306"/>
      <c r="M17" s="306" t="s">
        <v>330</v>
      </c>
      <c r="N17" s="305" t="s">
        <v>46</v>
      </c>
    </row>
    <row r="18" spans="11:14" x14ac:dyDescent="0.25">
      <c r="K18" s="416" t="s">
        <v>44</v>
      </c>
      <c r="L18" s="306"/>
      <c r="M18" s="306" t="s">
        <v>45</v>
      </c>
      <c r="N18" s="305" t="s">
        <v>48</v>
      </c>
    </row>
    <row r="19" spans="11:14" x14ac:dyDescent="0.25">
      <c r="K19" s="416"/>
      <c r="L19" s="306"/>
      <c r="M19" s="306" t="s">
        <v>47</v>
      </c>
      <c r="N19" s="305" t="s">
        <v>50</v>
      </c>
    </row>
    <row r="20" spans="11:14" x14ac:dyDescent="0.25">
      <c r="K20" s="416"/>
      <c r="L20" s="306"/>
      <c r="M20" s="306" t="s">
        <v>331</v>
      </c>
      <c r="N20" s="305" t="s">
        <v>52</v>
      </c>
    </row>
    <row r="21" spans="11:14" x14ac:dyDescent="0.25">
      <c r="K21" s="416"/>
      <c r="L21" s="306" t="s">
        <v>334</v>
      </c>
      <c r="M21" s="416" t="s">
        <v>338</v>
      </c>
      <c r="N21" s="415" t="s">
        <v>54</v>
      </c>
    </row>
    <row r="22" spans="11:14" ht="15.6" customHeight="1" x14ac:dyDescent="0.25">
      <c r="K22" s="416"/>
      <c r="L22" s="305" t="s">
        <v>335</v>
      </c>
      <c r="M22" s="416"/>
      <c r="N22" s="415"/>
    </row>
    <row r="23" spans="11:14" ht="15.6" customHeight="1" x14ac:dyDescent="0.25">
      <c r="K23" s="416"/>
      <c r="L23" s="305" t="s">
        <v>337</v>
      </c>
      <c r="M23" s="416"/>
      <c r="N23" s="415"/>
    </row>
    <row r="24" spans="11:14" ht="15.6" customHeight="1" x14ac:dyDescent="0.25">
      <c r="K24" s="416"/>
      <c r="L24" s="305" t="s">
        <v>336</v>
      </c>
      <c r="M24" s="416"/>
      <c r="N24" s="415"/>
    </row>
    <row r="25" spans="11:14" x14ac:dyDescent="0.25">
      <c r="K25" s="416"/>
      <c r="L25" s="306"/>
      <c r="M25" s="306" t="s">
        <v>332</v>
      </c>
      <c r="N25" s="305" t="s">
        <v>66</v>
      </c>
    </row>
    <row r="26" spans="11:14" x14ac:dyDescent="0.25">
      <c r="K26" s="416" t="s">
        <v>58</v>
      </c>
      <c r="L26" s="306" t="s">
        <v>65</v>
      </c>
      <c r="M26" s="416" t="s">
        <v>65</v>
      </c>
      <c r="N26" s="415" t="s">
        <v>71</v>
      </c>
    </row>
    <row r="27" spans="11:14" x14ac:dyDescent="0.25">
      <c r="K27" s="416"/>
      <c r="L27" s="306" t="s">
        <v>68</v>
      </c>
      <c r="M27" s="416"/>
      <c r="N27" s="415"/>
    </row>
    <row r="28" spans="11:14" x14ac:dyDescent="0.25">
      <c r="K28" s="416"/>
      <c r="L28" s="306" t="s">
        <v>69</v>
      </c>
      <c r="M28" s="416"/>
      <c r="N28" s="415"/>
    </row>
    <row r="29" spans="11:14" x14ac:dyDescent="0.25">
      <c r="K29" s="416"/>
      <c r="L29" s="306" t="s">
        <v>70</v>
      </c>
      <c r="M29" s="416" t="s">
        <v>70</v>
      </c>
      <c r="N29" s="415" t="s">
        <v>73</v>
      </c>
    </row>
    <row r="30" spans="11:14" x14ac:dyDescent="0.25">
      <c r="K30" s="416"/>
      <c r="L30" s="306" t="s">
        <v>72</v>
      </c>
      <c r="M30" s="416"/>
      <c r="N30" s="415"/>
    </row>
    <row r="31" spans="11:14" x14ac:dyDescent="0.25">
      <c r="K31" s="416"/>
      <c r="L31" s="306" t="s">
        <v>75</v>
      </c>
      <c r="M31" s="416"/>
      <c r="N31" s="415"/>
    </row>
    <row r="32" spans="11:14" ht="13.95" customHeight="1" x14ac:dyDescent="0.25">
      <c r="K32" s="416"/>
      <c r="L32" s="306" t="s">
        <v>77</v>
      </c>
      <c r="M32" s="416" t="s">
        <v>339</v>
      </c>
      <c r="N32" s="415" t="s">
        <v>76</v>
      </c>
    </row>
    <row r="33" spans="11:14" x14ac:dyDescent="0.25">
      <c r="K33" s="416"/>
      <c r="L33" s="306" t="s">
        <v>79</v>
      </c>
      <c r="M33" s="416"/>
      <c r="N33" s="415"/>
    </row>
    <row r="34" spans="11:14" x14ac:dyDescent="0.25">
      <c r="K34" s="416"/>
      <c r="L34" s="306"/>
      <c r="M34" s="306" t="s">
        <v>81</v>
      </c>
      <c r="N34" s="305" t="s">
        <v>78</v>
      </c>
    </row>
    <row r="35" spans="11:14" x14ac:dyDescent="0.25">
      <c r="K35" s="416"/>
      <c r="L35" s="306"/>
      <c r="M35" s="306" t="s">
        <v>83</v>
      </c>
      <c r="N35" s="305" t="s">
        <v>82</v>
      </c>
    </row>
    <row r="36" spans="11:14" x14ac:dyDescent="0.25">
      <c r="K36" s="416"/>
      <c r="L36" s="306"/>
      <c r="M36" s="306" t="s">
        <v>340</v>
      </c>
      <c r="N36" s="305" t="s">
        <v>84</v>
      </c>
    </row>
    <row r="37" spans="11:14" x14ac:dyDescent="0.25">
      <c r="K37" s="416"/>
      <c r="L37" s="306"/>
      <c r="M37" s="306" t="s">
        <v>87</v>
      </c>
      <c r="N37" s="305" t="s">
        <v>86</v>
      </c>
    </row>
    <row r="38" spans="11:14" x14ac:dyDescent="0.25">
      <c r="K38" s="416"/>
      <c r="L38" s="306"/>
      <c r="M38" s="306" t="s">
        <v>341</v>
      </c>
      <c r="N38" s="305" t="s">
        <v>88</v>
      </c>
    </row>
  </sheetData>
  <mergeCells count="17">
    <mergeCell ref="M10:M12"/>
    <mergeCell ref="N10:N12"/>
    <mergeCell ref="M14:M16"/>
    <mergeCell ref="N14:N16"/>
    <mergeCell ref="M21:M24"/>
    <mergeCell ref="K26:K38"/>
    <mergeCell ref="K18:K25"/>
    <mergeCell ref="K2:K17"/>
    <mergeCell ref="N21:N24"/>
    <mergeCell ref="M26:M28"/>
    <mergeCell ref="N26:N28"/>
    <mergeCell ref="M29:M31"/>
    <mergeCell ref="N29:N31"/>
    <mergeCell ref="M32:M33"/>
    <mergeCell ref="N32:N33"/>
    <mergeCell ref="M5:M8"/>
    <mergeCell ref="N5:N8"/>
  </mergeCell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S24"/>
  <sheetViews>
    <sheetView workbookViewId="0">
      <selection activeCell="I21" sqref="I21"/>
    </sheetView>
  </sheetViews>
  <sheetFormatPr defaultRowHeight="13.2" x14ac:dyDescent="0.25"/>
  <cols>
    <col min="1" max="1" width="6" customWidth="1"/>
    <col min="2" max="2" width="8.6640625" customWidth="1"/>
    <col min="3" max="3" width="9.33203125" customWidth="1"/>
    <col min="4" max="4" width="5" customWidth="1"/>
    <col min="5" max="5" width="4.44140625" customWidth="1"/>
    <col min="6" max="7" width="5.44140625" customWidth="1"/>
    <col min="8" max="8" width="9.5546875" customWidth="1"/>
    <col min="10" max="10" width="5.109375" customWidth="1"/>
    <col min="11" max="11" width="5" customWidth="1"/>
    <col min="12" max="12" width="4.109375" customWidth="1"/>
    <col min="13" max="13" width="4.88671875" customWidth="1"/>
    <col min="14" max="14" width="8.33203125" customWidth="1"/>
    <col min="16" max="16" width="4.6640625" customWidth="1"/>
    <col min="17" max="17" width="4.5546875" customWidth="1"/>
    <col min="18" max="18" width="4.88671875" customWidth="1"/>
    <col min="19" max="19" width="5.5546875" customWidth="1"/>
  </cols>
  <sheetData>
    <row r="1" spans="1:19" x14ac:dyDescent="0.25">
      <c r="B1" s="307"/>
      <c r="C1" s="307"/>
      <c r="D1" s="307"/>
      <c r="E1" s="307"/>
      <c r="F1" s="307"/>
      <c r="G1" s="307"/>
      <c r="H1" s="307"/>
      <c r="I1" s="307"/>
      <c r="J1" s="307"/>
      <c r="K1" s="307"/>
      <c r="L1" s="307"/>
      <c r="M1" s="307"/>
      <c r="N1" s="307"/>
      <c r="O1" s="307"/>
      <c r="P1" s="307"/>
      <c r="Q1" s="307"/>
      <c r="R1" s="307"/>
      <c r="S1" s="307"/>
    </row>
    <row r="2" spans="1:19" ht="55.2" customHeight="1" x14ac:dyDescent="0.25">
      <c r="A2" s="308"/>
      <c r="B2" s="313" t="s">
        <v>354</v>
      </c>
      <c r="C2" s="313" t="s">
        <v>351</v>
      </c>
      <c r="D2" s="313" t="s">
        <v>358</v>
      </c>
      <c r="E2" s="314" t="s">
        <v>230</v>
      </c>
      <c r="F2" s="314" t="s">
        <v>231</v>
      </c>
      <c r="G2" s="314" t="s">
        <v>232</v>
      </c>
      <c r="H2" s="315" t="s">
        <v>359</v>
      </c>
      <c r="I2" s="313" t="s">
        <v>352</v>
      </c>
      <c r="J2" s="313" t="s">
        <v>353</v>
      </c>
      <c r="K2" s="314" t="s">
        <v>237</v>
      </c>
      <c r="L2" s="314" t="s">
        <v>238</v>
      </c>
      <c r="M2" s="314" t="s">
        <v>239</v>
      </c>
      <c r="N2" s="315" t="s">
        <v>355</v>
      </c>
      <c r="O2" s="313" t="s">
        <v>356</v>
      </c>
      <c r="P2" s="313" t="s">
        <v>357</v>
      </c>
      <c r="Q2" s="314" t="s">
        <v>244</v>
      </c>
      <c r="R2" s="314" t="s">
        <v>245</v>
      </c>
      <c r="S2" s="314" t="s">
        <v>246</v>
      </c>
    </row>
    <row r="3" spans="1:19" x14ac:dyDescent="0.25">
      <c r="A3" s="309" t="s">
        <v>10</v>
      </c>
      <c r="B3" s="309" t="s">
        <v>121</v>
      </c>
      <c r="C3" s="310">
        <v>1</v>
      </c>
      <c r="D3" s="310">
        <v>2000</v>
      </c>
      <c r="E3" s="310">
        <v>1</v>
      </c>
      <c r="F3" s="310">
        <v>1</v>
      </c>
      <c r="G3" s="310"/>
      <c r="H3" s="316" t="s">
        <v>181</v>
      </c>
      <c r="I3" s="310">
        <v>0</v>
      </c>
      <c r="J3" s="310">
        <v>0</v>
      </c>
      <c r="K3" s="310"/>
      <c r="L3" s="310"/>
      <c r="M3" s="310"/>
      <c r="N3" s="316" t="s">
        <v>181</v>
      </c>
      <c r="O3" s="310">
        <v>0</v>
      </c>
      <c r="P3" s="310">
        <v>0</v>
      </c>
      <c r="Q3" s="310"/>
      <c r="R3" s="310"/>
      <c r="S3" s="310"/>
    </row>
    <row r="4" spans="1:19" x14ac:dyDescent="0.25">
      <c r="A4" s="309" t="s">
        <v>13</v>
      </c>
      <c r="B4" s="309" t="s">
        <v>127</v>
      </c>
      <c r="C4" s="310">
        <v>0.4</v>
      </c>
      <c r="D4" s="310">
        <v>4000</v>
      </c>
      <c r="E4" s="310"/>
      <c r="F4" s="310"/>
      <c r="G4" s="310"/>
      <c r="H4" s="317" t="s">
        <v>160</v>
      </c>
      <c r="I4" s="310">
        <v>0.6</v>
      </c>
      <c r="J4" s="310">
        <v>5000</v>
      </c>
      <c r="K4" s="310"/>
      <c r="L4" s="310"/>
      <c r="M4" s="310"/>
      <c r="N4" s="316" t="s">
        <v>181</v>
      </c>
      <c r="O4" s="310">
        <v>0</v>
      </c>
      <c r="P4" s="310">
        <v>0</v>
      </c>
      <c r="Q4" s="310"/>
      <c r="R4" s="310"/>
      <c r="S4" s="310"/>
    </row>
    <row r="5" spans="1:19" x14ac:dyDescent="0.25">
      <c r="A5" s="309" t="s">
        <v>16</v>
      </c>
      <c r="B5" s="309" t="s">
        <v>156</v>
      </c>
      <c r="C5" s="310">
        <v>0.5</v>
      </c>
      <c r="D5" s="310">
        <v>0</v>
      </c>
      <c r="E5" s="310">
        <v>1</v>
      </c>
      <c r="F5" s="310">
        <v>1</v>
      </c>
      <c r="G5" s="310"/>
      <c r="H5" s="317" t="s">
        <v>125</v>
      </c>
      <c r="I5" s="310">
        <v>0.5</v>
      </c>
      <c r="J5" s="310">
        <v>1500</v>
      </c>
      <c r="K5" s="310"/>
      <c r="L5" s="310"/>
      <c r="M5" s="310"/>
      <c r="N5" s="316" t="s">
        <v>181</v>
      </c>
      <c r="O5" s="310">
        <v>0</v>
      </c>
      <c r="P5" s="310">
        <v>0</v>
      </c>
      <c r="Q5" s="310"/>
      <c r="R5" s="310"/>
      <c r="S5" s="310"/>
    </row>
    <row r="6" spans="1:19" x14ac:dyDescent="0.25">
      <c r="A6" s="309" t="s">
        <v>19</v>
      </c>
      <c r="B6" s="309" t="s">
        <v>138</v>
      </c>
      <c r="C6" s="310">
        <v>0.6</v>
      </c>
      <c r="D6" s="310">
        <v>0</v>
      </c>
      <c r="E6" s="310"/>
      <c r="F6" s="310"/>
      <c r="G6" s="310"/>
      <c r="H6" s="317" t="s">
        <v>139</v>
      </c>
      <c r="I6" s="310">
        <v>0.4</v>
      </c>
      <c r="J6" s="310">
        <v>1</v>
      </c>
      <c r="K6" s="310"/>
      <c r="L6" s="310"/>
      <c r="M6" s="310"/>
      <c r="N6" s="316" t="s">
        <v>181</v>
      </c>
      <c r="O6" s="310">
        <v>0</v>
      </c>
      <c r="P6" s="310">
        <v>0</v>
      </c>
      <c r="Q6" s="310"/>
      <c r="R6" s="310"/>
      <c r="S6" s="310"/>
    </row>
    <row r="7" spans="1:19" x14ac:dyDescent="0.25">
      <c r="A7" s="309" t="s">
        <v>26</v>
      </c>
      <c r="B7" s="309" t="s">
        <v>143</v>
      </c>
      <c r="C7" s="310">
        <v>0.3</v>
      </c>
      <c r="D7" s="310">
        <v>0</v>
      </c>
      <c r="E7" s="310"/>
      <c r="F7" s="310"/>
      <c r="G7" s="310"/>
      <c r="H7" s="317" t="s">
        <v>141</v>
      </c>
      <c r="I7" s="310">
        <v>0.2</v>
      </c>
      <c r="J7" s="310">
        <v>0</v>
      </c>
      <c r="K7" s="310"/>
      <c r="L7" s="310"/>
      <c r="M7" s="310"/>
      <c r="N7" s="317" t="s">
        <v>136</v>
      </c>
      <c r="O7" s="310">
        <v>0.5</v>
      </c>
      <c r="P7" s="310">
        <v>0</v>
      </c>
      <c r="Q7" s="310"/>
      <c r="R7" s="310"/>
      <c r="S7" s="310"/>
    </row>
    <row r="8" spans="1:19" x14ac:dyDescent="0.25">
      <c r="A8" s="309" t="s">
        <v>30</v>
      </c>
      <c r="B8" s="309" t="s">
        <v>342</v>
      </c>
      <c r="C8" s="310">
        <v>0.5</v>
      </c>
      <c r="D8" s="310">
        <v>0</v>
      </c>
      <c r="E8" s="310"/>
      <c r="F8" s="310"/>
      <c r="G8" s="310"/>
      <c r="H8" s="317" t="s">
        <v>162</v>
      </c>
      <c r="I8" s="310">
        <v>0.5</v>
      </c>
      <c r="J8" s="310">
        <v>0</v>
      </c>
      <c r="K8" s="310"/>
      <c r="L8" s="310"/>
      <c r="M8" s="310"/>
      <c r="N8" s="316" t="s">
        <v>181</v>
      </c>
      <c r="O8" s="310">
        <v>0</v>
      </c>
      <c r="P8" s="310">
        <v>0</v>
      </c>
      <c r="Q8" s="310"/>
      <c r="R8" s="310"/>
      <c r="S8" s="310"/>
    </row>
    <row r="9" spans="1:19" x14ac:dyDescent="0.25">
      <c r="A9" s="309" t="s">
        <v>35</v>
      </c>
      <c r="B9" s="309" t="s">
        <v>343</v>
      </c>
      <c r="C9" s="310">
        <v>0.7</v>
      </c>
      <c r="D9" s="310">
        <v>4500</v>
      </c>
      <c r="E9" s="310"/>
      <c r="F9" s="310"/>
      <c r="G9" s="310"/>
      <c r="H9" s="317" t="s">
        <v>160</v>
      </c>
      <c r="I9" s="310">
        <v>0.3</v>
      </c>
      <c r="J9" s="310">
        <v>6000</v>
      </c>
      <c r="K9" s="310"/>
      <c r="L9" s="310">
        <v>1</v>
      </c>
      <c r="M9" s="310"/>
      <c r="N9" s="316" t="s">
        <v>181</v>
      </c>
      <c r="O9" s="310">
        <v>0</v>
      </c>
      <c r="P9" s="310">
        <v>0</v>
      </c>
      <c r="Q9" s="310"/>
      <c r="R9" s="310"/>
      <c r="S9" s="310"/>
    </row>
    <row r="10" spans="1:19" x14ac:dyDescent="0.25">
      <c r="A10" s="309" t="s">
        <v>43</v>
      </c>
      <c r="B10" s="309" t="s">
        <v>160</v>
      </c>
      <c r="C10" s="310">
        <v>0.7</v>
      </c>
      <c r="D10" s="310">
        <v>6000</v>
      </c>
      <c r="E10" s="310"/>
      <c r="F10" s="310">
        <v>1</v>
      </c>
      <c r="G10" s="310"/>
      <c r="H10" s="317" t="s">
        <v>343</v>
      </c>
      <c r="I10" s="310">
        <v>0.3</v>
      </c>
      <c r="J10" s="310">
        <v>4500</v>
      </c>
      <c r="K10" s="310"/>
      <c r="L10" s="310"/>
      <c r="M10" s="310"/>
      <c r="N10" s="316" t="s">
        <v>181</v>
      </c>
      <c r="O10" s="310">
        <v>0</v>
      </c>
      <c r="P10" s="310">
        <v>0</v>
      </c>
      <c r="Q10" s="310"/>
      <c r="R10" s="310"/>
      <c r="S10" s="310"/>
    </row>
    <row r="11" spans="1:19" x14ac:dyDescent="0.25">
      <c r="A11" s="309" t="s">
        <v>46</v>
      </c>
      <c r="B11" s="309" t="s">
        <v>344</v>
      </c>
      <c r="C11" s="310">
        <v>0.4</v>
      </c>
      <c r="D11" s="310">
        <v>1000</v>
      </c>
      <c r="E11" s="310"/>
      <c r="F11" s="310"/>
      <c r="G11" s="310"/>
      <c r="H11" s="317" t="s">
        <v>123</v>
      </c>
      <c r="I11" s="310">
        <v>0.3</v>
      </c>
      <c r="J11" s="310">
        <v>5000</v>
      </c>
      <c r="K11" s="310"/>
      <c r="L11" s="310"/>
      <c r="M11" s="310"/>
      <c r="N11" s="317" t="s">
        <v>345</v>
      </c>
      <c r="O11" s="310">
        <v>0.3</v>
      </c>
      <c r="P11" s="310">
        <v>2000</v>
      </c>
      <c r="Q11" s="310"/>
      <c r="R11" s="310"/>
      <c r="S11" s="310"/>
    </row>
    <row r="12" spans="1:19" x14ac:dyDescent="0.25">
      <c r="A12" s="309" t="s">
        <v>48</v>
      </c>
      <c r="B12" s="309" t="s">
        <v>129</v>
      </c>
      <c r="C12" s="310">
        <v>1</v>
      </c>
      <c r="D12" s="310">
        <v>500</v>
      </c>
      <c r="E12" s="310">
        <v>0</v>
      </c>
      <c r="F12" s="310"/>
      <c r="G12" s="310">
        <v>3000</v>
      </c>
      <c r="H12" s="316" t="s">
        <v>181</v>
      </c>
      <c r="I12" s="310">
        <v>0</v>
      </c>
      <c r="J12" s="310">
        <v>0</v>
      </c>
      <c r="K12" s="310"/>
      <c r="L12" s="310"/>
      <c r="M12" s="310"/>
      <c r="N12" s="316" t="s">
        <v>181</v>
      </c>
      <c r="O12" s="310">
        <v>0</v>
      </c>
      <c r="P12" s="310">
        <v>0</v>
      </c>
      <c r="Q12" s="310"/>
      <c r="R12" s="310"/>
      <c r="S12" s="310"/>
    </row>
    <row r="13" spans="1:19" x14ac:dyDescent="0.25">
      <c r="A13" s="309" t="s">
        <v>50</v>
      </c>
      <c r="B13" s="309" t="s">
        <v>148</v>
      </c>
      <c r="C13" s="310">
        <v>0.6</v>
      </c>
      <c r="D13" s="310">
        <v>150</v>
      </c>
      <c r="E13" s="310"/>
      <c r="F13" s="310">
        <v>25</v>
      </c>
      <c r="G13" s="310"/>
      <c r="H13" s="317" t="s">
        <v>154</v>
      </c>
      <c r="I13" s="310">
        <v>0.4</v>
      </c>
      <c r="J13" s="310">
        <v>100</v>
      </c>
      <c r="K13" s="310">
        <v>25</v>
      </c>
      <c r="L13" s="310">
        <v>25</v>
      </c>
      <c r="M13" s="310"/>
      <c r="N13" s="316" t="s">
        <v>181</v>
      </c>
      <c r="O13" s="310">
        <v>0</v>
      </c>
      <c r="P13" s="310">
        <v>0</v>
      </c>
      <c r="Q13" s="310"/>
      <c r="R13" s="310"/>
      <c r="S13" s="310"/>
    </row>
    <row r="14" spans="1:19" x14ac:dyDescent="0.25">
      <c r="A14" s="309" t="s">
        <v>52</v>
      </c>
      <c r="B14" s="309" t="s">
        <v>133</v>
      </c>
      <c r="C14" s="310">
        <v>0.5</v>
      </c>
      <c r="D14" s="310">
        <v>1000</v>
      </c>
      <c r="E14" s="310"/>
      <c r="F14" s="310">
        <v>0</v>
      </c>
      <c r="G14" s="310"/>
      <c r="H14" s="317" t="s">
        <v>139</v>
      </c>
      <c r="I14" s="310">
        <v>0.5</v>
      </c>
      <c r="J14" s="310">
        <v>800</v>
      </c>
      <c r="K14" s="310"/>
      <c r="L14" s="310"/>
      <c r="M14" s="310"/>
      <c r="N14" s="316" t="s">
        <v>181</v>
      </c>
      <c r="O14" s="310"/>
      <c r="P14" s="310">
        <v>0</v>
      </c>
      <c r="Q14" s="310"/>
      <c r="R14" s="310"/>
      <c r="S14" s="310"/>
    </row>
    <row r="15" spans="1:19" x14ac:dyDescent="0.25">
      <c r="A15" s="309" t="s">
        <v>54</v>
      </c>
      <c r="B15" s="309" t="s">
        <v>146</v>
      </c>
      <c r="C15" s="310">
        <v>1</v>
      </c>
      <c r="D15" s="310">
        <v>2000</v>
      </c>
      <c r="E15" s="310"/>
      <c r="F15" s="310"/>
      <c r="G15" s="310"/>
      <c r="H15" s="316" t="s">
        <v>181</v>
      </c>
      <c r="I15" s="310">
        <v>0</v>
      </c>
      <c r="J15" s="310">
        <v>0</v>
      </c>
      <c r="K15" s="310"/>
      <c r="L15" s="310"/>
      <c r="M15" s="310"/>
      <c r="N15" s="316" t="s">
        <v>181</v>
      </c>
      <c r="O15" s="310">
        <v>0</v>
      </c>
      <c r="P15" s="310">
        <v>0</v>
      </c>
      <c r="Q15" s="310"/>
      <c r="R15" s="310"/>
      <c r="S15" s="310"/>
    </row>
    <row r="16" spans="1:19" x14ac:dyDescent="0.25">
      <c r="A16" s="309" t="s">
        <v>66</v>
      </c>
      <c r="B16" s="309" t="s">
        <v>148</v>
      </c>
      <c r="C16" s="310">
        <v>0.5</v>
      </c>
      <c r="D16" s="310">
        <v>150</v>
      </c>
      <c r="E16" s="310"/>
      <c r="F16" s="310">
        <v>25</v>
      </c>
      <c r="G16" s="310"/>
      <c r="H16" s="317" t="s">
        <v>154</v>
      </c>
      <c r="I16" s="310">
        <v>0.5</v>
      </c>
      <c r="J16" s="310">
        <v>100</v>
      </c>
      <c r="K16" s="310">
        <v>25</v>
      </c>
      <c r="L16" s="310">
        <v>25</v>
      </c>
      <c r="M16" s="310"/>
      <c r="N16" s="316" t="s">
        <v>181</v>
      </c>
      <c r="O16" s="310">
        <v>0</v>
      </c>
      <c r="P16" s="310">
        <v>0</v>
      </c>
      <c r="Q16" s="310"/>
      <c r="R16" s="310"/>
      <c r="S16" s="310"/>
    </row>
    <row r="17" spans="1:19" x14ac:dyDescent="0.25">
      <c r="A17" s="309" t="s">
        <v>71</v>
      </c>
      <c r="B17" s="309" t="s">
        <v>150</v>
      </c>
      <c r="C17" s="310">
        <v>0.4</v>
      </c>
      <c r="D17" s="310">
        <v>0</v>
      </c>
      <c r="E17" s="310"/>
      <c r="F17" s="310"/>
      <c r="G17" s="310"/>
      <c r="H17" s="317" t="s">
        <v>135</v>
      </c>
      <c r="I17" s="310">
        <v>0.6</v>
      </c>
      <c r="J17" s="310">
        <v>1000</v>
      </c>
      <c r="K17" s="310"/>
      <c r="L17" s="310"/>
      <c r="M17" s="310"/>
      <c r="N17" s="316" t="s">
        <v>181</v>
      </c>
      <c r="O17" s="310">
        <v>0</v>
      </c>
      <c r="P17" s="310">
        <v>0</v>
      </c>
      <c r="Q17" s="310"/>
      <c r="R17" s="310"/>
      <c r="S17" s="310"/>
    </row>
    <row r="18" spans="1:19" x14ac:dyDescent="0.25">
      <c r="A18" s="309" t="s">
        <v>73</v>
      </c>
      <c r="B18" s="309" t="s">
        <v>347</v>
      </c>
      <c r="C18" s="310">
        <v>0.5</v>
      </c>
      <c r="D18" s="310">
        <v>500</v>
      </c>
      <c r="E18" s="310"/>
      <c r="F18" s="310"/>
      <c r="G18" s="310"/>
      <c r="H18" s="317" t="s">
        <v>342</v>
      </c>
      <c r="I18" s="310">
        <v>0.5</v>
      </c>
      <c r="J18" s="310">
        <v>0</v>
      </c>
      <c r="K18" s="310"/>
      <c r="L18" s="310"/>
      <c r="M18" s="310"/>
      <c r="N18" s="316" t="s">
        <v>181</v>
      </c>
      <c r="O18" s="310">
        <v>0</v>
      </c>
      <c r="P18" s="310">
        <v>0</v>
      </c>
      <c r="Q18" s="310"/>
      <c r="R18" s="310"/>
      <c r="S18" s="310"/>
    </row>
    <row r="19" spans="1:19" x14ac:dyDescent="0.25">
      <c r="A19" s="309" t="s">
        <v>76</v>
      </c>
      <c r="B19" s="309" t="s">
        <v>158</v>
      </c>
      <c r="C19" s="310">
        <v>0.5</v>
      </c>
      <c r="D19" s="310">
        <v>2000</v>
      </c>
      <c r="E19" s="310"/>
      <c r="F19" s="310"/>
      <c r="G19" s="310"/>
      <c r="H19" s="317" t="s">
        <v>348</v>
      </c>
      <c r="I19" s="310">
        <v>0.5</v>
      </c>
      <c r="J19" s="310">
        <v>2000</v>
      </c>
      <c r="K19" s="310"/>
      <c r="L19" s="310"/>
      <c r="M19" s="310"/>
      <c r="N19" s="316" t="s">
        <v>181</v>
      </c>
      <c r="O19" s="310">
        <v>0</v>
      </c>
      <c r="P19" s="310">
        <v>0</v>
      </c>
      <c r="Q19" s="310"/>
      <c r="R19" s="310"/>
      <c r="S19" s="310"/>
    </row>
    <row r="20" spans="1:19" x14ac:dyDescent="0.25">
      <c r="A20" s="309" t="s">
        <v>78</v>
      </c>
      <c r="B20" s="309" t="s">
        <v>164</v>
      </c>
      <c r="C20" s="310">
        <v>0.2</v>
      </c>
      <c r="D20" s="310">
        <v>1000</v>
      </c>
      <c r="E20" s="310"/>
      <c r="F20" s="310"/>
      <c r="G20" s="310"/>
      <c r="H20" s="317" t="s">
        <v>146</v>
      </c>
      <c r="I20" s="310">
        <v>0.5</v>
      </c>
      <c r="J20" s="310">
        <v>2000</v>
      </c>
      <c r="K20" s="310"/>
      <c r="L20" s="310"/>
      <c r="M20" s="310"/>
      <c r="N20" s="317" t="s">
        <v>144</v>
      </c>
      <c r="O20" s="310">
        <v>0.3</v>
      </c>
      <c r="P20" s="310">
        <v>5000</v>
      </c>
      <c r="Q20" s="310"/>
      <c r="R20" s="310"/>
      <c r="S20" s="310"/>
    </row>
    <row r="21" spans="1:19" x14ac:dyDescent="0.25">
      <c r="A21" s="309" t="s">
        <v>82</v>
      </c>
      <c r="B21" s="309" t="s">
        <v>152</v>
      </c>
      <c r="C21" s="310">
        <v>0.5</v>
      </c>
      <c r="D21" s="310">
        <v>1000</v>
      </c>
      <c r="E21" s="310"/>
      <c r="F21" s="310"/>
      <c r="G21" s="310"/>
      <c r="H21" s="317" t="s">
        <v>349</v>
      </c>
      <c r="I21" s="310">
        <v>0.3</v>
      </c>
      <c r="J21" s="310">
        <v>0</v>
      </c>
      <c r="K21" s="310"/>
      <c r="L21" s="310"/>
      <c r="M21" s="310"/>
      <c r="N21" s="317" t="s">
        <v>346</v>
      </c>
      <c r="O21" s="310">
        <v>0.2</v>
      </c>
      <c r="P21" s="310">
        <v>0</v>
      </c>
      <c r="Q21" s="310"/>
      <c r="R21" s="310"/>
      <c r="S21" s="310"/>
    </row>
    <row r="22" spans="1:19" x14ac:dyDescent="0.25">
      <c r="A22" s="309" t="s">
        <v>84</v>
      </c>
      <c r="B22" s="309" t="s">
        <v>131</v>
      </c>
      <c r="C22" s="310">
        <v>0.6</v>
      </c>
      <c r="D22" s="310">
        <v>2000</v>
      </c>
      <c r="E22" s="310"/>
      <c r="F22" s="310"/>
      <c r="G22" s="310"/>
      <c r="H22" s="317" t="s">
        <v>347</v>
      </c>
      <c r="I22" s="310">
        <v>0.4</v>
      </c>
      <c r="J22" s="310">
        <v>0</v>
      </c>
      <c r="K22" s="310"/>
      <c r="L22" s="310"/>
      <c r="M22" s="310"/>
      <c r="N22" s="316" t="s">
        <v>181</v>
      </c>
      <c r="O22" s="310">
        <v>0</v>
      </c>
      <c r="P22" s="310">
        <v>0</v>
      </c>
      <c r="Q22" s="310"/>
      <c r="R22" s="310"/>
      <c r="S22" s="310"/>
    </row>
    <row r="23" spans="1:19" x14ac:dyDescent="0.25">
      <c r="A23" s="309" t="s">
        <v>86</v>
      </c>
      <c r="B23" s="309" t="s">
        <v>131</v>
      </c>
      <c r="C23" s="310">
        <v>1</v>
      </c>
      <c r="D23" s="310">
        <v>2000</v>
      </c>
      <c r="E23" s="310"/>
      <c r="F23" s="310"/>
      <c r="G23" s="310"/>
      <c r="H23" s="316" t="s">
        <v>181</v>
      </c>
      <c r="I23" s="310">
        <v>0</v>
      </c>
      <c r="J23" s="310">
        <v>0</v>
      </c>
      <c r="K23" s="310"/>
      <c r="L23" s="310"/>
      <c r="M23" s="310"/>
      <c r="N23" s="316" t="s">
        <v>181</v>
      </c>
      <c r="O23" s="310">
        <v>0</v>
      </c>
      <c r="P23" s="310">
        <v>0</v>
      </c>
      <c r="Q23" s="310"/>
      <c r="R23" s="310"/>
      <c r="S23" s="310"/>
    </row>
    <row r="24" spans="1:19" x14ac:dyDescent="0.25">
      <c r="A24" s="311" t="s">
        <v>88</v>
      </c>
      <c r="B24" s="311" t="s">
        <v>152</v>
      </c>
      <c r="C24" s="312">
        <v>0.5</v>
      </c>
      <c r="D24" s="312">
        <v>1000</v>
      </c>
      <c r="E24" s="312"/>
      <c r="F24" s="312"/>
      <c r="G24" s="312"/>
      <c r="H24" s="318" t="s">
        <v>350</v>
      </c>
      <c r="I24" s="312">
        <v>0.5</v>
      </c>
      <c r="J24" s="312">
        <v>1000</v>
      </c>
      <c r="K24" s="312"/>
      <c r="L24" s="312"/>
      <c r="M24" s="312"/>
      <c r="N24" s="319" t="s">
        <v>181</v>
      </c>
      <c r="O24" s="312">
        <v>1</v>
      </c>
      <c r="P24" s="312">
        <v>0</v>
      </c>
      <c r="Q24" s="312"/>
      <c r="R24" s="312"/>
      <c r="S24" s="312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25" zoomScaleNormal="25" workbookViewId="0">
      <selection activeCell="AS60" sqref="AS60"/>
    </sheetView>
  </sheetViews>
  <sheetFormatPr defaultRowHeight="13.2" x14ac:dyDescent="0.25"/>
  <sheetData/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topLeftCell="A25" workbookViewId="0">
      <selection activeCell="B2" sqref="B2"/>
    </sheetView>
  </sheetViews>
  <sheetFormatPr defaultRowHeight="13.2" x14ac:dyDescent="0.25"/>
  <sheetData/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1000"/>
  <sheetViews>
    <sheetView topLeftCell="A4" zoomScale="70" zoomScaleNormal="70" workbookViewId="0">
      <selection activeCell="E21" sqref="E21"/>
    </sheetView>
  </sheetViews>
  <sheetFormatPr defaultColWidth="17.33203125" defaultRowHeight="15" customHeight="1" x14ac:dyDescent="0.25"/>
  <cols>
    <col min="1" max="1" width="33.88671875" customWidth="1"/>
    <col min="2" max="2" width="41" customWidth="1"/>
    <col min="3" max="3" width="36" customWidth="1"/>
    <col min="4" max="4" width="33.88671875" customWidth="1"/>
    <col min="5" max="5" width="20.5546875" customWidth="1"/>
    <col min="6" max="6" width="12.109375" customWidth="1"/>
    <col min="7" max="7" width="9.109375" customWidth="1"/>
    <col min="8" max="8" width="16.6640625" customWidth="1"/>
    <col min="9" max="9" width="64" bestFit="1" customWidth="1"/>
    <col min="10" max="10" width="22.44140625" customWidth="1"/>
    <col min="11" max="11" width="6.5546875" customWidth="1"/>
    <col min="12" max="12" width="19.6640625" customWidth="1"/>
    <col min="13" max="26" width="14.44140625" customWidth="1"/>
  </cols>
  <sheetData>
    <row r="1" spans="1:15" ht="15.75" customHeight="1" x14ac:dyDescent="0.25">
      <c r="A1" s="1" t="s">
        <v>0</v>
      </c>
      <c r="B1" s="2">
        <v>100000</v>
      </c>
      <c r="C1" s="2"/>
      <c r="D1" s="2"/>
      <c r="E1" s="2"/>
      <c r="F1" s="1"/>
      <c r="G1" s="1"/>
      <c r="H1" s="1"/>
      <c r="I1" s="1"/>
      <c r="J1" s="1"/>
      <c r="K1" s="3"/>
      <c r="L1" s="3"/>
      <c r="M1" s="3"/>
      <c r="N1" s="3"/>
      <c r="O1" s="3"/>
    </row>
    <row r="2" spans="1:15" ht="15.75" customHeight="1" x14ac:dyDescent="0.25">
      <c r="A2" s="4" t="s">
        <v>1</v>
      </c>
      <c r="B2" s="24" t="s">
        <v>106</v>
      </c>
      <c r="C2" s="5"/>
      <c r="D2" s="5"/>
      <c r="E2" s="5"/>
      <c r="F2" s="4" t="s">
        <v>2</v>
      </c>
      <c r="G2" s="4" t="s">
        <v>3</v>
      </c>
      <c r="H2" s="4" t="s">
        <v>4</v>
      </c>
      <c r="I2" s="24" t="s">
        <v>108</v>
      </c>
      <c r="J2" s="24" t="s">
        <v>109</v>
      </c>
      <c r="K2" s="6" t="s">
        <v>5</v>
      </c>
      <c r="L2" s="27" t="s">
        <v>110</v>
      </c>
      <c r="M2" s="6" t="s">
        <v>6</v>
      </c>
      <c r="N2" s="6" t="s">
        <v>7</v>
      </c>
      <c r="O2" s="6" t="s">
        <v>8</v>
      </c>
    </row>
    <row r="3" spans="1:15" ht="15.75" customHeight="1" x14ac:dyDescent="0.25">
      <c r="A3" s="5"/>
      <c r="B3" s="7" t="s">
        <v>9</v>
      </c>
      <c r="C3" s="7"/>
      <c r="D3" s="7"/>
      <c r="E3" s="7" t="s">
        <v>10</v>
      </c>
      <c r="F3" s="7"/>
      <c r="G3" s="7"/>
      <c r="H3" s="8">
        <f t="shared" ref="H3:H18" si="0">F3*G3</f>
        <v>0</v>
      </c>
      <c r="I3" s="7" t="s">
        <v>11</v>
      </c>
      <c r="J3" s="7"/>
      <c r="K3" s="9"/>
      <c r="L3" s="10">
        <f t="shared" ref="L3:L18" si="1">J3*K3</f>
        <v>0</v>
      </c>
      <c r="M3" s="9"/>
      <c r="N3" s="9"/>
      <c r="O3" s="9"/>
    </row>
    <row r="4" spans="1:15" ht="15.75" customHeight="1" x14ac:dyDescent="0.25">
      <c r="A4" s="5"/>
      <c r="B4" s="7" t="s">
        <v>12</v>
      </c>
      <c r="C4" s="7"/>
      <c r="D4" s="7"/>
      <c r="E4" s="7" t="s">
        <v>13</v>
      </c>
      <c r="F4" s="7"/>
      <c r="G4" s="7"/>
      <c r="H4" s="8">
        <f t="shared" si="0"/>
        <v>0</v>
      </c>
      <c r="I4" s="7" t="s">
        <v>14</v>
      </c>
      <c r="J4" s="7"/>
      <c r="K4" s="9"/>
      <c r="L4" s="10">
        <f t="shared" si="1"/>
        <v>0</v>
      </c>
      <c r="M4" s="9"/>
      <c r="N4" s="9"/>
      <c r="O4" s="9"/>
    </row>
    <row r="5" spans="1:15" ht="15.75" customHeight="1" x14ac:dyDescent="0.25">
      <c r="A5" s="5"/>
      <c r="B5" s="7" t="s">
        <v>15</v>
      </c>
      <c r="C5" s="7"/>
      <c r="D5" s="7"/>
      <c r="E5" s="7" t="s">
        <v>16</v>
      </c>
      <c r="F5" s="7"/>
      <c r="G5" s="7"/>
      <c r="H5" s="8">
        <f t="shared" si="0"/>
        <v>0</v>
      </c>
      <c r="I5" s="7"/>
      <c r="J5" s="7"/>
      <c r="K5" s="9"/>
      <c r="L5" s="10">
        <f t="shared" si="1"/>
        <v>0</v>
      </c>
      <c r="M5" s="9"/>
      <c r="N5" s="9"/>
      <c r="O5" s="9"/>
    </row>
    <row r="6" spans="1:15" ht="15.75" customHeight="1" x14ac:dyDescent="0.25">
      <c r="A6" s="5"/>
      <c r="B6" s="417" t="s">
        <v>17</v>
      </c>
      <c r="C6" s="7" t="s">
        <v>18</v>
      </c>
      <c r="D6" s="7"/>
      <c r="E6" s="417" t="s">
        <v>19</v>
      </c>
      <c r="F6" s="7"/>
      <c r="G6" s="7"/>
      <c r="H6" s="8">
        <f t="shared" si="0"/>
        <v>0</v>
      </c>
      <c r="I6" s="7" t="s">
        <v>20</v>
      </c>
      <c r="J6" s="7"/>
      <c r="K6" s="9"/>
      <c r="L6" s="10">
        <f t="shared" si="1"/>
        <v>0</v>
      </c>
      <c r="M6" s="9"/>
      <c r="N6" s="9"/>
      <c r="O6" s="9"/>
    </row>
    <row r="7" spans="1:15" ht="15.75" customHeight="1" x14ac:dyDescent="0.25">
      <c r="A7" s="5"/>
      <c r="B7" s="418"/>
      <c r="C7" s="7" t="s">
        <v>21</v>
      </c>
      <c r="D7" s="7"/>
      <c r="E7" s="418"/>
      <c r="F7" s="7"/>
      <c r="G7" s="7"/>
      <c r="H7" s="8">
        <f t="shared" si="0"/>
        <v>0</v>
      </c>
      <c r="I7" s="7" t="s">
        <v>22</v>
      </c>
      <c r="J7" s="7"/>
      <c r="K7" s="9"/>
      <c r="L7" s="10">
        <f t="shared" si="1"/>
        <v>0</v>
      </c>
      <c r="M7" s="9"/>
      <c r="N7" s="9"/>
      <c r="O7" s="9"/>
    </row>
    <row r="8" spans="1:15" ht="15.75" customHeight="1" x14ac:dyDescent="0.25">
      <c r="A8" s="5"/>
      <c r="B8" s="418"/>
      <c r="C8" s="7" t="s">
        <v>23</v>
      </c>
      <c r="D8" s="7"/>
      <c r="E8" s="418"/>
      <c r="F8" s="7"/>
      <c r="G8" s="7"/>
      <c r="H8" s="8">
        <f t="shared" si="0"/>
        <v>0</v>
      </c>
      <c r="I8" s="7" t="s">
        <v>22</v>
      </c>
      <c r="J8" s="7"/>
      <c r="K8" s="9"/>
      <c r="L8" s="10">
        <f t="shared" si="1"/>
        <v>0</v>
      </c>
      <c r="M8" s="9"/>
      <c r="N8" s="9"/>
      <c r="O8" s="9"/>
    </row>
    <row r="9" spans="1:15" ht="15.75" customHeight="1" x14ac:dyDescent="0.25">
      <c r="A9" s="5"/>
      <c r="B9" s="419"/>
      <c r="C9" s="7" t="s">
        <v>24</v>
      </c>
      <c r="D9" s="7"/>
      <c r="E9" s="419"/>
      <c r="F9" s="7"/>
      <c r="G9" s="7"/>
      <c r="H9" s="8">
        <f t="shared" si="0"/>
        <v>0</v>
      </c>
      <c r="I9" s="7" t="s">
        <v>22</v>
      </c>
      <c r="J9" s="7"/>
      <c r="K9" s="9"/>
      <c r="L9" s="10">
        <f t="shared" si="1"/>
        <v>0</v>
      </c>
      <c r="M9" s="9"/>
      <c r="N9" s="9"/>
      <c r="O9" s="9"/>
    </row>
    <row r="10" spans="1:15" ht="15.75" customHeight="1" x14ac:dyDescent="0.25">
      <c r="A10" s="5"/>
      <c r="B10" s="7" t="s">
        <v>25</v>
      </c>
      <c r="C10" s="7"/>
      <c r="D10" s="7"/>
      <c r="E10" s="7" t="s">
        <v>26</v>
      </c>
      <c r="F10" s="7"/>
      <c r="G10" s="7"/>
      <c r="H10" s="8">
        <f t="shared" si="0"/>
        <v>0</v>
      </c>
      <c r="I10" s="7" t="s">
        <v>27</v>
      </c>
      <c r="J10" s="7"/>
      <c r="K10" s="9"/>
      <c r="L10" s="10">
        <f t="shared" si="1"/>
        <v>0</v>
      </c>
      <c r="M10" s="9"/>
      <c r="N10" s="9"/>
      <c r="O10" s="9"/>
    </row>
    <row r="11" spans="1:15" ht="15.75" customHeight="1" x14ac:dyDescent="0.25">
      <c r="A11" s="5"/>
      <c r="B11" s="7" t="s">
        <v>28</v>
      </c>
      <c r="C11" s="7" t="s">
        <v>29</v>
      </c>
      <c r="D11" s="7"/>
      <c r="E11" s="7" t="s">
        <v>30</v>
      </c>
      <c r="F11" s="7"/>
      <c r="G11" s="7"/>
      <c r="H11" s="8">
        <f t="shared" si="0"/>
        <v>0</v>
      </c>
      <c r="I11" s="25" t="s">
        <v>31</v>
      </c>
      <c r="J11" s="7"/>
      <c r="K11" s="9"/>
      <c r="L11" s="10">
        <f t="shared" si="1"/>
        <v>0</v>
      </c>
      <c r="M11" s="9"/>
      <c r="N11" s="9"/>
      <c r="O11" s="9"/>
    </row>
    <row r="12" spans="1:15" ht="15.75" customHeight="1" x14ac:dyDescent="0.25">
      <c r="A12" s="5"/>
      <c r="B12" s="7"/>
      <c r="C12" s="7" t="s">
        <v>32</v>
      </c>
      <c r="D12" s="7"/>
      <c r="E12" s="5"/>
      <c r="F12" s="7"/>
      <c r="G12" s="7"/>
      <c r="H12" s="8">
        <f t="shared" si="0"/>
        <v>0</v>
      </c>
      <c r="I12" s="7" t="s">
        <v>31</v>
      </c>
      <c r="J12" s="7"/>
      <c r="K12" s="9"/>
      <c r="L12" s="10">
        <f t="shared" si="1"/>
        <v>0</v>
      </c>
      <c r="M12" s="9"/>
      <c r="N12" s="9"/>
      <c r="O12" s="9"/>
    </row>
    <row r="13" spans="1:15" ht="15.75" customHeight="1" x14ac:dyDescent="0.25">
      <c r="A13" s="5"/>
      <c r="B13" s="7"/>
      <c r="C13" s="7" t="s">
        <v>33</v>
      </c>
      <c r="D13" s="7"/>
      <c r="E13" s="5"/>
      <c r="F13" s="7"/>
      <c r="G13" s="7"/>
      <c r="H13" s="8">
        <f t="shared" si="0"/>
        <v>0</v>
      </c>
      <c r="I13" s="7" t="s">
        <v>31</v>
      </c>
      <c r="J13" s="7"/>
      <c r="K13" s="9"/>
      <c r="L13" s="10">
        <f t="shared" si="1"/>
        <v>0</v>
      </c>
      <c r="M13" s="9"/>
      <c r="N13" s="9"/>
      <c r="O13" s="9"/>
    </row>
    <row r="14" spans="1:15" ht="15.75" customHeight="1" x14ac:dyDescent="0.25">
      <c r="A14" s="5"/>
      <c r="B14" s="7" t="s">
        <v>34</v>
      </c>
      <c r="D14" s="7"/>
      <c r="E14" s="12" t="s">
        <v>35</v>
      </c>
      <c r="F14" s="7"/>
      <c r="G14" s="7"/>
      <c r="H14" s="8">
        <f t="shared" si="0"/>
        <v>0</v>
      </c>
      <c r="I14" s="7" t="s">
        <v>36</v>
      </c>
      <c r="J14" s="7"/>
      <c r="K14" s="9"/>
      <c r="L14" s="10">
        <f t="shared" si="1"/>
        <v>0</v>
      </c>
      <c r="M14" s="9"/>
      <c r="N14" s="9"/>
      <c r="O14" s="9"/>
    </row>
    <row r="15" spans="1:15" ht="15.75" customHeight="1" x14ac:dyDescent="0.25">
      <c r="A15" s="5"/>
      <c r="B15" s="7" t="s">
        <v>37</v>
      </c>
      <c r="C15" s="11" t="s">
        <v>104</v>
      </c>
      <c r="D15" s="7"/>
      <c r="E15" s="23" t="s">
        <v>43</v>
      </c>
      <c r="F15" s="7"/>
      <c r="G15" s="7"/>
      <c r="H15" s="8">
        <f t="shared" si="0"/>
        <v>0</v>
      </c>
      <c r="I15" s="7" t="s">
        <v>36</v>
      </c>
      <c r="J15" s="7"/>
      <c r="K15" s="9"/>
      <c r="L15" s="10">
        <f t="shared" si="1"/>
        <v>0</v>
      </c>
      <c r="M15" s="9"/>
      <c r="N15" s="9"/>
      <c r="O15" s="9"/>
    </row>
    <row r="16" spans="1:15" ht="15.75" customHeight="1" x14ac:dyDescent="0.25">
      <c r="A16" s="5"/>
      <c r="B16" s="7" t="s">
        <v>38</v>
      </c>
      <c r="C16" s="21"/>
      <c r="D16" s="7"/>
      <c r="E16" s="19"/>
      <c r="F16" s="7"/>
      <c r="G16" s="7"/>
      <c r="H16" s="8">
        <f t="shared" si="0"/>
        <v>0</v>
      </c>
      <c r="I16" s="25" t="s">
        <v>36</v>
      </c>
      <c r="J16" s="7"/>
      <c r="K16" s="9"/>
      <c r="L16" s="10">
        <f t="shared" si="1"/>
        <v>0</v>
      </c>
      <c r="M16" s="9"/>
      <c r="N16" s="9"/>
      <c r="O16" s="9"/>
    </row>
    <row r="17" spans="1:15" ht="15.75" customHeight="1" x14ac:dyDescent="0.25">
      <c r="A17" s="5"/>
      <c r="B17" s="7" t="s">
        <v>39</v>
      </c>
      <c r="C17" s="21"/>
      <c r="D17" s="7"/>
      <c r="E17" s="19"/>
      <c r="F17" s="7"/>
      <c r="G17" s="7"/>
      <c r="H17" s="8">
        <f t="shared" si="0"/>
        <v>0</v>
      </c>
      <c r="I17" s="7" t="s">
        <v>36</v>
      </c>
      <c r="J17" s="7"/>
      <c r="K17" s="9"/>
      <c r="L17" s="10">
        <f t="shared" si="1"/>
        <v>0</v>
      </c>
      <c r="M17" s="9"/>
      <c r="N17" s="9"/>
      <c r="O17" s="9"/>
    </row>
    <row r="18" spans="1:15" ht="15.75" customHeight="1" x14ac:dyDescent="0.25">
      <c r="A18" s="5"/>
      <c r="B18" s="7" t="s">
        <v>40</v>
      </c>
      <c r="C18" s="22"/>
      <c r="D18" s="7"/>
      <c r="E18" s="20"/>
      <c r="F18" s="7"/>
      <c r="G18" s="7"/>
      <c r="H18" s="8">
        <f t="shared" si="0"/>
        <v>0</v>
      </c>
      <c r="I18" s="7" t="s">
        <v>36</v>
      </c>
      <c r="J18" s="7"/>
      <c r="K18" s="9"/>
      <c r="L18" s="10">
        <f t="shared" si="1"/>
        <v>0</v>
      </c>
      <c r="M18" s="9"/>
      <c r="N18" s="9"/>
      <c r="O18" s="9"/>
    </row>
    <row r="19" spans="1:15" ht="15.75" customHeight="1" x14ac:dyDescent="0.25">
      <c r="A19" s="5"/>
      <c r="B19" s="5" t="s">
        <v>41</v>
      </c>
      <c r="C19" s="7"/>
      <c r="D19" s="7" t="s">
        <v>42</v>
      </c>
      <c r="E19" s="7" t="s">
        <v>46</v>
      </c>
      <c r="F19" s="7"/>
      <c r="G19" s="7"/>
      <c r="H19" s="7"/>
      <c r="I19" s="25" t="s">
        <v>116</v>
      </c>
      <c r="J19" s="7"/>
      <c r="K19" s="9"/>
      <c r="L19" s="9"/>
      <c r="M19" s="9"/>
      <c r="N19" s="9"/>
      <c r="O19" s="9"/>
    </row>
    <row r="20" spans="1:15" ht="15.75" customHeight="1" x14ac:dyDescent="0.25">
      <c r="A20" s="4" t="s">
        <v>44</v>
      </c>
      <c r="B20" s="7" t="s">
        <v>45</v>
      </c>
      <c r="C20" s="7"/>
      <c r="D20" s="7"/>
      <c r="E20" s="5" t="s">
        <v>48</v>
      </c>
      <c r="F20" s="7"/>
      <c r="G20" s="7"/>
      <c r="H20" s="8">
        <f t="shared" ref="H20:H53" si="2">F20*G20</f>
        <v>0</v>
      </c>
      <c r="I20" s="25" t="s">
        <v>111</v>
      </c>
      <c r="J20" s="7"/>
      <c r="K20" s="9"/>
      <c r="L20" s="10">
        <f t="shared" ref="L20:L53" si="3">J20*K20</f>
        <v>0</v>
      </c>
      <c r="M20" s="9"/>
      <c r="N20" s="9"/>
      <c r="O20" s="9"/>
    </row>
    <row r="21" spans="1:15" ht="15.75" customHeight="1" x14ac:dyDescent="0.25">
      <c r="A21" s="5"/>
      <c r="B21" s="7" t="s">
        <v>47</v>
      </c>
      <c r="C21" s="7"/>
      <c r="D21" s="7"/>
      <c r="E21" s="5" t="s">
        <v>50</v>
      </c>
      <c r="F21" s="7"/>
      <c r="G21" s="7"/>
      <c r="H21" s="8">
        <f t="shared" si="2"/>
        <v>0</v>
      </c>
      <c r="I21" s="25" t="s">
        <v>111</v>
      </c>
      <c r="J21" s="7"/>
      <c r="K21" s="9"/>
      <c r="L21" s="10">
        <f t="shared" si="3"/>
        <v>0</v>
      </c>
      <c r="M21" s="9"/>
      <c r="N21" s="9"/>
      <c r="O21" s="9"/>
    </row>
    <row r="22" spans="1:15" ht="15.75" customHeight="1" x14ac:dyDescent="0.25">
      <c r="A22" s="5"/>
      <c r="B22" s="7" t="s">
        <v>49</v>
      </c>
      <c r="C22" s="7"/>
      <c r="D22" s="7"/>
      <c r="E22" s="5" t="s">
        <v>52</v>
      </c>
      <c r="F22" s="7"/>
      <c r="G22" s="7"/>
      <c r="H22" s="8">
        <f t="shared" si="2"/>
        <v>0</v>
      </c>
      <c r="I22" s="25" t="s">
        <v>112</v>
      </c>
      <c r="J22" s="7"/>
      <c r="K22" s="9"/>
      <c r="L22" s="10">
        <f t="shared" si="3"/>
        <v>0</v>
      </c>
      <c r="M22" s="9"/>
      <c r="N22" s="9"/>
      <c r="O22" s="9"/>
    </row>
    <row r="23" spans="1:15" ht="15.75" customHeight="1" x14ac:dyDescent="0.25">
      <c r="A23" s="5"/>
      <c r="B23" s="7" t="s">
        <v>51</v>
      </c>
      <c r="C23" s="7"/>
      <c r="D23" s="7"/>
      <c r="E23" s="5" t="s">
        <v>54</v>
      </c>
      <c r="F23" s="7"/>
      <c r="G23" s="7"/>
      <c r="H23" s="8">
        <f t="shared" si="2"/>
        <v>0</v>
      </c>
      <c r="I23" s="7" t="s">
        <v>53</v>
      </c>
      <c r="J23" s="7"/>
      <c r="K23" s="9"/>
      <c r="L23" s="10">
        <f t="shared" si="3"/>
        <v>0</v>
      </c>
      <c r="M23" s="9"/>
      <c r="N23" s="9"/>
      <c r="O23" s="9"/>
    </row>
    <row r="24" spans="1:15" ht="15.75" customHeight="1" x14ac:dyDescent="0.25">
      <c r="A24" s="5"/>
      <c r="B24" s="7" t="s">
        <v>29</v>
      </c>
      <c r="C24" s="7" t="s">
        <v>29</v>
      </c>
      <c r="D24" s="7"/>
      <c r="E24" s="5" t="s">
        <v>66</v>
      </c>
      <c r="F24" s="7"/>
      <c r="G24" s="7"/>
      <c r="H24" s="8">
        <f t="shared" si="2"/>
        <v>0</v>
      </c>
      <c r="I24" s="7" t="s">
        <v>55</v>
      </c>
      <c r="J24" s="7"/>
      <c r="K24" s="9"/>
      <c r="L24" s="10">
        <f t="shared" si="3"/>
        <v>0</v>
      </c>
      <c r="M24" s="9"/>
      <c r="N24" s="9"/>
      <c r="O24" s="9"/>
    </row>
    <row r="25" spans="1:15" ht="12.75" customHeight="1" x14ac:dyDescent="0.25">
      <c r="A25" s="5"/>
      <c r="B25" s="7"/>
      <c r="C25" s="7" t="s">
        <v>56</v>
      </c>
      <c r="D25" s="7"/>
      <c r="E25" s="5"/>
      <c r="F25" s="7"/>
      <c r="G25" s="7"/>
      <c r="H25" s="8">
        <f t="shared" si="2"/>
        <v>0</v>
      </c>
      <c r="I25" s="7" t="s">
        <v>57</v>
      </c>
      <c r="J25" s="7"/>
      <c r="K25" s="9"/>
      <c r="L25" s="10">
        <f t="shared" si="3"/>
        <v>0</v>
      </c>
      <c r="M25" s="9"/>
      <c r="N25" s="9"/>
      <c r="O25" s="9"/>
    </row>
    <row r="26" spans="1:15" ht="12.75" customHeight="1" x14ac:dyDescent="0.25">
      <c r="A26" s="4" t="s">
        <v>58</v>
      </c>
      <c r="B26" s="7" t="s">
        <v>59</v>
      </c>
      <c r="C26" s="7"/>
      <c r="D26" s="7"/>
      <c r="E26" s="7" t="s">
        <v>54</v>
      </c>
      <c r="F26" s="7"/>
      <c r="G26" s="7"/>
      <c r="H26" s="8">
        <f t="shared" si="2"/>
        <v>0</v>
      </c>
      <c r="I26" s="25" t="s">
        <v>113</v>
      </c>
      <c r="J26" s="7"/>
      <c r="K26" s="9"/>
      <c r="L26" s="10">
        <f t="shared" si="3"/>
        <v>0</v>
      </c>
      <c r="M26" s="9"/>
      <c r="N26" s="9"/>
      <c r="O26" s="9"/>
    </row>
    <row r="27" spans="1:15" ht="12.75" customHeight="1" x14ac:dyDescent="0.25">
      <c r="A27" s="5"/>
      <c r="B27" s="7"/>
      <c r="C27" s="7" t="s">
        <v>60</v>
      </c>
      <c r="D27" s="7"/>
      <c r="E27" s="7"/>
      <c r="F27" s="7"/>
      <c r="G27" s="7"/>
      <c r="H27" s="8">
        <f t="shared" si="2"/>
        <v>0</v>
      </c>
      <c r="I27" s="7"/>
      <c r="J27" s="7"/>
      <c r="K27" s="9"/>
      <c r="L27" s="10">
        <f t="shared" si="3"/>
        <v>0</v>
      </c>
      <c r="M27" s="9"/>
      <c r="N27" s="9"/>
      <c r="O27" s="9"/>
    </row>
    <row r="28" spans="1:15" ht="12.75" customHeight="1" x14ac:dyDescent="0.25">
      <c r="A28" s="5"/>
      <c r="B28" s="7"/>
      <c r="C28" s="7" t="s">
        <v>61</v>
      </c>
      <c r="D28" s="7"/>
      <c r="E28" s="7"/>
      <c r="F28" s="7"/>
      <c r="G28" s="7"/>
      <c r="H28" s="8">
        <f t="shared" si="2"/>
        <v>0</v>
      </c>
      <c r="I28" s="7"/>
      <c r="J28" s="7"/>
      <c r="K28" s="9"/>
      <c r="L28" s="10">
        <f t="shared" si="3"/>
        <v>0</v>
      </c>
      <c r="M28" s="9"/>
      <c r="N28" s="9"/>
      <c r="O28" s="9"/>
    </row>
    <row r="29" spans="1:15" ht="12.75" customHeight="1" x14ac:dyDescent="0.25">
      <c r="A29" s="5"/>
      <c r="B29" s="7"/>
      <c r="C29" s="7" t="s">
        <v>62</v>
      </c>
      <c r="D29" s="7"/>
      <c r="E29" s="7"/>
      <c r="F29" s="7"/>
      <c r="G29" s="7"/>
      <c r="H29" s="8">
        <f t="shared" si="2"/>
        <v>0</v>
      </c>
      <c r="I29" s="7"/>
      <c r="J29" s="7"/>
      <c r="K29" s="9"/>
      <c r="L29" s="10">
        <f t="shared" si="3"/>
        <v>0</v>
      </c>
      <c r="M29" s="9"/>
      <c r="N29" s="9"/>
      <c r="O29" s="9"/>
    </row>
    <row r="30" spans="1:15" ht="12.75" customHeight="1" x14ac:dyDescent="0.25">
      <c r="A30" s="5"/>
      <c r="B30" s="7"/>
      <c r="C30" s="7" t="s">
        <v>63</v>
      </c>
      <c r="D30" s="7"/>
      <c r="E30" s="7"/>
      <c r="F30" s="7"/>
      <c r="G30" s="7"/>
      <c r="H30" s="8">
        <f t="shared" si="2"/>
        <v>0</v>
      </c>
      <c r="I30" s="7"/>
      <c r="J30" s="7"/>
      <c r="K30" s="9"/>
      <c r="L30" s="10">
        <f t="shared" si="3"/>
        <v>0</v>
      </c>
      <c r="M30" s="9"/>
      <c r="N30" s="9"/>
      <c r="O30" s="9"/>
    </row>
    <row r="31" spans="1:15" ht="12.75" customHeight="1" x14ac:dyDescent="0.25">
      <c r="A31" s="5"/>
      <c r="B31" s="7"/>
      <c r="C31" s="7" t="s">
        <v>64</v>
      </c>
      <c r="D31" s="7"/>
      <c r="E31" s="7"/>
      <c r="F31" s="7"/>
      <c r="G31" s="7"/>
      <c r="H31" s="8">
        <f t="shared" si="2"/>
        <v>0</v>
      </c>
      <c r="I31" s="7"/>
      <c r="J31" s="7"/>
      <c r="K31" s="9"/>
      <c r="L31" s="10">
        <f t="shared" si="3"/>
        <v>0</v>
      </c>
      <c r="M31" s="9"/>
      <c r="N31" s="9"/>
      <c r="O31" s="9"/>
    </row>
    <row r="32" spans="1:15" ht="12.75" customHeight="1" x14ac:dyDescent="0.25">
      <c r="A32" s="5"/>
      <c r="B32" s="7" t="s">
        <v>65</v>
      </c>
      <c r="C32" s="7" t="s">
        <v>65</v>
      </c>
      <c r="D32" s="7"/>
      <c r="E32" s="7" t="s">
        <v>71</v>
      </c>
      <c r="F32" s="7"/>
      <c r="G32" s="7"/>
      <c r="H32" s="8">
        <f t="shared" si="2"/>
        <v>0</v>
      </c>
      <c r="I32" s="7" t="s">
        <v>67</v>
      </c>
      <c r="J32" s="7"/>
      <c r="K32" s="9"/>
      <c r="L32" s="10">
        <f t="shared" si="3"/>
        <v>0</v>
      </c>
      <c r="M32" s="9"/>
      <c r="N32" s="9"/>
      <c r="O32" s="9"/>
    </row>
    <row r="33" spans="1:15" ht="12.75" customHeight="1" x14ac:dyDescent="0.25">
      <c r="A33" s="5"/>
      <c r="B33" s="7"/>
      <c r="C33" s="7" t="s">
        <v>68</v>
      </c>
      <c r="D33" s="7"/>
      <c r="E33" s="7"/>
      <c r="F33" s="7"/>
      <c r="G33" s="7"/>
      <c r="H33" s="8">
        <f t="shared" si="2"/>
        <v>0</v>
      </c>
      <c r="I33" s="7"/>
      <c r="J33" s="7"/>
      <c r="K33" s="9"/>
      <c r="L33" s="10">
        <f t="shared" si="3"/>
        <v>0</v>
      </c>
      <c r="M33" s="9"/>
      <c r="N33" s="9"/>
      <c r="O33" s="9"/>
    </row>
    <row r="34" spans="1:15" ht="12.75" customHeight="1" x14ac:dyDescent="0.25">
      <c r="A34" s="5"/>
      <c r="B34" s="7"/>
      <c r="C34" s="7" t="s">
        <v>69</v>
      </c>
      <c r="D34" s="7"/>
      <c r="E34" s="7"/>
      <c r="F34" s="7"/>
      <c r="G34" s="7"/>
      <c r="H34" s="8">
        <f t="shared" si="2"/>
        <v>0</v>
      </c>
      <c r="I34" s="7"/>
      <c r="J34" s="7"/>
      <c r="K34" s="9"/>
      <c r="L34" s="10">
        <f t="shared" si="3"/>
        <v>0</v>
      </c>
      <c r="M34" s="9"/>
      <c r="N34" s="9"/>
      <c r="O34" s="9"/>
    </row>
    <row r="35" spans="1:15" ht="12.75" customHeight="1" x14ac:dyDescent="0.25">
      <c r="A35" s="5"/>
      <c r="B35" s="7" t="s">
        <v>70</v>
      </c>
      <c r="C35" s="7"/>
      <c r="D35" s="7"/>
      <c r="E35" s="7" t="s">
        <v>73</v>
      </c>
      <c r="F35" s="7"/>
      <c r="G35" s="7"/>
      <c r="H35" s="8">
        <f t="shared" si="2"/>
        <v>0</v>
      </c>
      <c r="I35" s="16" t="s">
        <v>74</v>
      </c>
      <c r="J35" s="7"/>
      <c r="K35" s="9"/>
      <c r="L35" s="10">
        <f t="shared" si="3"/>
        <v>0</v>
      </c>
      <c r="M35" s="9"/>
      <c r="N35" s="9"/>
      <c r="O35" s="9"/>
    </row>
    <row r="36" spans="1:15" ht="12.75" customHeight="1" x14ac:dyDescent="0.25">
      <c r="A36" s="5"/>
      <c r="C36" s="7" t="s">
        <v>72</v>
      </c>
      <c r="D36" s="7"/>
      <c r="F36" s="7"/>
      <c r="G36" s="7"/>
      <c r="H36" s="8">
        <f t="shared" si="2"/>
        <v>0</v>
      </c>
      <c r="I36" s="7"/>
      <c r="J36" s="7"/>
      <c r="K36" s="9"/>
      <c r="L36" s="10">
        <f t="shared" si="3"/>
        <v>0</v>
      </c>
      <c r="M36" s="9"/>
      <c r="N36" s="9"/>
      <c r="O36" s="9"/>
    </row>
    <row r="37" spans="1:15" ht="12.75" customHeight="1" x14ac:dyDescent="0.25">
      <c r="A37" s="5"/>
      <c r="C37" s="7" t="s">
        <v>75</v>
      </c>
      <c r="D37" s="7"/>
      <c r="E37" s="7"/>
      <c r="F37" s="7"/>
      <c r="G37" s="7"/>
      <c r="H37" s="8">
        <f t="shared" si="2"/>
        <v>0</v>
      </c>
      <c r="I37" s="7"/>
      <c r="J37" s="7"/>
      <c r="K37" s="9"/>
      <c r="L37" s="10">
        <f t="shared" si="3"/>
        <v>0</v>
      </c>
      <c r="M37" s="9"/>
      <c r="N37" s="9"/>
      <c r="O37" s="9"/>
    </row>
    <row r="38" spans="1:15" ht="12.75" customHeight="1" x14ac:dyDescent="0.25">
      <c r="A38" s="5"/>
      <c r="B38" s="7" t="s">
        <v>105</v>
      </c>
      <c r="C38" s="7" t="s">
        <v>77</v>
      </c>
      <c r="D38" s="7"/>
      <c r="E38" s="7" t="s">
        <v>76</v>
      </c>
      <c r="F38" s="7"/>
      <c r="G38" s="7"/>
      <c r="H38" s="8">
        <f t="shared" si="2"/>
        <v>0</v>
      </c>
      <c r="I38" s="7" t="s">
        <v>115</v>
      </c>
      <c r="J38" s="7"/>
      <c r="K38" s="9"/>
      <c r="L38" s="10">
        <f t="shared" si="3"/>
        <v>0</v>
      </c>
      <c r="M38" s="9"/>
      <c r="N38" s="9"/>
      <c r="O38" s="9"/>
    </row>
    <row r="39" spans="1:15" ht="12.75" customHeight="1" x14ac:dyDescent="0.25">
      <c r="A39" s="5"/>
      <c r="B39" s="7"/>
      <c r="C39" s="7" t="s">
        <v>79</v>
      </c>
      <c r="D39" s="7"/>
      <c r="E39" s="7"/>
      <c r="F39" s="7"/>
      <c r="G39" s="7"/>
      <c r="H39" s="8">
        <f t="shared" si="2"/>
        <v>0</v>
      </c>
      <c r="I39" s="7"/>
      <c r="J39" s="7"/>
      <c r="K39" s="9"/>
      <c r="L39" s="10">
        <f t="shared" si="3"/>
        <v>0</v>
      </c>
      <c r="M39" s="9"/>
      <c r="N39" s="9"/>
      <c r="O39" s="9"/>
    </row>
    <row r="40" spans="1:15" ht="12.75" customHeight="1" x14ac:dyDescent="0.25">
      <c r="A40" s="9"/>
      <c r="B40" s="5" t="s">
        <v>80</v>
      </c>
      <c r="C40" s="7" t="s">
        <v>81</v>
      </c>
      <c r="D40" s="7"/>
      <c r="E40" s="7" t="s">
        <v>78</v>
      </c>
      <c r="F40" s="7"/>
      <c r="G40" s="7"/>
      <c r="H40" s="8">
        <f t="shared" si="2"/>
        <v>0</v>
      </c>
      <c r="I40" s="7"/>
      <c r="J40" s="7"/>
      <c r="K40" s="9"/>
      <c r="L40" s="10">
        <f t="shared" si="3"/>
        <v>0</v>
      </c>
      <c r="M40" s="9"/>
      <c r="N40" s="9"/>
      <c r="O40" s="9"/>
    </row>
    <row r="41" spans="1:15" ht="12.75" customHeight="1" x14ac:dyDescent="0.25">
      <c r="A41" s="9"/>
      <c r="B41" s="5"/>
      <c r="C41" s="7" t="s">
        <v>83</v>
      </c>
      <c r="D41" s="7"/>
      <c r="E41" s="7" t="s">
        <v>82</v>
      </c>
      <c r="F41" s="7"/>
      <c r="G41" s="7"/>
      <c r="H41" s="8">
        <f t="shared" si="2"/>
        <v>0</v>
      </c>
      <c r="I41" s="7"/>
      <c r="J41" s="7"/>
      <c r="K41" s="9"/>
      <c r="L41" s="10">
        <f t="shared" si="3"/>
        <v>0</v>
      </c>
      <c r="M41" s="9"/>
      <c r="N41" s="9"/>
      <c r="O41" s="9"/>
    </row>
    <row r="42" spans="1:15" ht="12.75" customHeight="1" x14ac:dyDescent="0.25">
      <c r="A42" s="9"/>
      <c r="B42" s="5"/>
      <c r="C42" s="7" t="s">
        <v>85</v>
      </c>
      <c r="D42" s="7"/>
      <c r="E42" s="7" t="s">
        <v>84</v>
      </c>
      <c r="F42" s="7"/>
      <c r="G42" s="7"/>
      <c r="H42" s="8">
        <f t="shared" si="2"/>
        <v>0</v>
      </c>
      <c r="I42" s="7"/>
      <c r="J42" s="7"/>
      <c r="K42" s="9"/>
      <c r="L42" s="10">
        <f t="shared" si="3"/>
        <v>0</v>
      </c>
      <c r="M42" s="9"/>
      <c r="N42" s="9"/>
      <c r="O42" s="9"/>
    </row>
    <row r="43" spans="1:15" ht="12.75" customHeight="1" x14ac:dyDescent="0.25">
      <c r="A43" s="9"/>
      <c r="B43" s="5"/>
      <c r="C43" s="7" t="s">
        <v>87</v>
      </c>
      <c r="D43" s="13"/>
      <c r="E43" s="7" t="s">
        <v>86</v>
      </c>
      <c r="F43" s="7"/>
      <c r="G43" s="7"/>
      <c r="H43" s="8">
        <f t="shared" si="2"/>
        <v>0</v>
      </c>
      <c r="I43" s="7"/>
      <c r="J43" s="7"/>
      <c r="K43" s="9"/>
      <c r="L43" s="10">
        <f t="shared" si="3"/>
        <v>0</v>
      </c>
      <c r="M43" s="9"/>
      <c r="N43" s="9"/>
      <c r="O43" s="9"/>
    </row>
    <row r="44" spans="1:15" ht="12.75" customHeight="1" x14ac:dyDescent="0.25">
      <c r="A44" s="9"/>
      <c r="B44" s="5"/>
      <c r="C44" s="7"/>
      <c r="D44" s="7" t="s">
        <v>89</v>
      </c>
      <c r="E44" s="7"/>
      <c r="F44" s="7"/>
      <c r="G44" s="7"/>
      <c r="H44" s="8">
        <f t="shared" si="2"/>
        <v>0</v>
      </c>
      <c r="I44" s="7"/>
      <c r="J44" s="7"/>
      <c r="K44" s="9"/>
      <c r="L44" s="10">
        <f t="shared" si="3"/>
        <v>0</v>
      </c>
      <c r="M44" s="9"/>
      <c r="N44" s="9"/>
      <c r="O44" s="9"/>
    </row>
    <row r="45" spans="1:15" ht="12.75" customHeight="1" x14ac:dyDescent="0.25">
      <c r="A45" s="9"/>
      <c r="B45" s="5"/>
      <c r="C45" s="7"/>
      <c r="D45" s="7" t="s">
        <v>90</v>
      </c>
      <c r="E45" s="7"/>
      <c r="F45" s="7"/>
      <c r="G45" s="7"/>
      <c r="H45" s="8">
        <f t="shared" si="2"/>
        <v>0</v>
      </c>
      <c r="I45" s="7"/>
      <c r="J45" s="7"/>
      <c r="K45" s="9"/>
      <c r="L45" s="10">
        <f t="shared" si="3"/>
        <v>0</v>
      </c>
      <c r="M45" s="9"/>
      <c r="N45" s="9"/>
      <c r="O45" s="9"/>
    </row>
    <row r="46" spans="1:15" ht="12.75" customHeight="1" x14ac:dyDescent="0.25">
      <c r="A46" s="9"/>
      <c r="B46" s="5"/>
      <c r="C46" s="7"/>
      <c r="D46" s="7" t="s">
        <v>91</v>
      </c>
      <c r="E46" s="7"/>
      <c r="F46" s="7"/>
      <c r="G46" s="7"/>
      <c r="H46" s="8">
        <f t="shared" si="2"/>
        <v>0</v>
      </c>
      <c r="I46" s="7"/>
      <c r="J46" s="7"/>
      <c r="K46" s="9"/>
      <c r="L46" s="10">
        <f t="shared" si="3"/>
        <v>0</v>
      </c>
      <c r="M46" s="9"/>
      <c r="N46" s="9"/>
      <c r="O46" s="9"/>
    </row>
    <row r="47" spans="1:15" ht="12.75" customHeight="1" x14ac:dyDescent="0.25">
      <c r="A47" s="9"/>
      <c r="B47" s="5"/>
      <c r="C47" s="7"/>
      <c r="D47" s="7" t="s">
        <v>92</v>
      </c>
      <c r="E47" s="7"/>
      <c r="F47" s="7"/>
      <c r="G47" s="7"/>
      <c r="H47" s="8">
        <f t="shared" si="2"/>
        <v>0</v>
      </c>
      <c r="I47" s="7"/>
      <c r="J47" s="7"/>
      <c r="K47" s="9"/>
      <c r="L47" s="10">
        <f t="shared" si="3"/>
        <v>0</v>
      </c>
      <c r="M47" s="9"/>
      <c r="N47" s="9"/>
      <c r="O47" s="9"/>
    </row>
    <row r="48" spans="1:15" ht="12.75" customHeight="1" x14ac:dyDescent="0.25">
      <c r="A48" s="9"/>
      <c r="B48" s="5"/>
      <c r="C48" s="7"/>
      <c r="D48" s="7" t="s">
        <v>93</v>
      </c>
      <c r="E48" s="7"/>
      <c r="F48" s="7"/>
      <c r="G48" s="7"/>
      <c r="H48" s="8">
        <f t="shared" si="2"/>
        <v>0</v>
      </c>
      <c r="I48" s="7"/>
      <c r="J48" s="7"/>
      <c r="K48" s="9"/>
      <c r="L48" s="10">
        <f t="shared" si="3"/>
        <v>0</v>
      </c>
      <c r="M48" s="9"/>
      <c r="N48" s="9"/>
      <c r="O48" s="9"/>
    </row>
    <row r="49" spans="1:15" ht="12.75" customHeight="1" x14ac:dyDescent="0.25">
      <c r="A49" s="9"/>
      <c r="B49" s="5" t="s">
        <v>94</v>
      </c>
      <c r="C49" s="7" t="s">
        <v>95</v>
      </c>
      <c r="D49" s="7"/>
      <c r="E49" s="7" t="s">
        <v>88</v>
      </c>
      <c r="F49" s="7"/>
      <c r="G49" s="7"/>
      <c r="H49" s="8">
        <f t="shared" si="2"/>
        <v>0</v>
      </c>
      <c r="I49" s="7"/>
      <c r="J49" s="7"/>
      <c r="K49" s="9"/>
      <c r="L49" s="10">
        <f t="shared" si="3"/>
        <v>0</v>
      </c>
      <c r="M49" s="9"/>
      <c r="N49" s="9"/>
      <c r="O49" s="9"/>
    </row>
    <row r="50" spans="1:15" ht="12.75" customHeight="1" x14ac:dyDescent="0.25">
      <c r="A50" s="9"/>
      <c r="B50" s="5"/>
      <c r="C50" s="7" t="s">
        <v>97</v>
      </c>
      <c r="D50" s="7"/>
      <c r="E50" s="7"/>
      <c r="F50" s="7"/>
      <c r="G50" s="7"/>
      <c r="H50" s="8">
        <f t="shared" si="2"/>
        <v>0</v>
      </c>
      <c r="I50" s="7"/>
      <c r="J50" s="7"/>
      <c r="K50" s="9"/>
      <c r="L50" s="10">
        <f t="shared" si="3"/>
        <v>0</v>
      </c>
      <c r="M50" s="9"/>
      <c r="N50" s="9"/>
      <c r="O50" s="9"/>
    </row>
    <row r="51" spans="1:15" ht="12.75" customHeight="1" x14ac:dyDescent="0.25">
      <c r="A51" s="9"/>
      <c r="B51" s="5"/>
      <c r="C51" s="7" t="s">
        <v>98</v>
      </c>
      <c r="D51" s="7"/>
      <c r="E51" s="7"/>
      <c r="F51" s="7"/>
      <c r="G51" s="7"/>
      <c r="H51" s="8">
        <f t="shared" si="2"/>
        <v>0</v>
      </c>
      <c r="I51" s="25" t="s">
        <v>114</v>
      </c>
      <c r="J51" s="7"/>
      <c r="K51" s="9"/>
      <c r="L51" s="10">
        <f t="shared" si="3"/>
        <v>0</v>
      </c>
      <c r="M51" s="9"/>
      <c r="N51" s="9"/>
      <c r="O51" s="9"/>
    </row>
    <row r="52" spans="1:15" ht="12.75" customHeight="1" x14ac:dyDescent="0.25">
      <c r="A52" s="9"/>
      <c r="B52" s="5" t="s">
        <v>99</v>
      </c>
      <c r="C52" s="7"/>
      <c r="D52" s="7"/>
      <c r="E52" s="7" t="s">
        <v>96</v>
      </c>
      <c r="F52" s="7"/>
      <c r="G52" s="7"/>
      <c r="H52" s="8">
        <f t="shared" si="2"/>
        <v>0</v>
      </c>
      <c r="I52" s="7"/>
      <c r="J52" s="7"/>
      <c r="K52" s="9"/>
      <c r="L52" s="10">
        <f t="shared" si="3"/>
        <v>0</v>
      </c>
      <c r="M52" s="9"/>
      <c r="N52" s="9"/>
      <c r="O52" s="9"/>
    </row>
    <row r="53" spans="1:15" ht="12.75" customHeight="1" x14ac:dyDescent="0.25">
      <c r="A53" s="9"/>
      <c r="B53" s="13"/>
      <c r="C53" s="13"/>
      <c r="D53" s="13"/>
      <c r="E53" s="13"/>
      <c r="F53" s="7"/>
      <c r="G53" s="7"/>
      <c r="H53" s="8">
        <f t="shared" si="2"/>
        <v>0</v>
      </c>
      <c r="I53" s="7"/>
      <c r="J53" s="7"/>
      <c r="K53" s="9"/>
      <c r="L53" s="10">
        <f t="shared" si="3"/>
        <v>0</v>
      </c>
      <c r="M53" s="9"/>
      <c r="N53" s="9"/>
      <c r="O53" s="9"/>
    </row>
    <row r="54" spans="1:15" ht="15.75" customHeight="1" x14ac:dyDescent="0.25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</row>
    <row r="55" spans="1:15" ht="15.75" customHeight="1" x14ac:dyDescent="0.25">
      <c r="A55" s="13"/>
      <c r="B55" s="13"/>
      <c r="C55" s="13"/>
      <c r="D55" s="13"/>
      <c r="E55" s="13"/>
      <c r="F55" s="13"/>
      <c r="G55" s="13"/>
      <c r="H55" s="13"/>
      <c r="I55" s="13"/>
      <c r="J55" s="13"/>
      <c r="K55" s="13"/>
      <c r="L55" s="13"/>
    </row>
    <row r="56" spans="1:15" ht="15.75" customHeight="1" x14ac:dyDescent="0.25">
      <c r="A56" s="13"/>
      <c r="B56" s="13"/>
      <c r="C56" s="13"/>
      <c r="D56" s="13"/>
      <c r="E56" s="13"/>
      <c r="F56" s="13"/>
      <c r="G56" s="13"/>
      <c r="H56" s="13"/>
      <c r="I56" s="13"/>
      <c r="J56" s="13"/>
      <c r="K56" s="13"/>
      <c r="L56" s="13"/>
    </row>
    <row r="57" spans="1:15" ht="15.75" customHeight="1" x14ac:dyDescent="0.25">
      <c r="A57" s="13"/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</row>
    <row r="58" spans="1:15" ht="15.75" customHeight="1" x14ac:dyDescent="0.25">
      <c r="A58" s="13"/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</row>
    <row r="59" spans="1:15" ht="15.75" customHeight="1" x14ac:dyDescent="0.25">
      <c r="A59" s="13"/>
      <c r="B59" s="13"/>
      <c r="C59" s="13"/>
      <c r="D59" s="13"/>
      <c r="E59" s="13"/>
      <c r="F59" s="13"/>
      <c r="G59" s="13"/>
      <c r="H59" s="13"/>
      <c r="I59" s="13"/>
      <c r="J59" s="13"/>
      <c r="K59" s="13"/>
      <c r="L59" s="13"/>
    </row>
    <row r="60" spans="1:15" ht="15.75" customHeight="1" x14ac:dyDescent="0.25">
      <c r="A60" s="13"/>
      <c r="B60" s="13"/>
      <c r="C60" s="13"/>
      <c r="D60" s="13"/>
      <c r="E60" s="13"/>
      <c r="F60" s="13"/>
      <c r="G60" s="13"/>
      <c r="H60" s="13"/>
      <c r="I60" s="13"/>
      <c r="J60" s="13"/>
      <c r="K60" s="13"/>
      <c r="L60" s="13"/>
    </row>
    <row r="61" spans="1:15" ht="15.75" customHeight="1" x14ac:dyDescent="0.25">
      <c r="A61" s="13"/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</row>
    <row r="62" spans="1:15" ht="15.75" customHeight="1" x14ac:dyDescent="0.25">
      <c r="A62" s="13"/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</row>
    <row r="63" spans="1:15" ht="15.75" customHeight="1" x14ac:dyDescent="0.25">
      <c r="A63" s="13"/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</row>
    <row r="64" spans="1:15" ht="15.75" customHeight="1" x14ac:dyDescent="0.25">
      <c r="A64" s="13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</row>
    <row r="65" spans="1:12" ht="15.75" customHeight="1" x14ac:dyDescent="0.25">
      <c r="A65" s="13"/>
      <c r="B65" s="13"/>
      <c r="C65" s="13"/>
      <c r="D65" s="13"/>
      <c r="E65" s="13"/>
      <c r="F65" s="13"/>
      <c r="G65" s="13"/>
      <c r="H65" s="13"/>
      <c r="I65" s="13"/>
      <c r="J65" s="13"/>
      <c r="K65" s="13"/>
      <c r="L65" s="13"/>
    </row>
    <row r="66" spans="1:12" ht="15.75" customHeight="1" x14ac:dyDescent="0.25">
      <c r="A66" s="13"/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</row>
    <row r="67" spans="1:12" ht="15.75" customHeight="1" x14ac:dyDescent="0.25">
      <c r="A67" s="13"/>
      <c r="B67" s="13"/>
      <c r="C67" s="13"/>
      <c r="D67" s="13"/>
      <c r="E67" s="13"/>
      <c r="F67" s="13"/>
      <c r="G67" s="13"/>
      <c r="H67" s="13"/>
      <c r="I67" s="13"/>
      <c r="J67" s="13"/>
      <c r="K67" s="13"/>
      <c r="L67" s="13"/>
    </row>
    <row r="68" spans="1:12" ht="15.75" customHeight="1" x14ac:dyDescent="0.25">
      <c r="A68" s="13"/>
      <c r="B68" s="13"/>
      <c r="C68" s="13"/>
      <c r="D68" s="13"/>
      <c r="E68" s="13"/>
      <c r="F68" s="13"/>
      <c r="G68" s="13"/>
      <c r="H68" s="13"/>
      <c r="I68" s="13"/>
      <c r="J68" s="13"/>
      <c r="K68" s="13"/>
      <c r="L68" s="13"/>
    </row>
    <row r="69" spans="1:12" ht="15.75" customHeight="1" x14ac:dyDescent="0.25">
      <c r="A69" s="13"/>
      <c r="B69" s="13"/>
      <c r="C69" s="13"/>
      <c r="D69" s="13"/>
      <c r="E69" s="13"/>
      <c r="F69" s="13"/>
      <c r="G69" s="13"/>
      <c r="H69" s="13"/>
      <c r="I69" s="13"/>
      <c r="J69" s="13"/>
      <c r="K69" s="13"/>
      <c r="L69" s="13"/>
    </row>
    <row r="70" spans="1:12" ht="15.75" customHeight="1" x14ac:dyDescent="0.25">
      <c r="A70" s="13"/>
      <c r="B70" s="13"/>
      <c r="C70" s="13"/>
      <c r="D70" s="13"/>
      <c r="E70" s="13"/>
      <c r="F70" s="13"/>
      <c r="G70" s="13"/>
      <c r="H70" s="13"/>
      <c r="I70" s="13"/>
      <c r="J70" s="13"/>
      <c r="K70" s="13"/>
      <c r="L70" s="13"/>
    </row>
    <row r="71" spans="1:12" ht="15.75" customHeight="1" x14ac:dyDescent="0.25">
      <c r="A71" s="13"/>
      <c r="B71" s="13"/>
      <c r="C71" s="13"/>
      <c r="D71" s="13"/>
      <c r="E71" s="13"/>
      <c r="F71" s="13"/>
      <c r="G71" s="13"/>
      <c r="H71" s="13"/>
      <c r="I71" s="13"/>
      <c r="J71" s="13"/>
      <c r="K71" s="13"/>
      <c r="L71" s="13"/>
    </row>
    <row r="72" spans="1:12" ht="15.75" customHeight="1" x14ac:dyDescent="0.25">
      <c r="A72" s="13"/>
      <c r="B72" s="13"/>
      <c r="C72" s="13"/>
      <c r="D72" s="13"/>
      <c r="E72" s="13"/>
      <c r="F72" s="13"/>
      <c r="G72" s="13"/>
      <c r="H72" s="13"/>
      <c r="I72" s="13"/>
      <c r="J72" s="13"/>
      <c r="K72" s="13"/>
      <c r="L72" s="13"/>
    </row>
    <row r="73" spans="1:12" ht="15.75" customHeight="1" x14ac:dyDescent="0.25">
      <c r="A73" s="13"/>
      <c r="B73" s="13"/>
      <c r="C73" s="13"/>
      <c r="D73" s="13"/>
      <c r="E73" s="13"/>
      <c r="F73" s="13"/>
      <c r="G73" s="13"/>
      <c r="H73" s="13"/>
      <c r="I73" s="13"/>
      <c r="J73" s="13"/>
      <c r="K73" s="13"/>
      <c r="L73" s="13"/>
    </row>
    <row r="74" spans="1:12" ht="15.75" customHeight="1" x14ac:dyDescent="0.25">
      <c r="A74" s="13"/>
      <c r="B74" s="13"/>
      <c r="C74" s="13"/>
      <c r="D74" s="13"/>
      <c r="E74" s="13"/>
      <c r="F74" s="13"/>
      <c r="G74" s="13"/>
      <c r="H74" s="13"/>
      <c r="I74" s="13"/>
      <c r="J74" s="13"/>
      <c r="K74" s="13"/>
      <c r="L74" s="13"/>
    </row>
    <row r="75" spans="1:12" ht="15.75" customHeight="1" x14ac:dyDescent="0.25">
      <c r="A75" s="13"/>
      <c r="B75" s="13"/>
      <c r="C75" s="13"/>
      <c r="D75" s="13"/>
      <c r="E75" s="13"/>
      <c r="F75" s="13"/>
      <c r="G75" s="13"/>
      <c r="H75" s="13"/>
      <c r="I75" s="13"/>
      <c r="J75" s="13"/>
      <c r="K75" s="13"/>
      <c r="L75" s="13"/>
    </row>
    <row r="76" spans="1:12" ht="15.75" customHeight="1" x14ac:dyDescent="0.25">
      <c r="A76" s="13"/>
      <c r="B76" s="13"/>
      <c r="C76" s="13"/>
      <c r="D76" s="13"/>
      <c r="E76" s="13"/>
      <c r="F76" s="13"/>
      <c r="G76" s="13"/>
      <c r="H76" s="13"/>
      <c r="I76" s="13"/>
      <c r="J76" s="13"/>
      <c r="K76" s="13"/>
      <c r="L76" s="13"/>
    </row>
    <row r="77" spans="1:12" ht="15.75" customHeight="1" x14ac:dyDescent="0.25">
      <c r="A77" s="13"/>
      <c r="B77" s="13"/>
      <c r="C77" s="13"/>
      <c r="D77" s="13"/>
      <c r="E77" s="13"/>
      <c r="F77" s="13"/>
      <c r="G77" s="13"/>
      <c r="H77" s="13"/>
      <c r="I77" s="13"/>
      <c r="J77" s="13"/>
      <c r="K77" s="13"/>
      <c r="L77" s="13"/>
    </row>
    <row r="78" spans="1:12" ht="15.75" customHeight="1" x14ac:dyDescent="0.25">
      <c r="A78" s="13"/>
      <c r="B78" s="13"/>
      <c r="C78" s="13"/>
      <c r="D78" s="13"/>
      <c r="E78" s="13"/>
      <c r="F78" s="13"/>
      <c r="G78" s="13"/>
      <c r="H78" s="13"/>
      <c r="I78" s="13"/>
      <c r="J78" s="13"/>
      <c r="K78" s="13"/>
      <c r="L78" s="13"/>
    </row>
    <row r="79" spans="1:12" ht="15.75" customHeight="1" x14ac:dyDescent="0.25">
      <c r="A79" s="13"/>
      <c r="B79" s="13"/>
      <c r="C79" s="13"/>
      <c r="D79" s="13"/>
      <c r="E79" s="13"/>
      <c r="F79" s="13"/>
      <c r="G79" s="13"/>
      <c r="H79" s="13"/>
      <c r="I79" s="13"/>
      <c r="J79" s="13"/>
      <c r="K79" s="13"/>
      <c r="L79" s="13"/>
    </row>
    <row r="80" spans="1:12" ht="15.75" customHeight="1" x14ac:dyDescent="0.25">
      <c r="A80" s="13"/>
      <c r="B80" s="13"/>
      <c r="C80" s="13"/>
      <c r="D80" s="13"/>
      <c r="E80" s="13"/>
      <c r="F80" s="13"/>
      <c r="G80" s="13"/>
      <c r="H80" s="13"/>
      <c r="I80" s="13"/>
      <c r="J80" s="13"/>
      <c r="K80" s="13"/>
      <c r="L80" s="13"/>
    </row>
    <row r="81" spans="1:12" ht="15.75" customHeight="1" x14ac:dyDescent="0.25">
      <c r="A81" s="13"/>
      <c r="B81" s="13"/>
      <c r="C81" s="13"/>
      <c r="D81" s="13"/>
      <c r="E81" s="13"/>
      <c r="F81" s="13"/>
      <c r="G81" s="13"/>
      <c r="H81" s="13"/>
      <c r="I81" s="13"/>
      <c r="J81" s="13"/>
      <c r="K81" s="13"/>
      <c r="L81" s="13"/>
    </row>
    <row r="82" spans="1:12" ht="15.75" customHeight="1" x14ac:dyDescent="0.25">
      <c r="A82" s="13"/>
      <c r="B82" s="13"/>
      <c r="C82" s="13"/>
      <c r="D82" s="13"/>
      <c r="E82" s="13"/>
      <c r="F82" s="13"/>
      <c r="G82" s="13"/>
      <c r="H82" s="13"/>
      <c r="I82" s="13"/>
      <c r="J82" s="13"/>
      <c r="K82" s="13"/>
      <c r="L82" s="13"/>
    </row>
    <row r="83" spans="1:12" ht="15.75" customHeight="1" x14ac:dyDescent="0.25">
      <c r="A83" s="13"/>
      <c r="B83" s="13"/>
      <c r="C83" s="13"/>
      <c r="D83" s="13"/>
      <c r="E83" s="13"/>
      <c r="F83" s="13"/>
      <c r="G83" s="13"/>
      <c r="H83" s="13"/>
      <c r="I83" s="13"/>
      <c r="J83" s="13"/>
      <c r="K83" s="13"/>
      <c r="L83" s="13"/>
    </row>
    <row r="84" spans="1:12" ht="15.75" customHeight="1" x14ac:dyDescent="0.25">
      <c r="A84" s="13"/>
      <c r="B84" s="13"/>
      <c r="C84" s="13"/>
      <c r="D84" s="13"/>
      <c r="E84" s="13"/>
      <c r="F84" s="13"/>
      <c r="G84" s="13"/>
      <c r="H84" s="13"/>
      <c r="I84" s="13"/>
      <c r="J84" s="13"/>
      <c r="K84" s="13"/>
      <c r="L84" s="13"/>
    </row>
    <row r="85" spans="1:12" ht="15.75" customHeight="1" x14ac:dyDescent="0.25">
      <c r="A85" s="13"/>
      <c r="B85" s="13"/>
      <c r="C85" s="13"/>
      <c r="D85" s="13"/>
      <c r="E85" s="13"/>
      <c r="F85" s="13"/>
      <c r="G85" s="13"/>
      <c r="H85" s="13"/>
      <c r="I85" s="13"/>
      <c r="J85" s="13"/>
      <c r="K85" s="13"/>
      <c r="L85" s="13"/>
    </row>
    <row r="86" spans="1:12" ht="15.75" customHeight="1" x14ac:dyDescent="0.25">
      <c r="A86" s="13"/>
      <c r="B86" s="13"/>
      <c r="C86" s="13"/>
      <c r="D86" s="13"/>
      <c r="E86" s="13"/>
      <c r="F86" s="13"/>
      <c r="G86" s="13"/>
      <c r="H86" s="13"/>
      <c r="I86" s="13"/>
      <c r="J86" s="13"/>
      <c r="K86" s="13"/>
      <c r="L86" s="13"/>
    </row>
    <row r="87" spans="1:12" ht="15.75" customHeight="1" x14ac:dyDescent="0.25">
      <c r="A87" s="13"/>
      <c r="B87" s="13"/>
      <c r="C87" s="13"/>
      <c r="D87" s="13"/>
      <c r="E87" s="13"/>
      <c r="F87" s="13"/>
      <c r="G87" s="13"/>
      <c r="H87" s="13"/>
      <c r="I87" s="13"/>
      <c r="J87" s="13"/>
      <c r="K87" s="13"/>
      <c r="L87" s="13"/>
    </row>
    <row r="88" spans="1:12" ht="15.75" customHeight="1" x14ac:dyDescent="0.25">
      <c r="A88" s="13"/>
      <c r="B88" s="13"/>
      <c r="C88" s="13"/>
      <c r="D88" s="13"/>
      <c r="E88" s="13"/>
      <c r="F88" s="13"/>
      <c r="G88" s="13"/>
      <c r="H88" s="13"/>
      <c r="I88" s="13"/>
      <c r="J88" s="13"/>
      <c r="K88" s="13"/>
      <c r="L88" s="13"/>
    </row>
    <row r="89" spans="1:12" ht="15.75" customHeight="1" x14ac:dyDescent="0.25">
      <c r="A89" s="13"/>
      <c r="B89" s="13"/>
      <c r="C89" s="13"/>
      <c r="D89" s="13"/>
      <c r="E89" s="13"/>
      <c r="F89" s="13"/>
      <c r="G89" s="13"/>
      <c r="H89" s="13"/>
      <c r="I89" s="13"/>
      <c r="J89" s="13"/>
      <c r="K89" s="13"/>
      <c r="L89" s="13"/>
    </row>
    <row r="90" spans="1:12" ht="15.75" customHeight="1" x14ac:dyDescent="0.25">
      <c r="A90" s="13"/>
      <c r="B90" s="13"/>
      <c r="C90" s="13"/>
      <c r="D90" s="13"/>
      <c r="E90" s="13"/>
      <c r="F90" s="13"/>
      <c r="G90" s="13"/>
      <c r="H90" s="13"/>
      <c r="I90" s="13"/>
      <c r="J90" s="13"/>
      <c r="K90" s="13"/>
      <c r="L90" s="13"/>
    </row>
    <row r="91" spans="1:12" ht="15.75" customHeight="1" x14ac:dyDescent="0.25">
      <c r="A91" s="13"/>
      <c r="B91" s="13"/>
      <c r="C91" s="13"/>
      <c r="D91" s="13"/>
      <c r="E91" s="13"/>
      <c r="F91" s="13"/>
      <c r="G91" s="13"/>
      <c r="H91" s="13"/>
      <c r="I91" s="13"/>
      <c r="J91" s="13"/>
      <c r="K91" s="13"/>
      <c r="L91" s="13"/>
    </row>
    <row r="92" spans="1:12" ht="15.75" customHeight="1" x14ac:dyDescent="0.25">
      <c r="A92" s="13"/>
      <c r="B92" s="13"/>
      <c r="C92" s="13"/>
      <c r="D92" s="13"/>
      <c r="E92" s="13"/>
      <c r="F92" s="13"/>
      <c r="G92" s="13"/>
      <c r="H92" s="13"/>
      <c r="I92" s="13"/>
      <c r="J92" s="13"/>
      <c r="K92" s="13"/>
      <c r="L92" s="13"/>
    </row>
    <row r="93" spans="1:12" ht="15.75" customHeight="1" x14ac:dyDescent="0.25">
      <c r="A93" s="13"/>
      <c r="B93" s="13"/>
      <c r="C93" s="13"/>
      <c r="D93" s="13"/>
      <c r="E93" s="13"/>
      <c r="F93" s="13"/>
      <c r="G93" s="13"/>
      <c r="H93" s="13"/>
      <c r="I93" s="13"/>
      <c r="J93" s="13"/>
      <c r="K93" s="13"/>
      <c r="L93" s="13"/>
    </row>
    <row r="94" spans="1:12" ht="15.75" customHeight="1" x14ac:dyDescent="0.25">
      <c r="A94" s="13"/>
      <c r="B94" s="13"/>
      <c r="C94" s="13"/>
      <c r="D94" s="13"/>
      <c r="E94" s="13"/>
      <c r="F94" s="13"/>
      <c r="G94" s="13"/>
      <c r="H94" s="13"/>
      <c r="I94" s="13"/>
      <c r="J94" s="13"/>
      <c r="K94" s="13"/>
      <c r="L94" s="13"/>
    </row>
    <row r="95" spans="1:12" ht="15.75" customHeight="1" x14ac:dyDescent="0.25">
      <c r="A95" s="13"/>
      <c r="B95" s="13"/>
      <c r="C95" s="13"/>
      <c r="D95" s="13"/>
      <c r="E95" s="13"/>
      <c r="F95" s="13"/>
      <c r="G95" s="13"/>
      <c r="H95" s="13"/>
      <c r="I95" s="13"/>
      <c r="J95" s="13"/>
      <c r="K95" s="13"/>
      <c r="L95" s="13"/>
    </row>
    <row r="96" spans="1:12" ht="15.75" customHeight="1" x14ac:dyDescent="0.25">
      <c r="A96" s="13"/>
      <c r="B96" s="13"/>
      <c r="C96" s="13"/>
      <c r="D96" s="13"/>
      <c r="E96" s="13"/>
      <c r="F96" s="13"/>
      <c r="G96" s="13"/>
      <c r="H96" s="13"/>
      <c r="I96" s="13"/>
      <c r="J96" s="13"/>
      <c r="K96" s="13"/>
      <c r="L96" s="13"/>
    </row>
    <row r="97" spans="1:12" ht="15.75" customHeight="1" x14ac:dyDescent="0.25">
      <c r="A97" s="13"/>
      <c r="B97" s="13"/>
      <c r="C97" s="13"/>
      <c r="D97" s="13"/>
      <c r="E97" s="13"/>
      <c r="F97" s="13"/>
      <c r="G97" s="13"/>
      <c r="H97" s="13"/>
      <c r="I97" s="13"/>
      <c r="J97" s="13"/>
      <c r="K97" s="13"/>
      <c r="L97" s="13"/>
    </row>
    <row r="98" spans="1:12" ht="15.75" customHeight="1" x14ac:dyDescent="0.25">
      <c r="A98" s="13"/>
      <c r="B98" s="13"/>
      <c r="C98" s="13"/>
      <c r="D98" s="13"/>
      <c r="E98" s="13"/>
      <c r="F98" s="13"/>
      <c r="G98" s="13"/>
      <c r="H98" s="13"/>
      <c r="I98" s="13"/>
      <c r="J98" s="13"/>
      <c r="K98" s="13"/>
      <c r="L98" s="13"/>
    </row>
    <row r="99" spans="1:12" ht="15.75" customHeight="1" x14ac:dyDescent="0.25">
      <c r="A99" s="13"/>
      <c r="B99" s="13"/>
      <c r="C99" s="13"/>
      <c r="D99" s="13"/>
      <c r="E99" s="13"/>
      <c r="F99" s="13"/>
      <c r="G99" s="13"/>
      <c r="H99" s="13"/>
      <c r="I99" s="13"/>
      <c r="J99" s="13"/>
      <c r="K99" s="13"/>
      <c r="L99" s="13"/>
    </row>
    <row r="100" spans="1:12" ht="15.75" customHeight="1" x14ac:dyDescent="0.25">
      <c r="A100" s="13"/>
      <c r="B100" s="13"/>
      <c r="C100" s="13"/>
      <c r="D100" s="13"/>
      <c r="E100" s="13"/>
      <c r="F100" s="13"/>
      <c r="G100" s="13"/>
      <c r="H100" s="13"/>
      <c r="I100" s="13"/>
      <c r="J100" s="13"/>
      <c r="K100" s="13"/>
      <c r="L100" s="13"/>
    </row>
    <row r="101" spans="1:12" ht="15.75" customHeight="1" x14ac:dyDescent="0.25">
      <c r="A101" s="13"/>
      <c r="B101" s="13"/>
      <c r="C101" s="13"/>
      <c r="D101" s="13"/>
      <c r="E101" s="13"/>
      <c r="F101" s="13"/>
      <c r="G101" s="13"/>
      <c r="H101" s="13"/>
      <c r="I101" s="13"/>
      <c r="J101" s="13"/>
      <c r="K101" s="13"/>
      <c r="L101" s="13"/>
    </row>
    <row r="102" spans="1:12" ht="15.75" customHeight="1" x14ac:dyDescent="0.25">
      <c r="A102" s="13"/>
      <c r="B102" s="13"/>
      <c r="C102" s="13"/>
      <c r="D102" s="13"/>
      <c r="E102" s="13"/>
      <c r="F102" s="13"/>
      <c r="G102" s="13"/>
      <c r="H102" s="13"/>
      <c r="I102" s="13"/>
      <c r="J102" s="13"/>
      <c r="K102" s="13"/>
      <c r="L102" s="13"/>
    </row>
    <row r="103" spans="1:12" ht="15.75" customHeight="1" x14ac:dyDescent="0.25">
      <c r="A103" s="13"/>
      <c r="B103" s="13"/>
      <c r="C103" s="13"/>
      <c r="D103" s="13"/>
      <c r="E103" s="13"/>
      <c r="F103" s="13"/>
      <c r="G103" s="13"/>
      <c r="H103" s="13"/>
      <c r="I103" s="13"/>
      <c r="J103" s="13"/>
      <c r="K103" s="13"/>
      <c r="L103" s="13"/>
    </row>
    <row r="104" spans="1:12" ht="15.75" customHeight="1" x14ac:dyDescent="0.25">
      <c r="A104" s="13"/>
      <c r="B104" s="13"/>
      <c r="C104" s="13"/>
      <c r="D104" s="13"/>
      <c r="E104" s="13"/>
      <c r="F104" s="13"/>
      <c r="G104" s="13"/>
      <c r="H104" s="13"/>
      <c r="I104" s="13"/>
      <c r="J104" s="13"/>
      <c r="K104" s="13"/>
      <c r="L104" s="13"/>
    </row>
    <row r="105" spans="1:12" ht="15.75" customHeight="1" x14ac:dyDescent="0.25">
      <c r="A105" s="13"/>
      <c r="B105" s="13"/>
      <c r="C105" s="13"/>
      <c r="D105" s="13"/>
      <c r="E105" s="13"/>
      <c r="F105" s="13"/>
      <c r="G105" s="13"/>
      <c r="H105" s="13"/>
      <c r="I105" s="13"/>
      <c r="J105" s="13"/>
      <c r="K105" s="13"/>
      <c r="L105" s="13"/>
    </row>
    <row r="106" spans="1:12" ht="15.75" customHeight="1" x14ac:dyDescent="0.25">
      <c r="A106" s="13"/>
      <c r="B106" s="13"/>
      <c r="C106" s="13"/>
      <c r="D106" s="13"/>
      <c r="E106" s="13"/>
      <c r="F106" s="13"/>
      <c r="G106" s="13"/>
      <c r="H106" s="13"/>
      <c r="I106" s="13"/>
      <c r="J106" s="13"/>
      <c r="K106" s="13"/>
      <c r="L106" s="13"/>
    </row>
    <row r="107" spans="1:12" ht="15.75" customHeight="1" x14ac:dyDescent="0.25">
      <c r="A107" s="13"/>
      <c r="B107" s="13"/>
      <c r="C107" s="13"/>
      <c r="D107" s="13"/>
      <c r="E107" s="13"/>
      <c r="F107" s="13"/>
      <c r="G107" s="13"/>
      <c r="H107" s="13"/>
      <c r="I107" s="13"/>
      <c r="J107" s="13"/>
      <c r="K107" s="13"/>
      <c r="L107" s="13"/>
    </row>
    <row r="108" spans="1:12" ht="15.75" customHeight="1" x14ac:dyDescent="0.25">
      <c r="A108" s="13"/>
      <c r="B108" s="13"/>
      <c r="C108" s="13"/>
      <c r="D108" s="13"/>
      <c r="E108" s="13"/>
      <c r="F108" s="13"/>
      <c r="G108" s="13"/>
      <c r="H108" s="13"/>
      <c r="I108" s="13"/>
      <c r="J108" s="13"/>
      <c r="K108" s="13"/>
      <c r="L108" s="13"/>
    </row>
    <row r="109" spans="1:12" ht="15.75" customHeight="1" x14ac:dyDescent="0.25">
      <c r="A109" s="13"/>
      <c r="B109" s="13"/>
      <c r="C109" s="13"/>
      <c r="D109" s="13"/>
      <c r="E109" s="13"/>
      <c r="F109" s="13"/>
      <c r="G109" s="13"/>
      <c r="H109" s="13"/>
      <c r="I109" s="13"/>
      <c r="J109" s="13"/>
      <c r="K109" s="13"/>
      <c r="L109" s="13"/>
    </row>
    <row r="110" spans="1:12" ht="15.75" customHeight="1" x14ac:dyDescent="0.25">
      <c r="A110" s="13"/>
      <c r="B110" s="13"/>
      <c r="C110" s="13"/>
      <c r="D110" s="13"/>
      <c r="E110" s="13"/>
      <c r="F110" s="13"/>
      <c r="G110" s="13"/>
      <c r="H110" s="13"/>
      <c r="I110" s="13"/>
      <c r="J110" s="13"/>
      <c r="K110" s="13"/>
      <c r="L110" s="13"/>
    </row>
    <row r="111" spans="1:12" ht="15.75" customHeight="1" x14ac:dyDescent="0.25">
      <c r="A111" s="13"/>
      <c r="B111" s="13"/>
      <c r="C111" s="13"/>
      <c r="D111" s="13"/>
      <c r="E111" s="13"/>
      <c r="F111" s="13"/>
      <c r="G111" s="13"/>
      <c r="H111" s="13"/>
      <c r="I111" s="13"/>
      <c r="J111" s="13"/>
      <c r="K111" s="13"/>
      <c r="L111" s="13"/>
    </row>
    <row r="112" spans="1:12" ht="15.75" customHeight="1" x14ac:dyDescent="0.25">
      <c r="A112" s="13"/>
      <c r="B112" s="13"/>
      <c r="C112" s="13"/>
      <c r="D112" s="13"/>
      <c r="E112" s="13"/>
      <c r="F112" s="13"/>
      <c r="G112" s="13"/>
      <c r="H112" s="13"/>
      <c r="I112" s="13"/>
      <c r="J112" s="13"/>
      <c r="K112" s="13"/>
      <c r="L112" s="13"/>
    </row>
    <row r="113" spans="1:12" ht="15.75" customHeight="1" x14ac:dyDescent="0.25">
      <c r="A113" s="13"/>
      <c r="B113" s="13"/>
      <c r="C113" s="13"/>
      <c r="D113" s="13"/>
      <c r="E113" s="13"/>
      <c r="F113" s="13"/>
      <c r="G113" s="13"/>
      <c r="H113" s="13"/>
      <c r="I113" s="13"/>
      <c r="J113" s="13"/>
      <c r="K113" s="13"/>
      <c r="L113" s="13"/>
    </row>
    <row r="114" spans="1:12" ht="15.75" customHeight="1" x14ac:dyDescent="0.25">
      <c r="A114" s="13"/>
      <c r="B114" s="13"/>
      <c r="C114" s="13"/>
      <c r="D114" s="13"/>
      <c r="E114" s="13"/>
      <c r="F114" s="13"/>
      <c r="G114" s="13"/>
      <c r="H114" s="13"/>
      <c r="I114" s="13"/>
      <c r="J114" s="13"/>
      <c r="K114" s="13"/>
      <c r="L114" s="13"/>
    </row>
    <row r="115" spans="1:12" ht="15.75" customHeight="1" x14ac:dyDescent="0.25">
      <c r="A115" s="13"/>
      <c r="B115" s="13"/>
      <c r="C115" s="13"/>
      <c r="D115" s="13"/>
      <c r="E115" s="13"/>
      <c r="F115" s="13"/>
      <c r="G115" s="13"/>
      <c r="H115" s="13"/>
      <c r="I115" s="13"/>
      <c r="J115" s="13"/>
      <c r="K115" s="13"/>
      <c r="L115" s="13"/>
    </row>
    <row r="116" spans="1:12" ht="15.75" customHeight="1" x14ac:dyDescent="0.25">
      <c r="A116" s="13"/>
      <c r="B116" s="13"/>
      <c r="C116" s="13"/>
      <c r="D116" s="13"/>
      <c r="E116" s="13"/>
      <c r="F116" s="13"/>
      <c r="G116" s="13"/>
      <c r="H116" s="13"/>
      <c r="I116" s="13"/>
      <c r="J116" s="13"/>
      <c r="K116" s="13"/>
      <c r="L116" s="13"/>
    </row>
    <row r="117" spans="1:12" ht="15.75" customHeight="1" x14ac:dyDescent="0.25">
      <c r="A117" s="13"/>
      <c r="B117" s="13"/>
      <c r="C117" s="13"/>
      <c r="D117" s="13"/>
      <c r="E117" s="13"/>
      <c r="F117" s="13"/>
      <c r="G117" s="13"/>
      <c r="H117" s="13"/>
      <c r="I117" s="13"/>
      <c r="J117" s="13"/>
      <c r="K117" s="13"/>
      <c r="L117" s="13"/>
    </row>
    <row r="118" spans="1:12" ht="15.75" customHeight="1" x14ac:dyDescent="0.25">
      <c r="A118" s="13"/>
      <c r="B118" s="13"/>
      <c r="C118" s="13"/>
      <c r="D118" s="13"/>
      <c r="E118" s="13"/>
      <c r="F118" s="13"/>
      <c r="G118" s="13"/>
      <c r="H118" s="13"/>
      <c r="I118" s="13"/>
      <c r="J118" s="13"/>
      <c r="K118" s="13"/>
      <c r="L118" s="13"/>
    </row>
    <row r="119" spans="1:12" ht="15.75" customHeight="1" x14ac:dyDescent="0.25">
      <c r="A119" s="13"/>
      <c r="B119" s="13"/>
      <c r="C119" s="13"/>
      <c r="D119" s="13"/>
      <c r="E119" s="13"/>
      <c r="F119" s="13"/>
      <c r="G119" s="13"/>
      <c r="H119" s="13"/>
      <c r="I119" s="13"/>
      <c r="J119" s="13"/>
      <c r="K119" s="13"/>
      <c r="L119" s="13"/>
    </row>
    <row r="120" spans="1:12" ht="15.75" customHeight="1" x14ac:dyDescent="0.25">
      <c r="A120" s="13"/>
      <c r="B120" s="13"/>
      <c r="C120" s="13"/>
      <c r="D120" s="13"/>
      <c r="E120" s="13"/>
      <c r="F120" s="13"/>
      <c r="G120" s="13"/>
      <c r="H120" s="13"/>
      <c r="I120" s="13"/>
      <c r="J120" s="13"/>
      <c r="K120" s="13"/>
      <c r="L120" s="13"/>
    </row>
    <row r="121" spans="1:12" ht="15.75" customHeight="1" x14ac:dyDescent="0.25">
      <c r="A121" s="13"/>
      <c r="B121" s="13"/>
      <c r="C121" s="13"/>
      <c r="D121" s="13"/>
      <c r="E121" s="13"/>
      <c r="F121" s="13"/>
      <c r="G121" s="13"/>
      <c r="H121" s="13"/>
      <c r="I121" s="13"/>
      <c r="J121" s="13"/>
      <c r="K121" s="13"/>
      <c r="L121" s="13"/>
    </row>
    <row r="122" spans="1:12" ht="15.75" customHeight="1" x14ac:dyDescent="0.25">
      <c r="A122" s="13"/>
      <c r="B122" s="13"/>
      <c r="C122" s="13"/>
      <c r="D122" s="13"/>
      <c r="E122" s="13"/>
      <c r="F122" s="13"/>
      <c r="G122" s="13"/>
      <c r="H122" s="13"/>
      <c r="I122" s="13"/>
      <c r="J122" s="13"/>
      <c r="K122" s="13"/>
      <c r="L122" s="13"/>
    </row>
    <row r="123" spans="1:12" ht="15.75" customHeight="1" x14ac:dyDescent="0.25">
      <c r="A123" s="13"/>
      <c r="B123" s="13"/>
      <c r="C123" s="13"/>
      <c r="D123" s="13"/>
      <c r="E123" s="13"/>
      <c r="F123" s="13"/>
      <c r="G123" s="13"/>
      <c r="H123" s="13"/>
      <c r="I123" s="13"/>
      <c r="J123" s="13"/>
      <c r="K123" s="13"/>
      <c r="L123" s="13"/>
    </row>
    <row r="124" spans="1:12" ht="15.75" customHeight="1" x14ac:dyDescent="0.25">
      <c r="A124" s="13"/>
      <c r="B124" s="13"/>
      <c r="C124" s="13"/>
      <c r="D124" s="13"/>
      <c r="E124" s="13"/>
      <c r="F124" s="13"/>
      <c r="G124" s="13"/>
      <c r="H124" s="13"/>
      <c r="I124" s="13"/>
      <c r="J124" s="13"/>
      <c r="K124" s="13"/>
      <c r="L124" s="13"/>
    </row>
    <row r="125" spans="1:12" ht="15.75" customHeight="1" x14ac:dyDescent="0.25">
      <c r="A125" s="13"/>
      <c r="B125" s="13"/>
      <c r="C125" s="13"/>
      <c r="D125" s="13"/>
      <c r="E125" s="13"/>
      <c r="F125" s="13"/>
      <c r="G125" s="13"/>
      <c r="H125" s="13"/>
      <c r="I125" s="13"/>
      <c r="J125" s="13"/>
      <c r="K125" s="13"/>
      <c r="L125" s="13"/>
    </row>
    <row r="126" spans="1:12" ht="15.75" customHeight="1" x14ac:dyDescent="0.25">
      <c r="A126" s="13"/>
      <c r="B126" s="13"/>
      <c r="C126" s="13"/>
      <c r="D126" s="13"/>
      <c r="E126" s="13"/>
      <c r="F126" s="13"/>
      <c r="G126" s="13"/>
      <c r="H126" s="13"/>
      <c r="I126" s="13"/>
      <c r="J126" s="13"/>
      <c r="K126" s="13"/>
      <c r="L126" s="13"/>
    </row>
    <row r="127" spans="1:12" ht="15.75" customHeight="1" x14ac:dyDescent="0.25">
      <c r="A127" s="13"/>
      <c r="B127" s="13"/>
      <c r="C127" s="13"/>
      <c r="D127" s="13"/>
      <c r="E127" s="13"/>
      <c r="F127" s="13"/>
      <c r="G127" s="13"/>
      <c r="H127" s="13"/>
      <c r="I127" s="13"/>
      <c r="J127" s="13"/>
      <c r="K127" s="13"/>
      <c r="L127" s="13"/>
    </row>
    <row r="128" spans="1:12" ht="15.75" customHeight="1" x14ac:dyDescent="0.25">
      <c r="A128" s="13"/>
      <c r="B128" s="13"/>
      <c r="C128" s="13"/>
      <c r="D128" s="13"/>
      <c r="E128" s="13"/>
      <c r="F128" s="13"/>
      <c r="G128" s="13"/>
      <c r="H128" s="13"/>
      <c r="I128" s="13"/>
      <c r="J128" s="13"/>
      <c r="K128" s="13"/>
      <c r="L128" s="13"/>
    </row>
    <row r="129" spans="1:12" ht="15.75" customHeight="1" x14ac:dyDescent="0.25">
      <c r="A129" s="13"/>
      <c r="B129" s="13"/>
      <c r="C129" s="13"/>
      <c r="D129" s="13"/>
      <c r="E129" s="13"/>
      <c r="F129" s="13"/>
      <c r="G129" s="13"/>
      <c r="H129" s="13"/>
      <c r="I129" s="13"/>
      <c r="J129" s="13"/>
      <c r="K129" s="13"/>
      <c r="L129" s="13"/>
    </row>
    <row r="130" spans="1:12" ht="15.75" customHeight="1" x14ac:dyDescent="0.25">
      <c r="A130" s="13"/>
      <c r="B130" s="13"/>
      <c r="C130" s="13"/>
      <c r="D130" s="13"/>
      <c r="E130" s="13"/>
      <c r="F130" s="13"/>
      <c r="G130" s="13"/>
      <c r="H130" s="13"/>
      <c r="I130" s="13"/>
      <c r="J130" s="13"/>
      <c r="K130" s="13"/>
      <c r="L130" s="13"/>
    </row>
    <row r="131" spans="1:12" ht="15.75" customHeight="1" x14ac:dyDescent="0.25">
      <c r="A131" s="13"/>
      <c r="B131" s="13"/>
      <c r="C131" s="13"/>
      <c r="D131" s="13"/>
      <c r="E131" s="13"/>
      <c r="F131" s="13"/>
      <c r="G131" s="13"/>
      <c r="H131" s="13"/>
      <c r="I131" s="13"/>
      <c r="J131" s="13"/>
      <c r="K131" s="13"/>
      <c r="L131" s="13"/>
    </row>
    <row r="132" spans="1:12" ht="15.75" customHeight="1" x14ac:dyDescent="0.25">
      <c r="A132" s="13"/>
      <c r="B132" s="13"/>
      <c r="C132" s="13"/>
      <c r="D132" s="13"/>
      <c r="E132" s="13"/>
      <c r="F132" s="13"/>
      <c r="G132" s="13"/>
      <c r="H132" s="13"/>
      <c r="I132" s="13"/>
      <c r="J132" s="13"/>
      <c r="K132" s="13"/>
      <c r="L132" s="13"/>
    </row>
    <row r="133" spans="1:12" ht="15.75" customHeight="1" x14ac:dyDescent="0.25">
      <c r="A133" s="13"/>
      <c r="B133" s="13"/>
      <c r="C133" s="13"/>
      <c r="D133" s="13"/>
      <c r="E133" s="13"/>
      <c r="F133" s="13"/>
      <c r="G133" s="13"/>
      <c r="H133" s="13"/>
      <c r="I133" s="13"/>
      <c r="J133" s="13"/>
      <c r="K133" s="13"/>
      <c r="L133" s="13"/>
    </row>
    <row r="134" spans="1:12" ht="15.75" customHeight="1" x14ac:dyDescent="0.25">
      <c r="A134" s="13"/>
      <c r="B134" s="13"/>
      <c r="C134" s="13"/>
      <c r="D134" s="13"/>
      <c r="E134" s="13"/>
      <c r="F134" s="13"/>
      <c r="G134" s="13"/>
      <c r="H134" s="13"/>
      <c r="I134" s="13"/>
      <c r="J134" s="13"/>
      <c r="K134" s="13"/>
      <c r="L134" s="13"/>
    </row>
    <row r="135" spans="1:12" ht="15.75" customHeight="1" x14ac:dyDescent="0.25">
      <c r="A135" s="13"/>
      <c r="B135" s="13"/>
      <c r="C135" s="13"/>
      <c r="D135" s="13"/>
      <c r="E135" s="13"/>
      <c r="F135" s="13"/>
      <c r="G135" s="13"/>
      <c r="H135" s="13"/>
      <c r="I135" s="13"/>
      <c r="J135" s="13"/>
      <c r="K135" s="13"/>
      <c r="L135" s="13"/>
    </row>
    <row r="136" spans="1:12" ht="15.75" customHeight="1" x14ac:dyDescent="0.25">
      <c r="A136" s="13"/>
      <c r="B136" s="13"/>
      <c r="C136" s="13"/>
      <c r="D136" s="13"/>
      <c r="E136" s="13"/>
      <c r="F136" s="13"/>
      <c r="G136" s="13"/>
      <c r="H136" s="13"/>
      <c r="I136" s="13"/>
      <c r="J136" s="13"/>
      <c r="K136" s="13"/>
      <c r="L136" s="13"/>
    </row>
    <row r="137" spans="1:12" ht="15.75" customHeight="1" x14ac:dyDescent="0.25">
      <c r="A137" s="13"/>
      <c r="B137" s="13"/>
      <c r="C137" s="13"/>
      <c r="D137" s="13"/>
      <c r="E137" s="13"/>
      <c r="F137" s="13"/>
      <c r="G137" s="13"/>
      <c r="H137" s="13"/>
      <c r="I137" s="13"/>
      <c r="J137" s="13"/>
      <c r="K137" s="13"/>
      <c r="L137" s="13"/>
    </row>
    <row r="138" spans="1:12" ht="15.75" customHeight="1" x14ac:dyDescent="0.25">
      <c r="A138" s="13"/>
      <c r="B138" s="13"/>
      <c r="C138" s="13"/>
      <c r="D138" s="13"/>
      <c r="E138" s="13"/>
      <c r="F138" s="13"/>
      <c r="G138" s="13"/>
      <c r="H138" s="13"/>
      <c r="I138" s="13"/>
      <c r="J138" s="13"/>
      <c r="K138" s="13"/>
      <c r="L138" s="13"/>
    </row>
    <row r="139" spans="1:12" ht="15.75" customHeight="1" x14ac:dyDescent="0.25">
      <c r="A139" s="13"/>
      <c r="B139" s="13"/>
      <c r="C139" s="13"/>
      <c r="D139" s="13"/>
      <c r="E139" s="13"/>
      <c r="F139" s="13"/>
      <c r="G139" s="13"/>
      <c r="H139" s="13"/>
      <c r="I139" s="13"/>
      <c r="J139" s="13"/>
      <c r="K139" s="13"/>
      <c r="L139" s="13"/>
    </row>
    <row r="140" spans="1:12" ht="15.75" customHeight="1" x14ac:dyDescent="0.25">
      <c r="A140" s="13"/>
      <c r="B140" s="13"/>
      <c r="C140" s="13"/>
      <c r="D140" s="13"/>
      <c r="E140" s="13"/>
      <c r="F140" s="13"/>
      <c r="G140" s="13"/>
      <c r="H140" s="13"/>
      <c r="I140" s="13"/>
      <c r="J140" s="13"/>
      <c r="K140" s="13"/>
      <c r="L140" s="13"/>
    </row>
    <row r="141" spans="1:12" ht="15.75" customHeight="1" x14ac:dyDescent="0.25">
      <c r="A141" s="13"/>
      <c r="B141" s="13"/>
      <c r="C141" s="13"/>
      <c r="D141" s="13"/>
      <c r="E141" s="13"/>
      <c r="F141" s="13"/>
      <c r="G141" s="13"/>
      <c r="H141" s="13"/>
      <c r="I141" s="13"/>
      <c r="J141" s="13"/>
      <c r="K141" s="13"/>
      <c r="L141" s="13"/>
    </row>
    <row r="142" spans="1:12" ht="15.75" customHeight="1" x14ac:dyDescent="0.25">
      <c r="A142" s="13"/>
      <c r="B142" s="13"/>
      <c r="C142" s="13"/>
      <c r="D142" s="13"/>
      <c r="E142" s="13"/>
      <c r="F142" s="13"/>
      <c r="G142" s="13"/>
      <c r="H142" s="13"/>
      <c r="I142" s="13"/>
      <c r="J142" s="13"/>
      <c r="K142" s="13"/>
      <c r="L142" s="13"/>
    </row>
    <row r="143" spans="1:12" ht="15.75" customHeight="1" x14ac:dyDescent="0.25">
      <c r="A143" s="13"/>
      <c r="B143" s="13"/>
      <c r="C143" s="13"/>
      <c r="D143" s="13"/>
      <c r="E143" s="13"/>
      <c r="F143" s="13"/>
      <c r="G143" s="13"/>
      <c r="H143" s="13"/>
      <c r="I143" s="13"/>
      <c r="J143" s="13"/>
      <c r="K143" s="13"/>
      <c r="L143" s="13"/>
    </row>
    <row r="144" spans="1:12" ht="15.75" customHeight="1" x14ac:dyDescent="0.25">
      <c r="A144" s="13"/>
      <c r="B144" s="13"/>
      <c r="C144" s="13"/>
      <c r="D144" s="13"/>
      <c r="E144" s="13"/>
      <c r="F144" s="13"/>
      <c r="G144" s="13"/>
      <c r="H144" s="13"/>
      <c r="I144" s="13"/>
      <c r="J144" s="13"/>
      <c r="K144" s="13"/>
      <c r="L144" s="13"/>
    </row>
    <row r="145" spans="1:12" ht="15.75" customHeight="1" x14ac:dyDescent="0.25">
      <c r="A145" s="13"/>
      <c r="B145" s="13"/>
      <c r="C145" s="13"/>
      <c r="D145" s="13"/>
      <c r="E145" s="13"/>
      <c r="F145" s="13"/>
      <c r="G145" s="13"/>
      <c r="H145" s="13"/>
      <c r="I145" s="13"/>
      <c r="J145" s="13"/>
      <c r="K145" s="13"/>
      <c r="L145" s="13"/>
    </row>
    <row r="146" spans="1:12" ht="15.75" customHeight="1" x14ac:dyDescent="0.25">
      <c r="A146" s="13"/>
      <c r="B146" s="13"/>
      <c r="C146" s="13"/>
      <c r="D146" s="13"/>
      <c r="E146" s="13"/>
      <c r="F146" s="13"/>
      <c r="G146" s="13"/>
      <c r="H146" s="13"/>
      <c r="I146" s="13"/>
      <c r="J146" s="13"/>
      <c r="K146" s="13"/>
      <c r="L146" s="13"/>
    </row>
    <row r="147" spans="1:12" ht="15.75" customHeight="1" x14ac:dyDescent="0.25">
      <c r="A147" s="13"/>
      <c r="B147" s="13"/>
      <c r="C147" s="13"/>
      <c r="D147" s="13"/>
      <c r="E147" s="13"/>
      <c r="F147" s="13"/>
      <c r="G147" s="13"/>
      <c r="H147" s="13"/>
      <c r="I147" s="13"/>
      <c r="J147" s="13"/>
      <c r="K147" s="13"/>
      <c r="L147" s="13"/>
    </row>
    <row r="148" spans="1:12" ht="15.75" customHeight="1" x14ac:dyDescent="0.25">
      <c r="A148" s="13"/>
      <c r="B148" s="13"/>
      <c r="C148" s="13"/>
      <c r="D148" s="13"/>
      <c r="E148" s="13"/>
      <c r="F148" s="13"/>
      <c r="G148" s="13"/>
      <c r="H148" s="13"/>
      <c r="I148" s="13"/>
      <c r="J148" s="13"/>
      <c r="K148" s="13"/>
      <c r="L148" s="13"/>
    </row>
    <row r="149" spans="1:12" ht="15.75" customHeight="1" x14ac:dyDescent="0.25">
      <c r="A149" s="13"/>
      <c r="B149" s="13"/>
      <c r="C149" s="13"/>
      <c r="D149" s="13"/>
      <c r="E149" s="13"/>
      <c r="F149" s="13"/>
      <c r="G149" s="13"/>
      <c r="H149" s="13"/>
      <c r="I149" s="13"/>
      <c r="J149" s="13"/>
      <c r="K149" s="13"/>
      <c r="L149" s="13"/>
    </row>
    <row r="150" spans="1:12" ht="15.75" customHeight="1" x14ac:dyDescent="0.25">
      <c r="A150" s="13"/>
      <c r="B150" s="13"/>
      <c r="C150" s="13"/>
      <c r="D150" s="13"/>
      <c r="E150" s="13"/>
      <c r="F150" s="13"/>
      <c r="G150" s="13"/>
      <c r="H150" s="13"/>
      <c r="I150" s="13"/>
      <c r="J150" s="13"/>
      <c r="K150" s="13"/>
      <c r="L150" s="13"/>
    </row>
    <row r="151" spans="1:12" ht="15.75" customHeight="1" x14ac:dyDescent="0.25">
      <c r="A151" s="13"/>
      <c r="B151" s="13"/>
      <c r="C151" s="13"/>
      <c r="D151" s="13"/>
      <c r="E151" s="13"/>
      <c r="F151" s="13"/>
      <c r="G151" s="13"/>
      <c r="H151" s="13"/>
      <c r="I151" s="13"/>
      <c r="J151" s="13"/>
      <c r="K151" s="13"/>
      <c r="L151" s="13"/>
    </row>
    <row r="152" spans="1:12" ht="15.75" customHeight="1" x14ac:dyDescent="0.25">
      <c r="A152" s="13"/>
      <c r="B152" s="13"/>
      <c r="C152" s="13"/>
      <c r="D152" s="13"/>
      <c r="E152" s="13"/>
      <c r="F152" s="13"/>
      <c r="G152" s="13"/>
      <c r="H152" s="13"/>
      <c r="I152" s="13"/>
      <c r="J152" s="13"/>
      <c r="K152" s="13"/>
      <c r="L152" s="13"/>
    </row>
    <row r="153" spans="1:12" ht="15.75" customHeight="1" x14ac:dyDescent="0.25">
      <c r="A153" s="13"/>
      <c r="B153" s="13"/>
      <c r="C153" s="13"/>
      <c r="D153" s="13"/>
      <c r="E153" s="13"/>
      <c r="F153" s="13"/>
      <c r="G153" s="13"/>
      <c r="H153" s="13"/>
      <c r="I153" s="13"/>
      <c r="J153" s="13"/>
      <c r="K153" s="13"/>
      <c r="L153" s="13"/>
    </row>
    <row r="154" spans="1:12" ht="15.75" customHeight="1" x14ac:dyDescent="0.25">
      <c r="A154" s="13"/>
      <c r="B154" s="13"/>
      <c r="C154" s="13"/>
      <c r="D154" s="13"/>
      <c r="E154" s="13"/>
      <c r="F154" s="13"/>
      <c r="G154" s="13"/>
      <c r="H154" s="13"/>
      <c r="I154" s="13"/>
      <c r="J154" s="13"/>
      <c r="K154" s="13"/>
      <c r="L154" s="13"/>
    </row>
    <row r="155" spans="1:12" ht="15.75" customHeight="1" x14ac:dyDescent="0.25">
      <c r="A155" s="13"/>
      <c r="B155" s="13"/>
      <c r="C155" s="13"/>
      <c r="D155" s="13"/>
      <c r="E155" s="13"/>
      <c r="F155" s="13"/>
      <c r="G155" s="13"/>
      <c r="H155" s="13"/>
      <c r="I155" s="13"/>
      <c r="J155" s="13"/>
      <c r="K155" s="13"/>
      <c r="L155" s="13"/>
    </row>
    <row r="156" spans="1:12" ht="15.75" customHeight="1" x14ac:dyDescent="0.25">
      <c r="A156" s="13"/>
      <c r="B156" s="13"/>
      <c r="C156" s="13"/>
      <c r="D156" s="13"/>
      <c r="E156" s="13"/>
      <c r="F156" s="13"/>
      <c r="G156" s="13"/>
      <c r="H156" s="13"/>
      <c r="I156" s="13"/>
      <c r="J156" s="13"/>
      <c r="K156" s="13"/>
      <c r="L156" s="13"/>
    </row>
    <row r="157" spans="1:12" ht="15.75" customHeight="1" x14ac:dyDescent="0.25">
      <c r="A157" s="13"/>
      <c r="B157" s="13"/>
      <c r="C157" s="13"/>
      <c r="D157" s="13"/>
      <c r="E157" s="13"/>
      <c r="F157" s="13"/>
      <c r="G157" s="13"/>
      <c r="H157" s="13"/>
      <c r="I157" s="13"/>
      <c r="J157" s="13"/>
      <c r="K157" s="13"/>
      <c r="L157" s="13"/>
    </row>
    <row r="158" spans="1:12" ht="15.75" customHeight="1" x14ac:dyDescent="0.25">
      <c r="A158" s="13"/>
      <c r="B158" s="13"/>
      <c r="C158" s="13"/>
      <c r="D158" s="13"/>
      <c r="E158" s="13"/>
      <c r="F158" s="13"/>
      <c r="G158" s="13"/>
      <c r="H158" s="13"/>
      <c r="I158" s="13"/>
      <c r="J158" s="13"/>
      <c r="K158" s="13"/>
      <c r="L158" s="13"/>
    </row>
    <row r="159" spans="1:12" ht="15.75" customHeight="1" x14ac:dyDescent="0.25">
      <c r="A159" s="13"/>
      <c r="B159" s="13"/>
      <c r="C159" s="13"/>
      <c r="D159" s="13"/>
      <c r="E159" s="13"/>
      <c r="F159" s="13"/>
      <c r="G159" s="13"/>
      <c r="H159" s="13"/>
      <c r="I159" s="13"/>
      <c r="J159" s="13"/>
      <c r="K159" s="13"/>
      <c r="L159" s="13"/>
    </row>
    <row r="160" spans="1:12" ht="15.75" customHeight="1" x14ac:dyDescent="0.25">
      <c r="A160" s="13"/>
      <c r="B160" s="13"/>
      <c r="C160" s="13"/>
      <c r="D160" s="13"/>
      <c r="E160" s="13"/>
      <c r="F160" s="13"/>
      <c r="G160" s="13"/>
      <c r="H160" s="13"/>
      <c r="I160" s="13"/>
      <c r="J160" s="13"/>
      <c r="K160" s="13"/>
      <c r="L160" s="13"/>
    </row>
    <row r="161" spans="1:12" ht="15.75" customHeight="1" x14ac:dyDescent="0.25">
      <c r="A161" s="13"/>
      <c r="B161" s="13"/>
      <c r="C161" s="13"/>
      <c r="D161" s="13"/>
      <c r="E161" s="13"/>
      <c r="F161" s="13"/>
      <c r="G161" s="13"/>
      <c r="H161" s="13"/>
      <c r="I161" s="13"/>
      <c r="J161" s="13"/>
      <c r="K161" s="13"/>
      <c r="L161" s="13"/>
    </row>
    <row r="162" spans="1:12" ht="15.75" customHeight="1" x14ac:dyDescent="0.25">
      <c r="A162" s="13"/>
      <c r="B162" s="13"/>
      <c r="C162" s="13"/>
      <c r="D162" s="13"/>
      <c r="E162" s="13"/>
      <c r="F162" s="13"/>
      <c r="G162" s="13"/>
      <c r="H162" s="13"/>
      <c r="I162" s="13"/>
      <c r="J162" s="13"/>
      <c r="K162" s="13"/>
      <c r="L162" s="13"/>
    </row>
    <row r="163" spans="1:12" ht="15.75" customHeight="1" x14ac:dyDescent="0.25">
      <c r="A163" s="13"/>
      <c r="B163" s="13"/>
      <c r="C163" s="13"/>
      <c r="D163" s="13"/>
      <c r="E163" s="13"/>
      <c r="F163" s="13"/>
      <c r="G163" s="13"/>
      <c r="H163" s="13"/>
      <c r="I163" s="13"/>
      <c r="J163" s="13"/>
      <c r="K163" s="13"/>
      <c r="L163" s="13"/>
    </row>
    <row r="164" spans="1:12" ht="15.75" customHeight="1" x14ac:dyDescent="0.25">
      <c r="A164" s="13"/>
      <c r="B164" s="13"/>
      <c r="C164" s="13"/>
      <c r="D164" s="13"/>
      <c r="E164" s="13"/>
      <c r="F164" s="13"/>
      <c r="G164" s="13"/>
      <c r="H164" s="13"/>
      <c r="I164" s="13"/>
      <c r="J164" s="13"/>
      <c r="K164" s="13"/>
      <c r="L164" s="13"/>
    </row>
    <row r="165" spans="1:12" ht="15.75" customHeight="1" x14ac:dyDescent="0.25">
      <c r="A165" s="13"/>
      <c r="B165" s="13"/>
      <c r="C165" s="13"/>
      <c r="D165" s="13"/>
      <c r="E165" s="13"/>
      <c r="F165" s="13"/>
      <c r="G165" s="13"/>
      <c r="H165" s="13"/>
      <c r="I165" s="13"/>
      <c r="J165" s="13"/>
      <c r="K165" s="13"/>
      <c r="L165" s="13"/>
    </row>
    <row r="166" spans="1:12" ht="15.75" customHeight="1" x14ac:dyDescent="0.25">
      <c r="A166" s="13"/>
      <c r="B166" s="13"/>
      <c r="C166" s="13"/>
      <c r="D166" s="13"/>
      <c r="E166" s="13"/>
      <c r="F166" s="13"/>
      <c r="G166" s="13"/>
      <c r="H166" s="13"/>
      <c r="I166" s="13"/>
      <c r="J166" s="13"/>
      <c r="K166" s="13"/>
      <c r="L166" s="13"/>
    </row>
    <row r="167" spans="1:12" ht="15.75" customHeight="1" x14ac:dyDescent="0.25">
      <c r="A167" s="13"/>
      <c r="B167" s="13"/>
      <c r="C167" s="13"/>
      <c r="D167" s="13"/>
      <c r="E167" s="13"/>
      <c r="F167" s="13"/>
      <c r="G167" s="13"/>
      <c r="H167" s="13"/>
      <c r="I167" s="13"/>
      <c r="J167" s="13"/>
      <c r="K167" s="13"/>
      <c r="L167" s="13"/>
    </row>
    <row r="168" spans="1:12" ht="15.75" customHeight="1" x14ac:dyDescent="0.25">
      <c r="A168" s="13"/>
      <c r="B168" s="13"/>
      <c r="C168" s="13"/>
      <c r="D168" s="13"/>
      <c r="E168" s="13"/>
      <c r="F168" s="13"/>
      <c r="G168" s="13"/>
      <c r="H168" s="13"/>
      <c r="I168" s="13"/>
      <c r="J168" s="13"/>
      <c r="K168" s="13"/>
      <c r="L168" s="13"/>
    </row>
    <row r="169" spans="1:12" ht="15.75" customHeight="1" x14ac:dyDescent="0.25">
      <c r="A169" s="13"/>
      <c r="B169" s="13"/>
      <c r="C169" s="13"/>
      <c r="D169" s="13"/>
      <c r="E169" s="13"/>
      <c r="F169" s="13"/>
      <c r="G169" s="13"/>
      <c r="H169" s="13"/>
      <c r="I169" s="13"/>
      <c r="J169" s="13"/>
      <c r="K169" s="13"/>
      <c r="L169" s="13"/>
    </row>
    <row r="170" spans="1:12" ht="15.75" customHeight="1" x14ac:dyDescent="0.25">
      <c r="A170" s="13"/>
      <c r="B170" s="13"/>
      <c r="C170" s="13"/>
      <c r="D170" s="13"/>
      <c r="E170" s="13"/>
      <c r="F170" s="13"/>
      <c r="G170" s="13"/>
      <c r="H170" s="13"/>
      <c r="I170" s="13"/>
      <c r="J170" s="13"/>
      <c r="K170" s="13"/>
      <c r="L170" s="13"/>
    </row>
    <row r="171" spans="1:12" ht="15.75" customHeight="1" x14ac:dyDescent="0.25">
      <c r="A171" s="13"/>
      <c r="B171" s="13"/>
      <c r="C171" s="13"/>
      <c r="D171" s="13"/>
      <c r="E171" s="13"/>
      <c r="F171" s="13"/>
      <c r="G171" s="13"/>
      <c r="H171" s="13"/>
      <c r="I171" s="13"/>
      <c r="J171" s="13"/>
      <c r="K171" s="13"/>
      <c r="L171" s="13"/>
    </row>
    <row r="172" spans="1:12" ht="15.75" customHeight="1" x14ac:dyDescent="0.25">
      <c r="A172" s="13"/>
      <c r="B172" s="13"/>
      <c r="C172" s="13"/>
      <c r="D172" s="13"/>
      <c r="E172" s="13"/>
      <c r="F172" s="13"/>
      <c r="G172" s="13"/>
      <c r="H172" s="13"/>
      <c r="I172" s="13"/>
      <c r="J172" s="13"/>
      <c r="K172" s="13"/>
      <c r="L172" s="13"/>
    </row>
    <row r="173" spans="1:12" ht="15.75" customHeight="1" x14ac:dyDescent="0.25">
      <c r="A173" s="13"/>
      <c r="B173" s="13"/>
      <c r="C173" s="13"/>
      <c r="D173" s="13"/>
      <c r="E173" s="13"/>
      <c r="F173" s="13"/>
      <c r="G173" s="13"/>
      <c r="H173" s="13"/>
      <c r="I173" s="13"/>
      <c r="J173" s="13"/>
      <c r="K173" s="13"/>
      <c r="L173" s="13"/>
    </row>
    <row r="174" spans="1:12" ht="15.75" customHeight="1" x14ac:dyDescent="0.25">
      <c r="A174" s="13"/>
      <c r="B174" s="13"/>
      <c r="C174" s="13"/>
      <c r="D174" s="13"/>
      <c r="E174" s="13"/>
      <c r="F174" s="13"/>
      <c r="G174" s="13"/>
      <c r="H174" s="13"/>
      <c r="I174" s="13"/>
      <c r="J174" s="13"/>
      <c r="K174" s="13"/>
      <c r="L174" s="13"/>
    </row>
    <row r="175" spans="1:12" ht="15.75" customHeight="1" x14ac:dyDescent="0.25">
      <c r="A175" s="13"/>
      <c r="B175" s="13"/>
      <c r="C175" s="13"/>
      <c r="D175" s="13"/>
      <c r="E175" s="13"/>
      <c r="F175" s="13"/>
      <c r="G175" s="13"/>
      <c r="H175" s="13"/>
      <c r="I175" s="13"/>
      <c r="J175" s="13"/>
      <c r="K175" s="13"/>
      <c r="L175" s="13"/>
    </row>
    <row r="176" spans="1:12" ht="15.75" customHeight="1" x14ac:dyDescent="0.25">
      <c r="A176" s="13"/>
      <c r="B176" s="13"/>
      <c r="C176" s="13"/>
      <c r="D176" s="13"/>
      <c r="E176" s="13"/>
      <c r="F176" s="13"/>
      <c r="G176" s="13"/>
      <c r="H176" s="13"/>
      <c r="I176" s="13"/>
      <c r="J176" s="13"/>
      <c r="K176" s="13"/>
      <c r="L176" s="13"/>
    </row>
    <row r="177" spans="1:12" ht="15.75" customHeight="1" x14ac:dyDescent="0.25">
      <c r="A177" s="13"/>
      <c r="B177" s="13"/>
      <c r="C177" s="13"/>
      <c r="D177" s="13"/>
      <c r="E177" s="13"/>
      <c r="F177" s="13"/>
      <c r="G177" s="13"/>
      <c r="H177" s="13"/>
      <c r="I177" s="13"/>
      <c r="J177" s="13"/>
      <c r="K177" s="13"/>
      <c r="L177" s="13"/>
    </row>
    <row r="178" spans="1:12" ht="15.75" customHeight="1" x14ac:dyDescent="0.25">
      <c r="A178" s="13"/>
      <c r="B178" s="13"/>
      <c r="C178" s="13"/>
      <c r="D178" s="13"/>
      <c r="E178" s="13"/>
      <c r="F178" s="13"/>
      <c r="G178" s="13"/>
      <c r="H178" s="13"/>
      <c r="I178" s="13"/>
      <c r="J178" s="13"/>
      <c r="K178" s="13"/>
      <c r="L178" s="13"/>
    </row>
    <row r="179" spans="1:12" ht="15.75" customHeight="1" x14ac:dyDescent="0.25">
      <c r="A179" s="13"/>
      <c r="B179" s="13"/>
      <c r="C179" s="13"/>
      <c r="D179" s="13"/>
      <c r="E179" s="13"/>
      <c r="F179" s="13"/>
      <c r="G179" s="13"/>
      <c r="H179" s="13"/>
      <c r="I179" s="13"/>
      <c r="J179" s="13"/>
      <c r="K179" s="13"/>
      <c r="L179" s="13"/>
    </row>
    <row r="180" spans="1:12" ht="15.75" customHeight="1" x14ac:dyDescent="0.25">
      <c r="A180" s="13"/>
      <c r="B180" s="13"/>
      <c r="C180" s="13"/>
      <c r="D180" s="13"/>
      <c r="E180" s="13"/>
      <c r="F180" s="13"/>
      <c r="G180" s="13"/>
      <c r="H180" s="13"/>
      <c r="I180" s="13"/>
      <c r="J180" s="13"/>
      <c r="K180" s="13"/>
      <c r="L180" s="13"/>
    </row>
    <row r="181" spans="1:12" ht="15.75" customHeight="1" x14ac:dyDescent="0.25">
      <c r="A181" s="13"/>
      <c r="B181" s="13"/>
      <c r="C181" s="13"/>
      <c r="D181" s="13"/>
      <c r="E181" s="13"/>
      <c r="F181" s="13"/>
      <c r="G181" s="13"/>
      <c r="H181" s="13"/>
      <c r="I181" s="13"/>
      <c r="J181" s="13"/>
      <c r="K181" s="13"/>
      <c r="L181" s="13"/>
    </row>
    <row r="182" spans="1:12" ht="15.75" customHeight="1" x14ac:dyDescent="0.25">
      <c r="A182" s="13"/>
      <c r="B182" s="13"/>
      <c r="C182" s="13"/>
      <c r="D182" s="13"/>
      <c r="E182" s="13"/>
      <c r="F182" s="13"/>
      <c r="G182" s="13"/>
      <c r="H182" s="13"/>
      <c r="I182" s="13"/>
      <c r="J182" s="13"/>
      <c r="K182" s="13"/>
      <c r="L182" s="13"/>
    </row>
    <row r="183" spans="1:12" ht="15.75" customHeight="1" x14ac:dyDescent="0.25">
      <c r="A183" s="13"/>
      <c r="B183" s="13"/>
      <c r="C183" s="13"/>
      <c r="D183" s="13"/>
      <c r="E183" s="13"/>
      <c r="F183" s="13"/>
      <c r="G183" s="13"/>
      <c r="H183" s="13"/>
      <c r="I183" s="13"/>
      <c r="J183" s="13"/>
      <c r="K183" s="13"/>
      <c r="L183" s="13"/>
    </row>
    <row r="184" spans="1:12" ht="15.75" customHeight="1" x14ac:dyDescent="0.25">
      <c r="A184" s="13"/>
      <c r="B184" s="13"/>
      <c r="C184" s="13"/>
      <c r="D184" s="13"/>
      <c r="E184" s="13"/>
      <c r="F184" s="13"/>
      <c r="G184" s="13"/>
      <c r="H184" s="13"/>
      <c r="I184" s="13"/>
      <c r="J184" s="13"/>
      <c r="K184" s="13"/>
      <c r="L184" s="13"/>
    </row>
    <row r="185" spans="1:12" ht="15.75" customHeight="1" x14ac:dyDescent="0.25">
      <c r="A185" s="13"/>
      <c r="B185" s="13"/>
      <c r="C185" s="13"/>
      <c r="D185" s="13"/>
      <c r="E185" s="13"/>
      <c r="F185" s="13"/>
      <c r="G185" s="13"/>
      <c r="H185" s="13"/>
      <c r="I185" s="13"/>
      <c r="J185" s="13"/>
      <c r="K185" s="13"/>
      <c r="L185" s="13"/>
    </row>
    <row r="186" spans="1:12" ht="15.75" customHeight="1" x14ac:dyDescent="0.25">
      <c r="A186" s="13"/>
      <c r="B186" s="13"/>
      <c r="C186" s="13"/>
      <c r="D186" s="13"/>
      <c r="E186" s="13"/>
      <c r="F186" s="13"/>
      <c r="G186" s="13"/>
      <c r="H186" s="13"/>
      <c r="I186" s="13"/>
      <c r="J186" s="13"/>
      <c r="K186" s="13"/>
      <c r="L186" s="13"/>
    </row>
    <row r="187" spans="1:12" ht="15.75" customHeight="1" x14ac:dyDescent="0.25">
      <c r="A187" s="13"/>
      <c r="B187" s="13"/>
      <c r="C187" s="13"/>
      <c r="D187" s="13"/>
      <c r="E187" s="13"/>
      <c r="F187" s="13"/>
      <c r="G187" s="13"/>
      <c r="H187" s="13"/>
      <c r="I187" s="13"/>
      <c r="J187" s="13"/>
      <c r="K187" s="13"/>
      <c r="L187" s="13"/>
    </row>
    <row r="188" spans="1:12" ht="15.75" customHeight="1" x14ac:dyDescent="0.25">
      <c r="A188" s="13"/>
      <c r="B188" s="13"/>
      <c r="C188" s="13"/>
      <c r="D188" s="13"/>
      <c r="E188" s="13"/>
      <c r="F188" s="13"/>
      <c r="G188" s="13"/>
      <c r="H188" s="13"/>
      <c r="I188" s="13"/>
      <c r="J188" s="13"/>
      <c r="K188" s="13"/>
      <c r="L188" s="13"/>
    </row>
    <row r="189" spans="1:12" ht="15.75" customHeight="1" x14ac:dyDescent="0.25">
      <c r="A189" s="13"/>
      <c r="B189" s="13"/>
      <c r="C189" s="13"/>
      <c r="D189" s="13"/>
      <c r="E189" s="13"/>
      <c r="F189" s="13"/>
      <c r="G189" s="13"/>
      <c r="H189" s="13"/>
      <c r="I189" s="13"/>
      <c r="J189" s="13"/>
      <c r="K189" s="13"/>
      <c r="L189" s="13"/>
    </row>
    <row r="190" spans="1:12" ht="15.75" customHeight="1" x14ac:dyDescent="0.25">
      <c r="A190" s="13"/>
      <c r="B190" s="13"/>
      <c r="C190" s="13"/>
      <c r="D190" s="13"/>
      <c r="E190" s="13"/>
      <c r="F190" s="13"/>
      <c r="G190" s="13"/>
      <c r="H190" s="13"/>
      <c r="I190" s="13"/>
      <c r="J190" s="13"/>
      <c r="K190" s="13"/>
      <c r="L190" s="13"/>
    </row>
    <row r="191" spans="1:12" ht="15.75" customHeight="1" x14ac:dyDescent="0.25">
      <c r="A191" s="13"/>
      <c r="B191" s="13"/>
      <c r="C191" s="13"/>
      <c r="D191" s="13"/>
      <c r="E191" s="13"/>
      <c r="F191" s="13"/>
      <c r="G191" s="13"/>
      <c r="H191" s="13"/>
      <c r="I191" s="13"/>
      <c r="J191" s="13"/>
      <c r="K191" s="13"/>
      <c r="L191" s="13"/>
    </row>
    <row r="192" spans="1:12" ht="15.75" customHeight="1" x14ac:dyDescent="0.25">
      <c r="A192" s="13"/>
      <c r="B192" s="13"/>
      <c r="C192" s="13"/>
      <c r="D192" s="13"/>
      <c r="E192" s="13"/>
      <c r="F192" s="13"/>
      <c r="G192" s="13"/>
      <c r="H192" s="13"/>
      <c r="I192" s="13"/>
      <c r="J192" s="13"/>
      <c r="K192" s="13"/>
      <c r="L192" s="13"/>
    </row>
    <row r="193" spans="1:12" ht="15.75" customHeight="1" x14ac:dyDescent="0.25">
      <c r="A193" s="13"/>
      <c r="B193" s="13"/>
      <c r="C193" s="13"/>
      <c r="D193" s="13"/>
      <c r="E193" s="13"/>
      <c r="F193" s="13"/>
      <c r="G193" s="13"/>
      <c r="H193" s="13"/>
      <c r="I193" s="13"/>
      <c r="J193" s="13"/>
      <c r="K193" s="13"/>
      <c r="L193" s="13"/>
    </row>
    <row r="194" spans="1:12" ht="15.75" customHeight="1" x14ac:dyDescent="0.25">
      <c r="A194" s="13"/>
      <c r="B194" s="13"/>
      <c r="C194" s="13"/>
      <c r="D194" s="13"/>
      <c r="E194" s="13"/>
      <c r="F194" s="13"/>
      <c r="G194" s="13"/>
      <c r="H194" s="13"/>
      <c r="I194" s="13"/>
      <c r="J194" s="13"/>
      <c r="K194" s="13"/>
      <c r="L194" s="13"/>
    </row>
    <row r="195" spans="1:12" ht="15.75" customHeight="1" x14ac:dyDescent="0.25">
      <c r="A195" s="13"/>
      <c r="B195" s="13"/>
      <c r="C195" s="13"/>
      <c r="D195" s="13"/>
      <c r="E195" s="13"/>
      <c r="F195" s="13"/>
      <c r="G195" s="13"/>
      <c r="H195" s="13"/>
      <c r="I195" s="13"/>
      <c r="J195" s="13"/>
      <c r="K195" s="13"/>
      <c r="L195" s="13"/>
    </row>
    <row r="196" spans="1:12" ht="15.75" customHeight="1" x14ac:dyDescent="0.25">
      <c r="A196" s="13"/>
      <c r="B196" s="13"/>
      <c r="C196" s="13"/>
      <c r="D196" s="13"/>
      <c r="E196" s="13"/>
      <c r="F196" s="13"/>
      <c r="G196" s="13"/>
      <c r="H196" s="13"/>
      <c r="I196" s="13"/>
      <c r="J196" s="13"/>
      <c r="K196" s="13"/>
      <c r="L196" s="13"/>
    </row>
    <row r="197" spans="1:12" ht="15.75" customHeight="1" x14ac:dyDescent="0.25">
      <c r="A197" s="13"/>
      <c r="B197" s="13"/>
      <c r="C197" s="13"/>
      <c r="D197" s="13"/>
      <c r="E197" s="13"/>
      <c r="F197" s="13"/>
      <c r="G197" s="13"/>
      <c r="H197" s="13"/>
      <c r="I197" s="13"/>
      <c r="J197" s="13"/>
      <c r="K197" s="13"/>
      <c r="L197" s="13"/>
    </row>
    <row r="198" spans="1:12" ht="15.75" customHeight="1" x14ac:dyDescent="0.25">
      <c r="A198" s="13"/>
      <c r="B198" s="13"/>
      <c r="C198" s="13"/>
      <c r="D198" s="13"/>
      <c r="E198" s="13"/>
      <c r="F198" s="13"/>
      <c r="G198" s="13"/>
      <c r="H198" s="13"/>
      <c r="I198" s="13"/>
      <c r="J198" s="13"/>
      <c r="K198" s="13"/>
      <c r="L198" s="13"/>
    </row>
    <row r="199" spans="1:12" ht="15.75" customHeight="1" x14ac:dyDescent="0.25">
      <c r="A199" s="13"/>
      <c r="B199" s="13"/>
      <c r="C199" s="13"/>
      <c r="D199" s="13"/>
      <c r="E199" s="13"/>
      <c r="F199" s="13"/>
      <c r="G199" s="13"/>
      <c r="H199" s="13"/>
      <c r="I199" s="13"/>
      <c r="J199" s="13"/>
      <c r="K199" s="13"/>
      <c r="L199" s="13"/>
    </row>
    <row r="200" spans="1:12" ht="15.75" customHeight="1" x14ac:dyDescent="0.25">
      <c r="A200" s="13"/>
      <c r="B200" s="13"/>
      <c r="C200" s="13"/>
      <c r="D200" s="13"/>
      <c r="E200" s="13"/>
      <c r="F200" s="13"/>
      <c r="G200" s="13"/>
      <c r="H200" s="13"/>
      <c r="I200" s="13"/>
      <c r="J200" s="13"/>
      <c r="K200" s="13"/>
      <c r="L200" s="13"/>
    </row>
    <row r="201" spans="1:12" ht="15.75" customHeight="1" x14ac:dyDescent="0.25">
      <c r="A201" s="13"/>
      <c r="B201" s="13"/>
      <c r="C201" s="13"/>
      <c r="D201" s="13"/>
      <c r="E201" s="13"/>
      <c r="F201" s="13"/>
      <c r="G201" s="13"/>
      <c r="H201" s="13"/>
      <c r="I201" s="13"/>
      <c r="J201" s="13"/>
      <c r="K201" s="13"/>
      <c r="L201" s="13"/>
    </row>
    <row r="202" spans="1:12" ht="15.75" customHeight="1" x14ac:dyDescent="0.25">
      <c r="A202" s="13"/>
      <c r="B202" s="13"/>
      <c r="C202" s="13"/>
      <c r="D202" s="13"/>
      <c r="E202" s="13"/>
      <c r="F202" s="13"/>
      <c r="G202" s="13"/>
      <c r="H202" s="13"/>
      <c r="I202" s="13"/>
      <c r="J202" s="13"/>
      <c r="K202" s="13"/>
      <c r="L202" s="13"/>
    </row>
    <row r="203" spans="1:12" ht="15.75" customHeight="1" x14ac:dyDescent="0.25">
      <c r="A203" s="13"/>
      <c r="B203" s="13"/>
      <c r="C203" s="13"/>
      <c r="D203" s="13"/>
      <c r="E203" s="13"/>
      <c r="F203" s="13"/>
      <c r="G203" s="13"/>
      <c r="H203" s="13"/>
      <c r="I203" s="13"/>
      <c r="J203" s="13"/>
      <c r="K203" s="13"/>
      <c r="L203" s="13"/>
    </row>
    <row r="204" spans="1:12" ht="15.75" customHeight="1" x14ac:dyDescent="0.25">
      <c r="A204" s="13"/>
      <c r="B204" s="13"/>
      <c r="C204" s="13"/>
      <c r="D204" s="13"/>
      <c r="E204" s="13"/>
      <c r="F204" s="13"/>
      <c r="G204" s="13"/>
      <c r="H204" s="13"/>
      <c r="I204" s="13"/>
      <c r="J204" s="13"/>
      <c r="K204" s="13"/>
      <c r="L204" s="13"/>
    </row>
    <row r="205" spans="1:12" ht="15.75" customHeight="1" x14ac:dyDescent="0.25">
      <c r="A205" s="13"/>
      <c r="B205" s="13"/>
      <c r="C205" s="13"/>
      <c r="D205" s="13"/>
      <c r="E205" s="13"/>
      <c r="F205" s="13"/>
      <c r="G205" s="13"/>
      <c r="H205" s="13"/>
      <c r="I205" s="13"/>
      <c r="J205" s="13"/>
      <c r="K205" s="13"/>
      <c r="L205" s="13"/>
    </row>
    <row r="206" spans="1:12" ht="15.75" customHeight="1" x14ac:dyDescent="0.25">
      <c r="A206" s="13"/>
      <c r="B206" s="13"/>
      <c r="C206" s="13"/>
      <c r="D206" s="13"/>
      <c r="E206" s="13"/>
      <c r="F206" s="13"/>
      <c r="G206" s="13"/>
      <c r="H206" s="13"/>
      <c r="I206" s="13"/>
      <c r="J206" s="13"/>
      <c r="K206" s="13"/>
      <c r="L206" s="13"/>
    </row>
    <row r="207" spans="1:12" ht="15.75" customHeight="1" x14ac:dyDescent="0.25">
      <c r="A207" s="13"/>
      <c r="B207" s="13"/>
      <c r="C207" s="13"/>
      <c r="D207" s="13"/>
      <c r="E207" s="13"/>
      <c r="F207" s="13"/>
      <c r="G207" s="13"/>
      <c r="H207" s="13"/>
      <c r="I207" s="13"/>
      <c r="J207" s="13"/>
      <c r="K207" s="13"/>
      <c r="L207" s="13"/>
    </row>
    <row r="208" spans="1:12" ht="15.75" customHeight="1" x14ac:dyDescent="0.25">
      <c r="A208" s="13"/>
      <c r="B208" s="13"/>
      <c r="C208" s="13"/>
      <c r="D208" s="13"/>
      <c r="E208" s="13"/>
      <c r="F208" s="13"/>
      <c r="G208" s="13"/>
      <c r="H208" s="13"/>
      <c r="I208" s="13"/>
      <c r="J208" s="13"/>
      <c r="K208" s="13"/>
      <c r="L208" s="13"/>
    </row>
    <row r="209" spans="1:12" ht="15.75" customHeight="1" x14ac:dyDescent="0.25">
      <c r="A209" s="13"/>
      <c r="B209" s="13"/>
      <c r="C209" s="13"/>
      <c r="D209" s="13"/>
      <c r="E209" s="13"/>
      <c r="F209" s="13"/>
      <c r="G209" s="13"/>
      <c r="H209" s="13"/>
      <c r="I209" s="13"/>
      <c r="J209" s="13"/>
      <c r="K209" s="13"/>
      <c r="L209" s="13"/>
    </row>
    <row r="210" spans="1:12" ht="15.75" customHeight="1" x14ac:dyDescent="0.25">
      <c r="A210" s="13"/>
      <c r="B210" s="13"/>
      <c r="C210" s="13"/>
      <c r="D210" s="13"/>
      <c r="E210" s="13"/>
      <c r="F210" s="13"/>
      <c r="G210" s="13"/>
      <c r="H210" s="13"/>
      <c r="I210" s="13"/>
      <c r="J210" s="13"/>
      <c r="K210" s="13"/>
      <c r="L210" s="13"/>
    </row>
    <row r="211" spans="1:12" ht="15.75" customHeight="1" x14ac:dyDescent="0.25">
      <c r="A211" s="13"/>
      <c r="B211" s="13"/>
      <c r="C211" s="13"/>
      <c r="D211" s="13"/>
      <c r="E211" s="13"/>
      <c r="F211" s="13"/>
      <c r="G211" s="13"/>
      <c r="H211" s="13"/>
      <c r="I211" s="13"/>
      <c r="J211" s="13"/>
      <c r="K211" s="13"/>
      <c r="L211" s="13"/>
    </row>
    <row r="212" spans="1:12" ht="15.75" customHeight="1" x14ac:dyDescent="0.25">
      <c r="A212" s="13"/>
      <c r="B212" s="13"/>
      <c r="C212" s="13"/>
      <c r="D212" s="13"/>
      <c r="E212" s="13"/>
      <c r="F212" s="13"/>
      <c r="G212" s="13"/>
      <c r="H212" s="13"/>
      <c r="I212" s="13"/>
      <c r="J212" s="13"/>
      <c r="K212" s="13"/>
      <c r="L212" s="13"/>
    </row>
    <row r="213" spans="1:12" ht="15.75" customHeight="1" x14ac:dyDescent="0.25">
      <c r="A213" s="13"/>
      <c r="B213" s="13"/>
      <c r="C213" s="13"/>
      <c r="D213" s="13"/>
      <c r="E213" s="13"/>
      <c r="F213" s="13"/>
      <c r="G213" s="13"/>
      <c r="H213" s="13"/>
      <c r="I213" s="13"/>
      <c r="J213" s="13"/>
      <c r="K213" s="13"/>
      <c r="L213" s="13"/>
    </row>
    <row r="214" spans="1:12" ht="15.75" customHeight="1" x14ac:dyDescent="0.25">
      <c r="A214" s="13"/>
      <c r="B214" s="13"/>
      <c r="C214" s="13"/>
      <c r="D214" s="13"/>
      <c r="E214" s="13"/>
      <c r="F214" s="13"/>
      <c r="G214" s="13"/>
      <c r="H214" s="13"/>
      <c r="I214" s="13"/>
      <c r="J214" s="13"/>
      <c r="K214" s="13"/>
      <c r="L214" s="13"/>
    </row>
    <row r="215" spans="1:12" ht="15.75" customHeight="1" x14ac:dyDescent="0.25">
      <c r="A215" s="13"/>
      <c r="B215" s="13"/>
      <c r="C215" s="13"/>
      <c r="D215" s="13"/>
      <c r="E215" s="13"/>
      <c r="F215" s="13"/>
      <c r="G215" s="13"/>
      <c r="H215" s="13"/>
      <c r="I215" s="13"/>
      <c r="J215" s="13"/>
      <c r="K215" s="13"/>
      <c r="L215" s="13"/>
    </row>
    <row r="216" spans="1:12" ht="15.75" customHeight="1" x14ac:dyDescent="0.25">
      <c r="A216" s="13"/>
      <c r="B216" s="13"/>
      <c r="C216" s="13"/>
      <c r="D216" s="13"/>
      <c r="E216" s="13"/>
      <c r="F216" s="13"/>
      <c r="G216" s="13"/>
      <c r="H216" s="13"/>
      <c r="I216" s="13"/>
      <c r="J216" s="13"/>
      <c r="K216" s="13"/>
      <c r="L216" s="13"/>
    </row>
    <row r="217" spans="1:12" ht="15.75" customHeight="1" x14ac:dyDescent="0.25">
      <c r="A217" s="13"/>
      <c r="B217" s="13"/>
      <c r="C217" s="13"/>
      <c r="D217" s="13"/>
      <c r="E217" s="13"/>
      <c r="F217" s="13"/>
      <c r="G217" s="13"/>
      <c r="H217" s="13"/>
      <c r="I217" s="13"/>
      <c r="J217" s="13"/>
      <c r="K217" s="13"/>
      <c r="L217" s="13"/>
    </row>
    <row r="218" spans="1:12" ht="15.75" customHeight="1" x14ac:dyDescent="0.25">
      <c r="A218" s="13"/>
      <c r="B218" s="13"/>
      <c r="C218" s="13"/>
      <c r="D218" s="13"/>
      <c r="E218" s="13"/>
      <c r="F218" s="13"/>
      <c r="G218" s="13"/>
      <c r="H218" s="13"/>
      <c r="I218" s="13"/>
      <c r="J218" s="13"/>
      <c r="K218" s="13"/>
      <c r="L218" s="13"/>
    </row>
    <row r="219" spans="1:12" ht="15.75" customHeight="1" x14ac:dyDescent="0.25">
      <c r="A219" s="13"/>
      <c r="B219" s="13"/>
      <c r="C219" s="13"/>
      <c r="D219" s="13"/>
      <c r="E219" s="13"/>
      <c r="F219" s="13"/>
      <c r="G219" s="13"/>
      <c r="H219" s="13"/>
      <c r="I219" s="13"/>
      <c r="J219" s="13"/>
      <c r="K219" s="13"/>
      <c r="L219" s="13"/>
    </row>
    <row r="220" spans="1:12" ht="15.75" customHeight="1" x14ac:dyDescent="0.25">
      <c r="A220" s="13"/>
      <c r="B220" s="13"/>
      <c r="C220" s="13"/>
      <c r="D220" s="13"/>
      <c r="E220" s="13"/>
      <c r="F220" s="13"/>
      <c r="G220" s="13"/>
      <c r="H220" s="13"/>
      <c r="I220" s="13"/>
      <c r="J220" s="13"/>
      <c r="K220" s="13"/>
      <c r="L220" s="13"/>
    </row>
    <row r="221" spans="1:12" ht="15.75" customHeight="1" x14ac:dyDescent="0.25">
      <c r="A221" s="13"/>
      <c r="B221" s="13"/>
      <c r="C221" s="13"/>
      <c r="D221" s="13"/>
      <c r="E221" s="13"/>
      <c r="F221" s="13"/>
      <c r="G221" s="13"/>
      <c r="H221" s="13"/>
      <c r="I221" s="13"/>
      <c r="J221" s="13"/>
      <c r="K221" s="13"/>
      <c r="L221" s="13"/>
    </row>
    <row r="222" spans="1:12" ht="15.75" customHeight="1" x14ac:dyDescent="0.25">
      <c r="A222" s="13"/>
      <c r="B222" s="13"/>
      <c r="C222" s="13"/>
      <c r="D222" s="13"/>
      <c r="E222" s="13"/>
      <c r="F222" s="13"/>
      <c r="G222" s="13"/>
      <c r="H222" s="13"/>
      <c r="I222" s="13"/>
      <c r="J222" s="13"/>
      <c r="K222" s="13"/>
      <c r="L222" s="13"/>
    </row>
    <row r="223" spans="1:12" ht="15.75" customHeight="1" x14ac:dyDescent="0.25">
      <c r="A223" s="13"/>
      <c r="B223" s="13"/>
      <c r="C223" s="13"/>
      <c r="D223" s="13"/>
      <c r="E223" s="13"/>
      <c r="F223" s="13"/>
      <c r="G223" s="13"/>
      <c r="H223" s="13"/>
      <c r="I223" s="13"/>
      <c r="J223" s="13"/>
      <c r="K223" s="13"/>
      <c r="L223" s="13"/>
    </row>
    <row r="224" spans="1:12" ht="15.75" customHeight="1" x14ac:dyDescent="0.25">
      <c r="A224" s="13"/>
      <c r="B224" s="13"/>
      <c r="C224" s="13"/>
      <c r="D224" s="13"/>
      <c r="E224" s="13"/>
      <c r="F224" s="13"/>
      <c r="G224" s="13"/>
      <c r="H224" s="13"/>
      <c r="I224" s="13"/>
      <c r="J224" s="13"/>
      <c r="K224" s="13"/>
      <c r="L224" s="13"/>
    </row>
    <row r="225" spans="1:12" ht="15.75" customHeight="1" x14ac:dyDescent="0.25">
      <c r="A225" s="13"/>
      <c r="B225" s="13"/>
      <c r="C225" s="13"/>
      <c r="D225" s="13"/>
      <c r="E225" s="13"/>
      <c r="F225" s="13"/>
      <c r="G225" s="13"/>
      <c r="H225" s="13"/>
      <c r="I225" s="13"/>
      <c r="J225" s="13"/>
      <c r="K225" s="13"/>
      <c r="L225" s="13"/>
    </row>
    <row r="226" spans="1:12" ht="15.75" customHeight="1" x14ac:dyDescent="0.25">
      <c r="A226" s="13"/>
      <c r="B226" s="13"/>
      <c r="C226" s="13"/>
      <c r="D226" s="13"/>
      <c r="E226" s="13"/>
      <c r="F226" s="13"/>
      <c r="G226" s="13"/>
      <c r="H226" s="13"/>
      <c r="I226" s="13"/>
      <c r="J226" s="13"/>
      <c r="K226" s="13"/>
      <c r="L226" s="13"/>
    </row>
    <row r="227" spans="1:12" ht="15.75" customHeight="1" x14ac:dyDescent="0.25">
      <c r="A227" s="13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</row>
    <row r="228" spans="1:12" ht="15.75" customHeight="1" x14ac:dyDescent="0.25">
      <c r="A228" s="13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</row>
    <row r="229" spans="1:12" ht="15.75" customHeight="1" x14ac:dyDescent="0.25">
      <c r="A229" s="13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</row>
    <row r="230" spans="1:12" ht="15.75" customHeight="1" x14ac:dyDescent="0.25">
      <c r="A230" s="13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</row>
    <row r="231" spans="1:12" ht="15.75" customHeight="1" x14ac:dyDescent="0.25">
      <c r="A231" s="13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</row>
    <row r="232" spans="1:12" ht="15.75" customHeight="1" x14ac:dyDescent="0.25">
      <c r="A232" s="13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</row>
    <row r="233" spans="1:12" ht="15.75" customHeight="1" x14ac:dyDescent="0.25">
      <c r="A233" s="13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</row>
    <row r="234" spans="1:12" ht="15.75" customHeight="1" x14ac:dyDescent="0.25">
      <c r="A234" s="13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</row>
    <row r="235" spans="1:12" ht="15.75" customHeight="1" x14ac:dyDescent="0.25">
      <c r="A235" s="13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</row>
    <row r="236" spans="1:12" ht="15.75" customHeight="1" x14ac:dyDescent="0.25">
      <c r="A236" s="13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</row>
    <row r="237" spans="1:12" ht="15.75" customHeight="1" x14ac:dyDescent="0.25">
      <c r="A237" s="13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</row>
    <row r="238" spans="1:12" ht="15.75" customHeight="1" x14ac:dyDescent="0.25">
      <c r="A238" s="13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</row>
    <row r="239" spans="1:12" ht="15.75" customHeight="1" x14ac:dyDescent="0.25">
      <c r="A239" s="13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</row>
    <row r="240" spans="1:12" ht="15.75" customHeight="1" x14ac:dyDescent="0.25">
      <c r="A240" s="13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</row>
    <row r="241" spans="1:12" ht="15.75" customHeight="1" x14ac:dyDescent="0.25">
      <c r="A241" s="13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</row>
    <row r="242" spans="1:12" ht="15.75" customHeight="1" x14ac:dyDescent="0.25">
      <c r="A242" s="13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</row>
    <row r="243" spans="1:12" ht="15.75" customHeight="1" x14ac:dyDescent="0.25">
      <c r="A243" s="13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</row>
    <row r="244" spans="1:12" ht="15.75" customHeight="1" x14ac:dyDescent="0.25">
      <c r="A244" s="13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</row>
    <row r="245" spans="1:12" ht="15.75" customHeight="1" x14ac:dyDescent="0.25">
      <c r="A245" s="13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</row>
    <row r="246" spans="1:12" ht="15.75" customHeight="1" x14ac:dyDescent="0.25">
      <c r="A246" s="13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</row>
    <row r="247" spans="1:12" ht="15.75" customHeight="1" x14ac:dyDescent="0.25">
      <c r="A247" s="13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</row>
    <row r="248" spans="1:12" ht="15.75" customHeight="1" x14ac:dyDescent="0.25">
      <c r="A248" s="13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</row>
    <row r="249" spans="1:12" ht="15.75" customHeight="1" x14ac:dyDescent="0.25">
      <c r="A249" s="13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</row>
    <row r="250" spans="1:12" ht="15.75" customHeight="1" x14ac:dyDescent="0.25">
      <c r="A250" s="13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</row>
    <row r="251" spans="1:12" ht="15.75" customHeight="1" x14ac:dyDescent="0.25">
      <c r="A251" s="13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</row>
    <row r="252" spans="1:12" ht="15.75" customHeight="1" x14ac:dyDescent="0.25">
      <c r="A252" s="13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</row>
    <row r="253" spans="1:12" ht="15.75" customHeight="1" x14ac:dyDescent="0.25">
      <c r="A253" s="13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</row>
    <row r="254" spans="1:12" ht="15.75" customHeight="1" x14ac:dyDescent="0.25">
      <c r="A254" s="13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</row>
    <row r="255" spans="1:12" ht="15.75" customHeight="1" x14ac:dyDescent="0.25">
      <c r="A255" s="13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</row>
    <row r="256" spans="1:12" ht="15.75" customHeight="1" x14ac:dyDescent="0.25">
      <c r="A256" s="13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</row>
    <row r="257" spans="1:12" ht="15.75" customHeight="1" x14ac:dyDescent="0.25">
      <c r="A257" s="13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</row>
    <row r="258" spans="1:12" ht="15.75" customHeight="1" x14ac:dyDescent="0.25">
      <c r="A258" s="13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</row>
    <row r="259" spans="1:12" ht="15.75" customHeight="1" x14ac:dyDescent="0.25">
      <c r="A259" s="13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</row>
    <row r="260" spans="1:12" ht="15.75" customHeight="1" x14ac:dyDescent="0.25">
      <c r="A260" s="13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</row>
    <row r="261" spans="1:12" ht="15.75" customHeight="1" x14ac:dyDescent="0.25">
      <c r="A261" s="13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</row>
    <row r="262" spans="1:12" ht="15.75" customHeight="1" x14ac:dyDescent="0.25">
      <c r="A262" s="13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</row>
    <row r="263" spans="1:12" ht="15.75" customHeight="1" x14ac:dyDescent="0.25">
      <c r="A263" s="13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</row>
    <row r="264" spans="1:12" ht="15.75" customHeight="1" x14ac:dyDescent="0.25">
      <c r="A264" s="13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</row>
    <row r="265" spans="1:12" ht="15.75" customHeight="1" x14ac:dyDescent="0.25">
      <c r="A265" s="13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</row>
    <row r="266" spans="1:12" ht="15.75" customHeight="1" x14ac:dyDescent="0.25">
      <c r="A266" s="13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</row>
    <row r="267" spans="1:12" ht="15.75" customHeight="1" x14ac:dyDescent="0.25">
      <c r="A267" s="13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</row>
    <row r="268" spans="1:12" ht="15.75" customHeight="1" x14ac:dyDescent="0.25">
      <c r="A268" s="13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</row>
    <row r="269" spans="1:12" ht="15.75" customHeight="1" x14ac:dyDescent="0.25">
      <c r="A269" s="13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</row>
    <row r="270" spans="1:12" ht="15.75" customHeight="1" x14ac:dyDescent="0.25">
      <c r="A270" s="13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</row>
    <row r="271" spans="1:12" ht="15.75" customHeight="1" x14ac:dyDescent="0.25">
      <c r="A271" s="13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</row>
    <row r="272" spans="1:12" ht="15.75" customHeight="1" x14ac:dyDescent="0.25">
      <c r="A272" s="13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</row>
    <row r="273" spans="1:12" ht="15.75" customHeight="1" x14ac:dyDescent="0.25">
      <c r="A273" s="13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</row>
    <row r="274" spans="1:12" ht="15.75" customHeight="1" x14ac:dyDescent="0.25">
      <c r="A274" s="13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</row>
    <row r="275" spans="1:12" ht="15.75" customHeight="1" x14ac:dyDescent="0.25">
      <c r="A275" s="13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</row>
    <row r="276" spans="1:12" ht="15.75" customHeight="1" x14ac:dyDescent="0.25">
      <c r="A276" s="13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</row>
    <row r="277" spans="1:12" ht="15.75" customHeight="1" x14ac:dyDescent="0.25">
      <c r="A277" s="13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</row>
    <row r="278" spans="1:12" ht="15.75" customHeight="1" x14ac:dyDescent="0.25">
      <c r="A278" s="13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</row>
    <row r="279" spans="1:12" ht="15.75" customHeight="1" x14ac:dyDescent="0.25">
      <c r="A279" s="13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</row>
    <row r="280" spans="1:12" ht="15.75" customHeight="1" x14ac:dyDescent="0.25">
      <c r="A280" s="13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</row>
    <row r="281" spans="1:12" ht="15.75" customHeight="1" x14ac:dyDescent="0.25">
      <c r="A281" s="13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</row>
    <row r="282" spans="1:12" ht="15.75" customHeight="1" x14ac:dyDescent="0.25">
      <c r="A282" s="13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</row>
    <row r="283" spans="1:12" ht="15.75" customHeight="1" x14ac:dyDescent="0.25">
      <c r="A283" s="13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</row>
    <row r="284" spans="1:12" ht="15.75" customHeight="1" x14ac:dyDescent="0.25">
      <c r="A284" s="13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</row>
    <row r="285" spans="1:12" ht="15.75" customHeight="1" x14ac:dyDescent="0.25">
      <c r="A285" s="13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</row>
    <row r="286" spans="1:12" ht="15.75" customHeight="1" x14ac:dyDescent="0.25">
      <c r="A286" s="13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</row>
    <row r="287" spans="1:12" ht="15.75" customHeight="1" x14ac:dyDescent="0.25">
      <c r="A287" s="13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</row>
    <row r="288" spans="1:12" ht="15.75" customHeight="1" x14ac:dyDescent="0.25">
      <c r="A288" s="13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</row>
    <row r="289" spans="1:12" ht="15.75" customHeight="1" x14ac:dyDescent="0.25">
      <c r="A289" s="13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</row>
    <row r="290" spans="1:12" ht="15.75" customHeight="1" x14ac:dyDescent="0.25">
      <c r="A290" s="13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</row>
    <row r="291" spans="1:12" ht="15.75" customHeight="1" x14ac:dyDescent="0.25">
      <c r="A291" s="13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</row>
    <row r="292" spans="1:12" ht="15.75" customHeight="1" x14ac:dyDescent="0.25">
      <c r="A292" s="13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</row>
    <row r="293" spans="1:12" ht="15.75" customHeight="1" x14ac:dyDescent="0.25">
      <c r="A293" s="13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</row>
    <row r="294" spans="1:12" ht="15.75" customHeight="1" x14ac:dyDescent="0.25">
      <c r="A294" s="13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</row>
    <row r="295" spans="1:12" ht="15.75" customHeight="1" x14ac:dyDescent="0.25">
      <c r="A295" s="13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</row>
    <row r="296" spans="1:12" ht="15.75" customHeight="1" x14ac:dyDescent="0.25">
      <c r="A296" s="13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</row>
    <row r="297" spans="1:12" ht="15.75" customHeight="1" x14ac:dyDescent="0.25">
      <c r="A297" s="13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</row>
    <row r="298" spans="1:12" ht="15.75" customHeight="1" x14ac:dyDescent="0.25">
      <c r="A298" s="13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</row>
    <row r="299" spans="1:12" ht="15.75" customHeight="1" x14ac:dyDescent="0.25">
      <c r="A299" s="13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</row>
    <row r="300" spans="1:12" ht="15.75" customHeight="1" x14ac:dyDescent="0.25">
      <c r="A300" s="13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</row>
    <row r="301" spans="1:12" ht="15.75" customHeight="1" x14ac:dyDescent="0.25">
      <c r="A301" s="13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</row>
    <row r="302" spans="1:12" ht="15.75" customHeight="1" x14ac:dyDescent="0.25">
      <c r="A302" s="13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</row>
    <row r="303" spans="1:12" ht="15.75" customHeight="1" x14ac:dyDescent="0.25">
      <c r="A303" s="13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</row>
    <row r="304" spans="1:12" ht="15.75" customHeight="1" x14ac:dyDescent="0.25">
      <c r="A304" s="13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</row>
    <row r="305" spans="1:12" ht="15.75" customHeight="1" x14ac:dyDescent="0.25">
      <c r="A305" s="1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</row>
    <row r="306" spans="1:12" ht="15.75" customHeight="1" x14ac:dyDescent="0.25">
      <c r="A306" s="13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</row>
    <row r="307" spans="1:12" ht="15.75" customHeight="1" x14ac:dyDescent="0.25">
      <c r="A307" s="1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</row>
    <row r="308" spans="1:12" ht="15.75" customHeight="1" x14ac:dyDescent="0.25">
      <c r="A308" s="13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</row>
    <row r="309" spans="1:12" ht="15.75" customHeight="1" x14ac:dyDescent="0.25">
      <c r="A309" s="13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</row>
    <row r="310" spans="1:12" ht="15.75" customHeight="1" x14ac:dyDescent="0.25">
      <c r="A310" s="1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</row>
    <row r="311" spans="1:12" ht="15.75" customHeight="1" x14ac:dyDescent="0.25">
      <c r="A311" s="13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</row>
    <row r="312" spans="1:12" ht="15.75" customHeight="1" x14ac:dyDescent="0.25">
      <c r="A312" s="13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</row>
    <row r="313" spans="1:12" ht="15.75" customHeight="1" x14ac:dyDescent="0.25">
      <c r="A313" s="13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</row>
    <row r="314" spans="1:12" ht="15.75" customHeight="1" x14ac:dyDescent="0.25">
      <c r="A314" s="13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</row>
    <row r="315" spans="1:12" ht="15.75" customHeight="1" x14ac:dyDescent="0.25">
      <c r="A315" s="13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</row>
    <row r="316" spans="1:12" ht="15.75" customHeight="1" x14ac:dyDescent="0.25">
      <c r="A316" s="13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</row>
    <row r="317" spans="1:12" ht="15.75" customHeight="1" x14ac:dyDescent="0.25">
      <c r="A317" s="13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</row>
    <row r="318" spans="1:12" ht="15.75" customHeight="1" x14ac:dyDescent="0.25">
      <c r="A318" s="13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</row>
    <row r="319" spans="1:12" ht="15.75" customHeight="1" x14ac:dyDescent="0.25">
      <c r="A319" s="13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</row>
    <row r="320" spans="1:12" ht="15.75" customHeight="1" x14ac:dyDescent="0.25">
      <c r="A320" s="13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</row>
    <row r="321" spans="1:12" ht="15.75" customHeight="1" x14ac:dyDescent="0.25">
      <c r="A321" s="13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</row>
    <row r="322" spans="1:12" ht="15.75" customHeight="1" x14ac:dyDescent="0.25">
      <c r="A322" s="13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</row>
    <row r="323" spans="1:12" ht="15.75" customHeight="1" x14ac:dyDescent="0.25">
      <c r="A323" s="13"/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</row>
    <row r="324" spans="1:12" ht="15.75" customHeight="1" x14ac:dyDescent="0.25">
      <c r="A324" s="13"/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</row>
    <row r="325" spans="1:12" ht="15.75" customHeight="1" x14ac:dyDescent="0.25">
      <c r="A325" s="13"/>
      <c r="B325" s="13"/>
      <c r="C325" s="13"/>
      <c r="D325" s="13"/>
      <c r="E325" s="13"/>
      <c r="F325" s="13"/>
      <c r="G325" s="13"/>
      <c r="H325" s="13"/>
      <c r="I325" s="13"/>
      <c r="J325" s="13"/>
      <c r="K325" s="13"/>
      <c r="L325" s="13"/>
    </row>
    <row r="326" spans="1:12" ht="15.75" customHeight="1" x14ac:dyDescent="0.25">
      <c r="A326" s="13"/>
      <c r="B326" s="13"/>
      <c r="C326" s="13"/>
      <c r="D326" s="13"/>
      <c r="E326" s="13"/>
      <c r="F326" s="13"/>
      <c r="G326" s="13"/>
      <c r="H326" s="13"/>
      <c r="I326" s="13"/>
      <c r="J326" s="13"/>
      <c r="K326" s="13"/>
      <c r="L326" s="13"/>
    </row>
    <row r="327" spans="1:12" ht="15.75" customHeight="1" x14ac:dyDescent="0.25">
      <c r="A327" s="13"/>
      <c r="B327" s="13"/>
      <c r="C327" s="13"/>
      <c r="D327" s="13"/>
      <c r="E327" s="13"/>
      <c r="F327" s="13"/>
      <c r="G327" s="13"/>
      <c r="H327" s="13"/>
      <c r="I327" s="13"/>
      <c r="J327" s="13"/>
      <c r="K327" s="13"/>
      <c r="L327" s="13"/>
    </row>
    <row r="328" spans="1:12" ht="15.75" customHeight="1" x14ac:dyDescent="0.25">
      <c r="A328" s="13"/>
      <c r="B328" s="13"/>
      <c r="C328" s="13"/>
      <c r="D328" s="13"/>
      <c r="E328" s="13"/>
      <c r="F328" s="13"/>
      <c r="G328" s="13"/>
      <c r="H328" s="13"/>
      <c r="I328" s="13"/>
      <c r="J328" s="13"/>
      <c r="K328" s="13"/>
      <c r="L328" s="13"/>
    </row>
    <row r="329" spans="1:12" ht="15.75" customHeight="1" x14ac:dyDescent="0.25">
      <c r="A329" s="13"/>
      <c r="B329" s="13"/>
      <c r="C329" s="13"/>
      <c r="D329" s="13"/>
      <c r="E329" s="13"/>
      <c r="F329" s="13"/>
      <c r="G329" s="13"/>
      <c r="H329" s="13"/>
      <c r="I329" s="13"/>
      <c r="J329" s="13"/>
      <c r="K329" s="13"/>
      <c r="L329" s="13"/>
    </row>
    <row r="330" spans="1:12" ht="15.75" customHeight="1" x14ac:dyDescent="0.25">
      <c r="A330" s="13"/>
      <c r="B330" s="13"/>
      <c r="C330" s="13"/>
      <c r="D330" s="13"/>
      <c r="E330" s="13"/>
      <c r="F330" s="13"/>
      <c r="G330" s="13"/>
      <c r="H330" s="13"/>
      <c r="I330" s="13"/>
      <c r="J330" s="13"/>
      <c r="K330" s="13"/>
      <c r="L330" s="13"/>
    </row>
    <row r="331" spans="1:12" ht="15.75" customHeight="1" x14ac:dyDescent="0.25">
      <c r="A331" s="13"/>
      <c r="B331" s="13"/>
      <c r="C331" s="13"/>
      <c r="D331" s="13"/>
      <c r="E331" s="13"/>
      <c r="F331" s="13"/>
      <c r="G331" s="13"/>
      <c r="H331" s="13"/>
      <c r="I331" s="13"/>
      <c r="J331" s="13"/>
      <c r="K331" s="13"/>
      <c r="L331" s="13"/>
    </row>
    <row r="332" spans="1:12" ht="15.75" customHeight="1" x14ac:dyDescent="0.25">
      <c r="A332" s="13"/>
      <c r="B332" s="13"/>
      <c r="C332" s="13"/>
      <c r="D332" s="13"/>
      <c r="E332" s="13"/>
      <c r="F332" s="13"/>
      <c r="G332" s="13"/>
      <c r="H332" s="13"/>
      <c r="I332" s="13"/>
      <c r="J332" s="13"/>
      <c r="K332" s="13"/>
      <c r="L332" s="13"/>
    </row>
    <row r="333" spans="1:12" ht="15.75" customHeight="1" x14ac:dyDescent="0.25">
      <c r="A333" s="13"/>
      <c r="B333" s="13"/>
      <c r="C333" s="13"/>
      <c r="D333" s="13"/>
      <c r="E333" s="13"/>
      <c r="F333" s="13"/>
      <c r="G333" s="13"/>
      <c r="H333" s="13"/>
      <c r="I333" s="13"/>
      <c r="J333" s="13"/>
      <c r="K333" s="13"/>
      <c r="L333" s="13"/>
    </row>
    <row r="334" spans="1:12" ht="15.75" customHeight="1" x14ac:dyDescent="0.25">
      <c r="A334" s="13"/>
      <c r="B334" s="13"/>
      <c r="C334" s="13"/>
      <c r="D334" s="13"/>
      <c r="E334" s="13"/>
      <c r="F334" s="13"/>
      <c r="G334" s="13"/>
      <c r="H334" s="13"/>
      <c r="I334" s="13"/>
      <c r="J334" s="13"/>
      <c r="K334" s="13"/>
      <c r="L334" s="13"/>
    </row>
    <row r="335" spans="1:12" ht="15.75" customHeight="1" x14ac:dyDescent="0.25">
      <c r="A335" s="13"/>
      <c r="B335" s="13"/>
      <c r="C335" s="13"/>
      <c r="D335" s="13"/>
      <c r="E335" s="13"/>
      <c r="F335" s="13"/>
      <c r="G335" s="13"/>
      <c r="H335" s="13"/>
      <c r="I335" s="13"/>
      <c r="J335" s="13"/>
      <c r="K335" s="13"/>
      <c r="L335" s="13"/>
    </row>
    <row r="336" spans="1:12" ht="15.75" customHeight="1" x14ac:dyDescent="0.25">
      <c r="A336" s="13"/>
      <c r="B336" s="13"/>
      <c r="C336" s="13"/>
      <c r="D336" s="13"/>
      <c r="E336" s="13"/>
      <c r="F336" s="13"/>
      <c r="G336" s="13"/>
      <c r="H336" s="13"/>
      <c r="I336" s="13"/>
      <c r="J336" s="13"/>
      <c r="K336" s="13"/>
      <c r="L336" s="13"/>
    </row>
    <row r="337" spans="1:12" ht="15.75" customHeight="1" x14ac:dyDescent="0.25">
      <c r="A337" s="13"/>
      <c r="B337" s="13"/>
      <c r="C337" s="13"/>
      <c r="D337" s="13"/>
      <c r="E337" s="13"/>
      <c r="F337" s="13"/>
      <c r="G337" s="13"/>
      <c r="H337" s="13"/>
      <c r="I337" s="13"/>
      <c r="J337" s="13"/>
      <c r="K337" s="13"/>
      <c r="L337" s="13"/>
    </row>
    <row r="338" spans="1:12" ht="15.75" customHeight="1" x14ac:dyDescent="0.25">
      <c r="A338" s="13"/>
      <c r="B338" s="13"/>
      <c r="C338" s="13"/>
      <c r="D338" s="13"/>
      <c r="E338" s="13"/>
      <c r="F338" s="13"/>
      <c r="G338" s="13"/>
      <c r="H338" s="13"/>
      <c r="I338" s="13"/>
      <c r="J338" s="13"/>
      <c r="K338" s="13"/>
      <c r="L338" s="13"/>
    </row>
    <row r="339" spans="1:12" ht="15.75" customHeight="1" x14ac:dyDescent="0.25">
      <c r="A339" s="13"/>
      <c r="B339" s="13"/>
      <c r="C339" s="13"/>
      <c r="D339" s="13"/>
      <c r="E339" s="13"/>
      <c r="F339" s="13"/>
      <c r="G339" s="13"/>
      <c r="H339" s="13"/>
      <c r="I339" s="13"/>
      <c r="J339" s="13"/>
      <c r="K339" s="13"/>
      <c r="L339" s="13"/>
    </row>
    <row r="340" spans="1:12" ht="15.75" customHeight="1" x14ac:dyDescent="0.25">
      <c r="A340" s="13"/>
      <c r="B340" s="13"/>
      <c r="C340" s="13"/>
      <c r="D340" s="13"/>
      <c r="E340" s="13"/>
      <c r="F340" s="13"/>
      <c r="G340" s="13"/>
      <c r="H340" s="13"/>
      <c r="I340" s="13"/>
      <c r="J340" s="13"/>
      <c r="K340" s="13"/>
      <c r="L340" s="13"/>
    </row>
    <row r="341" spans="1:12" ht="15.75" customHeight="1" x14ac:dyDescent="0.25">
      <c r="A341" s="13"/>
      <c r="B341" s="13"/>
      <c r="C341" s="13"/>
      <c r="D341" s="13"/>
      <c r="E341" s="13"/>
      <c r="F341" s="13"/>
      <c r="G341" s="13"/>
      <c r="H341" s="13"/>
      <c r="I341" s="13"/>
      <c r="J341" s="13"/>
      <c r="K341" s="13"/>
      <c r="L341" s="13"/>
    </row>
    <row r="342" spans="1:12" ht="15.75" customHeight="1" x14ac:dyDescent="0.25">
      <c r="A342" s="13"/>
      <c r="B342" s="13"/>
      <c r="C342" s="13"/>
      <c r="D342" s="13"/>
      <c r="E342" s="13"/>
      <c r="F342" s="13"/>
      <c r="G342" s="13"/>
      <c r="H342" s="13"/>
      <c r="I342" s="13"/>
      <c r="J342" s="13"/>
      <c r="K342" s="13"/>
      <c r="L342" s="13"/>
    </row>
    <row r="343" spans="1:12" ht="15.75" customHeight="1" x14ac:dyDescent="0.25">
      <c r="A343" s="13"/>
      <c r="B343" s="13"/>
      <c r="C343" s="13"/>
      <c r="D343" s="13"/>
      <c r="E343" s="13"/>
      <c r="F343" s="13"/>
      <c r="G343" s="13"/>
      <c r="H343" s="13"/>
      <c r="I343" s="13"/>
      <c r="J343" s="13"/>
      <c r="K343" s="13"/>
      <c r="L343" s="13"/>
    </row>
    <row r="344" spans="1:12" ht="15.75" customHeight="1" x14ac:dyDescent="0.25">
      <c r="A344" s="13"/>
      <c r="B344" s="13"/>
      <c r="C344" s="13"/>
      <c r="D344" s="13"/>
      <c r="E344" s="13"/>
      <c r="F344" s="13"/>
      <c r="G344" s="13"/>
      <c r="H344" s="13"/>
      <c r="I344" s="13"/>
      <c r="J344" s="13"/>
      <c r="K344" s="13"/>
      <c r="L344" s="13"/>
    </row>
    <row r="345" spans="1:12" ht="15.75" customHeight="1" x14ac:dyDescent="0.25">
      <c r="A345" s="13"/>
      <c r="B345" s="13"/>
      <c r="C345" s="13"/>
      <c r="D345" s="13"/>
      <c r="E345" s="13"/>
      <c r="F345" s="13"/>
      <c r="G345" s="13"/>
      <c r="H345" s="13"/>
      <c r="I345" s="13"/>
      <c r="J345" s="13"/>
      <c r="K345" s="13"/>
      <c r="L345" s="13"/>
    </row>
    <row r="346" spans="1:12" ht="15.75" customHeight="1" x14ac:dyDescent="0.25">
      <c r="A346" s="13"/>
      <c r="B346" s="13"/>
      <c r="C346" s="13"/>
      <c r="D346" s="13"/>
      <c r="E346" s="13"/>
      <c r="F346" s="13"/>
      <c r="G346" s="13"/>
      <c r="H346" s="13"/>
      <c r="I346" s="13"/>
      <c r="J346" s="13"/>
      <c r="K346" s="13"/>
      <c r="L346" s="13"/>
    </row>
    <row r="347" spans="1:12" ht="15.75" customHeight="1" x14ac:dyDescent="0.25">
      <c r="A347" s="13"/>
      <c r="B347" s="13"/>
      <c r="C347" s="13"/>
      <c r="D347" s="13"/>
      <c r="E347" s="13"/>
      <c r="F347" s="13"/>
      <c r="G347" s="13"/>
      <c r="H347" s="13"/>
      <c r="I347" s="13"/>
      <c r="J347" s="13"/>
      <c r="K347" s="13"/>
      <c r="L347" s="13"/>
    </row>
    <row r="348" spans="1:12" ht="15.75" customHeight="1" x14ac:dyDescent="0.25">
      <c r="A348" s="13"/>
      <c r="B348" s="13"/>
      <c r="C348" s="13"/>
      <c r="D348" s="13"/>
      <c r="E348" s="13"/>
      <c r="F348" s="13"/>
      <c r="G348" s="13"/>
      <c r="H348" s="13"/>
      <c r="I348" s="13"/>
      <c r="J348" s="13"/>
      <c r="K348" s="13"/>
      <c r="L348" s="13"/>
    </row>
    <row r="349" spans="1:12" ht="15.75" customHeight="1" x14ac:dyDescent="0.25">
      <c r="A349" s="13"/>
      <c r="B349" s="13"/>
      <c r="C349" s="13"/>
      <c r="D349" s="13"/>
      <c r="E349" s="13"/>
      <c r="F349" s="13"/>
      <c r="G349" s="13"/>
      <c r="H349" s="13"/>
      <c r="I349" s="13"/>
      <c r="J349" s="13"/>
      <c r="K349" s="13"/>
      <c r="L349" s="13"/>
    </row>
    <row r="350" spans="1:12" ht="15.75" customHeight="1" x14ac:dyDescent="0.25">
      <c r="A350" s="13"/>
      <c r="B350" s="13"/>
      <c r="C350" s="13"/>
      <c r="D350" s="13"/>
      <c r="E350" s="13"/>
      <c r="F350" s="13"/>
      <c r="G350" s="13"/>
      <c r="H350" s="13"/>
      <c r="I350" s="13"/>
      <c r="J350" s="13"/>
      <c r="K350" s="13"/>
      <c r="L350" s="13"/>
    </row>
    <row r="351" spans="1:12" ht="15.75" customHeight="1" x14ac:dyDescent="0.25">
      <c r="A351" s="13"/>
      <c r="B351" s="13"/>
      <c r="C351" s="13"/>
      <c r="D351" s="13"/>
      <c r="E351" s="13"/>
      <c r="F351" s="13"/>
      <c r="G351" s="13"/>
      <c r="H351" s="13"/>
      <c r="I351" s="13"/>
      <c r="J351" s="13"/>
      <c r="K351" s="13"/>
      <c r="L351" s="13"/>
    </row>
    <row r="352" spans="1:12" ht="15.75" customHeight="1" x14ac:dyDescent="0.25">
      <c r="A352" s="13"/>
      <c r="B352" s="13"/>
      <c r="C352" s="13"/>
      <c r="D352" s="13"/>
      <c r="E352" s="13"/>
      <c r="F352" s="13"/>
      <c r="G352" s="13"/>
      <c r="H352" s="13"/>
      <c r="I352" s="13"/>
      <c r="J352" s="13"/>
      <c r="K352" s="13"/>
      <c r="L352" s="13"/>
    </row>
    <row r="353" spans="1:12" ht="15.75" customHeight="1" x14ac:dyDescent="0.25">
      <c r="A353" s="13"/>
      <c r="B353" s="13"/>
      <c r="C353" s="13"/>
      <c r="D353" s="13"/>
      <c r="E353" s="13"/>
      <c r="F353" s="13"/>
      <c r="G353" s="13"/>
      <c r="H353" s="13"/>
      <c r="I353" s="13"/>
      <c r="J353" s="13"/>
      <c r="K353" s="13"/>
      <c r="L353" s="13"/>
    </row>
    <row r="354" spans="1:12" ht="15.75" customHeight="1" x14ac:dyDescent="0.25">
      <c r="A354" s="13"/>
      <c r="B354" s="13"/>
      <c r="C354" s="13"/>
      <c r="D354" s="13"/>
      <c r="E354" s="13"/>
      <c r="F354" s="13"/>
      <c r="G354" s="13"/>
      <c r="H354" s="13"/>
      <c r="I354" s="13"/>
      <c r="J354" s="13"/>
      <c r="K354" s="13"/>
      <c r="L354" s="13"/>
    </row>
    <row r="355" spans="1:12" ht="15.75" customHeight="1" x14ac:dyDescent="0.25">
      <c r="A355" s="13"/>
      <c r="B355" s="13"/>
      <c r="C355" s="13"/>
      <c r="D355" s="13"/>
      <c r="E355" s="13"/>
      <c r="F355" s="13"/>
      <c r="G355" s="13"/>
      <c r="H355" s="13"/>
      <c r="I355" s="13"/>
      <c r="J355" s="13"/>
      <c r="K355" s="13"/>
      <c r="L355" s="13"/>
    </row>
    <row r="356" spans="1:12" ht="15.75" customHeight="1" x14ac:dyDescent="0.25">
      <c r="A356" s="13"/>
      <c r="B356" s="13"/>
      <c r="C356" s="13"/>
      <c r="D356" s="13"/>
      <c r="E356" s="13"/>
      <c r="F356" s="13"/>
      <c r="G356" s="13"/>
      <c r="H356" s="13"/>
      <c r="I356" s="13"/>
      <c r="J356" s="13"/>
      <c r="K356" s="13"/>
      <c r="L356" s="13"/>
    </row>
    <row r="357" spans="1:12" ht="15.75" customHeight="1" x14ac:dyDescent="0.25">
      <c r="A357" s="13"/>
      <c r="B357" s="13"/>
      <c r="C357" s="13"/>
      <c r="D357" s="13"/>
      <c r="E357" s="13"/>
      <c r="F357" s="13"/>
      <c r="G357" s="13"/>
      <c r="H357" s="13"/>
      <c r="I357" s="13"/>
      <c r="J357" s="13"/>
      <c r="K357" s="13"/>
      <c r="L357" s="13"/>
    </row>
    <row r="358" spans="1:12" ht="15.75" customHeight="1" x14ac:dyDescent="0.25">
      <c r="A358" s="13"/>
      <c r="B358" s="13"/>
      <c r="C358" s="13"/>
      <c r="D358" s="13"/>
      <c r="E358" s="13"/>
      <c r="F358" s="13"/>
      <c r="G358" s="13"/>
      <c r="H358" s="13"/>
      <c r="I358" s="13"/>
      <c r="J358" s="13"/>
      <c r="K358" s="13"/>
      <c r="L358" s="13"/>
    </row>
    <row r="359" spans="1:12" ht="15.75" customHeight="1" x14ac:dyDescent="0.25">
      <c r="A359" s="13"/>
      <c r="B359" s="13"/>
      <c r="C359" s="13"/>
      <c r="D359" s="13"/>
      <c r="E359" s="13"/>
      <c r="F359" s="13"/>
      <c r="G359" s="13"/>
      <c r="H359" s="13"/>
      <c r="I359" s="13"/>
      <c r="J359" s="13"/>
      <c r="K359" s="13"/>
      <c r="L359" s="13"/>
    </row>
    <row r="360" spans="1:12" ht="15.75" customHeight="1" x14ac:dyDescent="0.25">
      <c r="A360" s="13"/>
      <c r="B360" s="13"/>
      <c r="C360" s="13"/>
      <c r="D360" s="13"/>
      <c r="E360" s="13"/>
      <c r="F360" s="13"/>
      <c r="G360" s="13"/>
      <c r="H360" s="13"/>
      <c r="I360" s="13"/>
      <c r="J360" s="13"/>
      <c r="K360" s="13"/>
      <c r="L360" s="13"/>
    </row>
    <row r="361" spans="1:12" ht="15.75" customHeight="1" x14ac:dyDescent="0.25">
      <c r="A361" s="13"/>
      <c r="B361" s="13"/>
      <c r="C361" s="13"/>
      <c r="D361" s="13"/>
      <c r="E361" s="13"/>
      <c r="F361" s="13"/>
      <c r="G361" s="13"/>
      <c r="H361" s="13"/>
      <c r="I361" s="13"/>
      <c r="J361" s="13"/>
      <c r="K361" s="13"/>
      <c r="L361" s="13"/>
    </row>
    <row r="362" spans="1:12" ht="15.75" customHeight="1" x14ac:dyDescent="0.25">
      <c r="A362" s="13"/>
      <c r="B362" s="13"/>
      <c r="C362" s="13"/>
      <c r="D362" s="13"/>
      <c r="E362" s="13"/>
      <c r="F362" s="13"/>
      <c r="G362" s="13"/>
      <c r="H362" s="13"/>
      <c r="I362" s="13"/>
      <c r="J362" s="13"/>
      <c r="K362" s="13"/>
      <c r="L362" s="13"/>
    </row>
    <row r="363" spans="1:12" ht="15.75" customHeight="1" x14ac:dyDescent="0.25">
      <c r="A363" s="13"/>
      <c r="B363" s="13"/>
      <c r="C363" s="13"/>
      <c r="D363" s="13"/>
      <c r="E363" s="13"/>
      <c r="F363" s="13"/>
      <c r="G363" s="13"/>
      <c r="H363" s="13"/>
      <c r="I363" s="13"/>
      <c r="J363" s="13"/>
      <c r="K363" s="13"/>
      <c r="L363" s="13"/>
    </row>
    <row r="364" spans="1:12" ht="15.75" customHeight="1" x14ac:dyDescent="0.25">
      <c r="A364" s="13"/>
      <c r="B364" s="13"/>
      <c r="C364" s="13"/>
      <c r="D364" s="13"/>
      <c r="E364" s="13"/>
      <c r="F364" s="13"/>
      <c r="G364" s="13"/>
      <c r="H364" s="13"/>
      <c r="I364" s="13"/>
      <c r="J364" s="13"/>
      <c r="K364" s="13"/>
      <c r="L364" s="13"/>
    </row>
    <row r="365" spans="1:12" ht="15.75" customHeight="1" x14ac:dyDescent="0.25">
      <c r="A365" s="13"/>
      <c r="B365" s="13"/>
      <c r="C365" s="13"/>
      <c r="D365" s="13"/>
      <c r="E365" s="13"/>
      <c r="F365" s="13"/>
      <c r="G365" s="13"/>
      <c r="H365" s="13"/>
      <c r="I365" s="13"/>
      <c r="J365" s="13"/>
      <c r="K365" s="13"/>
      <c r="L365" s="13"/>
    </row>
    <row r="366" spans="1:12" ht="15.75" customHeight="1" x14ac:dyDescent="0.25">
      <c r="A366" s="13"/>
      <c r="B366" s="13"/>
      <c r="C366" s="13"/>
      <c r="D366" s="13"/>
      <c r="E366" s="13"/>
      <c r="F366" s="13"/>
      <c r="G366" s="13"/>
      <c r="H366" s="13"/>
      <c r="I366" s="13"/>
      <c r="J366" s="13"/>
      <c r="K366" s="13"/>
      <c r="L366" s="13"/>
    </row>
    <row r="367" spans="1:12" ht="15.75" customHeight="1" x14ac:dyDescent="0.25">
      <c r="A367" s="13"/>
      <c r="B367" s="13"/>
      <c r="C367" s="13"/>
      <c r="D367" s="13"/>
      <c r="E367" s="13"/>
      <c r="F367" s="13"/>
      <c r="G367" s="13"/>
      <c r="H367" s="13"/>
      <c r="I367" s="13"/>
      <c r="J367" s="13"/>
      <c r="K367" s="13"/>
      <c r="L367" s="13"/>
    </row>
    <row r="368" spans="1:12" ht="15.75" customHeight="1" x14ac:dyDescent="0.25">
      <c r="A368" s="13"/>
      <c r="B368" s="13"/>
      <c r="C368" s="13"/>
      <c r="D368" s="13"/>
      <c r="E368" s="13"/>
      <c r="F368" s="13"/>
      <c r="G368" s="13"/>
      <c r="H368" s="13"/>
      <c r="I368" s="13"/>
      <c r="J368" s="13"/>
      <c r="K368" s="13"/>
      <c r="L368" s="13"/>
    </row>
    <row r="369" spans="1:12" ht="15.75" customHeight="1" x14ac:dyDescent="0.25">
      <c r="A369" s="13"/>
      <c r="B369" s="13"/>
      <c r="C369" s="13"/>
      <c r="D369" s="13"/>
      <c r="E369" s="13"/>
      <c r="F369" s="13"/>
      <c r="G369" s="13"/>
      <c r="H369" s="13"/>
      <c r="I369" s="13"/>
      <c r="J369" s="13"/>
      <c r="K369" s="13"/>
      <c r="L369" s="13"/>
    </row>
    <row r="370" spans="1:12" ht="15.75" customHeight="1" x14ac:dyDescent="0.25">
      <c r="A370" s="13"/>
      <c r="B370" s="13"/>
      <c r="C370" s="13"/>
      <c r="D370" s="13"/>
      <c r="E370" s="13"/>
      <c r="F370" s="13"/>
      <c r="G370" s="13"/>
      <c r="H370" s="13"/>
      <c r="I370" s="13"/>
      <c r="J370" s="13"/>
      <c r="K370" s="13"/>
      <c r="L370" s="13"/>
    </row>
    <row r="371" spans="1:12" ht="15.75" customHeight="1" x14ac:dyDescent="0.25">
      <c r="A371" s="13"/>
      <c r="B371" s="13"/>
      <c r="C371" s="13"/>
      <c r="D371" s="13"/>
      <c r="E371" s="13"/>
      <c r="F371" s="13"/>
      <c r="G371" s="13"/>
      <c r="H371" s="13"/>
      <c r="I371" s="13"/>
      <c r="J371" s="13"/>
      <c r="K371" s="13"/>
      <c r="L371" s="13"/>
    </row>
    <row r="372" spans="1:12" ht="15.75" customHeight="1" x14ac:dyDescent="0.25">
      <c r="A372" s="13"/>
      <c r="B372" s="13"/>
      <c r="C372" s="13"/>
      <c r="D372" s="13"/>
      <c r="E372" s="13"/>
      <c r="F372" s="13"/>
      <c r="G372" s="13"/>
      <c r="H372" s="13"/>
      <c r="I372" s="13"/>
      <c r="J372" s="13"/>
      <c r="K372" s="13"/>
      <c r="L372" s="13"/>
    </row>
    <row r="373" spans="1:12" ht="15.75" customHeight="1" x14ac:dyDescent="0.25">
      <c r="A373" s="13"/>
      <c r="B373" s="13"/>
      <c r="C373" s="13"/>
      <c r="D373" s="13"/>
      <c r="E373" s="13"/>
      <c r="F373" s="13"/>
      <c r="G373" s="13"/>
      <c r="H373" s="13"/>
      <c r="I373" s="13"/>
      <c r="J373" s="13"/>
      <c r="K373" s="13"/>
      <c r="L373" s="13"/>
    </row>
    <row r="374" spans="1:12" ht="15.75" customHeight="1" x14ac:dyDescent="0.25">
      <c r="A374" s="13"/>
      <c r="B374" s="13"/>
      <c r="C374" s="13"/>
      <c r="D374" s="13"/>
      <c r="E374" s="13"/>
      <c r="F374" s="13"/>
      <c r="G374" s="13"/>
      <c r="H374" s="13"/>
      <c r="I374" s="13"/>
      <c r="J374" s="13"/>
      <c r="K374" s="13"/>
      <c r="L374" s="13"/>
    </row>
    <row r="375" spans="1:12" ht="15.75" customHeight="1" x14ac:dyDescent="0.25">
      <c r="A375" s="13"/>
      <c r="B375" s="13"/>
      <c r="C375" s="13"/>
      <c r="D375" s="13"/>
      <c r="E375" s="13"/>
      <c r="F375" s="13"/>
      <c r="G375" s="13"/>
      <c r="H375" s="13"/>
      <c r="I375" s="13"/>
      <c r="J375" s="13"/>
      <c r="K375" s="13"/>
      <c r="L375" s="13"/>
    </row>
    <row r="376" spans="1:12" ht="15.75" customHeight="1" x14ac:dyDescent="0.25">
      <c r="A376" s="13"/>
      <c r="B376" s="13"/>
      <c r="C376" s="13"/>
      <c r="D376" s="13"/>
      <c r="E376" s="13"/>
      <c r="F376" s="13"/>
      <c r="G376" s="13"/>
      <c r="H376" s="13"/>
      <c r="I376" s="13"/>
      <c r="J376" s="13"/>
      <c r="K376" s="13"/>
      <c r="L376" s="13"/>
    </row>
    <row r="377" spans="1:12" ht="15.75" customHeight="1" x14ac:dyDescent="0.25">
      <c r="A377" s="13"/>
      <c r="B377" s="13"/>
      <c r="C377" s="13"/>
      <c r="D377" s="13"/>
      <c r="E377" s="13"/>
      <c r="F377" s="13"/>
      <c r="G377" s="13"/>
      <c r="H377" s="13"/>
      <c r="I377" s="13"/>
      <c r="J377" s="13"/>
      <c r="K377" s="13"/>
      <c r="L377" s="13"/>
    </row>
    <row r="378" spans="1:12" ht="15.75" customHeight="1" x14ac:dyDescent="0.25">
      <c r="A378" s="13"/>
      <c r="B378" s="13"/>
      <c r="C378" s="13"/>
      <c r="D378" s="13"/>
      <c r="E378" s="13"/>
      <c r="F378" s="13"/>
      <c r="G378" s="13"/>
      <c r="H378" s="13"/>
      <c r="I378" s="13"/>
      <c r="J378" s="13"/>
      <c r="K378" s="13"/>
      <c r="L378" s="13"/>
    </row>
    <row r="379" spans="1:12" ht="15.75" customHeight="1" x14ac:dyDescent="0.25">
      <c r="A379" s="13"/>
      <c r="B379" s="13"/>
      <c r="C379" s="13"/>
      <c r="D379" s="13"/>
      <c r="E379" s="13"/>
      <c r="F379" s="13"/>
      <c r="G379" s="13"/>
      <c r="H379" s="13"/>
      <c r="I379" s="13"/>
      <c r="J379" s="13"/>
      <c r="K379" s="13"/>
      <c r="L379" s="13"/>
    </row>
    <row r="380" spans="1:12" ht="15.75" customHeight="1" x14ac:dyDescent="0.25">
      <c r="A380" s="13"/>
      <c r="B380" s="13"/>
      <c r="C380" s="13"/>
      <c r="D380" s="13"/>
      <c r="E380" s="13"/>
      <c r="F380" s="13"/>
      <c r="G380" s="13"/>
      <c r="H380" s="13"/>
      <c r="I380" s="13"/>
      <c r="J380" s="13"/>
      <c r="K380" s="13"/>
      <c r="L380" s="13"/>
    </row>
    <row r="381" spans="1:12" ht="15.75" customHeight="1" x14ac:dyDescent="0.25">
      <c r="A381" s="13"/>
      <c r="B381" s="13"/>
      <c r="C381" s="13"/>
      <c r="D381" s="13"/>
      <c r="E381" s="13"/>
      <c r="F381" s="13"/>
      <c r="G381" s="13"/>
      <c r="H381" s="13"/>
      <c r="I381" s="13"/>
      <c r="J381" s="13"/>
      <c r="K381" s="13"/>
      <c r="L381" s="13"/>
    </row>
    <row r="382" spans="1:12" ht="15.75" customHeight="1" x14ac:dyDescent="0.25">
      <c r="A382" s="13"/>
      <c r="B382" s="13"/>
      <c r="C382" s="13"/>
      <c r="D382" s="13"/>
      <c r="E382" s="13"/>
      <c r="F382" s="13"/>
      <c r="G382" s="13"/>
      <c r="H382" s="13"/>
      <c r="I382" s="13"/>
      <c r="J382" s="13"/>
      <c r="K382" s="13"/>
      <c r="L382" s="13"/>
    </row>
    <row r="383" spans="1:12" ht="15.75" customHeight="1" x14ac:dyDescent="0.25">
      <c r="A383" s="13"/>
      <c r="B383" s="13"/>
      <c r="C383" s="13"/>
      <c r="D383" s="13"/>
      <c r="E383" s="13"/>
      <c r="F383" s="13"/>
      <c r="G383" s="13"/>
      <c r="H383" s="13"/>
      <c r="I383" s="13"/>
      <c r="J383" s="13"/>
      <c r="K383" s="13"/>
      <c r="L383" s="13"/>
    </row>
    <row r="384" spans="1:12" ht="15.75" customHeight="1" x14ac:dyDescent="0.25">
      <c r="A384" s="13"/>
      <c r="B384" s="13"/>
      <c r="C384" s="13"/>
      <c r="D384" s="13"/>
      <c r="E384" s="13"/>
      <c r="F384" s="13"/>
      <c r="G384" s="13"/>
      <c r="H384" s="13"/>
      <c r="I384" s="13"/>
      <c r="J384" s="13"/>
      <c r="K384" s="13"/>
      <c r="L384" s="13"/>
    </row>
    <row r="385" spans="1:12" ht="15.75" customHeight="1" x14ac:dyDescent="0.25">
      <c r="A385" s="13"/>
      <c r="B385" s="13"/>
      <c r="C385" s="13"/>
      <c r="D385" s="13"/>
      <c r="E385" s="13"/>
      <c r="F385" s="13"/>
      <c r="G385" s="13"/>
      <c r="H385" s="13"/>
      <c r="I385" s="13"/>
      <c r="J385" s="13"/>
      <c r="K385" s="13"/>
      <c r="L385" s="13"/>
    </row>
    <row r="386" spans="1:12" ht="15.75" customHeight="1" x14ac:dyDescent="0.25">
      <c r="A386" s="13"/>
      <c r="B386" s="13"/>
      <c r="C386" s="13"/>
      <c r="D386" s="13"/>
      <c r="E386" s="13"/>
      <c r="F386" s="13"/>
      <c r="G386" s="13"/>
      <c r="H386" s="13"/>
      <c r="I386" s="13"/>
      <c r="J386" s="13"/>
      <c r="K386" s="13"/>
      <c r="L386" s="13"/>
    </row>
    <row r="387" spans="1:12" ht="15.75" customHeight="1" x14ac:dyDescent="0.25">
      <c r="A387" s="13"/>
      <c r="B387" s="13"/>
      <c r="C387" s="13"/>
      <c r="D387" s="13"/>
      <c r="E387" s="13"/>
      <c r="F387" s="13"/>
      <c r="G387" s="13"/>
      <c r="H387" s="13"/>
      <c r="I387" s="13"/>
      <c r="J387" s="13"/>
      <c r="K387" s="13"/>
      <c r="L387" s="13"/>
    </row>
    <row r="388" spans="1:12" ht="15.75" customHeight="1" x14ac:dyDescent="0.25">
      <c r="A388" s="13"/>
      <c r="B388" s="13"/>
      <c r="C388" s="13"/>
      <c r="D388" s="13"/>
      <c r="E388" s="13"/>
      <c r="F388" s="13"/>
      <c r="G388" s="13"/>
      <c r="H388" s="13"/>
      <c r="I388" s="13"/>
      <c r="J388" s="13"/>
      <c r="K388" s="13"/>
      <c r="L388" s="13"/>
    </row>
    <row r="389" spans="1:12" ht="15.75" customHeight="1" x14ac:dyDescent="0.25">
      <c r="A389" s="13"/>
      <c r="B389" s="13"/>
      <c r="C389" s="13"/>
      <c r="D389" s="13"/>
      <c r="E389" s="13"/>
      <c r="F389" s="13"/>
      <c r="G389" s="13"/>
      <c r="H389" s="13"/>
      <c r="I389" s="13"/>
      <c r="J389" s="13"/>
      <c r="K389" s="13"/>
      <c r="L389" s="13"/>
    </row>
    <row r="390" spans="1:12" ht="15.75" customHeight="1" x14ac:dyDescent="0.25">
      <c r="A390" s="13"/>
      <c r="B390" s="13"/>
      <c r="C390" s="13"/>
      <c r="D390" s="13"/>
      <c r="E390" s="13"/>
      <c r="F390" s="13"/>
      <c r="G390" s="13"/>
      <c r="H390" s="13"/>
      <c r="I390" s="13"/>
      <c r="J390" s="13"/>
      <c r="K390" s="13"/>
      <c r="L390" s="13"/>
    </row>
    <row r="391" spans="1:12" ht="15.75" customHeight="1" x14ac:dyDescent="0.25">
      <c r="A391" s="13"/>
      <c r="B391" s="13"/>
      <c r="C391" s="13"/>
      <c r="D391" s="13"/>
      <c r="E391" s="13"/>
      <c r="F391" s="13"/>
      <c r="G391" s="13"/>
      <c r="H391" s="13"/>
      <c r="I391" s="13"/>
      <c r="J391" s="13"/>
      <c r="K391" s="13"/>
      <c r="L391" s="13"/>
    </row>
    <row r="392" spans="1:12" ht="15.75" customHeight="1" x14ac:dyDescent="0.25">
      <c r="A392" s="13"/>
      <c r="B392" s="13"/>
      <c r="C392" s="13"/>
      <c r="D392" s="13"/>
      <c r="E392" s="13"/>
      <c r="F392" s="13"/>
      <c r="G392" s="13"/>
      <c r="H392" s="13"/>
      <c r="I392" s="13"/>
      <c r="J392" s="13"/>
      <c r="K392" s="13"/>
      <c r="L392" s="13"/>
    </row>
    <row r="393" spans="1:12" ht="15.75" customHeight="1" x14ac:dyDescent="0.25">
      <c r="A393" s="13"/>
      <c r="B393" s="13"/>
      <c r="C393" s="13"/>
      <c r="D393" s="13"/>
      <c r="E393" s="13"/>
      <c r="F393" s="13"/>
      <c r="G393" s="13"/>
      <c r="H393" s="13"/>
      <c r="I393" s="13"/>
      <c r="J393" s="13"/>
      <c r="K393" s="13"/>
      <c r="L393" s="13"/>
    </row>
    <row r="394" spans="1:12" ht="15.75" customHeight="1" x14ac:dyDescent="0.25">
      <c r="A394" s="13"/>
      <c r="B394" s="13"/>
      <c r="C394" s="13"/>
      <c r="D394" s="13"/>
      <c r="E394" s="13"/>
      <c r="F394" s="13"/>
      <c r="G394" s="13"/>
      <c r="H394" s="13"/>
      <c r="I394" s="13"/>
      <c r="J394" s="13"/>
      <c r="K394" s="13"/>
      <c r="L394" s="13"/>
    </row>
    <row r="395" spans="1:12" ht="15.75" customHeight="1" x14ac:dyDescent="0.25">
      <c r="A395" s="13"/>
      <c r="B395" s="13"/>
      <c r="C395" s="13"/>
      <c r="D395" s="13"/>
      <c r="E395" s="13"/>
      <c r="F395" s="13"/>
      <c r="G395" s="13"/>
      <c r="H395" s="13"/>
      <c r="I395" s="13"/>
      <c r="J395" s="13"/>
      <c r="K395" s="13"/>
      <c r="L395" s="13"/>
    </row>
    <row r="396" spans="1:12" ht="15.75" customHeight="1" x14ac:dyDescent="0.25">
      <c r="A396" s="13"/>
      <c r="B396" s="13"/>
      <c r="C396" s="13"/>
      <c r="D396" s="13"/>
      <c r="E396" s="13"/>
      <c r="F396" s="13"/>
      <c r="G396" s="13"/>
      <c r="H396" s="13"/>
      <c r="I396" s="13"/>
      <c r="J396" s="13"/>
      <c r="K396" s="13"/>
      <c r="L396" s="13"/>
    </row>
    <row r="397" spans="1:12" ht="15.75" customHeight="1" x14ac:dyDescent="0.25">
      <c r="A397" s="13"/>
      <c r="B397" s="13"/>
      <c r="C397" s="13"/>
      <c r="D397" s="13"/>
      <c r="E397" s="13"/>
      <c r="F397" s="13"/>
      <c r="G397" s="13"/>
      <c r="H397" s="13"/>
      <c r="I397" s="13"/>
      <c r="J397" s="13"/>
      <c r="K397" s="13"/>
      <c r="L397" s="13"/>
    </row>
    <row r="398" spans="1:12" ht="15.75" customHeight="1" x14ac:dyDescent="0.25">
      <c r="A398" s="13"/>
      <c r="B398" s="13"/>
      <c r="C398" s="13"/>
      <c r="D398" s="13"/>
      <c r="E398" s="13"/>
      <c r="F398" s="13"/>
      <c r="G398" s="13"/>
      <c r="H398" s="13"/>
      <c r="I398" s="13"/>
      <c r="J398" s="13"/>
      <c r="K398" s="13"/>
      <c r="L398" s="13"/>
    </row>
    <row r="399" spans="1:12" ht="15.75" customHeight="1" x14ac:dyDescent="0.25">
      <c r="A399" s="13"/>
      <c r="B399" s="13"/>
      <c r="C399" s="13"/>
      <c r="D399" s="13"/>
      <c r="E399" s="13"/>
      <c r="F399" s="13"/>
      <c r="G399" s="13"/>
      <c r="H399" s="13"/>
      <c r="I399" s="13"/>
      <c r="J399" s="13"/>
      <c r="K399" s="13"/>
      <c r="L399" s="13"/>
    </row>
    <row r="400" spans="1:12" ht="15.75" customHeight="1" x14ac:dyDescent="0.25">
      <c r="A400" s="13"/>
      <c r="B400" s="13"/>
      <c r="C400" s="13"/>
      <c r="D400" s="13"/>
      <c r="E400" s="13"/>
      <c r="F400" s="13"/>
      <c r="G400" s="13"/>
      <c r="H400" s="13"/>
      <c r="I400" s="13"/>
      <c r="J400" s="13"/>
      <c r="K400" s="13"/>
      <c r="L400" s="13"/>
    </row>
    <row r="401" spans="1:12" ht="15.75" customHeight="1" x14ac:dyDescent="0.25">
      <c r="A401" s="13"/>
      <c r="B401" s="13"/>
      <c r="C401" s="13"/>
      <c r="D401" s="13"/>
      <c r="E401" s="13"/>
      <c r="F401" s="13"/>
      <c r="G401" s="13"/>
      <c r="H401" s="13"/>
      <c r="I401" s="13"/>
      <c r="J401" s="13"/>
      <c r="K401" s="13"/>
      <c r="L401" s="13"/>
    </row>
    <row r="402" spans="1:12" ht="15.75" customHeight="1" x14ac:dyDescent="0.25">
      <c r="A402" s="13"/>
      <c r="B402" s="13"/>
      <c r="C402" s="13"/>
      <c r="D402" s="13"/>
      <c r="E402" s="13"/>
      <c r="F402" s="13"/>
      <c r="G402" s="13"/>
      <c r="H402" s="13"/>
      <c r="I402" s="13"/>
      <c r="J402" s="13"/>
      <c r="K402" s="13"/>
      <c r="L402" s="13"/>
    </row>
    <row r="403" spans="1:12" ht="15.75" customHeight="1" x14ac:dyDescent="0.25">
      <c r="A403" s="13"/>
      <c r="B403" s="13"/>
      <c r="C403" s="13"/>
      <c r="D403" s="13"/>
      <c r="E403" s="13"/>
      <c r="F403" s="13"/>
      <c r="G403" s="13"/>
      <c r="H403" s="13"/>
      <c r="I403" s="13"/>
      <c r="J403" s="13"/>
      <c r="K403" s="13"/>
      <c r="L403" s="13"/>
    </row>
    <row r="404" spans="1:12" ht="15.75" customHeight="1" x14ac:dyDescent="0.25">
      <c r="A404" s="13"/>
      <c r="B404" s="13"/>
      <c r="C404" s="13"/>
      <c r="D404" s="13"/>
      <c r="E404" s="13"/>
      <c r="F404" s="13"/>
      <c r="G404" s="13"/>
      <c r="H404" s="13"/>
      <c r="I404" s="13"/>
      <c r="J404" s="13"/>
      <c r="K404" s="13"/>
      <c r="L404" s="13"/>
    </row>
    <row r="405" spans="1:12" ht="15.75" customHeight="1" x14ac:dyDescent="0.25">
      <c r="A405" s="13"/>
      <c r="B405" s="13"/>
      <c r="C405" s="13"/>
      <c r="D405" s="13"/>
      <c r="E405" s="13"/>
      <c r="F405" s="13"/>
      <c r="G405" s="13"/>
      <c r="H405" s="13"/>
      <c r="I405" s="13"/>
      <c r="J405" s="13"/>
      <c r="K405" s="13"/>
      <c r="L405" s="13"/>
    </row>
    <row r="406" spans="1:12" ht="15.75" customHeight="1" x14ac:dyDescent="0.25">
      <c r="A406" s="13"/>
      <c r="B406" s="13"/>
      <c r="C406" s="13"/>
      <c r="D406" s="13"/>
      <c r="E406" s="13"/>
      <c r="F406" s="13"/>
      <c r="G406" s="13"/>
      <c r="H406" s="13"/>
      <c r="I406" s="13"/>
      <c r="J406" s="13"/>
      <c r="K406" s="13"/>
      <c r="L406" s="13"/>
    </row>
    <row r="407" spans="1:12" ht="15.75" customHeight="1" x14ac:dyDescent="0.25">
      <c r="A407" s="13"/>
      <c r="B407" s="13"/>
      <c r="C407" s="13"/>
      <c r="D407" s="13"/>
      <c r="E407" s="13"/>
      <c r="F407" s="13"/>
      <c r="G407" s="13"/>
      <c r="H407" s="13"/>
      <c r="I407" s="13"/>
      <c r="J407" s="13"/>
      <c r="K407" s="13"/>
      <c r="L407" s="13"/>
    </row>
    <row r="408" spans="1:12" ht="15.75" customHeight="1" x14ac:dyDescent="0.25">
      <c r="A408" s="13"/>
      <c r="B408" s="13"/>
      <c r="C408" s="13"/>
      <c r="D408" s="13"/>
      <c r="E408" s="13"/>
      <c r="F408" s="13"/>
      <c r="G408" s="13"/>
      <c r="H408" s="13"/>
      <c r="I408" s="13"/>
      <c r="J408" s="13"/>
      <c r="K408" s="13"/>
      <c r="L408" s="13"/>
    </row>
    <row r="409" spans="1:12" ht="15.75" customHeight="1" x14ac:dyDescent="0.25">
      <c r="A409" s="13"/>
      <c r="B409" s="13"/>
      <c r="C409" s="13"/>
      <c r="D409" s="13"/>
      <c r="E409" s="13"/>
      <c r="F409" s="13"/>
      <c r="G409" s="13"/>
      <c r="H409" s="13"/>
      <c r="I409" s="13"/>
      <c r="J409" s="13"/>
      <c r="K409" s="13"/>
      <c r="L409" s="13"/>
    </row>
    <row r="410" spans="1:12" ht="15.75" customHeight="1" x14ac:dyDescent="0.25">
      <c r="A410" s="13"/>
      <c r="B410" s="13"/>
      <c r="C410" s="13"/>
      <c r="D410" s="13"/>
      <c r="E410" s="13"/>
      <c r="F410" s="13"/>
      <c r="G410" s="13"/>
      <c r="H410" s="13"/>
      <c r="I410" s="13"/>
      <c r="J410" s="13"/>
      <c r="K410" s="13"/>
      <c r="L410" s="13"/>
    </row>
    <row r="411" spans="1:12" ht="15.75" customHeight="1" x14ac:dyDescent="0.25">
      <c r="A411" s="13"/>
      <c r="B411" s="13"/>
      <c r="C411" s="13"/>
      <c r="D411" s="13"/>
      <c r="E411" s="13"/>
      <c r="F411" s="13"/>
      <c r="G411" s="13"/>
      <c r="H411" s="13"/>
      <c r="I411" s="13"/>
      <c r="J411" s="13"/>
      <c r="K411" s="13"/>
      <c r="L411" s="13"/>
    </row>
    <row r="412" spans="1:12" ht="15.75" customHeight="1" x14ac:dyDescent="0.25">
      <c r="A412" s="13"/>
      <c r="B412" s="13"/>
      <c r="C412" s="13"/>
      <c r="D412" s="13"/>
      <c r="E412" s="13"/>
      <c r="F412" s="13"/>
      <c r="G412" s="13"/>
      <c r="H412" s="13"/>
      <c r="I412" s="13"/>
      <c r="J412" s="13"/>
      <c r="K412" s="13"/>
      <c r="L412" s="13"/>
    </row>
    <row r="413" spans="1:12" ht="15.75" customHeight="1" x14ac:dyDescent="0.25">
      <c r="A413" s="13"/>
      <c r="B413" s="13"/>
      <c r="C413" s="13"/>
      <c r="D413" s="13"/>
      <c r="E413" s="13"/>
      <c r="F413" s="13"/>
      <c r="G413" s="13"/>
      <c r="H413" s="13"/>
      <c r="I413" s="13"/>
      <c r="J413" s="13"/>
      <c r="K413" s="13"/>
      <c r="L413" s="13"/>
    </row>
    <row r="414" spans="1:12" ht="15.75" customHeight="1" x14ac:dyDescent="0.25">
      <c r="A414" s="13"/>
      <c r="B414" s="13"/>
      <c r="C414" s="13"/>
      <c r="D414" s="13"/>
      <c r="E414" s="13"/>
      <c r="F414" s="13"/>
      <c r="G414" s="13"/>
      <c r="H414" s="13"/>
      <c r="I414" s="13"/>
      <c r="J414" s="13"/>
      <c r="K414" s="13"/>
      <c r="L414" s="13"/>
    </row>
    <row r="415" spans="1:12" ht="15.75" customHeight="1" x14ac:dyDescent="0.25">
      <c r="A415" s="13"/>
      <c r="B415" s="13"/>
      <c r="C415" s="13"/>
      <c r="D415" s="13"/>
      <c r="E415" s="13"/>
      <c r="F415" s="13"/>
      <c r="G415" s="13"/>
      <c r="H415" s="13"/>
      <c r="I415" s="13"/>
      <c r="J415" s="13"/>
      <c r="K415" s="13"/>
      <c r="L415" s="13"/>
    </row>
    <row r="416" spans="1:12" ht="15.75" customHeight="1" x14ac:dyDescent="0.25">
      <c r="A416" s="13"/>
      <c r="B416" s="13"/>
      <c r="C416" s="13"/>
      <c r="D416" s="13"/>
      <c r="E416" s="13"/>
      <c r="F416" s="13"/>
      <c r="G416" s="13"/>
      <c r="H416" s="13"/>
      <c r="I416" s="13"/>
      <c r="J416" s="13"/>
      <c r="K416" s="13"/>
      <c r="L416" s="13"/>
    </row>
    <row r="417" spans="1:12" ht="15.75" customHeight="1" x14ac:dyDescent="0.25">
      <c r="A417" s="13"/>
      <c r="B417" s="13"/>
      <c r="C417" s="13"/>
      <c r="D417" s="13"/>
      <c r="E417" s="13"/>
      <c r="F417" s="13"/>
      <c r="G417" s="13"/>
      <c r="H417" s="13"/>
      <c r="I417" s="13"/>
      <c r="J417" s="13"/>
      <c r="K417" s="13"/>
      <c r="L417" s="13"/>
    </row>
    <row r="418" spans="1:12" ht="15.75" customHeight="1" x14ac:dyDescent="0.25">
      <c r="A418" s="13"/>
      <c r="B418" s="13"/>
      <c r="C418" s="13"/>
      <c r="D418" s="13"/>
      <c r="E418" s="13"/>
      <c r="F418" s="13"/>
      <c r="G418" s="13"/>
      <c r="H418" s="13"/>
      <c r="I418" s="13"/>
      <c r="J418" s="13"/>
      <c r="K418" s="13"/>
      <c r="L418" s="13"/>
    </row>
    <row r="419" spans="1:12" ht="15.75" customHeight="1" x14ac:dyDescent="0.25">
      <c r="A419" s="13"/>
      <c r="B419" s="13"/>
      <c r="C419" s="13"/>
      <c r="D419" s="13"/>
      <c r="E419" s="13"/>
      <c r="F419" s="13"/>
      <c r="G419" s="13"/>
      <c r="H419" s="13"/>
      <c r="I419" s="13"/>
      <c r="J419" s="13"/>
      <c r="K419" s="13"/>
      <c r="L419" s="13"/>
    </row>
    <row r="420" spans="1:12" ht="15.75" customHeight="1" x14ac:dyDescent="0.25">
      <c r="A420" s="13"/>
      <c r="B420" s="13"/>
      <c r="C420" s="13"/>
      <c r="D420" s="13"/>
      <c r="E420" s="13"/>
      <c r="F420" s="13"/>
      <c r="G420" s="13"/>
      <c r="H420" s="13"/>
      <c r="I420" s="13"/>
      <c r="J420" s="13"/>
      <c r="K420" s="13"/>
      <c r="L420" s="13"/>
    </row>
    <row r="421" spans="1:12" ht="15.75" customHeight="1" x14ac:dyDescent="0.25">
      <c r="A421" s="13"/>
      <c r="B421" s="13"/>
      <c r="C421" s="13"/>
      <c r="D421" s="13"/>
      <c r="E421" s="13"/>
      <c r="F421" s="13"/>
      <c r="G421" s="13"/>
      <c r="H421" s="13"/>
      <c r="I421" s="13"/>
      <c r="J421" s="13"/>
      <c r="K421" s="13"/>
      <c r="L421" s="13"/>
    </row>
    <row r="422" spans="1:12" ht="15.75" customHeight="1" x14ac:dyDescent="0.25">
      <c r="A422" s="13"/>
      <c r="B422" s="13"/>
      <c r="C422" s="13"/>
      <c r="D422" s="13"/>
      <c r="E422" s="13"/>
      <c r="F422" s="13"/>
      <c r="G422" s="13"/>
      <c r="H422" s="13"/>
      <c r="I422" s="13"/>
      <c r="J422" s="13"/>
      <c r="K422" s="13"/>
      <c r="L422" s="13"/>
    </row>
    <row r="423" spans="1:12" ht="15.75" customHeight="1" x14ac:dyDescent="0.25">
      <c r="A423" s="13"/>
      <c r="B423" s="13"/>
      <c r="C423" s="13"/>
      <c r="D423" s="13"/>
      <c r="E423" s="13"/>
      <c r="F423" s="13"/>
      <c r="G423" s="13"/>
      <c r="H423" s="13"/>
      <c r="I423" s="13"/>
      <c r="J423" s="13"/>
      <c r="K423" s="13"/>
      <c r="L423" s="13"/>
    </row>
    <row r="424" spans="1:12" ht="15.75" customHeight="1" x14ac:dyDescent="0.25">
      <c r="A424" s="13"/>
      <c r="B424" s="13"/>
      <c r="C424" s="13"/>
      <c r="D424" s="13"/>
      <c r="E424" s="13"/>
      <c r="F424" s="13"/>
      <c r="G424" s="13"/>
      <c r="H424" s="13"/>
      <c r="I424" s="13"/>
      <c r="J424" s="13"/>
      <c r="K424" s="13"/>
      <c r="L424" s="13"/>
    </row>
    <row r="425" spans="1:12" ht="15.75" customHeight="1" x14ac:dyDescent="0.25">
      <c r="A425" s="13"/>
      <c r="B425" s="13"/>
      <c r="C425" s="13"/>
      <c r="D425" s="13"/>
      <c r="E425" s="13"/>
      <c r="F425" s="13"/>
      <c r="G425" s="13"/>
      <c r="H425" s="13"/>
      <c r="I425" s="13"/>
      <c r="J425" s="13"/>
      <c r="K425" s="13"/>
      <c r="L425" s="13"/>
    </row>
    <row r="426" spans="1:12" ht="15.75" customHeight="1" x14ac:dyDescent="0.25">
      <c r="A426" s="13"/>
      <c r="B426" s="13"/>
      <c r="C426" s="13"/>
      <c r="D426" s="13"/>
      <c r="E426" s="13"/>
      <c r="F426" s="13"/>
      <c r="G426" s="13"/>
      <c r="H426" s="13"/>
      <c r="I426" s="13"/>
      <c r="J426" s="13"/>
      <c r="K426" s="13"/>
      <c r="L426" s="13"/>
    </row>
    <row r="427" spans="1:12" ht="15.75" customHeight="1" x14ac:dyDescent="0.25">
      <c r="A427" s="13"/>
      <c r="B427" s="13"/>
      <c r="C427" s="13"/>
      <c r="D427" s="13"/>
      <c r="E427" s="13"/>
      <c r="F427" s="13"/>
      <c r="G427" s="13"/>
      <c r="H427" s="13"/>
      <c r="I427" s="13"/>
      <c r="J427" s="13"/>
      <c r="K427" s="13"/>
      <c r="L427" s="13"/>
    </row>
    <row r="428" spans="1:12" ht="15.75" customHeight="1" x14ac:dyDescent="0.25">
      <c r="A428" s="13"/>
      <c r="B428" s="13"/>
      <c r="C428" s="13"/>
      <c r="D428" s="13"/>
      <c r="E428" s="13"/>
      <c r="F428" s="13"/>
      <c r="G428" s="13"/>
      <c r="H428" s="13"/>
      <c r="I428" s="13"/>
      <c r="J428" s="13"/>
      <c r="K428" s="13"/>
      <c r="L428" s="13"/>
    </row>
    <row r="429" spans="1:12" ht="15.75" customHeight="1" x14ac:dyDescent="0.25">
      <c r="A429" s="13"/>
      <c r="B429" s="13"/>
      <c r="C429" s="13"/>
      <c r="D429" s="13"/>
      <c r="E429" s="13"/>
      <c r="F429" s="13"/>
      <c r="G429" s="13"/>
      <c r="H429" s="13"/>
      <c r="I429" s="13"/>
      <c r="J429" s="13"/>
      <c r="K429" s="13"/>
      <c r="L429" s="13"/>
    </row>
    <row r="430" spans="1:12" ht="15.75" customHeight="1" x14ac:dyDescent="0.25">
      <c r="A430" s="13"/>
      <c r="B430" s="13"/>
      <c r="C430" s="13"/>
      <c r="D430" s="13"/>
      <c r="E430" s="13"/>
      <c r="F430" s="13"/>
      <c r="G430" s="13"/>
      <c r="H430" s="13"/>
      <c r="I430" s="13"/>
      <c r="J430" s="13"/>
      <c r="K430" s="13"/>
      <c r="L430" s="13"/>
    </row>
    <row r="431" spans="1:12" ht="15.75" customHeight="1" x14ac:dyDescent="0.25">
      <c r="A431" s="13"/>
      <c r="B431" s="13"/>
      <c r="C431" s="13"/>
      <c r="D431" s="13"/>
      <c r="E431" s="13"/>
      <c r="F431" s="13"/>
      <c r="G431" s="13"/>
      <c r="H431" s="13"/>
      <c r="I431" s="13"/>
      <c r="J431" s="13"/>
      <c r="K431" s="13"/>
      <c r="L431" s="13"/>
    </row>
    <row r="432" spans="1:12" ht="15.75" customHeight="1" x14ac:dyDescent="0.25">
      <c r="A432" s="13"/>
      <c r="B432" s="13"/>
      <c r="C432" s="13"/>
      <c r="D432" s="13"/>
      <c r="E432" s="13"/>
      <c r="F432" s="13"/>
      <c r="G432" s="13"/>
      <c r="H432" s="13"/>
      <c r="I432" s="13"/>
      <c r="J432" s="13"/>
      <c r="K432" s="13"/>
      <c r="L432" s="13"/>
    </row>
    <row r="433" spans="1:12" ht="15.75" customHeight="1" x14ac:dyDescent="0.25">
      <c r="A433" s="13"/>
      <c r="B433" s="13"/>
      <c r="C433" s="13"/>
      <c r="D433" s="13"/>
      <c r="E433" s="13"/>
      <c r="F433" s="13"/>
      <c r="G433" s="13"/>
      <c r="H433" s="13"/>
      <c r="I433" s="13"/>
      <c r="J433" s="13"/>
      <c r="K433" s="13"/>
      <c r="L433" s="13"/>
    </row>
    <row r="434" spans="1:12" ht="15.75" customHeight="1" x14ac:dyDescent="0.25">
      <c r="A434" s="13"/>
      <c r="B434" s="13"/>
      <c r="C434" s="13"/>
      <c r="D434" s="13"/>
      <c r="E434" s="13"/>
      <c r="F434" s="13"/>
      <c r="G434" s="13"/>
      <c r="H434" s="13"/>
      <c r="I434" s="13"/>
      <c r="J434" s="13"/>
      <c r="K434" s="13"/>
      <c r="L434" s="13"/>
    </row>
    <row r="435" spans="1:12" ht="15.75" customHeight="1" x14ac:dyDescent="0.25">
      <c r="A435" s="13"/>
      <c r="B435" s="13"/>
      <c r="C435" s="13"/>
      <c r="D435" s="13"/>
      <c r="E435" s="13"/>
      <c r="F435" s="13"/>
      <c r="G435" s="13"/>
      <c r="H435" s="13"/>
      <c r="I435" s="13"/>
      <c r="J435" s="13"/>
      <c r="K435" s="13"/>
      <c r="L435" s="13"/>
    </row>
    <row r="436" spans="1:12" ht="15.75" customHeight="1" x14ac:dyDescent="0.25">
      <c r="A436" s="13"/>
      <c r="B436" s="13"/>
      <c r="C436" s="13"/>
      <c r="D436" s="13"/>
      <c r="E436" s="13"/>
      <c r="F436" s="13"/>
      <c r="G436" s="13"/>
      <c r="H436" s="13"/>
      <c r="I436" s="13"/>
      <c r="J436" s="13"/>
      <c r="K436" s="13"/>
      <c r="L436" s="13"/>
    </row>
    <row r="437" spans="1:12" ht="15.75" customHeight="1" x14ac:dyDescent="0.25">
      <c r="A437" s="13"/>
      <c r="B437" s="13"/>
      <c r="C437" s="13"/>
      <c r="D437" s="13"/>
      <c r="E437" s="13"/>
      <c r="F437" s="13"/>
      <c r="G437" s="13"/>
      <c r="H437" s="13"/>
      <c r="I437" s="13"/>
      <c r="J437" s="13"/>
      <c r="K437" s="13"/>
      <c r="L437" s="13"/>
    </row>
    <row r="438" spans="1:12" ht="15.75" customHeight="1" x14ac:dyDescent="0.25">
      <c r="A438" s="13"/>
      <c r="B438" s="13"/>
      <c r="C438" s="13"/>
      <c r="D438" s="13"/>
      <c r="E438" s="13"/>
      <c r="F438" s="13"/>
      <c r="G438" s="13"/>
      <c r="H438" s="13"/>
      <c r="I438" s="13"/>
      <c r="J438" s="13"/>
      <c r="K438" s="13"/>
      <c r="L438" s="13"/>
    </row>
    <row r="439" spans="1:12" ht="15.75" customHeight="1" x14ac:dyDescent="0.25">
      <c r="A439" s="13"/>
      <c r="B439" s="13"/>
      <c r="C439" s="13"/>
      <c r="D439" s="13"/>
      <c r="E439" s="13"/>
      <c r="F439" s="13"/>
      <c r="G439" s="13"/>
      <c r="H439" s="13"/>
      <c r="I439" s="13"/>
      <c r="J439" s="13"/>
      <c r="K439" s="13"/>
      <c r="L439" s="13"/>
    </row>
    <row r="440" spans="1:12" ht="15.75" customHeight="1" x14ac:dyDescent="0.25">
      <c r="A440" s="13"/>
      <c r="B440" s="13"/>
      <c r="C440" s="13"/>
      <c r="D440" s="13"/>
      <c r="E440" s="13"/>
      <c r="F440" s="13"/>
      <c r="G440" s="13"/>
      <c r="H440" s="13"/>
      <c r="I440" s="13"/>
      <c r="J440" s="13"/>
      <c r="K440" s="13"/>
      <c r="L440" s="13"/>
    </row>
    <row r="441" spans="1:12" ht="15.75" customHeight="1" x14ac:dyDescent="0.25">
      <c r="A441" s="13"/>
      <c r="B441" s="13"/>
      <c r="C441" s="13"/>
      <c r="D441" s="13"/>
      <c r="E441" s="13"/>
      <c r="F441" s="13"/>
      <c r="G441" s="13"/>
      <c r="H441" s="13"/>
      <c r="I441" s="13"/>
      <c r="J441" s="13"/>
      <c r="K441" s="13"/>
      <c r="L441" s="13"/>
    </row>
    <row r="442" spans="1:12" ht="15.75" customHeight="1" x14ac:dyDescent="0.25">
      <c r="A442" s="13"/>
      <c r="B442" s="13"/>
      <c r="C442" s="13"/>
      <c r="D442" s="13"/>
      <c r="E442" s="13"/>
      <c r="F442" s="13"/>
      <c r="G442" s="13"/>
      <c r="H442" s="13"/>
      <c r="I442" s="13"/>
      <c r="J442" s="13"/>
      <c r="K442" s="13"/>
      <c r="L442" s="13"/>
    </row>
    <row r="443" spans="1:12" ht="15.75" customHeight="1" x14ac:dyDescent="0.25">
      <c r="A443" s="13"/>
      <c r="B443" s="13"/>
      <c r="C443" s="13"/>
      <c r="D443" s="13"/>
      <c r="E443" s="13"/>
      <c r="F443" s="13"/>
      <c r="G443" s="13"/>
      <c r="H443" s="13"/>
      <c r="I443" s="13"/>
      <c r="J443" s="13"/>
      <c r="K443" s="13"/>
      <c r="L443" s="13"/>
    </row>
    <row r="444" spans="1:12" ht="15.75" customHeight="1" x14ac:dyDescent="0.25">
      <c r="A444" s="13"/>
      <c r="B444" s="13"/>
      <c r="C444" s="13"/>
      <c r="D444" s="13"/>
      <c r="E444" s="13"/>
      <c r="F444" s="13"/>
      <c r="G444" s="13"/>
      <c r="H444" s="13"/>
      <c r="I444" s="13"/>
      <c r="J444" s="13"/>
      <c r="K444" s="13"/>
      <c r="L444" s="13"/>
    </row>
    <row r="445" spans="1:12" ht="15.75" customHeight="1" x14ac:dyDescent="0.25">
      <c r="A445" s="13"/>
      <c r="B445" s="13"/>
      <c r="C445" s="13"/>
      <c r="D445" s="13"/>
      <c r="E445" s="13"/>
      <c r="F445" s="13"/>
      <c r="G445" s="13"/>
      <c r="H445" s="13"/>
      <c r="I445" s="13"/>
      <c r="J445" s="13"/>
      <c r="K445" s="13"/>
      <c r="L445" s="13"/>
    </row>
    <row r="446" spans="1:12" ht="15.75" customHeight="1" x14ac:dyDescent="0.25">
      <c r="A446" s="13"/>
      <c r="B446" s="13"/>
      <c r="C446" s="13"/>
      <c r="D446" s="13"/>
      <c r="E446" s="13"/>
      <c r="F446" s="13"/>
      <c r="G446" s="13"/>
      <c r="H446" s="13"/>
      <c r="I446" s="13"/>
      <c r="J446" s="13"/>
      <c r="K446" s="13"/>
      <c r="L446" s="13"/>
    </row>
    <row r="447" spans="1:12" ht="15.75" customHeight="1" x14ac:dyDescent="0.25">
      <c r="A447" s="13"/>
      <c r="B447" s="13"/>
      <c r="C447" s="13"/>
      <c r="D447" s="13"/>
      <c r="E447" s="13"/>
      <c r="F447" s="13"/>
      <c r="G447" s="13"/>
      <c r="H447" s="13"/>
      <c r="I447" s="13"/>
      <c r="J447" s="13"/>
      <c r="K447" s="13"/>
      <c r="L447" s="13"/>
    </row>
    <row r="448" spans="1:12" ht="15.75" customHeight="1" x14ac:dyDescent="0.25">
      <c r="A448" s="13"/>
      <c r="B448" s="13"/>
      <c r="C448" s="13"/>
      <c r="D448" s="13"/>
      <c r="E448" s="13"/>
      <c r="F448" s="13"/>
      <c r="G448" s="13"/>
      <c r="H448" s="13"/>
      <c r="I448" s="13"/>
      <c r="J448" s="13"/>
      <c r="K448" s="13"/>
      <c r="L448" s="13"/>
    </row>
    <row r="449" spans="1:12" ht="15.75" customHeight="1" x14ac:dyDescent="0.25">
      <c r="A449" s="13"/>
      <c r="B449" s="13"/>
      <c r="C449" s="13"/>
      <c r="D449" s="13"/>
      <c r="E449" s="13"/>
      <c r="F449" s="13"/>
      <c r="G449" s="13"/>
      <c r="H449" s="13"/>
      <c r="I449" s="13"/>
      <c r="J449" s="13"/>
      <c r="K449" s="13"/>
      <c r="L449" s="13"/>
    </row>
    <row r="450" spans="1:12" ht="15.75" customHeight="1" x14ac:dyDescent="0.25">
      <c r="A450" s="13"/>
      <c r="B450" s="13"/>
      <c r="C450" s="13"/>
      <c r="D450" s="13"/>
      <c r="E450" s="13"/>
      <c r="F450" s="13"/>
      <c r="G450" s="13"/>
      <c r="H450" s="13"/>
      <c r="I450" s="13"/>
      <c r="J450" s="13"/>
      <c r="K450" s="13"/>
      <c r="L450" s="13"/>
    </row>
    <row r="451" spans="1:12" ht="15.75" customHeight="1" x14ac:dyDescent="0.25">
      <c r="A451" s="13"/>
      <c r="B451" s="13"/>
      <c r="C451" s="13"/>
      <c r="D451" s="13"/>
      <c r="E451" s="13"/>
      <c r="F451" s="13"/>
      <c r="G451" s="13"/>
      <c r="H451" s="13"/>
      <c r="I451" s="13"/>
      <c r="J451" s="13"/>
      <c r="K451" s="13"/>
      <c r="L451" s="13"/>
    </row>
    <row r="452" spans="1:12" ht="15.75" customHeight="1" x14ac:dyDescent="0.25">
      <c r="A452" s="13"/>
      <c r="B452" s="13"/>
      <c r="C452" s="13"/>
      <c r="D452" s="13"/>
      <c r="E452" s="13"/>
      <c r="F452" s="13"/>
      <c r="G452" s="13"/>
      <c r="H452" s="13"/>
      <c r="I452" s="13"/>
      <c r="J452" s="13"/>
      <c r="K452" s="13"/>
      <c r="L452" s="13"/>
    </row>
    <row r="453" spans="1:12" ht="15.75" customHeight="1" x14ac:dyDescent="0.25">
      <c r="A453" s="13"/>
      <c r="B453" s="13"/>
      <c r="C453" s="13"/>
      <c r="D453" s="13"/>
      <c r="E453" s="13"/>
      <c r="F453" s="13"/>
      <c r="G453" s="13"/>
      <c r="H453" s="13"/>
      <c r="I453" s="13"/>
      <c r="J453" s="13"/>
      <c r="K453" s="13"/>
      <c r="L453" s="13"/>
    </row>
    <row r="454" spans="1:12" ht="15.75" customHeight="1" x14ac:dyDescent="0.25">
      <c r="A454" s="13"/>
      <c r="B454" s="13"/>
      <c r="C454" s="13"/>
      <c r="D454" s="13"/>
      <c r="E454" s="13"/>
      <c r="F454" s="13"/>
      <c r="G454" s="13"/>
      <c r="H454" s="13"/>
      <c r="I454" s="13"/>
      <c r="J454" s="13"/>
      <c r="K454" s="13"/>
      <c r="L454" s="13"/>
    </row>
    <row r="455" spans="1:12" ht="15.75" customHeight="1" x14ac:dyDescent="0.25">
      <c r="A455" s="13"/>
      <c r="B455" s="13"/>
      <c r="C455" s="13"/>
      <c r="D455" s="13"/>
      <c r="E455" s="13"/>
      <c r="F455" s="13"/>
      <c r="G455" s="13"/>
      <c r="H455" s="13"/>
      <c r="I455" s="13"/>
      <c r="J455" s="13"/>
      <c r="K455" s="13"/>
      <c r="L455" s="13"/>
    </row>
    <row r="456" spans="1:12" ht="15.75" customHeight="1" x14ac:dyDescent="0.25">
      <c r="A456" s="13"/>
      <c r="B456" s="13"/>
      <c r="C456" s="13"/>
      <c r="D456" s="13"/>
      <c r="E456" s="13"/>
      <c r="F456" s="13"/>
      <c r="G456" s="13"/>
      <c r="H456" s="13"/>
      <c r="I456" s="13"/>
      <c r="J456" s="13"/>
      <c r="K456" s="13"/>
      <c r="L456" s="13"/>
    </row>
    <row r="457" spans="1:12" ht="15.75" customHeight="1" x14ac:dyDescent="0.25">
      <c r="A457" s="13"/>
      <c r="B457" s="13"/>
      <c r="C457" s="13"/>
      <c r="D457" s="13"/>
      <c r="E457" s="13"/>
      <c r="F457" s="13"/>
      <c r="G457" s="13"/>
      <c r="H457" s="13"/>
      <c r="I457" s="13"/>
      <c r="J457" s="13"/>
      <c r="K457" s="13"/>
      <c r="L457" s="13"/>
    </row>
    <row r="458" spans="1:12" ht="15.75" customHeight="1" x14ac:dyDescent="0.25">
      <c r="A458" s="13"/>
      <c r="B458" s="13"/>
      <c r="C458" s="13"/>
      <c r="D458" s="13"/>
      <c r="E458" s="13"/>
      <c r="F458" s="13"/>
      <c r="G458" s="13"/>
      <c r="H458" s="13"/>
      <c r="I458" s="13"/>
      <c r="J458" s="13"/>
      <c r="K458" s="13"/>
      <c r="L458" s="13"/>
    </row>
    <row r="459" spans="1:12" ht="15.75" customHeight="1" x14ac:dyDescent="0.25">
      <c r="A459" s="13"/>
      <c r="B459" s="13"/>
      <c r="C459" s="13"/>
      <c r="D459" s="13"/>
      <c r="E459" s="13"/>
      <c r="F459" s="13"/>
      <c r="G459" s="13"/>
      <c r="H459" s="13"/>
      <c r="I459" s="13"/>
      <c r="J459" s="13"/>
      <c r="K459" s="13"/>
      <c r="L459" s="13"/>
    </row>
    <row r="460" spans="1:12" ht="15.75" customHeight="1" x14ac:dyDescent="0.25">
      <c r="A460" s="13"/>
      <c r="B460" s="13"/>
      <c r="C460" s="13"/>
      <c r="D460" s="13"/>
      <c r="E460" s="13"/>
      <c r="F460" s="13"/>
      <c r="G460" s="13"/>
      <c r="H460" s="13"/>
      <c r="I460" s="13"/>
      <c r="J460" s="13"/>
      <c r="K460" s="13"/>
      <c r="L460" s="13"/>
    </row>
    <row r="461" spans="1:12" ht="15.75" customHeight="1" x14ac:dyDescent="0.25">
      <c r="A461" s="13"/>
      <c r="B461" s="13"/>
      <c r="C461" s="13"/>
      <c r="D461" s="13"/>
      <c r="E461" s="13"/>
      <c r="F461" s="13"/>
      <c r="G461" s="13"/>
      <c r="H461" s="13"/>
      <c r="I461" s="13"/>
      <c r="J461" s="13"/>
      <c r="K461" s="13"/>
      <c r="L461" s="13"/>
    </row>
    <row r="462" spans="1:12" ht="15.75" customHeight="1" x14ac:dyDescent="0.25">
      <c r="A462" s="13"/>
      <c r="B462" s="13"/>
      <c r="C462" s="13"/>
      <c r="D462" s="13"/>
      <c r="E462" s="13"/>
      <c r="F462" s="13"/>
      <c r="G462" s="13"/>
      <c r="H462" s="13"/>
      <c r="I462" s="13"/>
      <c r="J462" s="13"/>
      <c r="K462" s="13"/>
      <c r="L462" s="13"/>
    </row>
    <row r="463" spans="1:12" ht="15.75" customHeight="1" x14ac:dyDescent="0.25">
      <c r="A463" s="13"/>
      <c r="B463" s="13"/>
      <c r="C463" s="13"/>
      <c r="D463" s="13"/>
      <c r="E463" s="13"/>
      <c r="F463" s="13"/>
      <c r="G463" s="13"/>
      <c r="H463" s="13"/>
      <c r="I463" s="13"/>
      <c r="J463" s="13"/>
      <c r="K463" s="13"/>
      <c r="L463" s="13"/>
    </row>
    <row r="464" spans="1:12" ht="15.75" customHeight="1" x14ac:dyDescent="0.25">
      <c r="A464" s="13"/>
      <c r="B464" s="13"/>
      <c r="C464" s="13"/>
      <c r="D464" s="13"/>
      <c r="E464" s="13"/>
      <c r="F464" s="13"/>
      <c r="G464" s="13"/>
      <c r="H464" s="13"/>
      <c r="I464" s="13"/>
      <c r="J464" s="13"/>
      <c r="K464" s="13"/>
      <c r="L464" s="13"/>
    </row>
    <row r="465" spans="1:12" ht="15.75" customHeight="1" x14ac:dyDescent="0.25">
      <c r="A465" s="13"/>
      <c r="B465" s="13"/>
      <c r="C465" s="13"/>
      <c r="D465" s="13"/>
      <c r="E465" s="13"/>
      <c r="F465" s="13"/>
      <c r="G465" s="13"/>
      <c r="H465" s="13"/>
      <c r="I465" s="13"/>
      <c r="J465" s="13"/>
      <c r="K465" s="13"/>
      <c r="L465" s="13"/>
    </row>
    <row r="466" spans="1:12" ht="15.75" customHeight="1" x14ac:dyDescent="0.25">
      <c r="A466" s="13"/>
      <c r="B466" s="13"/>
      <c r="C466" s="13"/>
      <c r="D466" s="13"/>
      <c r="E466" s="13"/>
      <c r="F466" s="13"/>
      <c r="G466" s="13"/>
      <c r="H466" s="13"/>
      <c r="I466" s="13"/>
      <c r="J466" s="13"/>
      <c r="K466" s="13"/>
      <c r="L466" s="13"/>
    </row>
    <row r="467" spans="1:12" ht="15.75" customHeight="1" x14ac:dyDescent="0.25">
      <c r="A467" s="13"/>
      <c r="B467" s="13"/>
      <c r="C467" s="13"/>
      <c r="D467" s="13"/>
      <c r="E467" s="13"/>
      <c r="F467" s="13"/>
      <c r="G467" s="13"/>
      <c r="H467" s="13"/>
      <c r="I467" s="13"/>
      <c r="J467" s="13"/>
      <c r="K467" s="13"/>
      <c r="L467" s="13"/>
    </row>
    <row r="468" spans="1:12" ht="15.75" customHeight="1" x14ac:dyDescent="0.25">
      <c r="A468" s="13"/>
      <c r="B468" s="13"/>
      <c r="C468" s="13"/>
      <c r="D468" s="13"/>
      <c r="E468" s="13"/>
      <c r="F468" s="13"/>
      <c r="G468" s="13"/>
      <c r="H468" s="13"/>
      <c r="I468" s="13"/>
      <c r="J468" s="13"/>
      <c r="K468" s="13"/>
      <c r="L468" s="13"/>
    </row>
    <row r="469" spans="1:12" ht="15.75" customHeight="1" x14ac:dyDescent="0.25">
      <c r="A469" s="13"/>
      <c r="B469" s="13"/>
      <c r="C469" s="13"/>
      <c r="D469" s="13"/>
      <c r="E469" s="13"/>
      <c r="F469" s="13"/>
      <c r="G469" s="13"/>
      <c r="H469" s="13"/>
      <c r="I469" s="13"/>
      <c r="J469" s="13"/>
      <c r="K469" s="13"/>
      <c r="L469" s="13"/>
    </row>
    <row r="470" spans="1:12" ht="15.75" customHeight="1" x14ac:dyDescent="0.25">
      <c r="A470" s="13"/>
      <c r="B470" s="13"/>
      <c r="C470" s="13"/>
      <c r="D470" s="13"/>
      <c r="E470" s="13"/>
      <c r="F470" s="13"/>
      <c r="G470" s="13"/>
      <c r="H470" s="13"/>
      <c r="I470" s="13"/>
      <c r="J470" s="13"/>
      <c r="K470" s="13"/>
      <c r="L470" s="13"/>
    </row>
    <row r="471" spans="1:12" ht="15.75" customHeight="1" x14ac:dyDescent="0.25">
      <c r="A471" s="13"/>
      <c r="B471" s="13"/>
      <c r="C471" s="13"/>
      <c r="D471" s="13"/>
      <c r="E471" s="13"/>
      <c r="F471" s="13"/>
      <c r="G471" s="13"/>
      <c r="H471" s="13"/>
      <c r="I471" s="13"/>
      <c r="J471" s="13"/>
      <c r="K471" s="13"/>
      <c r="L471" s="13"/>
    </row>
    <row r="472" spans="1:12" ht="15.75" customHeight="1" x14ac:dyDescent="0.25">
      <c r="A472" s="13"/>
      <c r="B472" s="13"/>
      <c r="C472" s="13"/>
      <c r="D472" s="13"/>
      <c r="E472" s="13"/>
      <c r="F472" s="13"/>
      <c r="G472" s="13"/>
      <c r="H472" s="13"/>
      <c r="I472" s="13"/>
      <c r="J472" s="13"/>
      <c r="K472" s="13"/>
      <c r="L472" s="13"/>
    </row>
    <row r="473" spans="1:12" ht="15.75" customHeight="1" x14ac:dyDescent="0.25">
      <c r="A473" s="13"/>
      <c r="B473" s="13"/>
      <c r="C473" s="13"/>
      <c r="D473" s="13"/>
      <c r="E473" s="13"/>
      <c r="F473" s="13"/>
      <c r="G473" s="13"/>
      <c r="H473" s="13"/>
      <c r="I473" s="13"/>
      <c r="J473" s="13"/>
      <c r="K473" s="13"/>
      <c r="L473" s="13"/>
    </row>
    <row r="474" spans="1:12" ht="15.75" customHeight="1" x14ac:dyDescent="0.25">
      <c r="A474" s="13"/>
      <c r="B474" s="13"/>
      <c r="C474" s="13"/>
      <c r="D474" s="13"/>
      <c r="E474" s="13"/>
      <c r="F474" s="13"/>
      <c r="G474" s="13"/>
      <c r="H474" s="13"/>
      <c r="I474" s="13"/>
      <c r="J474" s="13"/>
      <c r="K474" s="13"/>
      <c r="L474" s="13"/>
    </row>
    <row r="475" spans="1:12" ht="15.75" customHeight="1" x14ac:dyDescent="0.25">
      <c r="A475" s="13"/>
      <c r="B475" s="13"/>
      <c r="C475" s="13"/>
      <c r="D475" s="13"/>
      <c r="E475" s="13"/>
      <c r="F475" s="13"/>
      <c r="G475" s="13"/>
      <c r="H475" s="13"/>
      <c r="I475" s="13"/>
      <c r="J475" s="13"/>
      <c r="K475" s="13"/>
      <c r="L475" s="13"/>
    </row>
    <row r="476" spans="1:12" ht="15.75" customHeight="1" x14ac:dyDescent="0.25">
      <c r="A476" s="13"/>
      <c r="B476" s="13"/>
      <c r="C476" s="13"/>
      <c r="D476" s="13"/>
      <c r="E476" s="13"/>
      <c r="F476" s="13"/>
      <c r="G476" s="13"/>
      <c r="H476" s="13"/>
      <c r="I476" s="13"/>
      <c r="J476" s="13"/>
      <c r="K476" s="13"/>
      <c r="L476" s="13"/>
    </row>
    <row r="477" spans="1:12" ht="15.75" customHeight="1" x14ac:dyDescent="0.25">
      <c r="A477" s="13"/>
      <c r="B477" s="13"/>
      <c r="C477" s="13"/>
      <c r="D477" s="13"/>
      <c r="E477" s="13"/>
      <c r="F477" s="13"/>
      <c r="G477" s="13"/>
      <c r="H477" s="13"/>
      <c r="I477" s="13"/>
      <c r="J477" s="13"/>
      <c r="K477" s="13"/>
      <c r="L477" s="13"/>
    </row>
    <row r="478" spans="1:12" ht="15.75" customHeight="1" x14ac:dyDescent="0.25">
      <c r="A478" s="13"/>
      <c r="B478" s="13"/>
      <c r="C478" s="13"/>
      <c r="D478" s="13"/>
      <c r="E478" s="13"/>
      <c r="F478" s="13"/>
      <c r="G478" s="13"/>
      <c r="H478" s="13"/>
      <c r="I478" s="13"/>
      <c r="J478" s="13"/>
      <c r="K478" s="13"/>
      <c r="L478" s="13"/>
    </row>
    <row r="479" spans="1:12" ht="15.75" customHeight="1" x14ac:dyDescent="0.25">
      <c r="A479" s="13"/>
      <c r="B479" s="13"/>
      <c r="C479" s="13"/>
      <c r="D479" s="13"/>
      <c r="E479" s="13"/>
      <c r="F479" s="13"/>
      <c r="G479" s="13"/>
      <c r="H479" s="13"/>
      <c r="I479" s="13"/>
      <c r="J479" s="13"/>
      <c r="K479" s="13"/>
      <c r="L479" s="13"/>
    </row>
    <row r="480" spans="1:12" ht="15.75" customHeight="1" x14ac:dyDescent="0.25">
      <c r="A480" s="13"/>
      <c r="B480" s="13"/>
      <c r="C480" s="13"/>
      <c r="D480" s="13"/>
      <c r="E480" s="13"/>
      <c r="F480" s="13"/>
      <c r="G480" s="13"/>
      <c r="H480" s="13"/>
      <c r="I480" s="13"/>
      <c r="J480" s="13"/>
      <c r="K480" s="13"/>
      <c r="L480" s="13"/>
    </row>
    <row r="481" spans="1:12" ht="15.75" customHeight="1" x14ac:dyDescent="0.25">
      <c r="A481" s="13"/>
      <c r="B481" s="13"/>
      <c r="C481" s="13"/>
      <c r="D481" s="13"/>
      <c r="E481" s="13"/>
      <c r="F481" s="13"/>
      <c r="G481" s="13"/>
      <c r="H481" s="13"/>
      <c r="I481" s="13"/>
      <c r="J481" s="13"/>
      <c r="K481" s="13"/>
      <c r="L481" s="13"/>
    </row>
    <row r="482" spans="1:12" ht="15.75" customHeight="1" x14ac:dyDescent="0.25">
      <c r="A482" s="13"/>
      <c r="B482" s="13"/>
      <c r="C482" s="13"/>
      <c r="D482" s="13"/>
      <c r="E482" s="13"/>
      <c r="F482" s="13"/>
      <c r="G482" s="13"/>
      <c r="H482" s="13"/>
      <c r="I482" s="13"/>
      <c r="J482" s="13"/>
      <c r="K482" s="13"/>
      <c r="L482" s="13"/>
    </row>
    <row r="483" spans="1:12" ht="15.75" customHeight="1" x14ac:dyDescent="0.25">
      <c r="A483" s="13"/>
      <c r="B483" s="13"/>
      <c r="C483" s="13"/>
      <c r="D483" s="13"/>
      <c r="E483" s="13"/>
      <c r="F483" s="13"/>
      <c r="G483" s="13"/>
      <c r="H483" s="13"/>
      <c r="I483" s="13"/>
      <c r="J483" s="13"/>
      <c r="K483" s="13"/>
      <c r="L483" s="13"/>
    </row>
    <row r="484" spans="1:12" ht="15.75" customHeight="1" x14ac:dyDescent="0.25">
      <c r="A484" s="13"/>
      <c r="B484" s="13"/>
      <c r="C484" s="13"/>
      <c r="D484" s="13"/>
      <c r="E484" s="13"/>
      <c r="F484" s="13"/>
      <c r="G484" s="13"/>
      <c r="H484" s="13"/>
      <c r="I484" s="13"/>
      <c r="J484" s="13"/>
      <c r="K484" s="13"/>
      <c r="L484" s="13"/>
    </row>
    <row r="485" spans="1:12" ht="15.75" customHeight="1" x14ac:dyDescent="0.25">
      <c r="A485" s="13"/>
      <c r="B485" s="13"/>
      <c r="C485" s="13"/>
      <c r="D485" s="13"/>
      <c r="E485" s="13"/>
      <c r="F485" s="13"/>
      <c r="G485" s="13"/>
      <c r="H485" s="13"/>
      <c r="I485" s="13"/>
      <c r="J485" s="13"/>
      <c r="K485" s="13"/>
      <c r="L485" s="13"/>
    </row>
    <row r="486" spans="1:12" ht="15.75" customHeight="1" x14ac:dyDescent="0.25">
      <c r="A486" s="13"/>
      <c r="B486" s="13"/>
      <c r="C486" s="13"/>
      <c r="D486" s="13"/>
      <c r="E486" s="13"/>
      <c r="F486" s="13"/>
      <c r="G486" s="13"/>
      <c r="H486" s="13"/>
      <c r="I486" s="13"/>
      <c r="J486" s="13"/>
      <c r="K486" s="13"/>
      <c r="L486" s="13"/>
    </row>
    <row r="487" spans="1:12" ht="15.75" customHeight="1" x14ac:dyDescent="0.25">
      <c r="A487" s="13"/>
      <c r="B487" s="13"/>
      <c r="C487" s="13"/>
      <c r="D487" s="13"/>
      <c r="E487" s="13"/>
      <c r="F487" s="13"/>
      <c r="G487" s="13"/>
      <c r="H487" s="13"/>
      <c r="I487" s="13"/>
      <c r="J487" s="13"/>
      <c r="K487" s="13"/>
      <c r="L487" s="13"/>
    </row>
    <row r="488" spans="1:12" ht="15.75" customHeight="1" x14ac:dyDescent="0.25">
      <c r="A488" s="13"/>
      <c r="B488" s="13"/>
      <c r="C488" s="13"/>
      <c r="D488" s="13"/>
      <c r="E488" s="13"/>
      <c r="F488" s="13"/>
      <c r="G488" s="13"/>
      <c r="H488" s="13"/>
      <c r="I488" s="13"/>
      <c r="J488" s="13"/>
      <c r="K488" s="13"/>
      <c r="L488" s="13"/>
    </row>
    <row r="489" spans="1:12" ht="15.75" customHeight="1" x14ac:dyDescent="0.25">
      <c r="A489" s="13"/>
      <c r="B489" s="13"/>
      <c r="C489" s="13"/>
      <c r="D489" s="13"/>
      <c r="E489" s="13"/>
      <c r="F489" s="13"/>
      <c r="G489" s="13"/>
      <c r="H489" s="13"/>
      <c r="I489" s="13"/>
      <c r="J489" s="13"/>
      <c r="K489" s="13"/>
      <c r="L489" s="13"/>
    </row>
    <row r="490" spans="1:12" ht="15.75" customHeight="1" x14ac:dyDescent="0.25">
      <c r="A490" s="13"/>
      <c r="B490" s="13"/>
      <c r="C490" s="13"/>
      <c r="D490" s="13"/>
      <c r="E490" s="13"/>
      <c r="F490" s="13"/>
      <c r="G490" s="13"/>
      <c r="H490" s="13"/>
      <c r="I490" s="13"/>
      <c r="J490" s="13"/>
      <c r="K490" s="13"/>
      <c r="L490" s="13"/>
    </row>
    <row r="491" spans="1:12" ht="15.75" customHeight="1" x14ac:dyDescent="0.25">
      <c r="A491" s="13"/>
      <c r="B491" s="13"/>
      <c r="C491" s="13"/>
      <c r="D491" s="13"/>
      <c r="E491" s="13"/>
      <c r="F491" s="13"/>
      <c r="G491" s="13"/>
      <c r="H491" s="13"/>
      <c r="I491" s="13"/>
      <c r="J491" s="13"/>
      <c r="K491" s="13"/>
      <c r="L491" s="13"/>
    </row>
    <row r="492" spans="1:12" ht="15.75" customHeight="1" x14ac:dyDescent="0.25">
      <c r="A492" s="13"/>
      <c r="B492" s="13"/>
      <c r="C492" s="13"/>
      <c r="D492" s="13"/>
      <c r="E492" s="13"/>
      <c r="F492" s="13"/>
      <c r="G492" s="13"/>
      <c r="H492" s="13"/>
      <c r="I492" s="13"/>
      <c r="J492" s="13"/>
      <c r="K492" s="13"/>
      <c r="L492" s="13"/>
    </row>
    <row r="493" spans="1:12" ht="15.75" customHeight="1" x14ac:dyDescent="0.25">
      <c r="A493" s="13"/>
      <c r="B493" s="13"/>
      <c r="C493" s="13"/>
      <c r="D493" s="13"/>
      <c r="E493" s="13"/>
      <c r="F493" s="13"/>
      <c r="G493" s="13"/>
      <c r="H493" s="13"/>
      <c r="I493" s="13"/>
      <c r="J493" s="13"/>
      <c r="K493" s="13"/>
      <c r="L493" s="13"/>
    </row>
    <row r="494" spans="1:12" ht="15.75" customHeight="1" x14ac:dyDescent="0.25">
      <c r="A494" s="13"/>
      <c r="B494" s="13"/>
      <c r="C494" s="13"/>
      <c r="D494" s="13"/>
      <c r="E494" s="13"/>
      <c r="F494" s="13"/>
      <c r="G494" s="13"/>
      <c r="H494" s="13"/>
      <c r="I494" s="13"/>
      <c r="J494" s="13"/>
      <c r="K494" s="13"/>
      <c r="L494" s="13"/>
    </row>
    <row r="495" spans="1:12" ht="15.75" customHeight="1" x14ac:dyDescent="0.25">
      <c r="A495" s="13"/>
      <c r="B495" s="13"/>
      <c r="C495" s="13"/>
      <c r="D495" s="13"/>
      <c r="E495" s="13"/>
      <c r="F495" s="13"/>
      <c r="G495" s="13"/>
      <c r="H495" s="13"/>
      <c r="I495" s="13"/>
      <c r="J495" s="13"/>
      <c r="K495" s="13"/>
      <c r="L495" s="13"/>
    </row>
    <row r="496" spans="1:12" ht="15.75" customHeight="1" x14ac:dyDescent="0.25">
      <c r="A496" s="13"/>
      <c r="B496" s="13"/>
      <c r="C496" s="13"/>
      <c r="D496" s="13"/>
      <c r="E496" s="13"/>
      <c r="F496" s="13"/>
      <c r="G496" s="13"/>
      <c r="H496" s="13"/>
      <c r="I496" s="13"/>
      <c r="J496" s="13"/>
      <c r="K496" s="13"/>
      <c r="L496" s="13"/>
    </row>
    <row r="497" spans="1:12" ht="15.75" customHeight="1" x14ac:dyDescent="0.25">
      <c r="A497" s="13"/>
      <c r="B497" s="13"/>
      <c r="C497" s="13"/>
      <c r="D497" s="13"/>
      <c r="E497" s="13"/>
      <c r="F497" s="13"/>
      <c r="G497" s="13"/>
      <c r="H497" s="13"/>
      <c r="I497" s="13"/>
      <c r="J497" s="13"/>
      <c r="K497" s="13"/>
      <c r="L497" s="13"/>
    </row>
    <row r="498" spans="1:12" ht="15.75" customHeight="1" x14ac:dyDescent="0.25">
      <c r="A498" s="13"/>
      <c r="B498" s="13"/>
      <c r="C498" s="13"/>
      <c r="D498" s="13"/>
      <c r="E498" s="13"/>
      <c r="F498" s="13"/>
      <c r="G498" s="13"/>
      <c r="H498" s="13"/>
      <c r="I498" s="13"/>
      <c r="J498" s="13"/>
      <c r="K498" s="13"/>
      <c r="L498" s="13"/>
    </row>
    <row r="499" spans="1:12" ht="15.75" customHeight="1" x14ac:dyDescent="0.25">
      <c r="A499" s="13"/>
      <c r="B499" s="13"/>
      <c r="C499" s="13"/>
      <c r="D499" s="13"/>
      <c r="E499" s="13"/>
      <c r="F499" s="13"/>
      <c r="G499" s="13"/>
      <c r="H499" s="13"/>
      <c r="I499" s="13"/>
      <c r="J499" s="13"/>
      <c r="K499" s="13"/>
      <c r="L499" s="13"/>
    </row>
    <row r="500" spans="1:12" ht="15.75" customHeight="1" x14ac:dyDescent="0.25">
      <c r="A500" s="13"/>
      <c r="B500" s="13"/>
      <c r="C500" s="13"/>
      <c r="D500" s="13"/>
      <c r="E500" s="13"/>
      <c r="F500" s="13"/>
      <c r="G500" s="13"/>
      <c r="H500" s="13"/>
      <c r="I500" s="13"/>
      <c r="J500" s="13"/>
      <c r="K500" s="13"/>
      <c r="L500" s="13"/>
    </row>
    <row r="501" spans="1:12" ht="15.75" customHeight="1" x14ac:dyDescent="0.25">
      <c r="A501" s="13"/>
      <c r="B501" s="13"/>
      <c r="C501" s="13"/>
      <c r="D501" s="13"/>
      <c r="E501" s="13"/>
      <c r="F501" s="13"/>
      <c r="G501" s="13"/>
      <c r="H501" s="13"/>
      <c r="I501" s="13"/>
      <c r="J501" s="13"/>
      <c r="K501" s="13"/>
      <c r="L501" s="13"/>
    </row>
    <row r="502" spans="1:12" ht="15.75" customHeight="1" x14ac:dyDescent="0.25">
      <c r="A502" s="13"/>
      <c r="B502" s="13"/>
      <c r="C502" s="13"/>
      <c r="D502" s="13"/>
      <c r="E502" s="13"/>
      <c r="F502" s="13"/>
      <c r="G502" s="13"/>
      <c r="H502" s="13"/>
      <c r="I502" s="13"/>
      <c r="J502" s="13"/>
      <c r="K502" s="13"/>
      <c r="L502" s="13"/>
    </row>
    <row r="503" spans="1:12" ht="15.75" customHeight="1" x14ac:dyDescent="0.25">
      <c r="A503" s="13"/>
      <c r="B503" s="13"/>
      <c r="C503" s="13"/>
      <c r="D503" s="13"/>
      <c r="E503" s="13"/>
      <c r="F503" s="13"/>
      <c r="G503" s="13"/>
      <c r="H503" s="13"/>
      <c r="I503" s="13"/>
      <c r="J503" s="13"/>
      <c r="K503" s="13"/>
      <c r="L503" s="13"/>
    </row>
    <row r="504" spans="1:12" ht="15.75" customHeight="1" x14ac:dyDescent="0.25">
      <c r="A504" s="13"/>
      <c r="B504" s="13"/>
      <c r="C504" s="13"/>
      <c r="D504" s="13"/>
      <c r="E504" s="13"/>
      <c r="F504" s="13"/>
      <c r="G504" s="13"/>
      <c r="H504" s="13"/>
      <c r="I504" s="13"/>
      <c r="J504" s="13"/>
      <c r="K504" s="13"/>
      <c r="L504" s="13"/>
    </row>
    <row r="505" spans="1:12" ht="15.75" customHeight="1" x14ac:dyDescent="0.25">
      <c r="A505" s="13"/>
      <c r="B505" s="13"/>
      <c r="C505" s="13"/>
      <c r="D505" s="13"/>
      <c r="E505" s="13"/>
      <c r="F505" s="13"/>
      <c r="G505" s="13"/>
      <c r="H505" s="13"/>
      <c r="I505" s="13"/>
      <c r="J505" s="13"/>
      <c r="K505" s="13"/>
      <c r="L505" s="13"/>
    </row>
    <row r="506" spans="1:12" ht="15.75" customHeight="1" x14ac:dyDescent="0.25">
      <c r="A506" s="13"/>
      <c r="B506" s="13"/>
      <c r="C506" s="13"/>
      <c r="D506" s="13"/>
      <c r="E506" s="13"/>
      <c r="F506" s="13"/>
      <c r="G506" s="13"/>
      <c r="H506" s="13"/>
      <c r="I506" s="13"/>
      <c r="J506" s="13"/>
      <c r="K506" s="13"/>
      <c r="L506" s="13"/>
    </row>
    <row r="507" spans="1:12" ht="15.75" customHeight="1" x14ac:dyDescent="0.25">
      <c r="A507" s="13"/>
      <c r="B507" s="13"/>
      <c r="C507" s="13"/>
      <c r="D507" s="13"/>
      <c r="E507" s="13"/>
      <c r="F507" s="13"/>
      <c r="G507" s="13"/>
      <c r="H507" s="13"/>
      <c r="I507" s="13"/>
      <c r="J507" s="13"/>
      <c r="K507" s="13"/>
      <c r="L507" s="13"/>
    </row>
    <row r="508" spans="1:12" ht="15.75" customHeight="1" x14ac:dyDescent="0.25">
      <c r="A508" s="13"/>
      <c r="B508" s="13"/>
      <c r="C508" s="13"/>
      <c r="D508" s="13"/>
      <c r="E508" s="13"/>
      <c r="F508" s="13"/>
      <c r="G508" s="13"/>
      <c r="H508" s="13"/>
      <c r="I508" s="13"/>
      <c r="J508" s="13"/>
      <c r="K508" s="13"/>
      <c r="L508" s="13"/>
    </row>
    <row r="509" spans="1:12" ht="15.75" customHeight="1" x14ac:dyDescent="0.25">
      <c r="A509" s="13"/>
      <c r="B509" s="13"/>
      <c r="C509" s="13"/>
      <c r="D509" s="13"/>
      <c r="E509" s="13"/>
      <c r="F509" s="13"/>
      <c r="G509" s="13"/>
      <c r="H509" s="13"/>
      <c r="I509" s="13"/>
      <c r="J509" s="13"/>
      <c r="K509" s="13"/>
      <c r="L509" s="13"/>
    </row>
    <row r="510" spans="1:12" ht="15.75" customHeight="1" x14ac:dyDescent="0.25">
      <c r="A510" s="13"/>
      <c r="B510" s="13"/>
      <c r="C510" s="13"/>
      <c r="D510" s="13"/>
      <c r="E510" s="13"/>
      <c r="F510" s="13"/>
      <c r="G510" s="13"/>
      <c r="H510" s="13"/>
      <c r="I510" s="13"/>
      <c r="J510" s="13"/>
      <c r="K510" s="13"/>
      <c r="L510" s="13"/>
    </row>
    <row r="511" spans="1:12" ht="15.75" customHeight="1" x14ac:dyDescent="0.25">
      <c r="A511" s="13"/>
      <c r="B511" s="13"/>
      <c r="C511" s="13"/>
      <c r="D511" s="13"/>
      <c r="E511" s="13"/>
      <c r="F511" s="13"/>
      <c r="G511" s="13"/>
      <c r="H511" s="13"/>
      <c r="I511" s="13"/>
      <c r="J511" s="13"/>
      <c r="K511" s="13"/>
      <c r="L511" s="13"/>
    </row>
    <row r="512" spans="1:12" ht="15.75" customHeight="1" x14ac:dyDescent="0.25">
      <c r="A512" s="13"/>
      <c r="B512" s="13"/>
      <c r="C512" s="13"/>
      <c r="D512" s="13"/>
      <c r="E512" s="13"/>
      <c r="F512" s="13"/>
      <c r="G512" s="13"/>
      <c r="H512" s="13"/>
      <c r="I512" s="13"/>
      <c r="J512" s="13"/>
      <c r="K512" s="13"/>
      <c r="L512" s="13"/>
    </row>
    <row r="513" spans="1:12" ht="15.75" customHeight="1" x14ac:dyDescent="0.25">
      <c r="A513" s="13"/>
      <c r="B513" s="13"/>
      <c r="C513" s="13"/>
      <c r="D513" s="13"/>
      <c r="E513" s="13"/>
      <c r="F513" s="13"/>
      <c r="G513" s="13"/>
      <c r="H513" s="13"/>
      <c r="I513" s="13"/>
      <c r="J513" s="13"/>
      <c r="K513" s="13"/>
      <c r="L513" s="13"/>
    </row>
    <row r="514" spans="1:12" ht="15.75" customHeight="1" x14ac:dyDescent="0.25">
      <c r="A514" s="13"/>
      <c r="B514" s="13"/>
      <c r="C514" s="13"/>
      <c r="D514" s="13"/>
      <c r="E514" s="13"/>
      <c r="F514" s="13"/>
      <c r="G514" s="13"/>
      <c r="H514" s="13"/>
      <c r="I514" s="13"/>
      <c r="J514" s="13"/>
      <c r="K514" s="13"/>
      <c r="L514" s="13"/>
    </row>
    <row r="515" spans="1:12" ht="15.75" customHeight="1" x14ac:dyDescent="0.25">
      <c r="A515" s="13"/>
      <c r="B515" s="13"/>
      <c r="C515" s="13"/>
      <c r="D515" s="13"/>
      <c r="E515" s="13"/>
      <c r="F515" s="13"/>
      <c r="G515" s="13"/>
      <c r="H515" s="13"/>
      <c r="I515" s="13"/>
      <c r="J515" s="13"/>
      <c r="K515" s="13"/>
      <c r="L515" s="13"/>
    </row>
    <row r="516" spans="1:12" ht="15.75" customHeight="1" x14ac:dyDescent="0.25">
      <c r="A516" s="13"/>
      <c r="B516" s="13"/>
      <c r="C516" s="13"/>
      <c r="D516" s="13"/>
      <c r="E516" s="13"/>
      <c r="F516" s="13"/>
      <c r="G516" s="13"/>
      <c r="H516" s="13"/>
      <c r="I516" s="13"/>
      <c r="J516" s="13"/>
      <c r="K516" s="13"/>
      <c r="L516" s="13"/>
    </row>
    <row r="517" spans="1:12" ht="15.75" customHeight="1" x14ac:dyDescent="0.25">
      <c r="A517" s="13"/>
      <c r="B517" s="13"/>
      <c r="C517" s="13"/>
      <c r="D517" s="13"/>
      <c r="E517" s="13"/>
      <c r="F517" s="13"/>
      <c r="G517" s="13"/>
      <c r="H517" s="13"/>
      <c r="I517" s="13"/>
      <c r="J517" s="13"/>
      <c r="K517" s="13"/>
      <c r="L517" s="13"/>
    </row>
    <row r="518" spans="1:12" ht="15.75" customHeight="1" x14ac:dyDescent="0.25">
      <c r="A518" s="13"/>
      <c r="B518" s="13"/>
      <c r="C518" s="13"/>
      <c r="D518" s="13"/>
      <c r="E518" s="13"/>
      <c r="F518" s="13"/>
      <c r="G518" s="13"/>
      <c r="H518" s="13"/>
      <c r="I518" s="13"/>
      <c r="J518" s="13"/>
      <c r="K518" s="13"/>
      <c r="L518" s="13"/>
    </row>
    <row r="519" spans="1:12" ht="15.75" customHeight="1" x14ac:dyDescent="0.25">
      <c r="A519" s="13"/>
      <c r="B519" s="13"/>
      <c r="C519" s="13"/>
      <c r="D519" s="13"/>
      <c r="E519" s="13"/>
      <c r="F519" s="13"/>
      <c r="G519" s="13"/>
      <c r="H519" s="13"/>
      <c r="I519" s="13"/>
      <c r="J519" s="13"/>
      <c r="K519" s="13"/>
      <c r="L519" s="13"/>
    </row>
    <row r="520" spans="1:12" ht="15.75" customHeight="1" x14ac:dyDescent="0.25">
      <c r="A520" s="13"/>
      <c r="B520" s="13"/>
      <c r="C520" s="13"/>
      <c r="D520" s="13"/>
      <c r="E520" s="13"/>
      <c r="F520" s="13"/>
      <c r="G520" s="13"/>
      <c r="H520" s="13"/>
      <c r="I520" s="13"/>
      <c r="J520" s="13"/>
      <c r="K520" s="13"/>
      <c r="L520" s="13"/>
    </row>
    <row r="521" spans="1:12" ht="15.75" customHeight="1" x14ac:dyDescent="0.25">
      <c r="A521" s="13"/>
      <c r="B521" s="13"/>
      <c r="C521" s="13"/>
      <c r="D521" s="13"/>
      <c r="E521" s="13"/>
      <c r="F521" s="13"/>
      <c r="G521" s="13"/>
      <c r="H521" s="13"/>
      <c r="I521" s="13"/>
      <c r="J521" s="13"/>
      <c r="K521" s="13"/>
      <c r="L521" s="13"/>
    </row>
    <row r="522" spans="1:12" ht="15.75" customHeight="1" x14ac:dyDescent="0.25">
      <c r="A522" s="13"/>
      <c r="B522" s="13"/>
      <c r="C522" s="13"/>
      <c r="D522" s="13"/>
      <c r="E522" s="13"/>
      <c r="F522" s="13"/>
      <c r="G522" s="13"/>
      <c r="H522" s="13"/>
      <c r="I522" s="13"/>
      <c r="J522" s="13"/>
      <c r="K522" s="13"/>
      <c r="L522" s="13"/>
    </row>
    <row r="523" spans="1:12" ht="15.75" customHeight="1" x14ac:dyDescent="0.25">
      <c r="A523" s="13"/>
      <c r="B523" s="13"/>
      <c r="C523" s="13"/>
      <c r="D523" s="13"/>
      <c r="E523" s="13"/>
      <c r="F523" s="13"/>
      <c r="G523" s="13"/>
      <c r="H523" s="13"/>
      <c r="I523" s="13"/>
      <c r="J523" s="13"/>
      <c r="K523" s="13"/>
      <c r="L523" s="13"/>
    </row>
    <row r="524" spans="1:12" ht="15.75" customHeight="1" x14ac:dyDescent="0.25">
      <c r="A524" s="13"/>
      <c r="B524" s="13"/>
      <c r="C524" s="13"/>
      <c r="D524" s="13"/>
      <c r="E524" s="13"/>
      <c r="F524" s="13"/>
      <c r="G524" s="13"/>
      <c r="H524" s="13"/>
      <c r="I524" s="13"/>
      <c r="J524" s="13"/>
      <c r="K524" s="13"/>
      <c r="L524" s="13"/>
    </row>
    <row r="525" spans="1:12" ht="15.75" customHeight="1" x14ac:dyDescent="0.25">
      <c r="A525" s="13"/>
      <c r="B525" s="13"/>
      <c r="C525" s="13"/>
      <c r="D525" s="13"/>
      <c r="E525" s="13"/>
      <c r="F525" s="13"/>
      <c r="G525" s="13"/>
      <c r="H525" s="13"/>
      <c r="I525" s="13"/>
      <c r="J525" s="13"/>
      <c r="K525" s="13"/>
      <c r="L525" s="13"/>
    </row>
    <row r="526" spans="1:12" ht="15.75" customHeight="1" x14ac:dyDescent="0.25">
      <c r="A526" s="13"/>
      <c r="B526" s="13"/>
      <c r="C526" s="13"/>
      <c r="D526" s="13"/>
      <c r="E526" s="13"/>
      <c r="F526" s="13"/>
      <c r="G526" s="13"/>
      <c r="H526" s="13"/>
      <c r="I526" s="13"/>
      <c r="J526" s="13"/>
      <c r="K526" s="13"/>
      <c r="L526" s="13"/>
    </row>
    <row r="527" spans="1:12" ht="15.75" customHeight="1" x14ac:dyDescent="0.25">
      <c r="A527" s="13"/>
      <c r="B527" s="13"/>
      <c r="C527" s="13"/>
      <c r="D527" s="13"/>
      <c r="E527" s="13"/>
      <c r="F527" s="13"/>
      <c r="G527" s="13"/>
      <c r="H527" s="13"/>
      <c r="I527" s="13"/>
      <c r="J527" s="13"/>
      <c r="K527" s="13"/>
      <c r="L527" s="13"/>
    </row>
    <row r="528" spans="1:12" ht="15.75" customHeight="1" x14ac:dyDescent="0.25">
      <c r="A528" s="13"/>
      <c r="B528" s="13"/>
      <c r="C528" s="13"/>
      <c r="D528" s="13"/>
      <c r="E528" s="13"/>
      <c r="F528" s="13"/>
      <c r="G528" s="13"/>
      <c r="H528" s="13"/>
      <c r="I528" s="13"/>
      <c r="J528" s="13"/>
      <c r="K528" s="13"/>
      <c r="L528" s="13"/>
    </row>
    <row r="529" spans="1:12" ht="15.75" customHeight="1" x14ac:dyDescent="0.25">
      <c r="A529" s="13"/>
      <c r="B529" s="13"/>
      <c r="C529" s="13"/>
      <c r="D529" s="13"/>
      <c r="E529" s="13"/>
      <c r="F529" s="13"/>
      <c r="G529" s="13"/>
      <c r="H529" s="13"/>
      <c r="I529" s="13"/>
      <c r="J529" s="13"/>
      <c r="K529" s="13"/>
      <c r="L529" s="13"/>
    </row>
    <row r="530" spans="1:12" ht="15.75" customHeight="1" x14ac:dyDescent="0.25">
      <c r="A530" s="13"/>
      <c r="B530" s="13"/>
      <c r="C530" s="13"/>
      <c r="D530" s="13"/>
      <c r="E530" s="13"/>
      <c r="F530" s="13"/>
      <c r="G530" s="13"/>
      <c r="H530" s="13"/>
      <c r="I530" s="13"/>
      <c r="J530" s="13"/>
      <c r="K530" s="13"/>
      <c r="L530" s="13"/>
    </row>
    <row r="531" spans="1:12" ht="15.75" customHeight="1" x14ac:dyDescent="0.25">
      <c r="A531" s="13"/>
      <c r="B531" s="13"/>
      <c r="C531" s="13"/>
      <c r="D531" s="13"/>
      <c r="E531" s="13"/>
      <c r="F531" s="13"/>
      <c r="G531" s="13"/>
      <c r="H531" s="13"/>
      <c r="I531" s="13"/>
      <c r="J531" s="13"/>
      <c r="K531" s="13"/>
      <c r="L531" s="13"/>
    </row>
    <row r="532" spans="1:12" ht="15.75" customHeight="1" x14ac:dyDescent="0.25">
      <c r="A532" s="13"/>
      <c r="B532" s="13"/>
      <c r="C532" s="13"/>
      <c r="D532" s="13"/>
      <c r="E532" s="13"/>
      <c r="F532" s="13"/>
      <c r="G532" s="13"/>
      <c r="H532" s="13"/>
      <c r="I532" s="13"/>
      <c r="J532" s="13"/>
      <c r="K532" s="13"/>
      <c r="L532" s="13"/>
    </row>
    <row r="533" spans="1:12" ht="15.75" customHeight="1" x14ac:dyDescent="0.25">
      <c r="A533" s="13"/>
      <c r="B533" s="13"/>
      <c r="C533" s="13"/>
      <c r="D533" s="13"/>
      <c r="E533" s="13"/>
      <c r="F533" s="13"/>
      <c r="G533" s="13"/>
      <c r="H533" s="13"/>
      <c r="I533" s="13"/>
      <c r="J533" s="13"/>
      <c r="K533" s="13"/>
      <c r="L533" s="13"/>
    </row>
    <row r="534" spans="1:12" ht="15.75" customHeight="1" x14ac:dyDescent="0.25">
      <c r="A534" s="13"/>
      <c r="B534" s="13"/>
      <c r="C534" s="13"/>
      <c r="D534" s="13"/>
      <c r="E534" s="13"/>
      <c r="F534" s="13"/>
      <c r="G534" s="13"/>
      <c r="H534" s="13"/>
      <c r="I534" s="13"/>
      <c r="J534" s="13"/>
      <c r="K534" s="13"/>
      <c r="L534" s="13"/>
    </row>
    <row r="535" spans="1:12" ht="15.75" customHeight="1" x14ac:dyDescent="0.25">
      <c r="A535" s="13"/>
      <c r="B535" s="13"/>
      <c r="C535" s="13"/>
      <c r="D535" s="13"/>
      <c r="E535" s="13"/>
      <c r="F535" s="13"/>
      <c r="G535" s="13"/>
      <c r="H535" s="13"/>
      <c r="I535" s="13"/>
      <c r="J535" s="13"/>
      <c r="K535" s="13"/>
      <c r="L535" s="13"/>
    </row>
    <row r="536" spans="1:12" ht="15.75" customHeight="1" x14ac:dyDescent="0.25">
      <c r="A536" s="13"/>
      <c r="B536" s="13"/>
      <c r="C536" s="13"/>
      <c r="D536" s="13"/>
      <c r="E536" s="13"/>
      <c r="F536" s="13"/>
      <c r="G536" s="13"/>
      <c r="H536" s="13"/>
      <c r="I536" s="13"/>
      <c r="J536" s="13"/>
      <c r="K536" s="13"/>
      <c r="L536" s="13"/>
    </row>
    <row r="537" spans="1:12" ht="15.75" customHeight="1" x14ac:dyDescent="0.25">
      <c r="A537" s="13"/>
      <c r="B537" s="13"/>
      <c r="C537" s="13"/>
      <c r="D537" s="13"/>
      <c r="E537" s="13"/>
      <c r="F537" s="13"/>
      <c r="G537" s="13"/>
      <c r="H537" s="13"/>
      <c r="I537" s="13"/>
      <c r="J537" s="13"/>
      <c r="K537" s="13"/>
      <c r="L537" s="13"/>
    </row>
    <row r="538" spans="1:12" ht="15.75" customHeight="1" x14ac:dyDescent="0.25">
      <c r="A538" s="13"/>
      <c r="B538" s="13"/>
      <c r="C538" s="13"/>
      <c r="D538" s="13"/>
      <c r="E538" s="13"/>
      <c r="F538" s="13"/>
      <c r="G538" s="13"/>
      <c r="H538" s="13"/>
      <c r="I538" s="13"/>
      <c r="J538" s="13"/>
      <c r="K538" s="13"/>
      <c r="L538" s="13"/>
    </row>
    <row r="539" spans="1:12" ht="15.75" customHeight="1" x14ac:dyDescent="0.25">
      <c r="A539" s="13"/>
      <c r="B539" s="13"/>
      <c r="C539" s="13"/>
      <c r="D539" s="13"/>
      <c r="E539" s="13"/>
      <c r="F539" s="13"/>
      <c r="G539" s="13"/>
      <c r="H539" s="13"/>
      <c r="I539" s="13"/>
      <c r="J539" s="13"/>
      <c r="K539" s="13"/>
      <c r="L539" s="13"/>
    </row>
    <row r="540" spans="1:12" ht="15.75" customHeight="1" x14ac:dyDescent="0.25">
      <c r="A540" s="13"/>
      <c r="B540" s="13"/>
      <c r="C540" s="13"/>
      <c r="D540" s="13"/>
      <c r="E540" s="13"/>
      <c r="F540" s="13"/>
      <c r="G540" s="13"/>
      <c r="H540" s="13"/>
      <c r="I540" s="13"/>
      <c r="J540" s="13"/>
      <c r="K540" s="13"/>
      <c r="L540" s="13"/>
    </row>
    <row r="541" spans="1:12" ht="15.75" customHeight="1" x14ac:dyDescent="0.25">
      <c r="A541" s="13"/>
      <c r="B541" s="13"/>
      <c r="C541" s="13"/>
      <c r="D541" s="13"/>
      <c r="E541" s="13"/>
      <c r="F541" s="13"/>
      <c r="G541" s="13"/>
      <c r="H541" s="13"/>
      <c r="I541" s="13"/>
      <c r="J541" s="13"/>
      <c r="K541" s="13"/>
      <c r="L541" s="13"/>
    </row>
    <row r="542" spans="1:12" ht="15.75" customHeight="1" x14ac:dyDescent="0.25">
      <c r="A542" s="13"/>
      <c r="B542" s="13"/>
      <c r="C542" s="13"/>
      <c r="D542" s="13"/>
      <c r="E542" s="13"/>
      <c r="F542" s="13"/>
      <c r="G542" s="13"/>
      <c r="H542" s="13"/>
      <c r="I542" s="13"/>
      <c r="J542" s="13"/>
      <c r="K542" s="13"/>
      <c r="L542" s="13"/>
    </row>
    <row r="543" spans="1:12" ht="15.75" customHeight="1" x14ac:dyDescent="0.25">
      <c r="A543" s="13"/>
      <c r="B543" s="13"/>
      <c r="C543" s="13"/>
      <c r="D543" s="13"/>
      <c r="E543" s="13"/>
      <c r="F543" s="13"/>
      <c r="G543" s="13"/>
      <c r="H543" s="13"/>
      <c r="I543" s="13"/>
      <c r="J543" s="13"/>
      <c r="K543" s="13"/>
      <c r="L543" s="13"/>
    </row>
    <row r="544" spans="1:12" ht="15.75" customHeight="1" x14ac:dyDescent="0.25">
      <c r="A544" s="13"/>
      <c r="B544" s="13"/>
      <c r="C544" s="13"/>
      <c r="D544" s="13"/>
      <c r="E544" s="13"/>
      <c r="F544" s="13"/>
      <c r="G544" s="13"/>
      <c r="H544" s="13"/>
      <c r="I544" s="13"/>
      <c r="J544" s="13"/>
      <c r="K544" s="13"/>
      <c r="L544" s="13"/>
    </row>
    <row r="545" spans="1:12" ht="15.75" customHeight="1" x14ac:dyDescent="0.25">
      <c r="A545" s="13"/>
      <c r="B545" s="13"/>
      <c r="C545" s="13"/>
      <c r="D545" s="13"/>
      <c r="E545" s="13"/>
      <c r="F545" s="13"/>
      <c r="G545" s="13"/>
      <c r="H545" s="13"/>
      <c r="I545" s="13"/>
      <c r="J545" s="13"/>
      <c r="K545" s="13"/>
      <c r="L545" s="13"/>
    </row>
    <row r="546" spans="1:12" ht="15.75" customHeight="1" x14ac:dyDescent="0.25">
      <c r="A546" s="13"/>
      <c r="B546" s="13"/>
      <c r="C546" s="13"/>
      <c r="D546" s="13"/>
      <c r="E546" s="13"/>
      <c r="F546" s="13"/>
      <c r="G546" s="13"/>
      <c r="H546" s="13"/>
      <c r="I546" s="13"/>
      <c r="J546" s="13"/>
      <c r="K546" s="13"/>
      <c r="L546" s="13"/>
    </row>
    <row r="547" spans="1:12" ht="15.75" customHeight="1" x14ac:dyDescent="0.25">
      <c r="A547" s="13"/>
      <c r="B547" s="13"/>
      <c r="C547" s="13"/>
      <c r="D547" s="13"/>
      <c r="E547" s="13"/>
      <c r="F547" s="13"/>
      <c r="G547" s="13"/>
      <c r="H547" s="13"/>
      <c r="I547" s="13"/>
      <c r="J547" s="13"/>
      <c r="K547" s="13"/>
      <c r="L547" s="13"/>
    </row>
    <row r="548" spans="1:12" ht="15.75" customHeight="1" x14ac:dyDescent="0.25">
      <c r="A548" s="13"/>
      <c r="B548" s="13"/>
      <c r="C548" s="13"/>
      <c r="D548" s="13"/>
      <c r="E548" s="13"/>
      <c r="F548" s="13"/>
      <c r="G548" s="13"/>
      <c r="H548" s="13"/>
      <c r="I548" s="13"/>
      <c r="J548" s="13"/>
      <c r="K548" s="13"/>
      <c r="L548" s="13"/>
    </row>
    <row r="549" spans="1:12" ht="15.75" customHeight="1" x14ac:dyDescent="0.25">
      <c r="A549" s="13"/>
      <c r="B549" s="13"/>
      <c r="C549" s="13"/>
      <c r="D549" s="13"/>
      <c r="E549" s="13"/>
      <c r="F549" s="13"/>
      <c r="G549" s="13"/>
      <c r="H549" s="13"/>
      <c r="I549" s="13"/>
      <c r="J549" s="13"/>
      <c r="K549" s="13"/>
      <c r="L549" s="13"/>
    </row>
    <row r="550" spans="1:12" ht="15.75" customHeight="1" x14ac:dyDescent="0.25">
      <c r="A550" s="13"/>
      <c r="B550" s="13"/>
      <c r="C550" s="13"/>
      <c r="D550" s="13"/>
      <c r="E550" s="13"/>
      <c r="F550" s="13"/>
      <c r="G550" s="13"/>
      <c r="H550" s="13"/>
      <c r="I550" s="13"/>
      <c r="J550" s="13"/>
      <c r="K550" s="13"/>
      <c r="L550" s="13"/>
    </row>
    <row r="551" spans="1:12" ht="15.75" customHeight="1" x14ac:dyDescent="0.25">
      <c r="A551" s="13"/>
      <c r="B551" s="13"/>
      <c r="C551" s="13"/>
      <c r="D551" s="13"/>
      <c r="E551" s="13"/>
      <c r="F551" s="13"/>
      <c r="G551" s="13"/>
      <c r="H551" s="13"/>
      <c r="I551" s="13"/>
      <c r="J551" s="13"/>
      <c r="K551" s="13"/>
      <c r="L551" s="13"/>
    </row>
    <row r="552" spans="1:12" ht="15.75" customHeight="1" x14ac:dyDescent="0.25">
      <c r="A552" s="13"/>
      <c r="B552" s="13"/>
      <c r="C552" s="13"/>
      <c r="D552" s="13"/>
      <c r="E552" s="13"/>
      <c r="F552" s="13"/>
      <c r="G552" s="13"/>
      <c r="H552" s="13"/>
      <c r="I552" s="13"/>
      <c r="J552" s="13"/>
      <c r="K552" s="13"/>
      <c r="L552" s="13"/>
    </row>
    <row r="553" spans="1:12" ht="15.75" customHeight="1" x14ac:dyDescent="0.25">
      <c r="A553" s="13"/>
      <c r="B553" s="13"/>
      <c r="C553" s="13"/>
      <c r="D553" s="13"/>
      <c r="E553" s="13"/>
      <c r="F553" s="13"/>
      <c r="G553" s="13"/>
      <c r="H553" s="13"/>
      <c r="I553" s="13"/>
      <c r="J553" s="13"/>
      <c r="K553" s="13"/>
      <c r="L553" s="13"/>
    </row>
    <row r="554" spans="1:12" ht="15.75" customHeight="1" x14ac:dyDescent="0.25">
      <c r="A554" s="13"/>
      <c r="B554" s="13"/>
      <c r="C554" s="13"/>
      <c r="D554" s="13"/>
      <c r="E554" s="13"/>
      <c r="F554" s="13"/>
      <c r="G554" s="13"/>
      <c r="H554" s="13"/>
      <c r="I554" s="13"/>
      <c r="J554" s="13"/>
      <c r="K554" s="13"/>
      <c r="L554" s="13"/>
    </row>
    <row r="555" spans="1:12" ht="15.75" customHeight="1" x14ac:dyDescent="0.25">
      <c r="A555" s="13"/>
      <c r="B555" s="13"/>
      <c r="C555" s="13"/>
      <c r="D555" s="13"/>
      <c r="E555" s="13"/>
      <c r="F555" s="13"/>
      <c r="G555" s="13"/>
      <c r="H555" s="13"/>
      <c r="I555" s="13"/>
      <c r="J555" s="13"/>
      <c r="K555" s="13"/>
      <c r="L555" s="13"/>
    </row>
    <row r="556" spans="1:12" ht="15.75" customHeight="1" x14ac:dyDescent="0.25">
      <c r="A556" s="13"/>
      <c r="B556" s="13"/>
      <c r="C556" s="13"/>
      <c r="D556" s="13"/>
      <c r="E556" s="13"/>
      <c r="F556" s="13"/>
      <c r="G556" s="13"/>
      <c r="H556" s="13"/>
      <c r="I556" s="13"/>
      <c r="J556" s="13"/>
      <c r="K556" s="13"/>
      <c r="L556" s="13"/>
    </row>
    <row r="557" spans="1:12" ht="15.75" customHeight="1" x14ac:dyDescent="0.25">
      <c r="A557" s="13"/>
      <c r="B557" s="13"/>
      <c r="C557" s="13"/>
      <c r="D557" s="13"/>
      <c r="E557" s="13"/>
      <c r="F557" s="13"/>
      <c r="G557" s="13"/>
      <c r="H557" s="13"/>
      <c r="I557" s="13"/>
      <c r="J557" s="13"/>
      <c r="K557" s="13"/>
      <c r="L557" s="13"/>
    </row>
    <row r="558" spans="1:12" ht="15.75" customHeight="1" x14ac:dyDescent="0.25">
      <c r="A558" s="13"/>
      <c r="B558" s="13"/>
      <c r="C558" s="13"/>
      <c r="D558" s="13"/>
      <c r="E558" s="13"/>
      <c r="F558" s="13"/>
      <c r="G558" s="13"/>
      <c r="H558" s="13"/>
      <c r="I558" s="13"/>
      <c r="J558" s="13"/>
      <c r="K558" s="13"/>
      <c r="L558" s="13"/>
    </row>
    <row r="559" spans="1:12" ht="15.75" customHeight="1" x14ac:dyDescent="0.25">
      <c r="A559" s="13"/>
      <c r="B559" s="13"/>
      <c r="C559" s="13"/>
      <c r="D559" s="13"/>
      <c r="E559" s="13"/>
      <c r="F559" s="13"/>
      <c r="G559" s="13"/>
      <c r="H559" s="13"/>
      <c r="I559" s="13"/>
      <c r="J559" s="13"/>
      <c r="K559" s="13"/>
      <c r="L559" s="13"/>
    </row>
    <row r="560" spans="1:12" ht="15.75" customHeight="1" x14ac:dyDescent="0.25">
      <c r="A560" s="13"/>
      <c r="B560" s="13"/>
      <c r="C560" s="13"/>
      <c r="D560" s="13"/>
      <c r="E560" s="13"/>
      <c r="F560" s="13"/>
      <c r="G560" s="13"/>
      <c r="H560" s="13"/>
      <c r="I560" s="13"/>
      <c r="J560" s="13"/>
      <c r="K560" s="13"/>
      <c r="L560" s="13"/>
    </row>
    <row r="561" spans="1:12" ht="15.75" customHeight="1" x14ac:dyDescent="0.25">
      <c r="A561" s="13"/>
      <c r="B561" s="13"/>
      <c r="C561" s="13"/>
      <c r="D561" s="13"/>
      <c r="E561" s="13"/>
      <c r="F561" s="13"/>
      <c r="G561" s="13"/>
      <c r="H561" s="13"/>
      <c r="I561" s="13"/>
      <c r="J561" s="13"/>
      <c r="K561" s="13"/>
      <c r="L561" s="13"/>
    </row>
    <row r="562" spans="1:12" ht="15.75" customHeight="1" x14ac:dyDescent="0.25">
      <c r="A562" s="13"/>
      <c r="B562" s="13"/>
      <c r="C562" s="13"/>
      <c r="D562" s="13"/>
      <c r="E562" s="13"/>
      <c r="F562" s="13"/>
      <c r="G562" s="13"/>
      <c r="H562" s="13"/>
      <c r="I562" s="13"/>
      <c r="J562" s="13"/>
      <c r="K562" s="13"/>
      <c r="L562" s="13"/>
    </row>
    <row r="563" spans="1:12" ht="15.75" customHeight="1" x14ac:dyDescent="0.25">
      <c r="A563" s="13"/>
      <c r="B563" s="13"/>
      <c r="C563" s="13"/>
      <c r="D563" s="13"/>
      <c r="E563" s="13"/>
      <c r="F563" s="13"/>
      <c r="G563" s="13"/>
      <c r="H563" s="13"/>
      <c r="I563" s="13"/>
      <c r="J563" s="13"/>
      <c r="K563" s="13"/>
      <c r="L563" s="13"/>
    </row>
    <row r="564" spans="1:12" ht="15.75" customHeight="1" x14ac:dyDescent="0.25">
      <c r="A564" s="13"/>
      <c r="B564" s="13"/>
      <c r="C564" s="13"/>
      <c r="D564" s="13"/>
      <c r="E564" s="13"/>
      <c r="F564" s="13"/>
      <c r="G564" s="13"/>
      <c r="H564" s="13"/>
      <c r="I564" s="13"/>
      <c r="J564" s="13"/>
      <c r="K564" s="13"/>
      <c r="L564" s="13"/>
    </row>
    <row r="565" spans="1:12" ht="15.75" customHeight="1" x14ac:dyDescent="0.25">
      <c r="A565" s="13"/>
      <c r="B565" s="13"/>
      <c r="C565" s="13"/>
      <c r="D565" s="13"/>
      <c r="E565" s="13"/>
      <c r="F565" s="13"/>
      <c r="G565" s="13"/>
      <c r="H565" s="13"/>
      <c r="I565" s="13"/>
      <c r="J565" s="13"/>
      <c r="K565" s="13"/>
      <c r="L565" s="13"/>
    </row>
    <row r="566" spans="1:12" ht="15.75" customHeight="1" x14ac:dyDescent="0.25">
      <c r="A566" s="13"/>
      <c r="B566" s="13"/>
      <c r="C566" s="13"/>
      <c r="D566" s="13"/>
      <c r="E566" s="13"/>
      <c r="F566" s="13"/>
      <c r="G566" s="13"/>
      <c r="H566" s="13"/>
      <c r="I566" s="13"/>
      <c r="J566" s="13"/>
      <c r="K566" s="13"/>
      <c r="L566" s="13"/>
    </row>
    <row r="567" spans="1:12" ht="15.75" customHeight="1" x14ac:dyDescent="0.25">
      <c r="A567" s="13"/>
      <c r="B567" s="13"/>
      <c r="C567" s="13"/>
      <c r="D567" s="13"/>
      <c r="E567" s="13"/>
      <c r="F567" s="13"/>
      <c r="G567" s="13"/>
      <c r="H567" s="13"/>
      <c r="I567" s="13"/>
      <c r="J567" s="13"/>
      <c r="K567" s="13"/>
      <c r="L567" s="13"/>
    </row>
    <row r="568" spans="1:12" ht="15.75" customHeight="1" x14ac:dyDescent="0.25">
      <c r="A568" s="13"/>
      <c r="B568" s="13"/>
      <c r="C568" s="13"/>
      <c r="D568" s="13"/>
      <c r="E568" s="13"/>
      <c r="F568" s="13"/>
      <c r="G568" s="13"/>
      <c r="H568" s="13"/>
      <c r="I568" s="13"/>
      <c r="J568" s="13"/>
      <c r="K568" s="13"/>
      <c r="L568" s="13"/>
    </row>
    <row r="569" spans="1:12" ht="15.75" customHeight="1" x14ac:dyDescent="0.25">
      <c r="A569" s="13"/>
      <c r="B569" s="13"/>
      <c r="C569" s="13"/>
      <c r="D569" s="13"/>
      <c r="E569" s="13"/>
      <c r="F569" s="13"/>
      <c r="G569" s="13"/>
      <c r="H569" s="13"/>
      <c r="I569" s="13"/>
      <c r="J569" s="13"/>
      <c r="K569" s="13"/>
      <c r="L569" s="13"/>
    </row>
    <row r="570" spans="1:12" ht="15.75" customHeight="1" x14ac:dyDescent="0.25">
      <c r="A570" s="13"/>
      <c r="B570" s="13"/>
      <c r="C570" s="13"/>
      <c r="D570" s="13"/>
      <c r="E570" s="13"/>
      <c r="F570" s="13"/>
      <c r="G570" s="13"/>
      <c r="H570" s="13"/>
      <c r="I570" s="13"/>
      <c r="J570" s="13"/>
      <c r="K570" s="13"/>
      <c r="L570" s="13"/>
    </row>
    <row r="571" spans="1:12" ht="15.75" customHeight="1" x14ac:dyDescent="0.25">
      <c r="A571" s="13"/>
      <c r="B571" s="13"/>
      <c r="C571" s="13"/>
      <c r="D571" s="13"/>
      <c r="E571" s="13"/>
      <c r="F571" s="13"/>
      <c r="G571" s="13"/>
      <c r="H571" s="13"/>
      <c r="I571" s="13"/>
      <c r="J571" s="13"/>
      <c r="K571" s="13"/>
      <c r="L571" s="13"/>
    </row>
    <row r="572" spans="1:12" ht="15.75" customHeight="1" x14ac:dyDescent="0.25">
      <c r="A572" s="13"/>
      <c r="B572" s="13"/>
      <c r="C572" s="13"/>
      <c r="D572" s="13"/>
      <c r="E572" s="13"/>
      <c r="F572" s="13"/>
      <c r="G572" s="13"/>
      <c r="H572" s="13"/>
      <c r="I572" s="13"/>
      <c r="J572" s="13"/>
      <c r="K572" s="13"/>
      <c r="L572" s="13"/>
    </row>
    <row r="573" spans="1:12" ht="15.75" customHeight="1" x14ac:dyDescent="0.25">
      <c r="A573" s="13"/>
      <c r="B573" s="13"/>
      <c r="C573" s="13"/>
      <c r="D573" s="13"/>
      <c r="E573" s="13"/>
      <c r="F573" s="13"/>
      <c r="G573" s="13"/>
      <c r="H573" s="13"/>
      <c r="I573" s="13"/>
      <c r="J573" s="13"/>
      <c r="K573" s="13"/>
      <c r="L573" s="13"/>
    </row>
    <row r="574" spans="1:12" ht="15.75" customHeight="1" x14ac:dyDescent="0.25">
      <c r="A574" s="13"/>
      <c r="B574" s="13"/>
      <c r="C574" s="13"/>
      <c r="D574" s="13"/>
      <c r="E574" s="13"/>
      <c r="F574" s="13"/>
      <c r="G574" s="13"/>
      <c r="H574" s="13"/>
      <c r="I574" s="13"/>
      <c r="J574" s="13"/>
      <c r="K574" s="13"/>
      <c r="L574" s="13"/>
    </row>
    <row r="575" spans="1:12" ht="15.75" customHeight="1" x14ac:dyDescent="0.25">
      <c r="A575" s="13"/>
      <c r="B575" s="13"/>
      <c r="C575" s="13"/>
      <c r="D575" s="13"/>
      <c r="E575" s="13"/>
      <c r="F575" s="13"/>
      <c r="G575" s="13"/>
      <c r="H575" s="13"/>
      <c r="I575" s="13"/>
      <c r="J575" s="13"/>
      <c r="K575" s="13"/>
      <c r="L575" s="13"/>
    </row>
    <row r="576" spans="1:12" ht="15.75" customHeight="1" x14ac:dyDescent="0.25">
      <c r="A576" s="13"/>
      <c r="B576" s="13"/>
      <c r="C576" s="13"/>
      <c r="D576" s="13"/>
      <c r="E576" s="13"/>
      <c r="F576" s="13"/>
      <c r="G576" s="13"/>
      <c r="H576" s="13"/>
      <c r="I576" s="13"/>
      <c r="J576" s="13"/>
      <c r="K576" s="13"/>
      <c r="L576" s="13"/>
    </row>
    <row r="577" spans="1:12" ht="15.75" customHeight="1" x14ac:dyDescent="0.25">
      <c r="A577" s="13"/>
      <c r="B577" s="13"/>
      <c r="C577" s="13"/>
      <c r="D577" s="13"/>
      <c r="E577" s="13"/>
      <c r="F577" s="13"/>
      <c r="G577" s="13"/>
      <c r="H577" s="13"/>
      <c r="I577" s="13"/>
      <c r="J577" s="13"/>
      <c r="K577" s="13"/>
      <c r="L577" s="13"/>
    </row>
    <row r="578" spans="1:12" ht="15.75" customHeight="1" x14ac:dyDescent="0.25">
      <c r="A578" s="13"/>
      <c r="B578" s="13"/>
      <c r="C578" s="13"/>
      <c r="D578" s="13"/>
      <c r="E578" s="13"/>
      <c r="F578" s="13"/>
      <c r="G578" s="13"/>
      <c r="H578" s="13"/>
      <c r="I578" s="13"/>
      <c r="J578" s="13"/>
      <c r="K578" s="13"/>
      <c r="L578" s="13"/>
    </row>
    <row r="579" spans="1:12" ht="15.75" customHeight="1" x14ac:dyDescent="0.25">
      <c r="A579" s="13"/>
      <c r="B579" s="13"/>
      <c r="C579" s="13"/>
      <c r="D579" s="13"/>
      <c r="E579" s="13"/>
      <c r="F579" s="13"/>
      <c r="G579" s="13"/>
      <c r="H579" s="13"/>
      <c r="I579" s="13"/>
      <c r="J579" s="13"/>
      <c r="K579" s="13"/>
      <c r="L579" s="13"/>
    </row>
    <row r="580" spans="1:12" ht="15.75" customHeight="1" x14ac:dyDescent="0.25">
      <c r="A580" s="13"/>
      <c r="B580" s="13"/>
      <c r="C580" s="13"/>
      <c r="D580" s="13"/>
      <c r="E580" s="13"/>
      <c r="F580" s="13"/>
      <c r="G580" s="13"/>
      <c r="H580" s="13"/>
      <c r="I580" s="13"/>
      <c r="J580" s="13"/>
      <c r="K580" s="13"/>
      <c r="L580" s="13"/>
    </row>
    <row r="581" spans="1:12" ht="15.75" customHeight="1" x14ac:dyDescent="0.25">
      <c r="A581" s="13"/>
      <c r="B581" s="13"/>
      <c r="C581" s="13"/>
      <c r="D581" s="13"/>
      <c r="E581" s="13"/>
      <c r="F581" s="13"/>
      <c r="G581" s="13"/>
      <c r="H581" s="13"/>
      <c r="I581" s="13"/>
      <c r="J581" s="13"/>
      <c r="K581" s="13"/>
      <c r="L581" s="13"/>
    </row>
    <row r="582" spans="1:12" ht="15.75" customHeight="1" x14ac:dyDescent="0.25">
      <c r="A582" s="13"/>
      <c r="B582" s="13"/>
      <c r="C582" s="13"/>
      <c r="D582" s="13"/>
      <c r="E582" s="13"/>
      <c r="F582" s="13"/>
      <c r="G582" s="13"/>
      <c r="H582" s="13"/>
      <c r="I582" s="13"/>
      <c r="J582" s="13"/>
      <c r="K582" s="13"/>
      <c r="L582" s="13"/>
    </row>
    <row r="583" spans="1:12" ht="15.75" customHeight="1" x14ac:dyDescent="0.25">
      <c r="A583" s="13"/>
      <c r="B583" s="13"/>
      <c r="C583" s="13"/>
      <c r="D583" s="13"/>
      <c r="E583" s="13"/>
      <c r="F583" s="13"/>
      <c r="G583" s="13"/>
      <c r="H583" s="13"/>
      <c r="I583" s="13"/>
      <c r="J583" s="13"/>
      <c r="K583" s="13"/>
      <c r="L583" s="13"/>
    </row>
    <row r="584" spans="1:12" ht="15.75" customHeight="1" x14ac:dyDescent="0.25">
      <c r="A584" s="13"/>
      <c r="B584" s="13"/>
      <c r="C584" s="13"/>
      <c r="D584" s="13"/>
      <c r="E584" s="13"/>
      <c r="F584" s="13"/>
      <c r="G584" s="13"/>
      <c r="H584" s="13"/>
      <c r="I584" s="13"/>
      <c r="J584" s="13"/>
      <c r="K584" s="13"/>
      <c r="L584" s="13"/>
    </row>
    <row r="585" spans="1:12" ht="15.75" customHeight="1" x14ac:dyDescent="0.25">
      <c r="A585" s="13"/>
      <c r="B585" s="13"/>
      <c r="C585" s="13"/>
      <c r="D585" s="13"/>
      <c r="E585" s="13"/>
      <c r="F585" s="13"/>
      <c r="G585" s="13"/>
      <c r="H585" s="13"/>
      <c r="I585" s="13"/>
      <c r="J585" s="13"/>
      <c r="K585" s="13"/>
      <c r="L585" s="13"/>
    </row>
    <row r="586" spans="1:12" ht="15.75" customHeight="1" x14ac:dyDescent="0.25">
      <c r="A586" s="13"/>
      <c r="B586" s="13"/>
      <c r="C586" s="13"/>
      <c r="D586" s="13"/>
      <c r="E586" s="13"/>
      <c r="F586" s="13"/>
      <c r="G586" s="13"/>
      <c r="H586" s="13"/>
      <c r="I586" s="13"/>
      <c r="J586" s="13"/>
      <c r="K586" s="13"/>
      <c r="L586" s="13"/>
    </row>
    <row r="587" spans="1:12" ht="15.75" customHeight="1" x14ac:dyDescent="0.25">
      <c r="A587" s="13"/>
      <c r="B587" s="13"/>
      <c r="C587" s="13"/>
      <c r="D587" s="13"/>
      <c r="E587" s="13"/>
      <c r="F587" s="13"/>
      <c r="G587" s="13"/>
      <c r="H587" s="13"/>
      <c r="I587" s="13"/>
      <c r="J587" s="13"/>
      <c r="K587" s="13"/>
      <c r="L587" s="13"/>
    </row>
    <row r="588" spans="1:12" ht="15.75" customHeight="1" x14ac:dyDescent="0.25">
      <c r="A588" s="13"/>
      <c r="B588" s="13"/>
      <c r="C588" s="13"/>
      <c r="D588" s="13"/>
      <c r="E588" s="13"/>
      <c r="F588" s="13"/>
      <c r="G588" s="13"/>
      <c r="H588" s="13"/>
      <c r="I588" s="13"/>
      <c r="J588" s="13"/>
      <c r="K588" s="13"/>
      <c r="L588" s="13"/>
    </row>
    <row r="589" spans="1:12" ht="15.75" customHeight="1" x14ac:dyDescent="0.25">
      <c r="A589" s="13"/>
      <c r="B589" s="13"/>
      <c r="C589" s="13"/>
      <c r="D589" s="13"/>
      <c r="E589" s="13"/>
      <c r="F589" s="13"/>
      <c r="G589" s="13"/>
      <c r="H589" s="13"/>
      <c r="I589" s="13"/>
      <c r="J589" s="13"/>
      <c r="K589" s="13"/>
      <c r="L589" s="13"/>
    </row>
    <row r="590" spans="1:12" ht="15.75" customHeight="1" x14ac:dyDescent="0.25">
      <c r="A590" s="13"/>
      <c r="B590" s="13"/>
      <c r="C590" s="13"/>
      <c r="D590" s="13"/>
      <c r="E590" s="13"/>
      <c r="F590" s="13"/>
      <c r="G590" s="13"/>
      <c r="H590" s="13"/>
      <c r="I590" s="13"/>
      <c r="J590" s="13"/>
      <c r="K590" s="13"/>
      <c r="L590" s="13"/>
    </row>
    <row r="591" spans="1:12" ht="15.75" customHeight="1" x14ac:dyDescent="0.25">
      <c r="A591" s="13"/>
      <c r="B591" s="13"/>
      <c r="C591" s="13"/>
      <c r="D591" s="13"/>
      <c r="E591" s="13"/>
      <c r="F591" s="13"/>
      <c r="G591" s="13"/>
      <c r="H591" s="13"/>
      <c r="I591" s="13"/>
      <c r="J591" s="13"/>
      <c r="K591" s="13"/>
      <c r="L591" s="13"/>
    </row>
    <row r="592" spans="1:12" ht="15.75" customHeight="1" x14ac:dyDescent="0.25">
      <c r="A592" s="13"/>
      <c r="B592" s="13"/>
      <c r="C592" s="13"/>
      <c r="D592" s="13"/>
      <c r="E592" s="13"/>
      <c r="F592" s="13"/>
      <c r="G592" s="13"/>
      <c r="H592" s="13"/>
      <c r="I592" s="13"/>
      <c r="J592" s="13"/>
      <c r="K592" s="13"/>
      <c r="L592" s="13"/>
    </row>
    <row r="593" spans="1:12" ht="15.75" customHeight="1" x14ac:dyDescent="0.25">
      <c r="A593" s="13"/>
      <c r="B593" s="13"/>
      <c r="C593" s="13"/>
      <c r="D593" s="13"/>
      <c r="E593" s="13"/>
      <c r="F593" s="13"/>
      <c r="G593" s="13"/>
      <c r="H593" s="13"/>
      <c r="I593" s="13"/>
      <c r="J593" s="13"/>
      <c r="K593" s="13"/>
      <c r="L593" s="13"/>
    </row>
    <row r="594" spans="1:12" ht="15.75" customHeight="1" x14ac:dyDescent="0.25">
      <c r="A594" s="13"/>
      <c r="B594" s="13"/>
      <c r="C594" s="13"/>
      <c r="D594" s="13"/>
      <c r="E594" s="13"/>
      <c r="F594" s="13"/>
      <c r="G594" s="13"/>
      <c r="H594" s="13"/>
      <c r="I594" s="13"/>
      <c r="J594" s="13"/>
      <c r="K594" s="13"/>
      <c r="L594" s="13"/>
    </row>
    <row r="595" spans="1:12" ht="15.75" customHeight="1" x14ac:dyDescent="0.25">
      <c r="A595" s="13"/>
      <c r="B595" s="13"/>
      <c r="C595" s="13"/>
      <c r="D595" s="13"/>
      <c r="E595" s="13"/>
      <c r="F595" s="13"/>
      <c r="G595" s="13"/>
      <c r="H595" s="13"/>
      <c r="I595" s="13"/>
      <c r="J595" s="13"/>
      <c r="K595" s="13"/>
      <c r="L595" s="13"/>
    </row>
    <row r="596" spans="1:12" ht="15.75" customHeight="1" x14ac:dyDescent="0.25">
      <c r="A596" s="13"/>
      <c r="B596" s="13"/>
      <c r="C596" s="13"/>
      <c r="D596" s="13"/>
      <c r="E596" s="13"/>
      <c r="F596" s="13"/>
      <c r="G596" s="13"/>
      <c r="H596" s="13"/>
      <c r="I596" s="13"/>
      <c r="J596" s="13"/>
      <c r="K596" s="13"/>
      <c r="L596" s="13"/>
    </row>
    <row r="597" spans="1:12" ht="15.75" customHeight="1" x14ac:dyDescent="0.25">
      <c r="A597" s="13"/>
      <c r="B597" s="13"/>
      <c r="C597" s="13"/>
      <c r="D597" s="13"/>
      <c r="E597" s="13"/>
      <c r="F597" s="13"/>
      <c r="G597" s="13"/>
      <c r="H597" s="13"/>
      <c r="I597" s="13"/>
      <c r="J597" s="13"/>
      <c r="K597" s="13"/>
      <c r="L597" s="13"/>
    </row>
    <row r="598" spans="1:12" ht="15.75" customHeight="1" x14ac:dyDescent="0.25">
      <c r="A598" s="13"/>
      <c r="B598" s="13"/>
      <c r="C598" s="13"/>
      <c r="D598" s="13"/>
      <c r="E598" s="13"/>
      <c r="F598" s="13"/>
      <c r="G598" s="13"/>
      <c r="H598" s="13"/>
      <c r="I598" s="13"/>
      <c r="J598" s="13"/>
      <c r="K598" s="13"/>
      <c r="L598" s="13"/>
    </row>
    <row r="599" spans="1:12" ht="15.75" customHeight="1" x14ac:dyDescent="0.25">
      <c r="A599" s="13"/>
      <c r="B599" s="13"/>
      <c r="C599" s="13"/>
      <c r="D599" s="13"/>
      <c r="E599" s="13"/>
      <c r="F599" s="13"/>
      <c r="G599" s="13"/>
      <c r="H599" s="13"/>
      <c r="I599" s="13"/>
      <c r="J599" s="13"/>
      <c r="K599" s="13"/>
      <c r="L599" s="13"/>
    </row>
    <row r="600" spans="1:12" ht="15.75" customHeight="1" x14ac:dyDescent="0.25">
      <c r="A600" s="13"/>
      <c r="B600" s="13"/>
      <c r="C600" s="13"/>
      <c r="D600" s="13"/>
      <c r="E600" s="13"/>
      <c r="F600" s="13"/>
      <c r="G600" s="13"/>
      <c r="H600" s="13"/>
      <c r="I600" s="13"/>
      <c r="J600" s="13"/>
      <c r="K600" s="13"/>
      <c r="L600" s="13"/>
    </row>
    <row r="601" spans="1:12" ht="15.75" customHeight="1" x14ac:dyDescent="0.25">
      <c r="A601" s="13"/>
      <c r="B601" s="13"/>
      <c r="C601" s="13"/>
      <c r="D601" s="13"/>
      <c r="E601" s="13"/>
      <c r="F601" s="13"/>
      <c r="G601" s="13"/>
      <c r="H601" s="13"/>
      <c r="I601" s="13"/>
      <c r="J601" s="13"/>
      <c r="K601" s="13"/>
      <c r="L601" s="13"/>
    </row>
    <row r="602" spans="1:12" ht="15.75" customHeight="1" x14ac:dyDescent="0.25">
      <c r="A602" s="13"/>
      <c r="B602" s="13"/>
      <c r="C602" s="13"/>
      <c r="D602" s="13"/>
      <c r="E602" s="13"/>
      <c r="F602" s="13"/>
      <c r="G602" s="13"/>
      <c r="H602" s="13"/>
      <c r="I602" s="13"/>
      <c r="J602" s="13"/>
      <c r="K602" s="13"/>
      <c r="L602" s="13"/>
    </row>
    <row r="603" spans="1:12" ht="15.75" customHeight="1" x14ac:dyDescent="0.25">
      <c r="A603" s="13"/>
      <c r="B603" s="13"/>
      <c r="C603" s="13"/>
      <c r="D603" s="13"/>
      <c r="E603" s="13"/>
      <c r="F603" s="13"/>
      <c r="G603" s="13"/>
      <c r="H603" s="13"/>
      <c r="I603" s="13"/>
      <c r="J603" s="13"/>
      <c r="K603" s="13"/>
      <c r="L603" s="13"/>
    </row>
    <row r="604" spans="1:12" ht="15.75" customHeight="1" x14ac:dyDescent="0.25">
      <c r="A604" s="13"/>
      <c r="B604" s="13"/>
      <c r="C604" s="13"/>
      <c r="D604" s="13"/>
      <c r="E604" s="13"/>
      <c r="F604" s="13"/>
      <c r="G604" s="13"/>
      <c r="H604" s="13"/>
      <c r="I604" s="13"/>
      <c r="J604" s="13"/>
      <c r="K604" s="13"/>
      <c r="L604" s="13"/>
    </row>
    <row r="605" spans="1:12" ht="15.75" customHeight="1" x14ac:dyDescent="0.25">
      <c r="A605" s="13"/>
      <c r="B605" s="13"/>
      <c r="C605" s="13"/>
      <c r="D605" s="13"/>
      <c r="E605" s="13"/>
      <c r="F605" s="13"/>
      <c r="G605" s="13"/>
      <c r="H605" s="13"/>
      <c r="I605" s="13"/>
      <c r="J605" s="13"/>
      <c r="K605" s="13"/>
      <c r="L605" s="13"/>
    </row>
    <row r="606" spans="1:12" ht="15.75" customHeight="1" x14ac:dyDescent="0.25">
      <c r="A606" s="13"/>
      <c r="B606" s="13"/>
      <c r="C606" s="13"/>
      <c r="D606" s="13"/>
      <c r="E606" s="13"/>
      <c r="F606" s="13"/>
      <c r="G606" s="13"/>
      <c r="H606" s="13"/>
      <c r="I606" s="13"/>
      <c r="J606" s="13"/>
      <c r="K606" s="13"/>
      <c r="L606" s="13"/>
    </row>
    <row r="607" spans="1:12" ht="15.75" customHeight="1" x14ac:dyDescent="0.25">
      <c r="A607" s="13"/>
      <c r="B607" s="13"/>
      <c r="C607" s="13"/>
      <c r="D607" s="13"/>
      <c r="E607" s="13"/>
      <c r="F607" s="13"/>
      <c r="G607" s="13"/>
      <c r="H607" s="13"/>
      <c r="I607" s="13"/>
      <c r="J607" s="13"/>
      <c r="K607" s="13"/>
      <c r="L607" s="13"/>
    </row>
    <row r="608" spans="1:12" ht="15.75" customHeight="1" x14ac:dyDescent="0.25">
      <c r="A608" s="13"/>
      <c r="B608" s="13"/>
      <c r="C608" s="13"/>
      <c r="D608" s="13"/>
      <c r="E608" s="13"/>
      <c r="F608" s="13"/>
      <c r="G608" s="13"/>
      <c r="H608" s="13"/>
      <c r="I608" s="13"/>
      <c r="J608" s="13"/>
      <c r="K608" s="13"/>
      <c r="L608" s="13"/>
    </row>
    <row r="609" spans="1:12" ht="15.75" customHeight="1" x14ac:dyDescent="0.25">
      <c r="A609" s="13"/>
      <c r="B609" s="13"/>
      <c r="C609" s="13"/>
      <c r="D609" s="13"/>
      <c r="E609" s="13"/>
      <c r="F609" s="13"/>
      <c r="G609" s="13"/>
      <c r="H609" s="13"/>
      <c r="I609" s="13"/>
      <c r="J609" s="13"/>
      <c r="K609" s="13"/>
      <c r="L609" s="13"/>
    </row>
    <row r="610" spans="1:12" ht="15.75" customHeight="1" x14ac:dyDescent="0.25">
      <c r="A610" s="13"/>
      <c r="B610" s="13"/>
      <c r="C610" s="13"/>
      <c r="D610" s="13"/>
      <c r="E610" s="13"/>
      <c r="F610" s="13"/>
      <c r="G610" s="13"/>
      <c r="H610" s="13"/>
      <c r="I610" s="13"/>
      <c r="J610" s="13"/>
      <c r="K610" s="13"/>
      <c r="L610" s="13"/>
    </row>
    <row r="611" spans="1:12" ht="15.75" customHeight="1" x14ac:dyDescent="0.25">
      <c r="A611" s="13"/>
      <c r="B611" s="13"/>
      <c r="C611" s="13"/>
      <c r="D611" s="13"/>
      <c r="E611" s="13"/>
      <c r="F611" s="13"/>
      <c r="G611" s="13"/>
      <c r="H611" s="13"/>
      <c r="I611" s="13"/>
      <c r="J611" s="13"/>
      <c r="K611" s="13"/>
      <c r="L611" s="13"/>
    </row>
    <row r="612" spans="1:12" ht="15.75" customHeight="1" x14ac:dyDescent="0.25">
      <c r="A612" s="13"/>
      <c r="B612" s="13"/>
      <c r="C612" s="13"/>
      <c r="D612" s="13"/>
      <c r="E612" s="13"/>
      <c r="F612" s="13"/>
      <c r="G612" s="13"/>
      <c r="H612" s="13"/>
      <c r="I612" s="13"/>
      <c r="J612" s="13"/>
      <c r="K612" s="13"/>
      <c r="L612" s="13"/>
    </row>
    <row r="613" spans="1:12" ht="15.75" customHeight="1" x14ac:dyDescent="0.25">
      <c r="A613" s="13"/>
      <c r="B613" s="13"/>
      <c r="C613" s="13"/>
      <c r="D613" s="13"/>
      <c r="E613" s="13"/>
      <c r="F613" s="13"/>
      <c r="G613" s="13"/>
      <c r="H613" s="13"/>
      <c r="I613" s="13"/>
      <c r="J613" s="13"/>
      <c r="K613" s="13"/>
      <c r="L613" s="13"/>
    </row>
    <row r="614" spans="1:12" ht="15.75" customHeight="1" x14ac:dyDescent="0.25">
      <c r="A614" s="13"/>
      <c r="B614" s="13"/>
      <c r="C614" s="13"/>
      <c r="D614" s="13"/>
      <c r="E614" s="13"/>
      <c r="F614" s="13"/>
      <c r="G614" s="13"/>
      <c r="H614" s="13"/>
      <c r="I614" s="13"/>
      <c r="J614" s="13"/>
      <c r="K614" s="13"/>
      <c r="L614" s="13"/>
    </row>
    <row r="615" spans="1:12" ht="15.75" customHeight="1" x14ac:dyDescent="0.25">
      <c r="A615" s="13"/>
      <c r="B615" s="13"/>
      <c r="C615" s="13"/>
      <c r="D615" s="13"/>
      <c r="E615" s="13"/>
      <c r="F615" s="13"/>
      <c r="G615" s="13"/>
      <c r="H615" s="13"/>
      <c r="I615" s="13"/>
      <c r="J615" s="13"/>
      <c r="K615" s="13"/>
      <c r="L615" s="13"/>
    </row>
    <row r="616" spans="1:12" ht="15.75" customHeight="1" x14ac:dyDescent="0.25">
      <c r="A616" s="13"/>
      <c r="B616" s="13"/>
      <c r="C616" s="13"/>
      <c r="D616" s="13"/>
      <c r="E616" s="13"/>
      <c r="F616" s="13"/>
      <c r="G616" s="13"/>
      <c r="H616" s="13"/>
      <c r="I616" s="13"/>
      <c r="J616" s="13"/>
      <c r="K616" s="13"/>
      <c r="L616" s="13"/>
    </row>
    <row r="617" spans="1:12" ht="15.75" customHeight="1" x14ac:dyDescent="0.25">
      <c r="A617" s="13"/>
      <c r="B617" s="13"/>
      <c r="C617" s="13"/>
      <c r="D617" s="13"/>
      <c r="E617" s="13"/>
      <c r="F617" s="13"/>
      <c r="G617" s="13"/>
      <c r="H617" s="13"/>
      <c r="I617" s="13"/>
      <c r="J617" s="13"/>
      <c r="K617" s="13"/>
      <c r="L617" s="13"/>
    </row>
    <row r="618" spans="1:12" ht="15.75" customHeight="1" x14ac:dyDescent="0.25">
      <c r="A618" s="13"/>
      <c r="B618" s="13"/>
      <c r="C618" s="13"/>
      <c r="D618" s="13"/>
      <c r="E618" s="13"/>
      <c r="F618" s="13"/>
      <c r="G618" s="13"/>
      <c r="H618" s="13"/>
      <c r="I618" s="13"/>
      <c r="J618" s="13"/>
      <c r="K618" s="13"/>
      <c r="L618" s="13"/>
    </row>
    <row r="619" spans="1:12" ht="15.75" customHeight="1" x14ac:dyDescent="0.25">
      <c r="A619" s="13"/>
      <c r="B619" s="13"/>
      <c r="C619" s="13"/>
      <c r="D619" s="13"/>
      <c r="E619" s="13"/>
      <c r="F619" s="13"/>
      <c r="G619" s="13"/>
      <c r="H619" s="13"/>
      <c r="I619" s="13"/>
      <c r="J619" s="13"/>
      <c r="K619" s="13"/>
      <c r="L619" s="13"/>
    </row>
    <row r="620" spans="1:12" ht="15.75" customHeight="1" x14ac:dyDescent="0.25">
      <c r="A620" s="13"/>
      <c r="B620" s="13"/>
      <c r="C620" s="13"/>
      <c r="D620" s="13"/>
      <c r="E620" s="13"/>
      <c r="F620" s="13"/>
      <c r="G620" s="13"/>
      <c r="H620" s="13"/>
      <c r="I620" s="13"/>
      <c r="J620" s="13"/>
      <c r="K620" s="13"/>
      <c r="L620" s="13"/>
    </row>
    <row r="621" spans="1:12" ht="15.75" customHeight="1" x14ac:dyDescent="0.25">
      <c r="A621" s="13"/>
      <c r="B621" s="13"/>
      <c r="C621" s="13"/>
      <c r="D621" s="13"/>
      <c r="E621" s="13"/>
      <c r="F621" s="13"/>
      <c r="G621" s="13"/>
      <c r="H621" s="13"/>
      <c r="I621" s="13"/>
      <c r="J621" s="13"/>
      <c r="K621" s="13"/>
      <c r="L621" s="13"/>
    </row>
    <row r="622" spans="1:12" ht="15.75" customHeight="1" x14ac:dyDescent="0.25">
      <c r="A622" s="13"/>
      <c r="B622" s="13"/>
      <c r="C622" s="13"/>
      <c r="D622" s="13"/>
      <c r="E622" s="13"/>
      <c r="F622" s="13"/>
      <c r="G622" s="13"/>
      <c r="H622" s="13"/>
      <c r="I622" s="13"/>
      <c r="J622" s="13"/>
      <c r="K622" s="13"/>
      <c r="L622" s="13"/>
    </row>
    <row r="623" spans="1:12" ht="15.75" customHeight="1" x14ac:dyDescent="0.25">
      <c r="A623" s="13"/>
      <c r="B623" s="13"/>
      <c r="C623" s="13"/>
      <c r="D623" s="13"/>
      <c r="E623" s="13"/>
      <c r="F623" s="13"/>
      <c r="G623" s="13"/>
      <c r="H623" s="13"/>
      <c r="I623" s="13"/>
      <c r="J623" s="13"/>
      <c r="K623" s="13"/>
      <c r="L623" s="13"/>
    </row>
    <row r="624" spans="1:12" ht="15.75" customHeight="1" x14ac:dyDescent="0.25">
      <c r="A624" s="13"/>
      <c r="B624" s="13"/>
      <c r="C624" s="13"/>
      <c r="D624" s="13"/>
      <c r="E624" s="13"/>
      <c r="F624" s="13"/>
      <c r="G624" s="13"/>
      <c r="H624" s="13"/>
      <c r="I624" s="13"/>
      <c r="J624" s="13"/>
      <c r="K624" s="13"/>
      <c r="L624" s="13"/>
    </row>
    <row r="625" spans="1:12" ht="15.75" customHeight="1" x14ac:dyDescent="0.25">
      <c r="A625" s="13"/>
      <c r="B625" s="13"/>
      <c r="C625" s="13"/>
      <c r="D625" s="13"/>
      <c r="E625" s="13"/>
      <c r="F625" s="13"/>
      <c r="G625" s="13"/>
      <c r="H625" s="13"/>
      <c r="I625" s="13"/>
      <c r="J625" s="13"/>
      <c r="K625" s="13"/>
      <c r="L625" s="13"/>
    </row>
    <row r="626" spans="1:12" ht="15.75" customHeight="1" x14ac:dyDescent="0.25">
      <c r="A626" s="13"/>
      <c r="B626" s="13"/>
      <c r="C626" s="13"/>
      <c r="D626" s="13"/>
      <c r="E626" s="13"/>
      <c r="F626" s="13"/>
      <c r="G626" s="13"/>
      <c r="H626" s="13"/>
      <c r="I626" s="13"/>
      <c r="J626" s="13"/>
      <c r="K626" s="13"/>
      <c r="L626" s="13"/>
    </row>
    <row r="627" spans="1:12" ht="15.75" customHeight="1" x14ac:dyDescent="0.25">
      <c r="A627" s="13"/>
      <c r="B627" s="13"/>
      <c r="C627" s="13"/>
      <c r="D627" s="13"/>
      <c r="E627" s="13"/>
      <c r="F627" s="13"/>
      <c r="G627" s="13"/>
      <c r="H627" s="13"/>
      <c r="I627" s="13"/>
      <c r="J627" s="13"/>
      <c r="K627" s="13"/>
      <c r="L627" s="13"/>
    </row>
    <row r="628" spans="1:12" ht="15.75" customHeight="1" x14ac:dyDescent="0.25">
      <c r="A628" s="13"/>
      <c r="B628" s="13"/>
      <c r="C628" s="13"/>
      <c r="D628" s="13"/>
      <c r="E628" s="13"/>
      <c r="F628" s="13"/>
      <c r="G628" s="13"/>
      <c r="H628" s="13"/>
      <c r="I628" s="13"/>
      <c r="J628" s="13"/>
      <c r="K628" s="13"/>
      <c r="L628" s="13"/>
    </row>
    <row r="629" spans="1:12" ht="15.75" customHeight="1" x14ac:dyDescent="0.25">
      <c r="A629" s="13"/>
      <c r="B629" s="13"/>
      <c r="C629" s="13"/>
      <c r="D629" s="13"/>
      <c r="E629" s="13"/>
      <c r="F629" s="13"/>
      <c r="G629" s="13"/>
      <c r="H629" s="13"/>
      <c r="I629" s="13"/>
      <c r="J629" s="13"/>
      <c r="K629" s="13"/>
      <c r="L629" s="13"/>
    </row>
    <row r="630" spans="1:12" ht="15.75" customHeight="1" x14ac:dyDescent="0.25">
      <c r="A630" s="13"/>
      <c r="B630" s="13"/>
      <c r="C630" s="13"/>
      <c r="D630" s="13"/>
      <c r="E630" s="13"/>
      <c r="F630" s="13"/>
      <c r="G630" s="13"/>
      <c r="H630" s="13"/>
      <c r="I630" s="13"/>
      <c r="J630" s="13"/>
      <c r="K630" s="13"/>
      <c r="L630" s="13"/>
    </row>
    <row r="631" spans="1:12" ht="15.75" customHeight="1" x14ac:dyDescent="0.25">
      <c r="A631" s="13"/>
      <c r="B631" s="13"/>
      <c r="C631" s="13"/>
      <c r="D631" s="13"/>
      <c r="E631" s="13"/>
      <c r="F631" s="13"/>
      <c r="G631" s="13"/>
      <c r="H631" s="13"/>
      <c r="I631" s="13"/>
      <c r="J631" s="13"/>
      <c r="K631" s="13"/>
      <c r="L631" s="13"/>
    </row>
    <row r="632" spans="1:12" ht="15.75" customHeight="1" x14ac:dyDescent="0.25">
      <c r="A632" s="13"/>
      <c r="B632" s="13"/>
      <c r="C632" s="13"/>
      <c r="D632" s="13"/>
      <c r="E632" s="13"/>
      <c r="F632" s="13"/>
      <c r="G632" s="13"/>
      <c r="H632" s="13"/>
      <c r="I632" s="13"/>
      <c r="J632" s="13"/>
      <c r="K632" s="13"/>
      <c r="L632" s="13"/>
    </row>
    <row r="633" spans="1:12" ht="15.75" customHeight="1" x14ac:dyDescent="0.25">
      <c r="A633" s="13"/>
      <c r="B633" s="13"/>
      <c r="C633" s="13"/>
      <c r="D633" s="13"/>
      <c r="E633" s="13"/>
      <c r="F633" s="13"/>
      <c r="G633" s="13"/>
      <c r="H633" s="13"/>
      <c r="I633" s="13"/>
      <c r="J633" s="13"/>
      <c r="K633" s="13"/>
      <c r="L633" s="13"/>
    </row>
    <row r="634" spans="1:12" ht="15.75" customHeight="1" x14ac:dyDescent="0.25">
      <c r="A634" s="13"/>
      <c r="B634" s="13"/>
      <c r="C634" s="13"/>
      <c r="D634" s="13"/>
      <c r="E634" s="13"/>
      <c r="F634" s="13"/>
      <c r="G634" s="13"/>
      <c r="H634" s="13"/>
      <c r="I634" s="13"/>
      <c r="J634" s="13"/>
      <c r="K634" s="13"/>
      <c r="L634" s="13"/>
    </row>
    <row r="635" spans="1:12" ht="15.75" customHeight="1" x14ac:dyDescent="0.25">
      <c r="A635" s="13"/>
      <c r="B635" s="13"/>
      <c r="C635" s="13"/>
      <c r="D635" s="13"/>
      <c r="E635" s="13"/>
      <c r="F635" s="13"/>
      <c r="G635" s="13"/>
      <c r="H635" s="13"/>
      <c r="I635" s="13"/>
      <c r="J635" s="13"/>
      <c r="K635" s="13"/>
      <c r="L635" s="13"/>
    </row>
    <row r="636" spans="1:12" ht="15.75" customHeight="1" x14ac:dyDescent="0.25">
      <c r="A636" s="13"/>
      <c r="B636" s="13"/>
      <c r="C636" s="13"/>
      <c r="D636" s="13"/>
      <c r="E636" s="13"/>
      <c r="F636" s="13"/>
      <c r="G636" s="13"/>
      <c r="H636" s="13"/>
      <c r="I636" s="13"/>
      <c r="J636" s="13"/>
      <c r="K636" s="13"/>
      <c r="L636" s="13"/>
    </row>
    <row r="637" spans="1:12" ht="15.75" customHeight="1" x14ac:dyDescent="0.25">
      <c r="A637" s="13"/>
      <c r="B637" s="13"/>
      <c r="C637" s="13"/>
      <c r="D637" s="13"/>
      <c r="E637" s="13"/>
      <c r="F637" s="13"/>
      <c r="G637" s="13"/>
      <c r="H637" s="13"/>
      <c r="I637" s="13"/>
      <c r="J637" s="13"/>
      <c r="K637" s="13"/>
      <c r="L637" s="13"/>
    </row>
    <row r="638" spans="1:12" ht="15.75" customHeight="1" x14ac:dyDescent="0.25">
      <c r="A638" s="13"/>
      <c r="B638" s="13"/>
      <c r="C638" s="13"/>
      <c r="D638" s="13"/>
      <c r="E638" s="13"/>
      <c r="F638" s="13"/>
      <c r="G638" s="13"/>
      <c r="H638" s="13"/>
      <c r="I638" s="13"/>
      <c r="J638" s="13"/>
      <c r="K638" s="13"/>
      <c r="L638" s="13"/>
    </row>
    <row r="639" spans="1:12" ht="15.75" customHeight="1" x14ac:dyDescent="0.25">
      <c r="A639" s="13"/>
      <c r="B639" s="13"/>
      <c r="C639" s="13"/>
      <c r="D639" s="13"/>
      <c r="E639" s="13"/>
      <c r="F639" s="13"/>
      <c r="G639" s="13"/>
      <c r="H639" s="13"/>
      <c r="I639" s="13"/>
      <c r="J639" s="13"/>
      <c r="K639" s="13"/>
      <c r="L639" s="13"/>
    </row>
    <row r="640" spans="1:12" ht="15.75" customHeight="1" x14ac:dyDescent="0.25">
      <c r="A640" s="13"/>
      <c r="B640" s="13"/>
      <c r="C640" s="13"/>
      <c r="D640" s="13"/>
      <c r="E640" s="13"/>
      <c r="F640" s="13"/>
      <c r="G640" s="13"/>
      <c r="H640" s="13"/>
      <c r="I640" s="13"/>
      <c r="J640" s="13"/>
      <c r="K640" s="13"/>
      <c r="L640" s="13"/>
    </row>
    <row r="641" spans="1:12" ht="15.75" customHeight="1" x14ac:dyDescent="0.25">
      <c r="A641" s="13"/>
      <c r="B641" s="13"/>
      <c r="C641" s="13"/>
      <c r="D641" s="13"/>
      <c r="E641" s="13"/>
      <c r="F641" s="13"/>
      <c r="G641" s="13"/>
      <c r="H641" s="13"/>
      <c r="I641" s="13"/>
      <c r="J641" s="13"/>
      <c r="K641" s="13"/>
      <c r="L641" s="13"/>
    </row>
    <row r="642" spans="1:12" ht="15.75" customHeight="1" x14ac:dyDescent="0.25">
      <c r="A642" s="13"/>
      <c r="B642" s="13"/>
      <c r="C642" s="13"/>
      <c r="D642" s="13"/>
      <c r="E642" s="13"/>
      <c r="F642" s="13"/>
      <c r="G642" s="13"/>
      <c r="H642" s="13"/>
      <c r="I642" s="13"/>
      <c r="J642" s="13"/>
      <c r="K642" s="13"/>
      <c r="L642" s="13"/>
    </row>
    <row r="643" spans="1:12" ht="15.75" customHeight="1" x14ac:dyDescent="0.25">
      <c r="A643" s="13"/>
      <c r="B643" s="13"/>
      <c r="C643" s="13"/>
      <c r="D643" s="13"/>
      <c r="E643" s="13"/>
      <c r="F643" s="13"/>
      <c r="G643" s="13"/>
      <c r="H643" s="13"/>
      <c r="I643" s="13"/>
      <c r="J643" s="13"/>
      <c r="K643" s="13"/>
      <c r="L643" s="13"/>
    </row>
    <row r="644" spans="1:12" ht="15.75" customHeight="1" x14ac:dyDescent="0.25">
      <c r="A644" s="13"/>
      <c r="B644" s="13"/>
      <c r="C644" s="13"/>
      <c r="D644" s="13"/>
      <c r="E644" s="13"/>
      <c r="F644" s="13"/>
      <c r="G644" s="13"/>
      <c r="H644" s="13"/>
      <c r="I644" s="13"/>
      <c r="J644" s="13"/>
      <c r="K644" s="13"/>
      <c r="L644" s="13"/>
    </row>
    <row r="645" spans="1:12" ht="15.75" customHeight="1" x14ac:dyDescent="0.25">
      <c r="A645" s="13"/>
      <c r="B645" s="13"/>
      <c r="C645" s="13"/>
      <c r="D645" s="13"/>
      <c r="E645" s="13"/>
      <c r="F645" s="13"/>
      <c r="G645" s="13"/>
      <c r="H645" s="13"/>
      <c r="I645" s="13"/>
      <c r="J645" s="13"/>
      <c r="K645" s="13"/>
      <c r="L645" s="13"/>
    </row>
    <row r="646" spans="1:12" ht="15.75" customHeight="1" x14ac:dyDescent="0.25">
      <c r="A646" s="13"/>
      <c r="B646" s="13"/>
      <c r="C646" s="13"/>
      <c r="D646" s="13"/>
      <c r="E646" s="13"/>
      <c r="F646" s="13"/>
      <c r="G646" s="13"/>
      <c r="H646" s="13"/>
      <c r="I646" s="13"/>
      <c r="J646" s="13"/>
      <c r="K646" s="13"/>
      <c r="L646" s="13"/>
    </row>
    <row r="647" spans="1:12" ht="15.75" customHeight="1" x14ac:dyDescent="0.25">
      <c r="A647" s="13"/>
      <c r="B647" s="13"/>
      <c r="C647" s="13"/>
      <c r="D647" s="13"/>
      <c r="E647" s="13"/>
      <c r="F647" s="13"/>
      <c r="G647" s="13"/>
      <c r="H647" s="13"/>
      <c r="I647" s="13"/>
      <c r="J647" s="13"/>
      <c r="K647" s="13"/>
      <c r="L647" s="13"/>
    </row>
    <row r="648" spans="1:12" ht="15.75" customHeight="1" x14ac:dyDescent="0.25">
      <c r="A648" s="13"/>
      <c r="B648" s="13"/>
      <c r="C648" s="13"/>
      <c r="D648" s="13"/>
      <c r="E648" s="13"/>
      <c r="F648" s="13"/>
      <c r="G648" s="13"/>
      <c r="H648" s="13"/>
      <c r="I648" s="13"/>
      <c r="J648" s="13"/>
      <c r="K648" s="13"/>
      <c r="L648" s="13"/>
    </row>
    <row r="649" spans="1:12" ht="15.75" customHeight="1" x14ac:dyDescent="0.25">
      <c r="A649" s="13"/>
      <c r="B649" s="13"/>
      <c r="C649" s="13"/>
      <c r="D649" s="13"/>
      <c r="E649" s="13"/>
      <c r="F649" s="13"/>
      <c r="G649" s="13"/>
      <c r="H649" s="13"/>
      <c r="I649" s="13"/>
      <c r="J649" s="13"/>
      <c r="K649" s="13"/>
      <c r="L649" s="13"/>
    </row>
    <row r="650" spans="1:12" ht="15.75" customHeight="1" x14ac:dyDescent="0.25">
      <c r="A650" s="13"/>
      <c r="B650" s="13"/>
      <c r="C650" s="13"/>
      <c r="D650" s="13"/>
      <c r="E650" s="13"/>
      <c r="F650" s="13"/>
      <c r="G650" s="13"/>
      <c r="H650" s="13"/>
      <c r="I650" s="13"/>
      <c r="J650" s="13"/>
      <c r="K650" s="13"/>
      <c r="L650" s="13"/>
    </row>
    <row r="651" spans="1:12" ht="15.75" customHeight="1" x14ac:dyDescent="0.25">
      <c r="A651" s="13"/>
      <c r="B651" s="13"/>
      <c r="C651" s="13"/>
      <c r="D651" s="13"/>
      <c r="E651" s="13"/>
      <c r="F651" s="13"/>
      <c r="G651" s="13"/>
      <c r="H651" s="13"/>
      <c r="I651" s="13"/>
      <c r="J651" s="13"/>
      <c r="K651" s="13"/>
      <c r="L651" s="13"/>
    </row>
    <row r="652" spans="1:12" ht="15.75" customHeight="1" x14ac:dyDescent="0.25">
      <c r="A652" s="13"/>
      <c r="B652" s="13"/>
      <c r="C652" s="13"/>
      <c r="D652" s="13"/>
      <c r="E652" s="13"/>
      <c r="F652" s="13"/>
      <c r="G652" s="13"/>
      <c r="H652" s="13"/>
      <c r="I652" s="13"/>
      <c r="J652" s="13"/>
      <c r="K652" s="13"/>
      <c r="L652" s="13"/>
    </row>
    <row r="653" spans="1:12" ht="15.75" customHeight="1" x14ac:dyDescent="0.25">
      <c r="A653" s="13"/>
      <c r="B653" s="13"/>
      <c r="C653" s="13"/>
      <c r="D653" s="13"/>
      <c r="E653" s="13"/>
      <c r="F653" s="13"/>
      <c r="G653" s="13"/>
      <c r="H653" s="13"/>
      <c r="I653" s="13"/>
      <c r="J653" s="13"/>
      <c r="K653" s="13"/>
      <c r="L653" s="13"/>
    </row>
    <row r="654" spans="1:12" ht="15.75" customHeight="1" x14ac:dyDescent="0.25">
      <c r="A654" s="13"/>
      <c r="B654" s="13"/>
      <c r="C654" s="13"/>
      <c r="D654" s="13"/>
      <c r="E654" s="13"/>
      <c r="F654" s="13"/>
      <c r="G654" s="13"/>
      <c r="H654" s="13"/>
      <c r="I654" s="13"/>
      <c r="J654" s="13"/>
      <c r="K654" s="13"/>
      <c r="L654" s="13"/>
    </row>
    <row r="655" spans="1:12" ht="15.75" customHeight="1" x14ac:dyDescent="0.25">
      <c r="A655" s="13"/>
      <c r="B655" s="13"/>
      <c r="C655" s="13"/>
      <c r="D655" s="13"/>
      <c r="E655" s="13"/>
      <c r="F655" s="13"/>
      <c r="G655" s="13"/>
      <c r="H655" s="13"/>
      <c r="I655" s="13"/>
      <c r="J655" s="13"/>
      <c r="K655" s="13"/>
      <c r="L655" s="13"/>
    </row>
    <row r="656" spans="1:12" ht="15.75" customHeight="1" x14ac:dyDescent="0.25">
      <c r="A656" s="13"/>
      <c r="B656" s="13"/>
      <c r="C656" s="13"/>
      <c r="D656" s="13"/>
      <c r="E656" s="13"/>
      <c r="F656" s="13"/>
      <c r="G656" s="13"/>
      <c r="H656" s="13"/>
      <c r="I656" s="13"/>
      <c r="J656" s="13"/>
      <c r="K656" s="13"/>
      <c r="L656" s="13"/>
    </row>
    <row r="657" spans="1:12" ht="15.75" customHeight="1" x14ac:dyDescent="0.25">
      <c r="A657" s="13"/>
      <c r="B657" s="13"/>
      <c r="C657" s="13"/>
      <c r="D657" s="13"/>
      <c r="E657" s="13"/>
      <c r="F657" s="13"/>
      <c r="G657" s="13"/>
      <c r="H657" s="13"/>
      <c r="I657" s="13"/>
      <c r="J657" s="13"/>
      <c r="K657" s="13"/>
      <c r="L657" s="13"/>
    </row>
    <row r="658" spans="1:12" ht="15.75" customHeight="1" x14ac:dyDescent="0.25">
      <c r="A658" s="13"/>
      <c r="B658" s="13"/>
      <c r="C658" s="13"/>
      <c r="D658" s="13"/>
      <c r="E658" s="13"/>
      <c r="F658" s="13"/>
      <c r="G658" s="13"/>
      <c r="H658" s="13"/>
      <c r="I658" s="13"/>
      <c r="J658" s="13"/>
      <c r="K658" s="13"/>
      <c r="L658" s="13"/>
    </row>
    <row r="659" spans="1:12" ht="15.75" customHeight="1" x14ac:dyDescent="0.25">
      <c r="A659" s="13"/>
      <c r="B659" s="13"/>
      <c r="C659" s="13"/>
      <c r="D659" s="13"/>
      <c r="E659" s="13"/>
      <c r="F659" s="13"/>
      <c r="G659" s="13"/>
      <c r="H659" s="13"/>
      <c r="I659" s="13"/>
      <c r="J659" s="13"/>
      <c r="K659" s="13"/>
      <c r="L659" s="13"/>
    </row>
    <row r="660" spans="1:12" ht="15.75" customHeight="1" x14ac:dyDescent="0.25">
      <c r="A660" s="13"/>
      <c r="B660" s="13"/>
      <c r="C660" s="13"/>
      <c r="D660" s="13"/>
      <c r="E660" s="13"/>
      <c r="F660" s="13"/>
      <c r="G660" s="13"/>
      <c r="H660" s="13"/>
      <c r="I660" s="13"/>
      <c r="J660" s="13"/>
      <c r="K660" s="13"/>
      <c r="L660" s="13"/>
    </row>
    <row r="661" spans="1:12" ht="15.75" customHeight="1" x14ac:dyDescent="0.25">
      <c r="A661" s="13"/>
      <c r="B661" s="13"/>
      <c r="C661" s="13"/>
      <c r="D661" s="13"/>
      <c r="E661" s="13"/>
      <c r="F661" s="13"/>
      <c r="G661" s="13"/>
      <c r="H661" s="13"/>
      <c r="I661" s="13"/>
      <c r="J661" s="13"/>
      <c r="K661" s="13"/>
      <c r="L661" s="13"/>
    </row>
    <row r="662" spans="1:12" ht="15.75" customHeight="1" x14ac:dyDescent="0.25">
      <c r="A662" s="13"/>
      <c r="B662" s="13"/>
      <c r="C662" s="13"/>
      <c r="D662" s="13"/>
      <c r="E662" s="13"/>
      <c r="F662" s="13"/>
      <c r="G662" s="13"/>
      <c r="H662" s="13"/>
      <c r="I662" s="13"/>
      <c r="J662" s="13"/>
      <c r="K662" s="13"/>
      <c r="L662" s="13"/>
    </row>
    <row r="663" spans="1:12" ht="15.75" customHeight="1" x14ac:dyDescent="0.25">
      <c r="A663" s="13"/>
      <c r="B663" s="13"/>
      <c r="C663" s="13"/>
      <c r="D663" s="13"/>
      <c r="E663" s="13"/>
      <c r="F663" s="13"/>
      <c r="G663" s="13"/>
      <c r="H663" s="13"/>
      <c r="I663" s="13"/>
      <c r="J663" s="13"/>
      <c r="K663" s="13"/>
      <c r="L663" s="13"/>
    </row>
    <row r="664" spans="1:12" ht="15.75" customHeight="1" x14ac:dyDescent="0.25">
      <c r="A664" s="13"/>
      <c r="B664" s="13"/>
      <c r="C664" s="13"/>
      <c r="D664" s="13"/>
      <c r="E664" s="13"/>
      <c r="F664" s="13"/>
      <c r="G664" s="13"/>
      <c r="H664" s="13"/>
      <c r="I664" s="13"/>
      <c r="J664" s="13"/>
      <c r="K664" s="13"/>
      <c r="L664" s="13"/>
    </row>
    <row r="665" spans="1:12" ht="15.75" customHeight="1" x14ac:dyDescent="0.25">
      <c r="A665" s="13"/>
      <c r="B665" s="13"/>
      <c r="C665" s="13"/>
      <c r="D665" s="13"/>
      <c r="E665" s="13"/>
      <c r="F665" s="13"/>
      <c r="G665" s="13"/>
      <c r="H665" s="13"/>
      <c r="I665" s="13"/>
      <c r="J665" s="13"/>
      <c r="K665" s="13"/>
      <c r="L665" s="13"/>
    </row>
    <row r="666" spans="1:12" ht="15.75" customHeight="1" x14ac:dyDescent="0.25">
      <c r="A666" s="13"/>
      <c r="B666" s="13"/>
      <c r="C666" s="13"/>
      <c r="D666" s="13"/>
      <c r="E666" s="13"/>
      <c r="F666" s="13"/>
      <c r="G666" s="13"/>
      <c r="H666" s="13"/>
      <c r="I666" s="13"/>
      <c r="J666" s="13"/>
      <c r="K666" s="13"/>
      <c r="L666" s="13"/>
    </row>
    <row r="667" spans="1:12" ht="15.75" customHeight="1" x14ac:dyDescent="0.25">
      <c r="A667" s="13"/>
      <c r="B667" s="13"/>
      <c r="C667" s="13"/>
      <c r="D667" s="13"/>
      <c r="E667" s="13"/>
      <c r="F667" s="13"/>
      <c r="G667" s="13"/>
      <c r="H667" s="13"/>
      <c r="I667" s="13"/>
      <c r="J667" s="13"/>
      <c r="K667" s="13"/>
      <c r="L667" s="13"/>
    </row>
    <row r="668" spans="1:12" ht="15.75" customHeight="1" x14ac:dyDescent="0.25">
      <c r="A668" s="13"/>
      <c r="B668" s="13"/>
      <c r="C668" s="13"/>
      <c r="D668" s="13"/>
      <c r="E668" s="13"/>
      <c r="F668" s="13"/>
      <c r="G668" s="13"/>
      <c r="H668" s="13"/>
      <c r="I668" s="13"/>
      <c r="J668" s="13"/>
      <c r="K668" s="13"/>
      <c r="L668" s="13"/>
    </row>
    <row r="669" spans="1:12" ht="15.75" customHeight="1" x14ac:dyDescent="0.25">
      <c r="A669" s="13"/>
      <c r="B669" s="13"/>
      <c r="C669" s="13"/>
      <c r="D669" s="13"/>
      <c r="E669" s="13"/>
      <c r="F669" s="13"/>
      <c r="G669" s="13"/>
      <c r="H669" s="13"/>
      <c r="I669" s="13"/>
      <c r="J669" s="13"/>
      <c r="K669" s="13"/>
      <c r="L669" s="13"/>
    </row>
    <row r="670" spans="1:12" ht="15.75" customHeight="1" x14ac:dyDescent="0.25">
      <c r="A670" s="13"/>
      <c r="B670" s="13"/>
      <c r="C670" s="13"/>
      <c r="D670" s="13"/>
      <c r="E670" s="13"/>
      <c r="F670" s="13"/>
      <c r="G670" s="13"/>
      <c r="H670" s="13"/>
      <c r="I670" s="13"/>
      <c r="J670" s="13"/>
      <c r="K670" s="13"/>
      <c r="L670" s="13"/>
    </row>
    <row r="671" spans="1:12" ht="15.75" customHeight="1" x14ac:dyDescent="0.25">
      <c r="A671" s="13"/>
      <c r="B671" s="13"/>
      <c r="C671" s="13"/>
      <c r="D671" s="13"/>
      <c r="E671" s="13"/>
      <c r="F671" s="13"/>
      <c r="G671" s="13"/>
      <c r="H671" s="13"/>
      <c r="I671" s="13"/>
      <c r="J671" s="13"/>
      <c r="K671" s="13"/>
      <c r="L671" s="13"/>
    </row>
    <row r="672" spans="1:12" ht="15.75" customHeight="1" x14ac:dyDescent="0.25">
      <c r="A672" s="13"/>
      <c r="B672" s="13"/>
      <c r="C672" s="13"/>
      <c r="D672" s="13"/>
      <c r="E672" s="13"/>
      <c r="F672" s="13"/>
      <c r="G672" s="13"/>
      <c r="H672" s="13"/>
      <c r="I672" s="13"/>
      <c r="J672" s="13"/>
      <c r="K672" s="13"/>
      <c r="L672" s="13"/>
    </row>
    <row r="673" spans="1:12" ht="15.75" customHeight="1" x14ac:dyDescent="0.25">
      <c r="A673" s="13"/>
      <c r="B673" s="13"/>
      <c r="C673" s="13"/>
      <c r="D673" s="13"/>
      <c r="E673" s="13"/>
      <c r="F673" s="13"/>
      <c r="G673" s="13"/>
      <c r="H673" s="13"/>
      <c r="I673" s="13"/>
      <c r="J673" s="13"/>
      <c r="K673" s="13"/>
      <c r="L673" s="13"/>
    </row>
    <row r="674" spans="1:12" ht="15.75" customHeight="1" x14ac:dyDescent="0.25">
      <c r="A674" s="13"/>
      <c r="B674" s="13"/>
      <c r="C674" s="13"/>
      <c r="D674" s="13"/>
      <c r="E674" s="13"/>
      <c r="F674" s="13"/>
      <c r="G674" s="13"/>
      <c r="H674" s="13"/>
      <c r="I674" s="13"/>
      <c r="J674" s="13"/>
      <c r="K674" s="13"/>
      <c r="L674" s="13"/>
    </row>
    <row r="675" spans="1:12" ht="15.75" customHeight="1" x14ac:dyDescent="0.25">
      <c r="A675" s="13"/>
      <c r="B675" s="13"/>
      <c r="C675" s="13"/>
      <c r="D675" s="13"/>
      <c r="E675" s="13"/>
      <c r="F675" s="13"/>
      <c r="G675" s="13"/>
      <c r="H675" s="13"/>
      <c r="I675" s="13"/>
      <c r="J675" s="13"/>
      <c r="K675" s="13"/>
      <c r="L675" s="13"/>
    </row>
    <row r="676" spans="1:12" ht="15.75" customHeight="1" x14ac:dyDescent="0.25">
      <c r="A676" s="13"/>
      <c r="B676" s="13"/>
      <c r="C676" s="13"/>
      <c r="D676" s="13"/>
      <c r="E676" s="13"/>
      <c r="F676" s="13"/>
      <c r="G676" s="13"/>
      <c r="H676" s="13"/>
      <c r="I676" s="13"/>
      <c r="J676" s="13"/>
      <c r="K676" s="13"/>
      <c r="L676" s="13"/>
    </row>
    <row r="677" spans="1:12" ht="15.75" customHeight="1" x14ac:dyDescent="0.25">
      <c r="A677" s="13"/>
      <c r="B677" s="13"/>
      <c r="C677" s="13"/>
      <c r="D677" s="13"/>
      <c r="E677" s="13"/>
      <c r="F677" s="13"/>
      <c r="G677" s="13"/>
      <c r="H677" s="13"/>
      <c r="I677" s="13"/>
      <c r="J677" s="13"/>
      <c r="K677" s="13"/>
      <c r="L677" s="13"/>
    </row>
    <row r="678" spans="1:12" ht="15.75" customHeight="1" x14ac:dyDescent="0.25">
      <c r="A678" s="13"/>
      <c r="B678" s="13"/>
      <c r="C678" s="13"/>
      <c r="D678" s="13"/>
      <c r="E678" s="13"/>
      <c r="F678" s="13"/>
      <c r="G678" s="13"/>
      <c r="H678" s="13"/>
      <c r="I678" s="13"/>
      <c r="J678" s="13"/>
      <c r="K678" s="13"/>
      <c r="L678" s="13"/>
    </row>
    <row r="679" spans="1:12" ht="15.75" customHeight="1" x14ac:dyDescent="0.25">
      <c r="A679" s="13"/>
      <c r="B679" s="13"/>
      <c r="C679" s="13"/>
      <c r="D679" s="13"/>
      <c r="E679" s="13"/>
      <c r="F679" s="13"/>
      <c r="G679" s="13"/>
      <c r="H679" s="13"/>
      <c r="I679" s="13"/>
      <c r="J679" s="13"/>
      <c r="K679" s="13"/>
      <c r="L679" s="13"/>
    </row>
    <row r="680" spans="1:12" ht="15.75" customHeight="1" x14ac:dyDescent="0.25">
      <c r="A680" s="13"/>
      <c r="B680" s="13"/>
      <c r="C680" s="13"/>
      <c r="D680" s="13"/>
      <c r="E680" s="13"/>
      <c r="F680" s="13"/>
      <c r="G680" s="13"/>
      <c r="H680" s="13"/>
      <c r="I680" s="13"/>
      <c r="J680" s="13"/>
      <c r="K680" s="13"/>
      <c r="L680" s="13"/>
    </row>
    <row r="681" spans="1:12" ht="15.75" customHeight="1" x14ac:dyDescent="0.25">
      <c r="A681" s="13"/>
      <c r="B681" s="13"/>
      <c r="C681" s="13"/>
      <c r="D681" s="13"/>
      <c r="E681" s="13"/>
      <c r="F681" s="13"/>
      <c r="G681" s="13"/>
      <c r="H681" s="13"/>
      <c r="I681" s="13"/>
      <c r="J681" s="13"/>
      <c r="K681" s="13"/>
      <c r="L681" s="13"/>
    </row>
    <row r="682" spans="1:12" ht="15.75" customHeight="1" x14ac:dyDescent="0.25">
      <c r="A682" s="13"/>
      <c r="B682" s="13"/>
      <c r="C682" s="13"/>
      <c r="D682" s="13"/>
      <c r="E682" s="13"/>
      <c r="F682" s="13"/>
      <c r="G682" s="13"/>
      <c r="H682" s="13"/>
      <c r="I682" s="13"/>
      <c r="J682" s="13"/>
      <c r="K682" s="13"/>
      <c r="L682" s="13"/>
    </row>
    <row r="683" spans="1:12" ht="15.75" customHeight="1" x14ac:dyDescent="0.25">
      <c r="A683" s="13"/>
      <c r="B683" s="13"/>
      <c r="C683" s="13"/>
      <c r="D683" s="13"/>
      <c r="E683" s="13"/>
      <c r="F683" s="13"/>
      <c r="G683" s="13"/>
      <c r="H683" s="13"/>
      <c r="I683" s="13"/>
      <c r="J683" s="13"/>
      <c r="K683" s="13"/>
      <c r="L683" s="13"/>
    </row>
    <row r="684" spans="1:12" ht="15.75" customHeight="1" x14ac:dyDescent="0.25">
      <c r="A684" s="13"/>
      <c r="B684" s="13"/>
      <c r="C684" s="13"/>
      <c r="D684" s="13"/>
      <c r="E684" s="13"/>
      <c r="F684" s="13"/>
      <c r="G684" s="13"/>
      <c r="H684" s="13"/>
      <c r="I684" s="13"/>
      <c r="J684" s="13"/>
      <c r="K684" s="13"/>
      <c r="L684" s="13"/>
    </row>
    <row r="685" spans="1:12" ht="15.75" customHeight="1" x14ac:dyDescent="0.25">
      <c r="A685" s="13"/>
      <c r="B685" s="13"/>
      <c r="C685" s="13"/>
      <c r="D685" s="13"/>
      <c r="E685" s="13"/>
      <c r="F685" s="13"/>
      <c r="G685" s="13"/>
      <c r="H685" s="13"/>
      <c r="I685" s="13"/>
      <c r="J685" s="13"/>
      <c r="K685" s="13"/>
      <c r="L685" s="13"/>
    </row>
    <row r="686" spans="1:12" ht="15.75" customHeight="1" x14ac:dyDescent="0.25">
      <c r="A686" s="13"/>
      <c r="B686" s="13"/>
      <c r="C686" s="13"/>
      <c r="D686" s="13"/>
      <c r="E686" s="13"/>
      <c r="F686" s="13"/>
      <c r="G686" s="13"/>
      <c r="H686" s="13"/>
      <c r="I686" s="13"/>
      <c r="J686" s="13"/>
      <c r="K686" s="13"/>
      <c r="L686" s="13"/>
    </row>
    <row r="687" spans="1:12" ht="15.75" customHeight="1" x14ac:dyDescent="0.25">
      <c r="A687" s="13"/>
      <c r="B687" s="13"/>
      <c r="C687" s="13"/>
      <c r="D687" s="13"/>
      <c r="E687" s="13"/>
      <c r="F687" s="13"/>
      <c r="G687" s="13"/>
      <c r="H687" s="13"/>
      <c r="I687" s="13"/>
      <c r="J687" s="13"/>
      <c r="K687" s="13"/>
      <c r="L687" s="13"/>
    </row>
    <row r="688" spans="1:12" ht="15.75" customHeight="1" x14ac:dyDescent="0.25">
      <c r="A688" s="13"/>
      <c r="B688" s="13"/>
      <c r="C688" s="13"/>
      <c r="D688" s="13"/>
      <c r="E688" s="13"/>
      <c r="F688" s="13"/>
      <c r="G688" s="13"/>
      <c r="H688" s="13"/>
      <c r="I688" s="13"/>
      <c r="J688" s="13"/>
      <c r="K688" s="13"/>
      <c r="L688" s="13"/>
    </row>
    <row r="689" spans="1:12" ht="15.75" customHeight="1" x14ac:dyDescent="0.25">
      <c r="A689" s="13"/>
      <c r="B689" s="13"/>
      <c r="C689" s="13"/>
      <c r="D689" s="13"/>
      <c r="E689" s="13"/>
      <c r="F689" s="13"/>
      <c r="G689" s="13"/>
      <c r="H689" s="13"/>
      <c r="I689" s="13"/>
      <c r="J689" s="13"/>
      <c r="K689" s="13"/>
      <c r="L689" s="13"/>
    </row>
    <row r="690" spans="1:12" ht="15.75" customHeight="1" x14ac:dyDescent="0.25">
      <c r="A690" s="13"/>
      <c r="B690" s="13"/>
      <c r="C690" s="13"/>
      <c r="D690" s="13"/>
      <c r="E690" s="13"/>
      <c r="F690" s="13"/>
      <c r="G690" s="13"/>
      <c r="H690" s="13"/>
      <c r="I690" s="13"/>
      <c r="J690" s="13"/>
      <c r="K690" s="13"/>
      <c r="L690" s="13"/>
    </row>
    <row r="691" spans="1:12" ht="15.75" customHeight="1" x14ac:dyDescent="0.25">
      <c r="A691" s="13"/>
      <c r="B691" s="13"/>
      <c r="C691" s="13"/>
      <c r="D691" s="13"/>
      <c r="E691" s="13"/>
      <c r="F691" s="13"/>
      <c r="G691" s="13"/>
      <c r="H691" s="13"/>
      <c r="I691" s="13"/>
      <c r="J691" s="13"/>
      <c r="K691" s="13"/>
      <c r="L691" s="13"/>
    </row>
    <row r="692" spans="1:12" ht="15.75" customHeight="1" x14ac:dyDescent="0.25">
      <c r="A692" s="13"/>
      <c r="B692" s="13"/>
      <c r="C692" s="13"/>
      <c r="D692" s="13"/>
      <c r="E692" s="13"/>
      <c r="F692" s="13"/>
      <c r="G692" s="13"/>
      <c r="H692" s="13"/>
      <c r="I692" s="13"/>
      <c r="J692" s="13"/>
      <c r="K692" s="13"/>
      <c r="L692" s="13"/>
    </row>
    <row r="693" spans="1:12" ht="15.75" customHeight="1" x14ac:dyDescent="0.25">
      <c r="A693" s="13"/>
      <c r="B693" s="13"/>
      <c r="C693" s="13"/>
      <c r="D693" s="13"/>
      <c r="E693" s="13"/>
      <c r="F693" s="13"/>
      <c r="G693" s="13"/>
      <c r="H693" s="13"/>
      <c r="I693" s="13"/>
      <c r="J693" s="13"/>
      <c r="K693" s="13"/>
      <c r="L693" s="13"/>
    </row>
    <row r="694" spans="1:12" ht="15.75" customHeight="1" x14ac:dyDescent="0.25">
      <c r="A694" s="13"/>
      <c r="B694" s="13"/>
      <c r="C694" s="13"/>
      <c r="D694" s="13"/>
      <c r="E694" s="13"/>
      <c r="F694" s="13"/>
      <c r="G694" s="13"/>
      <c r="H694" s="13"/>
      <c r="I694" s="13"/>
      <c r="J694" s="13"/>
      <c r="K694" s="13"/>
      <c r="L694" s="13"/>
    </row>
    <row r="695" spans="1:12" ht="15.75" customHeight="1" x14ac:dyDescent="0.25">
      <c r="A695" s="13"/>
      <c r="B695" s="13"/>
      <c r="C695" s="13"/>
      <c r="D695" s="13"/>
      <c r="E695" s="13"/>
      <c r="F695" s="13"/>
      <c r="G695" s="13"/>
      <c r="H695" s="13"/>
      <c r="I695" s="13"/>
      <c r="J695" s="13"/>
      <c r="K695" s="13"/>
      <c r="L695" s="13"/>
    </row>
    <row r="696" spans="1:12" ht="15.75" customHeight="1" x14ac:dyDescent="0.25">
      <c r="A696" s="13"/>
      <c r="B696" s="13"/>
      <c r="C696" s="13"/>
      <c r="D696" s="13"/>
      <c r="E696" s="13"/>
      <c r="F696" s="13"/>
      <c r="G696" s="13"/>
      <c r="H696" s="13"/>
      <c r="I696" s="13"/>
      <c r="J696" s="13"/>
      <c r="K696" s="13"/>
      <c r="L696" s="13"/>
    </row>
    <row r="697" spans="1:12" ht="15.75" customHeight="1" x14ac:dyDescent="0.25">
      <c r="A697" s="13"/>
      <c r="B697" s="13"/>
      <c r="C697" s="13"/>
      <c r="D697" s="13"/>
      <c r="E697" s="13"/>
      <c r="F697" s="13"/>
      <c r="G697" s="13"/>
      <c r="H697" s="13"/>
      <c r="I697" s="13"/>
      <c r="J697" s="13"/>
      <c r="K697" s="13"/>
      <c r="L697" s="13"/>
    </row>
    <row r="698" spans="1:12" ht="15.75" customHeight="1" x14ac:dyDescent="0.25">
      <c r="A698" s="13"/>
      <c r="B698" s="13"/>
      <c r="C698" s="13"/>
      <c r="D698" s="13"/>
      <c r="E698" s="13"/>
      <c r="F698" s="13"/>
      <c r="G698" s="13"/>
      <c r="H698" s="13"/>
      <c r="I698" s="13"/>
      <c r="J698" s="13"/>
      <c r="K698" s="13"/>
      <c r="L698" s="13"/>
    </row>
    <row r="699" spans="1:12" ht="15.75" customHeight="1" x14ac:dyDescent="0.25">
      <c r="A699" s="13"/>
      <c r="B699" s="13"/>
      <c r="C699" s="13"/>
      <c r="D699" s="13"/>
      <c r="E699" s="13"/>
      <c r="F699" s="13"/>
      <c r="G699" s="13"/>
      <c r="H699" s="13"/>
      <c r="I699" s="13"/>
      <c r="J699" s="13"/>
      <c r="K699" s="13"/>
      <c r="L699" s="13"/>
    </row>
    <row r="700" spans="1:12" ht="15.75" customHeight="1" x14ac:dyDescent="0.25">
      <c r="A700" s="13"/>
      <c r="B700" s="13"/>
      <c r="C700" s="13"/>
      <c r="D700" s="13"/>
      <c r="E700" s="13"/>
      <c r="F700" s="13"/>
      <c r="G700" s="13"/>
      <c r="H700" s="13"/>
      <c r="I700" s="13"/>
      <c r="J700" s="13"/>
      <c r="K700" s="13"/>
      <c r="L700" s="13"/>
    </row>
    <row r="701" spans="1:12" ht="15.75" customHeight="1" x14ac:dyDescent="0.25">
      <c r="A701" s="13"/>
      <c r="B701" s="13"/>
      <c r="C701" s="13"/>
      <c r="D701" s="13"/>
      <c r="E701" s="13"/>
      <c r="F701" s="13"/>
      <c r="G701" s="13"/>
      <c r="H701" s="13"/>
      <c r="I701" s="13"/>
      <c r="J701" s="13"/>
      <c r="K701" s="13"/>
      <c r="L701" s="13"/>
    </row>
    <row r="702" spans="1:12" ht="15.75" customHeight="1" x14ac:dyDescent="0.25">
      <c r="A702" s="13"/>
      <c r="B702" s="13"/>
      <c r="C702" s="13"/>
      <c r="D702" s="13"/>
      <c r="E702" s="13"/>
      <c r="F702" s="13"/>
      <c r="G702" s="13"/>
      <c r="H702" s="13"/>
      <c r="I702" s="13"/>
      <c r="J702" s="13"/>
      <c r="K702" s="13"/>
      <c r="L702" s="13"/>
    </row>
    <row r="703" spans="1:12" ht="15.75" customHeight="1" x14ac:dyDescent="0.25">
      <c r="A703" s="13"/>
      <c r="B703" s="13"/>
      <c r="C703" s="13"/>
      <c r="D703" s="13"/>
      <c r="E703" s="13"/>
      <c r="F703" s="13"/>
      <c r="G703" s="13"/>
      <c r="H703" s="13"/>
      <c r="I703" s="13"/>
      <c r="J703" s="13"/>
      <c r="K703" s="13"/>
      <c r="L703" s="13"/>
    </row>
    <row r="704" spans="1:12" ht="15.75" customHeight="1" x14ac:dyDescent="0.25">
      <c r="A704" s="13"/>
      <c r="B704" s="13"/>
      <c r="C704" s="13"/>
      <c r="D704" s="13"/>
      <c r="E704" s="13"/>
      <c r="F704" s="13"/>
      <c r="G704" s="13"/>
      <c r="H704" s="13"/>
      <c r="I704" s="13"/>
      <c r="J704" s="13"/>
      <c r="K704" s="13"/>
      <c r="L704" s="13"/>
    </row>
    <row r="705" spans="1:12" ht="15.75" customHeight="1" x14ac:dyDescent="0.25">
      <c r="A705" s="13"/>
      <c r="B705" s="13"/>
      <c r="C705" s="13"/>
      <c r="D705" s="13"/>
      <c r="E705" s="13"/>
      <c r="F705" s="13"/>
      <c r="G705" s="13"/>
      <c r="H705" s="13"/>
      <c r="I705" s="13"/>
      <c r="J705" s="13"/>
      <c r="K705" s="13"/>
      <c r="L705" s="13"/>
    </row>
    <row r="706" spans="1:12" ht="15.75" customHeight="1" x14ac:dyDescent="0.25">
      <c r="A706" s="13"/>
      <c r="B706" s="13"/>
      <c r="C706" s="13"/>
      <c r="D706" s="13"/>
      <c r="E706" s="13"/>
      <c r="F706" s="13"/>
      <c r="G706" s="13"/>
      <c r="H706" s="13"/>
      <c r="I706" s="13"/>
      <c r="J706" s="13"/>
      <c r="K706" s="13"/>
      <c r="L706" s="13"/>
    </row>
    <row r="707" spans="1:12" ht="15.75" customHeight="1" x14ac:dyDescent="0.25">
      <c r="A707" s="13"/>
      <c r="B707" s="13"/>
      <c r="C707" s="13"/>
      <c r="D707" s="13"/>
      <c r="E707" s="13"/>
      <c r="F707" s="13"/>
      <c r="G707" s="13"/>
      <c r="H707" s="13"/>
      <c r="I707" s="13"/>
      <c r="J707" s="13"/>
      <c r="K707" s="13"/>
      <c r="L707" s="13"/>
    </row>
    <row r="708" spans="1:12" ht="15.75" customHeight="1" x14ac:dyDescent="0.25">
      <c r="A708" s="13"/>
      <c r="B708" s="13"/>
      <c r="C708" s="13"/>
      <c r="D708" s="13"/>
      <c r="E708" s="13"/>
      <c r="F708" s="13"/>
      <c r="G708" s="13"/>
      <c r="H708" s="13"/>
      <c r="I708" s="13"/>
      <c r="J708" s="13"/>
      <c r="K708" s="13"/>
      <c r="L708" s="13"/>
    </row>
    <row r="709" spans="1:12" ht="15.75" customHeight="1" x14ac:dyDescent="0.25">
      <c r="A709" s="13"/>
      <c r="B709" s="13"/>
      <c r="C709" s="13"/>
      <c r="D709" s="13"/>
      <c r="E709" s="13"/>
      <c r="F709" s="13"/>
      <c r="G709" s="13"/>
      <c r="H709" s="13"/>
      <c r="I709" s="13"/>
      <c r="J709" s="13"/>
      <c r="K709" s="13"/>
      <c r="L709" s="13"/>
    </row>
    <row r="710" spans="1:12" ht="15.75" customHeight="1" x14ac:dyDescent="0.25">
      <c r="A710" s="13"/>
      <c r="B710" s="13"/>
      <c r="C710" s="13"/>
      <c r="D710" s="13"/>
      <c r="E710" s="13"/>
      <c r="F710" s="13"/>
      <c r="G710" s="13"/>
      <c r="H710" s="13"/>
      <c r="I710" s="13"/>
      <c r="J710" s="13"/>
      <c r="K710" s="13"/>
      <c r="L710" s="13"/>
    </row>
    <row r="711" spans="1:12" ht="15.75" customHeight="1" x14ac:dyDescent="0.25">
      <c r="A711" s="13"/>
      <c r="B711" s="13"/>
      <c r="C711" s="13"/>
      <c r="D711" s="13"/>
      <c r="E711" s="13"/>
      <c r="F711" s="13"/>
      <c r="G711" s="13"/>
      <c r="H711" s="13"/>
      <c r="I711" s="13"/>
      <c r="J711" s="13"/>
      <c r="K711" s="13"/>
      <c r="L711" s="13"/>
    </row>
    <row r="712" spans="1:12" ht="15.75" customHeight="1" x14ac:dyDescent="0.25">
      <c r="A712" s="13"/>
      <c r="B712" s="13"/>
      <c r="C712" s="13"/>
      <c r="D712" s="13"/>
      <c r="E712" s="13"/>
      <c r="F712" s="13"/>
      <c r="G712" s="13"/>
      <c r="H712" s="13"/>
      <c r="I712" s="13"/>
      <c r="J712" s="13"/>
      <c r="K712" s="13"/>
      <c r="L712" s="13"/>
    </row>
    <row r="713" spans="1:12" ht="15.75" customHeight="1" x14ac:dyDescent="0.25">
      <c r="A713" s="13"/>
      <c r="B713" s="13"/>
      <c r="C713" s="13"/>
      <c r="D713" s="13"/>
      <c r="E713" s="13"/>
      <c r="F713" s="13"/>
      <c r="G713" s="13"/>
      <c r="H713" s="13"/>
      <c r="I713" s="13"/>
      <c r="J713" s="13"/>
      <c r="K713" s="13"/>
      <c r="L713" s="13"/>
    </row>
    <row r="714" spans="1:12" ht="15.75" customHeight="1" x14ac:dyDescent="0.25">
      <c r="A714" s="13"/>
      <c r="B714" s="13"/>
      <c r="C714" s="13"/>
      <c r="D714" s="13"/>
      <c r="E714" s="13"/>
      <c r="F714" s="13"/>
      <c r="G714" s="13"/>
      <c r="H714" s="13"/>
      <c r="I714" s="13"/>
      <c r="J714" s="13"/>
      <c r="K714" s="13"/>
      <c r="L714" s="13"/>
    </row>
    <row r="715" spans="1:12" ht="15.75" customHeight="1" x14ac:dyDescent="0.25">
      <c r="A715" s="13"/>
      <c r="B715" s="13"/>
      <c r="C715" s="13"/>
      <c r="D715" s="13"/>
      <c r="E715" s="13"/>
      <c r="F715" s="13"/>
      <c r="G715" s="13"/>
      <c r="H715" s="13"/>
      <c r="I715" s="13"/>
      <c r="J715" s="13"/>
      <c r="K715" s="13"/>
      <c r="L715" s="13"/>
    </row>
    <row r="716" spans="1:12" ht="15.75" customHeight="1" x14ac:dyDescent="0.25">
      <c r="A716" s="13"/>
      <c r="B716" s="13"/>
      <c r="C716" s="13"/>
      <c r="D716" s="13"/>
      <c r="E716" s="13"/>
      <c r="F716" s="13"/>
      <c r="G716" s="13"/>
      <c r="H716" s="13"/>
      <c r="I716" s="13"/>
      <c r="J716" s="13"/>
      <c r="K716" s="13"/>
      <c r="L716" s="13"/>
    </row>
    <row r="717" spans="1:12" ht="15.75" customHeight="1" x14ac:dyDescent="0.25">
      <c r="A717" s="13"/>
      <c r="B717" s="13"/>
      <c r="C717" s="13"/>
      <c r="D717" s="13"/>
      <c r="E717" s="13"/>
      <c r="F717" s="13"/>
      <c r="G717" s="13"/>
      <c r="H717" s="13"/>
      <c r="I717" s="13"/>
      <c r="J717" s="13"/>
      <c r="K717" s="13"/>
      <c r="L717" s="13"/>
    </row>
    <row r="718" spans="1:12" ht="15.75" customHeight="1" x14ac:dyDescent="0.25">
      <c r="A718" s="13"/>
      <c r="B718" s="13"/>
      <c r="C718" s="13"/>
      <c r="D718" s="13"/>
      <c r="E718" s="13"/>
      <c r="F718" s="13"/>
      <c r="G718" s="13"/>
      <c r="H718" s="13"/>
      <c r="I718" s="13"/>
      <c r="J718" s="13"/>
      <c r="K718" s="13"/>
      <c r="L718" s="13"/>
    </row>
    <row r="719" spans="1:12" ht="15.75" customHeight="1" x14ac:dyDescent="0.25">
      <c r="A719" s="13"/>
      <c r="B719" s="13"/>
      <c r="C719" s="13"/>
      <c r="D719" s="13"/>
      <c r="E719" s="13"/>
      <c r="F719" s="13"/>
      <c r="G719" s="13"/>
      <c r="H719" s="13"/>
      <c r="I719" s="13"/>
      <c r="J719" s="13"/>
      <c r="K719" s="13"/>
      <c r="L719" s="13"/>
    </row>
    <row r="720" spans="1:12" ht="15.75" customHeight="1" x14ac:dyDescent="0.25">
      <c r="A720" s="13"/>
      <c r="B720" s="13"/>
      <c r="C720" s="13"/>
      <c r="D720" s="13"/>
      <c r="E720" s="13"/>
      <c r="F720" s="13"/>
      <c r="G720" s="13"/>
      <c r="H720" s="13"/>
      <c r="I720" s="13"/>
      <c r="J720" s="13"/>
      <c r="K720" s="13"/>
      <c r="L720" s="13"/>
    </row>
    <row r="721" spans="1:12" ht="15.75" customHeight="1" x14ac:dyDescent="0.25">
      <c r="A721" s="13"/>
      <c r="B721" s="13"/>
      <c r="C721" s="13"/>
      <c r="D721" s="13"/>
      <c r="E721" s="13"/>
      <c r="F721" s="13"/>
      <c r="G721" s="13"/>
      <c r="H721" s="13"/>
      <c r="I721" s="13"/>
      <c r="J721" s="13"/>
      <c r="K721" s="13"/>
      <c r="L721" s="13"/>
    </row>
    <row r="722" spans="1:12" ht="15.75" customHeight="1" x14ac:dyDescent="0.25">
      <c r="A722" s="13"/>
      <c r="B722" s="13"/>
      <c r="C722" s="13"/>
      <c r="D722" s="13"/>
      <c r="E722" s="13"/>
      <c r="F722" s="13"/>
      <c r="G722" s="13"/>
      <c r="H722" s="13"/>
      <c r="I722" s="13"/>
      <c r="J722" s="13"/>
      <c r="K722" s="13"/>
      <c r="L722" s="13"/>
    </row>
    <row r="723" spans="1:12" ht="15.75" customHeight="1" x14ac:dyDescent="0.25">
      <c r="A723" s="13"/>
      <c r="B723" s="13"/>
      <c r="C723" s="13"/>
      <c r="D723" s="13"/>
      <c r="E723" s="13"/>
      <c r="F723" s="13"/>
      <c r="G723" s="13"/>
      <c r="H723" s="13"/>
      <c r="I723" s="13"/>
      <c r="J723" s="13"/>
      <c r="K723" s="13"/>
      <c r="L723" s="13"/>
    </row>
    <row r="724" spans="1:12" ht="15.75" customHeight="1" x14ac:dyDescent="0.25">
      <c r="A724" s="13"/>
      <c r="B724" s="13"/>
      <c r="C724" s="13"/>
      <c r="D724" s="13"/>
      <c r="E724" s="13"/>
      <c r="F724" s="13"/>
      <c r="G724" s="13"/>
      <c r="H724" s="13"/>
      <c r="I724" s="13"/>
      <c r="J724" s="13"/>
      <c r="K724" s="13"/>
      <c r="L724" s="13"/>
    </row>
    <row r="725" spans="1:12" ht="15.75" customHeight="1" x14ac:dyDescent="0.25">
      <c r="A725" s="13"/>
      <c r="B725" s="13"/>
      <c r="C725" s="13"/>
      <c r="D725" s="13"/>
      <c r="E725" s="13"/>
      <c r="F725" s="13"/>
      <c r="G725" s="13"/>
      <c r="H725" s="13"/>
      <c r="I725" s="13"/>
      <c r="J725" s="13"/>
      <c r="K725" s="13"/>
      <c r="L725" s="13"/>
    </row>
    <row r="726" spans="1:12" ht="15.75" customHeight="1" x14ac:dyDescent="0.25">
      <c r="A726" s="13"/>
      <c r="B726" s="13"/>
      <c r="C726" s="13"/>
      <c r="D726" s="13"/>
      <c r="E726" s="13"/>
      <c r="F726" s="13"/>
      <c r="G726" s="13"/>
      <c r="H726" s="13"/>
      <c r="I726" s="13"/>
      <c r="J726" s="13"/>
      <c r="K726" s="13"/>
      <c r="L726" s="13"/>
    </row>
    <row r="727" spans="1:12" ht="15.75" customHeight="1" x14ac:dyDescent="0.25">
      <c r="A727" s="13"/>
      <c r="B727" s="13"/>
      <c r="C727" s="13"/>
      <c r="D727" s="13"/>
      <c r="E727" s="13"/>
      <c r="F727" s="13"/>
      <c r="G727" s="13"/>
      <c r="H727" s="13"/>
      <c r="I727" s="13"/>
      <c r="J727" s="13"/>
      <c r="K727" s="13"/>
      <c r="L727" s="13"/>
    </row>
    <row r="728" spans="1:12" ht="15.75" customHeight="1" x14ac:dyDescent="0.25">
      <c r="A728" s="13"/>
      <c r="B728" s="13"/>
      <c r="C728" s="13"/>
      <c r="D728" s="13"/>
      <c r="E728" s="13"/>
      <c r="F728" s="13"/>
      <c r="G728" s="13"/>
      <c r="H728" s="13"/>
      <c r="I728" s="13"/>
      <c r="J728" s="13"/>
      <c r="K728" s="13"/>
      <c r="L728" s="13"/>
    </row>
    <row r="729" spans="1:12" ht="15.75" customHeight="1" x14ac:dyDescent="0.25">
      <c r="A729" s="13"/>
      <c r="B729" s="13"/>
      <c r="C729" s="13"/>
      <c r="D729" s="13"/>
      <c r="E729" s="13"/>
      <c r="F729" s="13"/>
      <c r="G729" s="13"/>
      <c r="H729" s="13"/>
      <c r="I729" s="13"/>
      <c r="J729" s="13"/>
      <c r="K729" s="13"/>
      <c r="L729" s="13"/>
    </row>
    <row r="730" spans="1:12" ht="15.75" customHeight="1" x14ac:dyDescent="0.25">
      <c r="A730" s="13"/>
      <c r="B730" s="13"/>
      <c r="C730" s="13"/>
      <c r="D730" s="13"/>
      <c r="E730" s="13"/>
      <c r="F730" s="13"/>
      <c r="G730" s="13"/>
      <c r="H730" s="13"/>
      <c r="I730" s="13"/>
      <c r="J730" s="13"/>
      <c r="K730" s="13"/>
      <c r="L730" s="13"/>
    </row>
    <row r="731" spans="1:12" ht="15.75" customHeight="1" x14ac:dyDescent="0.25">
      <c r="A731" s="13"/>
      <c r="B731" s="13"/>
      <c r="C731" s="13"/>
      <c r="D731" s="13"/>
      <c r="E731" s="13"/>
      <c r="F731" s="13"/>
      <c r="G731" s="13"/>
      <c r="H731" s="13"/>
      <c r="I731" s="13"/>
      <c r="J731" s="13"/>
      <c r="K731" s="13"/>
      <c r="L731" s="13"/>
    </row>
    <row r="732" spans="1:12" ht="15.75" customHeight="1" x14ac:dyDescent="0.25">
      <c r="A732" s="13"/>
      <c r="B732" s="13"/>
      <c r="C732" s="13"/>
      <c r="D732" s="13"/>
      <c r="E732" s="13"/>
      <c r="F732" s="13"/>
      <c r="G732" s="13"/>
      <c r="H732" s="13"/>
      <c r="I732" s="13"/>
      <c r="J732" s="13"/>
      <c r="K732" s="13"/>
      <c r="L732" s="13"/>
    </row>
    <row r="733" spans="1:12" ht="15.75" customHeight="1" x14ac:dyDescent="0.25">
      <c r="A733" s="13"/>
      <c r="B733" s="13"/>
      <c r="C733" s="13"/>
      <c r="D733" s="13"/>
      <c r="E733" s="13"/>
      <c r="F733" s="13"/>
      <c r="G733" s="13"/>
      <c r="H733" s="13"/>
      <c r="I733" s="13"/>
      <c r="J733" s="13"/>
      <c r="K733" s="13"/>
      <c r="L733" s="13"/>
    </row>
    <row r="734" spans="1:12" ht="15.75" customHeight="1" x14ac:dyDescent="0.25">
      <c r="A734" s="13"/>
      <c r="B734" s="13"/>
      <c r="C734" s="13"/>
      <c r="D734" s="13"/>
      <c r="E734" s="13"/>
      <c r="F734" s="13"/>
      <c r="G734" s="13"/>
      <c r="H734" s="13"/>
      <c r="I734" s="13"/>
      <c r="J734" s="13"/>
      <c r="K734" s="13"/>
      <c r="L734" s="13"/>
    </row>
    <row r="735" spans="1:12" ht="15.75" customHeight="1" x14ac:dyDescent="0.25">
      <c r="A735" s="13"/>
      <c r="B735" s="13"/>
      <c r="C735" s="13"/>
      <c r="D735" s="13"/>
      <c r="E735" s="13"/>
      <c r="F735" s="13"/>
      <c r="G735" s="13"/>
      <c r="H735" s="13"/>
      <c r="I735" s="13"/>
      <c r="J735" s="13"/>
      <c r="K735" s="13"/>
      <c r="L735" s="13"/>
    </row>
    <row r="736" spans="1:12" ht="15.75" customHeight="1" x14ac:dyDescent="0.25">
      <c r="A736" s="13"/>
      <c r="B736" s="13"/>
      <c r="C736" s="13"/>
      <c r="D736" s="13"/>
      <c r="E736" s="13"/>
      <c r="F736" s="13"/>
      <c r="G736" s="13"/>
      <c r="H736" s="13"/>
      <c r="I736" s="13"/>
      <c r="J736" s="13"/>
      <c r="K736" s="13"/>
      <c r="L736" s="13"/>
    </row>
    <row r="737" spans="1:12" ht="15.75" customHeight="1" x14ac:dyDescent="0.25">
      <c r="A737" s="13"/>
      <c r="B737" s="13"/>
      <c r="C737" s="13"/>
      <c r="D737" s="13"/>
      <c r="E737" s="13"/>
      <c r="F737" s="13"/>
      <c r="G737" s="13"/>
      <c r="H737" s="13"/>
      <c r="I737" s="13"/>
      <c r="J737" s="13"/>
      <c r="K737" s="13"/>
      <c r="L737" s="13"/>
    </row>
    <row r="738" spans="1:12" ht="15.75" customHeight="1" x14ac:dyDescent="0.25">
      <c r="A738" s="13"/>
      <c r="B738" s="13"/>
      <c r="C738" s="13"/>
      <c r="D738" s="13"/>
      <c r="E738" s="13"/>
      <c r="F738" s="13"/>
      <c r="G738" s="13"/>
      <c r="H738" s="13"/>
      <c r="I738" s="13"/>
      <c r="J738" s="13"/>
      <c r="K738" s="13"/>
      <c r="L738" s="13"/>
    </row>
    <row r="739" spans="1:12" ht="15.75" customHeight="1" x14ac:dyDescent="0.25">
      <c r="A739" s="13"/>
      <c r="B739" s="13"/>
      <c r="C739" s="13"/>
      <c r="D739" s="13"/>
      <c r="E739" s="13"/>
      <c r="F739" s="13"/>
      <c r="G739" s="13"/>
      <c r="H739" s="13"/>
      <c r="I739" s="13"/>
      <c r="J739" s="13"/>
      <c r="K739" s="13"/>
      <c r="L739" s="13"/>
    </row>
    <row r="740" spans="1:12" ht="15.75" customHeight="1" x14ac:dyDescent="0.25">
      <c r="A740" s="13"/>
      <c r="B740" s="13"/>
      <c r="C740" s="13"/>
      <c r="D740" s="13"/>
      <c r="E740" s="13"/>
      <c r="F740" s="13"/>
      <c r="G740" s="13"/>
      <c r="H740" s="13"/>
      <c r="I740" s="13"/>
      <c r="J740" s="13"/>
      <c r="K740" s="13"/>
      <c r="L740" s="13"/>
    </row>
    <row r="741" spans="1:12" ht="15.75" customHeight="1" x14ac:dyDescent="0.25">
      <c r="A741" s="13"/>
      <c r="B741" s="13"/>
      <c r="C741" s="13"/>
      <c r="D741" s="13"/>
      <c r="E741" s="13"/>
      <c r="F741" s="13"/>
      <c r="G741" s="13"/>
      <c r="H741" s="13"/>
      <c r="I741" s="13"/>
      <c r="J741" s="13"/>
      <c r="K741" s="13"/>
      <c r="L741" s="13"/>
    </row>
    <row r="742" spans="1:12" ht="15.75" customHeight="1" x14ac:dyDescent="0.25">
      <c r="A742" s="13"/>
      <c r="B742" s="13"/>
      <c r="C742" s="13"/>
      <c r="D742" s="13"/>
      <c r="E742" s="13"/>
      <c r="F742" s="13"/>
      <c r="G742" s="13"/>
      <c r="H742" s="13"/>
      <c r="I742" s="13"/>
      <c r="J742" s="13"/>
      <c r="K742" s="13"/>
      <c r="L742" s="13"/>
    </row>
    <row r="743" spans="1:12" ht="15.75" customHeight="1" x14ac:dyDescent="0.25">
      <c r="A743" s="13"/>
      <c r="B743" s="13"/>
      <c r="C743" s="13"/>
      <c r="D743" s="13"/>
      <c r="E743" s="13"/>
      <c r="F743" s="13"/>
      <c r="G743" s="13"/>
      <c r="H743" s="13"/>
      <c r="I743" s="13"/>
      <c r="J743" s="13"/>
      <c r="K743" s="13"/>
      <c r="L743" s="13"/>
    </row>
    <row r="744" spans="1:12" ht="15.75" customHeight="1" x14ac:dyDescent="0.25">
      <c r="A744" s="13"/>
      <c r="B744" s="13"/>
      <c r="C744" s="13"/>
      <c r="D744" s="13"/>
      <c r="E744" s="13"/>
      <c r="F744" s="13"/>
      <c r="G744" s="13"/>
      <c r="H744" s="13"/>
      <c r="I744" s="13"/>
      <c r="J744" s="13"/>
      <c r="K744" s="13"/>
      <c r="L744" s="13"/>
    </row>
    <row r="745" spans="1:12" ht="15.75" customHeight="1" x14ac:dyDescent="0.25">
      <c r="A745" s="13"/>
      <c r="B745" s="13"/>
      <c r="C745" s="13"/>
      <c r="D745" s="13"/>
      <c r="E745" s="13"/>
      <c r="F745" s="13"/>
      <c r="G745" s="13"/>
      <c r="H745" s="13"/>
      <c r="I745" s="13"/>
      <c r="J745" s="13"/>
      <c r="K745" s="13"/>
      <c r="L745" s="13"/>
    </row>
    <row r="746" spans="1:12" ht="15.75" customHeight="1" x14ac:dyDescent="0.25">
      <c r="A746" s="13"/>
      <c r="B746" s="13"/>
      <c r="C746" s="13"/>
      <c r="D746" s="13"/>
      <c r="E746" s="13"/>
      <c r="F746" s="13"/>
      <c r="G746" s="13"/>
      <c r="H746" s="13"/>
      <c r="I746" s="13"/>
      <c r="J746" s="13"/>
      <c r="K746" s="13"/>
      <c r="L746" s="13"/>
    </row>
    <row r="747" spans="1:12" ht="15.75" customHeight="1" x14ac:dyDescent="0.25">
      <c r="A747" s="13"/>
      <c r="B747" s="13"/>
      <c r="C747" s="13"/>
      <c r="D747" s="13"/>
      <c r="E747" s="13"/>
      <c r="F747" s="13"/>
      <c r="G747" s="13"/>
      <c r="H747" s="13"/>
      <c r="I747" s="13"/>
      <c r="J747" s="13"/>
      <c r="K747" s="13"/>
      <c r="L747" s="13"/>
    </row>
    <row r="748" spans="1:12" ht="15.75" customHeight="1" x14ac:dyDescent="0.25">
      <c r="A748" s="13"/>
      <c r="B748" s="13"/>
      <c r="C748" s="13"/>
      <c r="D748" s="13"/>
      <c r="E748" s="13"/>
      <c r="F748" s="13"/>
      <c r="G748" s="13"/>
      <c r="H748" s="13"/>
      <c r="I748" s="13"/>
      <c r="J748" s="13"/>
      <c r="K748" s="13"/>
      <c r="L748" s="13"/>
    </row>
    <row r="749" spans="1:12" ht="15.75" customHeight="1" x14ac:dyDescent="0.25">
      <c r="A749" s="13"/>
      <c r="B749" s="13"/>
      <c r="C749" s="13"/>
      <c r="D749" s="13"/>
      <c r="E749" s="13"/>
      <c r="F749" s="13"/>
      <c r="G749" s="13"/>
      <c r="H749" s="13"/>
      <c r="I749" s="13"/>
      <c r="J749" s="13"/>
      <c r="K749" s="13"/>
      <c r="L749" s="13"/>
    </row>
    <row r="750" spans="1:12" ht="15.75" customHeight="1" x14ac:dyDescent="0.25">
      <c r="A750" s="13"/>
      <c r="B750" s="13"/>
      <c r="C750" s="13"/>
      <c r="D750" s="13"/>
      <c r="E750" s="13"/>
      <c r="F750" s="13"/>
      <c r="G750" s="13"/>
      <c r="H750" s="13"/>
      <c r="I750" s="13"/>
      <c r="J750" s="13"/>
      <c r="K750" s="13"/>
      <c r="L750" s="13"/>
    </row>
    <row r="751" spans="1:12" ht="15.75" customHeight="1" x14ac:dyDescent="0.25">
      <c r="A751" s="13"/>
      <c r="B751" s="13"/>
      <c r="C751" s="13"/>
      <c r="D751" s="13"/>
      <c r="E751" s="13"/>
      <c r="F751" s="13"/>
      <c r="G751" s="13"/>
      <c r="H751" s="13"/>
      <c r="I751" s="13"/>
      <c r="J751" s="13"/>
      <c r="K751" s="13"/>
      <c r="L751" s="13"/>
    </row>
    <row r="752" spans="1:12" ht="15.75" customHeight="1" x14ac:dyDescent="0.25">
      <c r="A752" s="13"/>
      <c r="B752" s="13"/>
      <c r="C752" s="13"/>
      <c r="D752" s="13"/>
      <c r="E752" s="13"/>
      <c r="F752" s="13"/>
      <c r="G752" s="13"/>
      <c r="H752" s="13"/>
      <c r="I752" s="13"/>
      <c r="J752" s="13"/>
      <c r="K752" s="13"/>
      <c r="L752" s="13"/>
    </row>
    <row r="753" spans="1:12" ht="15.75" customHeight="1" x14ac:dyDescent="0.25">
      <c r="A753" s="13"/>
      <c r="B753" s="13"/>
      <c r="C753" s="13"/>
      <c r="D753" s="13"/>
      <c r="E753" s="13"/>
      <c r="F753" s="13"/>
      <c r="G753" s="13"/>
      <c r="H753" s="13"/>
      <c r="I753" s="13"/>
      <c r="J753" s="13"/>
      <c r="K753" s="13"/>
      <c r="L753" s="13"/>
    </row>
    <row r="754" spans="1:12" ht="15.75" customHeight="1" x14ac:dyDescent="0.25">
      <c r="A754" s="13"/>
      <c r="B754" s="13"/>
      <c r="C754" s="13"/>
      <c r="D754" s="13"/>
      <c r="E754" s="13"/>
      <c r="F754" s="13"/>
      <c r="G754" s="13"/>
      <c r="H754" s="13"/>
      <c r="I754" s="13"/>
      <c r="J754" s="13"/>
      <c r="K754" s="13"/>
      <c r="L754" s="13"/>
    </row>
    <row r="755" spans="1:12" ht="15.75" customHeight="1" x14ac:dyDescent="0.25">
      <c r="A755" s="13"/>
      <c r="B755" s="13"/>
      <c r="C755" s="13"/>
      <c r="D755" s="13"/>
      <c r="E755" s="13"/>
      <c r="F755" s="13"/>
      <c r="G755" s="13"/>
      <c r="H755" s="13"/>
      <c r="I755" s="13"/>
      <c r="J755" s="13"/>
      <c r="K755" s="13"/>
      <c r="L755" s="13"/>
    </row>
    <row r="756" spans="1:12" ht="15.75" customHeight="1" x14ac:dyDescent="0.25">
      <c r="A756" s="13"/>
      <c r="B756" s="13"/>
      <c r="C756" s="13"/>
      <c r="D756" s="13"/>
      <c r="E756" s="13"/>
      <c r="F756" s="13"/>
      <c r="G756" s="13"/>
      <c r="H756" s="13"/>
      <c r="I756" s="13"/>
      <c r="J756" s="13"/>
      <c r="K756" s="13"/>
      <c r="L756" s="13"/>
    </row>
    <row r="757" spans="1:12" ht="15.75" customHeight="1" x14ac:dyDescent="0.25">
      <c r="A757" s="13"/>
      <c r="B757" s="13"/>
      <c r="C757" s="13"/>
      <c r="D757" s="13"/>
      <c r="E757" s="13"/>
      <c r="F757" s="13"/>
      <c r="G757" s="13"/>
      <c r="H757" s="13"/>
      <c r="I757" s="13"/>
      <c r="J757" s="13"/>
      <c r="K757" s="13"/>
      <c r="L757" s="13"/>
    </row>
    <row r="758" spans="1:12" ht="15.75" customHeight="1" x14ac:dyDescent="0.25">
      <c r="A758" s="13"/>
      <c r="B758" s="13"/>
      <c r="C758" s="13"/>
      <c r="D758" s="13"/>
      <c r="E758" s="13"/>
      <c r="F758" s="13"/>
      <c r="G758" s="13"/>
      <c r="H758" s="13"/>
      <c r="I758" s="13"/>
      <c r="J758" s="13"/>
      <c r="K758" s="13"/>
      <c r="L758" s="13"/>
    </row>
    <row r="759" spans="1:12" ht="15.75" customHeight="1" x14ac:dyDescent="0.25">
      <c r="A759" s="13"/>
      <c r="B759" s="13"/>
      <c r="C759" s="13"/>
      <c r="D759" s="13"/>
      <c r="E759" s="13"/>
      <c r="F759" s="13"/>
      <c r="G759" s="13"/>
      <c r="H759" s="13"/>
      <c r="I759" s="13"/>
      <c r="J759" s="13"/>
      <c r="K759" s="13"/>
      <c r="L759" s="13"/>
    </row>
    <row r="760" spans="1:12" ht="15.75" customHeight="1" x14ac:dyDescent="0.25">
      <c r="A760" s="13"/>
      <c r="B760" s="13"/>
      <c r="C760" s="13"/>
      <c r="D760" s="13"/>
      <c r="E760" s="13"/>
      <c r="F760" s="13"/>
      <c r="G760" s="13"/>
      <c r="H760" s="13"/>
      <c r="I760" s="13"/>
      <c r="J760" s="13"/>
      <c r="K760" s="13"/>
      <c r="L760" s="13"/>
    </row>
    <row r="761" spans="1:12" ht="15.75" customHeight="1" x14ac:dyDescent="0.25">
      <c r="A761" s="13"/>
      <c r="B761" s="13"/>
      <c r="C761" s="13"/>
      <c r="D761" s="13"/>
      <c r="E761" s="13"/>
      <c r="F761" s="13"/>
      <c r="G761" s="13"/>
      <c r="H761" s="13"/>
      <c r="I761" s="13"/>
      <c r="J761" s="13"/>
      <c r="K761" s="13"/>
      <c r="L761" s="13"/>
    </row>
    <row r="762" spans="1:12" ht="15.75" customHeight="1" x14ac:dyDescent="0.25">
      <c r="A762" s="13"/>
      <c r="B762" s="13"/>
      <c r="C762" s="13"/>
      <c r="D762" s="13"/>
      <c r="E762" s="13"/>
      <c r="F762" s="13"/>
      <c r="G762" s="13"/>
      <c r="H762" s="13"/>
      <c r="I762" s="13"/>
      <c r="J762" s="13"/>
      <c r="K762" s="13"/>
      <c r="L762" s="13"/>
    </row>
    <row r="763" spans="1:12" ht="15.75" customHeight="1" x14ac:dyDescent="0.25">
      <c r="A763" s="13"/>
      <c r="B763" s="13"/>
      <c r="C763" s="13"/>
      <c r="D763" s="13"/>
      <c r="E763" s="13"/>
      <c r="F763" s="13"/>
      <c r="G763" s="13"/>
      <c r="H763" s="13"/>
      <c r="I763" s="13"/>
      <c r="J763" s="13"/>
      <c r="K763" s="13"/>
      <c r="L763" s="13"/>
    </row>
    <row r="764" spans="1:12" ht="15.75" customHeight="1" x14ac:dyDescent="0.25">
      <c r="A764" s="13"/>
      <c r="B764" s="13"/>
      <c r="C764" s="13"/>
      <c r="D764" s="13"/>
      <c r="E764" s="13"/>
      <c r="F764" s="13"/>
      <c r="G764" s="13"/>
      <c r="H764" s="13"/>
      <c r="I764" s="13"/>
      <c r="J764" s="13"/>
      <c r="K764" s="13"/>
      <c r="L764" s="13"/>
    </row>
    <row r="765" spans="1:12" ht="15.75" customHeight="1" x14ac:dyDescent="0.25">
      <c r="A765" s="13"/>
      <c r="B765" s="13"/>
      <c r="C765" s="13"/>
      <c r="D765" s="13"/>
      <c r="E765" s="13"/>
      <c r="F765" s="13"/>
      <c r="G765" s="13"/>
      <c r="H765" s="13"/>
      <c r="I765" s="13"/>
      <c r="J765" s="13"/>
      <c r="K765" s="13"/>
      <c r="L765" s="13"/>
    </row>
    <row r="766" spans="1:12" ht="15.75" customHeight="1" x14ac:dyDescent="0.25">
      <c r="A766" s="13"/>
      <c r="B766" s="13"/>
      <c r="C766" s="13"/>
      <c r="D766" s="13"/>
      <c r="E766" s="13"/>
      <c r="F766" s="13"/>
      <c r="G766" s="13"/>
      <c r="H766" s="13"/>
      <c r="I766" s="13"/>
      <c r="J766" s="13"/>
      <c r="K766" s="13"/>
      <c r="L766" s="13"/>
    </row>
    <row r="767" spans="1:12" ht="15.75" customHeight="1" x14ac:dyDescent="0.25">
      <c r="A767" s="13"/>
      <c r="B767" s="13"/>
      <c r="C767" s="13"/>
      <c r="D767" s="13"/>
      <c r="E767" s="13"/>
      <c r="F767" s="13"/>
      <c r="G767" s="13"/>
      <c r="H767" s="13"/>
      <c r="I767" s="13"/>
      <c r="J767" s="13"/>
      <c r="K767" s="13"/>
      <c r="L767" s="13"/>
    </row>
    <row r="768" spans="1:12" ht="15.75" customHeight="1" x14ac:dyDescent="0.25">
      <c r="A768" s="13"/>
      <c r="B768" s="13"/>
      <c r="C768" s="13"/>
      <c r="D768" s="13"/>
      <c r="E768" s="13"/>
      <c r="F768" s="13"/>
      <c r="G768" s="13"/>
      <c r="H768" s="13"/>
      <c r="I768" s="13"/>
      <c r="J768" s="13"/>
      <c r="K768" s="13"/>
      <c r="L768" s="13"/>
    </row>
    <row r="769" spans="1:12" ht="15.75" customHeight="1" x14ac:dyDescent="0.25">
      <c r="A769" s="13"/>
      <c r="B769" s="13"/>
      <c r="C769" s="13"/>
      <c r="D769" s="13"/>
      <c r="E769" s="13"/>
      <c r="F769" s="13"/>
      <c r="G769" s="13"/>
      <c r="H769" s="13"/>
      <c r="I769" s="13"/>
      <c r="J769" s="13"/>
      <c r="K769" s="13"/>
      <c r="L769" s="13"/>
    </row>
    <row r="770" spans="1:12" ht="15.75" customHeight="1" x14ac:dyDescent="0.25">
      <c r="A770" s="13"/>
      <c r="B770" s="13"/>
      <c r="C770" s="13"/>
      <c r="D770" s="13"/>
      <c r="E770" s="13"/>
      <c r="F770" s="13"/>
      <c r="G770" s="13"/>
      <c r="H770" s="13"/>
      <c r="I770" s="13"/>
      <c r="J770" s="13"/>
      <c r="K770" s="13"/>
      <c r="L770" s="13"/>
    </row>
    <row r="771" spans="1:12" ht="15.75" customHeight="1" x14ac:dyDescent="0.25">
      <c r="A771" s="13"/>
      <c r="B771" s="13"/>
      <c r="C771" s="13"/>
      <c r="D771" s="13"/>
      <c r="E771" s="13"/>
      <c r="F771" s="13"/>
      <c r="G771" s="13"/>
      <c r="H771" s="13"/>
      <c r="I771" s="13"/>
      <c r="J771" s="13"/>
      <c r="K771" s="13"/>
      <c r="L771" s="13"/>
    </row>
    <row r="772" spans="1:12" ht="15.75" customHeight="1" x14ac:dyDescent="0.25">
      <c r="A772" s="13"/>
      <c r="B772" s="13"/>
      <c r="C772" s="13"/>
      <c r="D772" s="13"/>
      <c r="E772" s="13"/>
      <c r="F772" s="13"/>
      <c r="G772" s="13"/>
      <c r="H772" s="13"/>
      <c r="I772" s="13"/>
      <c r="J772" s="13"/>
      <c r="K772" s="13"/>
      <c r="L772" s="13"/>
    </row>
    <row r="773" spans="1:12" ht="15.75" customHeight="1" x14ac:dyDescent="0.25">
      <c r="A773" s="13"/>
      <c r="B773" s="13"/>
      <c r="C773" s="13"/>
      <c r="D773" s="13"/>
      <c r="E773" s="13"/>
      <c r="F773" s="13"/>
      <c r="G773" s="13"/>
      <c r="H773" s="13"/>
      <c r="I773" s="13"/>
      <c r="J773" s="13"/>
      <c r="K773" s="13"/>
      <c r="L773" s="13"/>
    </row>
    <row r="774" spans="1:12" ht="15.75" customHeight="1" x14ac:dyDescent="0.25">
      <c r="A774" s="13"/>
      <c r="B774" s="13"/>
      <c r="C774" s="13"/>
      <c r="D774" s="13"/>
      <c r="E774" s="13"/>
      <c r="F774" s="13"/>
      <c r="G774" s="13"/>
      <c r="H774" s="13"/>
      <c r="I774" s="13"/>
      <c r="J774" s="13"/>
      <c r="K774" s="13"/>
      <c r="L774" s="13"/>
    </row>
    <row r="775" spans="1:12" ht="15.75" customHeight="1" x14ac:dyDescent="0.25">
      <c r="A775" s="13"/>
      <c r="B775" s="13"/>
      <c r="C775" s="13"/>
      <c r="D775" s="13"/>
      <c r="E775" s="13"/>
      <c r="F775" s="13"/>
      <c r="G775" s="13"/>
      <c r="H775" s="13"/>
      <c r="I775" s="13"/>
      <c r="J775" s="13"/>
      <c r="K775" s="13"/>
      <c r="L775" s="13"/>
    </row>
    <row r="776" spans="1:12" ht="15.75" customHeight="1" x14ac:dyDescent="0.25">
      <c r="A776" s="13"/>
      <c r="B776" s="13"/>
      <c r="C776" s="13"/>
      <c r="D776" s="13"/>
      <c r="E776" s="13"/>
      <c r="F776" s="13"/>
      <c r="G776" s="13"/>
      <c r="H776" s="13"/>
      <c r="I776" s="13"/>
      <c r="J776" s="13"/>
      <c r="K776" s="13"/>
      <c r="L776" s="13"/>
    </row>
    <row r="777" spans="1:12" ht="15.75" customHeight="1" x14ac:dyDescent="0.25">
      <c r="A777" s="13"/>
      <c r="B777" s="13"/>
      <c r="C777" s="13"/>
      <c r="D777" s="13"/>
      <c r="E777" s="13"/>
      <c r="F777" s="13"/>
      <c r="G777" s="13"/>
      <c r="H777" s="13"/>
      <c r="I777" s="13"/>
      <c r="J777" s="13"/>
      <c r="K777" s="13"/>
      <c r="L777" s="13"/>
    </row>
    <row r="778" spans="1:12" ht="15.75" customHeight="1" x14ac:dyDescent="0.25">
      <c r="A778" s="13"/>
      <c r="B778" s="13"/>
      <c r="C778" s="13"/>
      <c r="D778" s="13"/>
      <c r="E778" s="13"/>
      <c r="F778" s="13"/>
      <c r="G778" s="13"/>
      <c r="H778" s="13"/>
      <c r="I778" s="13"/>
      <c r="J778" s="13"/>
      <c r="K778" s="13"/>
      <c r="L778" s="13"/>
    </row>
    <row r="779" spans="1:12" ht="15.75" customHeight="1" x14ac:dyDescent="0.25">
      <c r="A779" s="13"/>
      <c r="B779" s="13"/>
      <c r="C779" s="13"/>
      <c r="D779" s="13"/>
      <c r="E779" s="13"/>
      <c r="F779" s="13"/>
      <c r="G779" s="13"/>
      <c r="H779" s="13"/>
      <c r="I779" s="13"/>
      <c r="J779" s="13"/>
      <c r="K779" s="13"/>
      <c r="L779" s="13"/>
    </row>
    <row r="780" spans="1:12" ht="15.75" customHeight="1" x14ac:dyDescent="0.25">
      <c r="A780" s="13"/>
      <c r="B780" s="13"/>
      <c r="C780" s="13"/>
      <c r="D780" s="13"/>
      <c r="E780" s="13"/>
      <c r="F780" s="13"/>
      <c r="G780" s="13"/>
      <c r="H780" s="13"/>
      <c r="I780" s="13"/>
      <c r="J780" s="13"/>
      <c r="K780" s="13"/>
      <c r="L780" s="13"/>
    </row>
    <row r="781" spans="1:12" ht="15.75" customHeight="1" x14ac:dyDescent="0.25">
      <c r="A781" s="13"/>
      <c r="B781" s="13"/>
      <c r="C781" s="13"/>
      <c r="D781" s="13"/>
      <c r="E781" s="13"/>
      <c r="F781" s="13"/>
      <c r="G781" s="13"/>
      <c r="H781" s="13"/>
      <c r="I781" s="13"/>
      <c r="J781" s="13"/>
      <c r="K781" s="13"/>
      <c r="L781" s="13"/>
    </row>
    <row r="782" spans="1:12" ht="15.75" customHeight="1" x14ac:dyDescent="0.25">
      <c r="A782" s="13"/>
      <c r="B782" s="13"/>
      <c r="C782" s="13"/>
      <c r="D782" s="13"/>
      <c r="E782" s="13"/>
      <c r="F782" s="13"/>
      <c r="G782" s="13"/>
      <c r="H782" s="13"/>
      <c r="I782" s="13"/>
      <c r="J782" s="13"/>
      <c r="K782" s="13"/>
      <c r="L782" s="13"/>
    </row>
    <row r="783" spans="1:12" ht="15.75" customHeight="1" x14ac:dyDescent="0.25">
      <c r="A783" s="13"/>
      <c r="B783" s="13"/>
      <c r="C783" s="13"/>
      <c r="D783" s="13"/>
      <c r="E783" s="13"/>
      <c r="F783" s="13"/>
      <c r="G783" s="13"/>
      <c r="H783" s="13"/>
      <c r="I783" s="13"/>
      <c r="J783" s="13"/>
      <c r="K783" s="13"/>
      <c r="L783" s="13"/>
    </row>
    <row r="784" spans="1:12" ht="15.75" customHeight="1" x14ac:dyDescent="0.25">
      <c r="A784" s="13"/>
      <c r="B784" s="13"/>
      <c r="C784" s="13"/>
      <c r="D784" s="13"/>
      <c r="E784" s="13"/>
      <c r="F784" s="13"/>
      <c r="G784" s="13"/>
      <c r="H784" s="13"/>
      <c r="I784" s="13"/>
      <c r="J784" s="13"/>
      <c r="K784" s="13"/>
      <c r="L784" s="13"/>
    </row>
    <row r="785" spans="1:12" ht="15.75" customHeight="1" x14ac:dyDescent="0.25">
      <c r="A785" s="13"/>
      <c r="B785" s="13"/>
      <c r="C785" s="13"/>
      <c r="D785" s="13"/>
      <c r="E785" s="13"/>
      <c r="F785" s="13"/>
      <c r="G785" s="13"/>
      <c r="H785" s="13"/>
      <c r="I785" s="13"/>
      <c r="J785" s="13"/>
      <c r="K785" s="13"/>
      <c r="L785" s="13"/>
    </row>
    <row r="786" spans="1:12" ht="15.75" customHeight="1" x14ac:dyDescent="0.25">
      <c r="A786" s="13"/>
      <c r="B786" s="13"/>
      <c r="C786" s="13"/>
      <c r="D786" s="13"/>
      <c r="E786" s="13"/>
      <c r="F786" s="13"/>
      <c r="G786" s="13"/>
      <c r="H786" s="13"/>
      <c r="I786" s="13"/>
      <c r="J786" s="13"/>
      <c r="K786" s="13"/>
      <c r="L786" s="13"/>
    </row>
    <row r="787" spans="1:12" ht="15.75" customHeight="1" x14ac:dyDescent="0.25">
      <c r="A787" s="13"/>
      <c r="B787" s="13"/>
      <c r="C787" s="13"/>
      <c r="D787" s="13"/>
      <c r="E787" s="13"/>
      <c r="F787" s="13"/>
      <c r="G787" s="13"/>
      <c r="H787" s="13"/>
      <c r="I787" s="13"/>
      <c r="J787" s="13"/>
      <c r="K787" s="13"/>
      <c r="L787" s="13"/>
    </row>
    <row r="788" spans="1:12" ht="15.75" customHeight="1" x14ac:dyDescent="0.25">
      <c r="A788" s="13"/>
      <c r="B788" s="13"/>
      <c r="C788" s="13"/>
      <c r="D788" s="13"/>
      <c r="E788" s="13"/>
      <c r="F788" s="13"/>
      <c r="G788" s="13"/>
      <c r="H788" s="13"/>
      <c r="I788" s="13"/>
      <c r="J788" s="13"/>
      <c r="K788" s="13"/>
      <c r="L788" s="13"/>
    </row>
    <row r="789" spans="1:12" ht="15.75" customHeight="1" x14ac:dyDescent="0.25">
      <c r="A789" s="13"/>
      <c r="B789" s="13"/>
      <c r="C789" s="13"/>
      <c r="D789" s="13"/>
      <c r="E789" s="13"/>
      <c r="F789" s="13"/>
      <c r="G789" s="13"/>
      <c r="H789" s="13"/>
      <c r="I789" s="13"/>
      <c r="J789" s="13"/>
      <c r="K789" s="13"/>
      <c r="L789" s="13"/>
    </row>
    <row r="790" spans="1:12" ht="15.75" customHeight="1" x14ac:dyDescent="0.25">
      <c r="A790" s="13"/>
      <c r="B790" s="13"/>
      <c r="C790" s="13"/>
      <c r="D790" s="13"/>
      <c r="E790" s="13"/>
      <c r="F790" s="13"/>
      <c r="G790" s="13"/>
      <c r="H790" s="13"/>
      <c r="I790" s="13"/>
      <c r="J790" s="13"/>
      <c r="K790" s="13"/>
      <c r="L790" s="13"/>
    </row>
    <row r="791" spans="1:12" ht="15.75" customHeight="1" x14ac:dyDescent="0.25">
      <c r="A791" s="13"/>
      <c r="B791" s="13"/>
      <c r="C791" s="13"/>
      <c r="D791" s="13"/>
      <c r="E791" s="13"/>
      <c r="F791" s="13"/>
      <c r="G791" s="13"/>
      <c r="H791" s="13"/>
      <c r="I791" s="13"/>
      <c r="J791" s="13"/>
      <c r="K791" s="13"/>
      <c r="L791" s="13"/>
    </row>
    <row r="792" spans="1:12" ht="15.75" customHeight="1" x14ac:dyDescent="0.25">
      <c r="A792" s="13"/>
      <c r="B792" s="13"/>
      <c r="C792" s="13"/>
      <c r="D792" s="13"/>
      <c r="E792" s="13"/>
      <c r="F792" s="13"/>
      <c r="G792" s="13"/>
      <c r="H792" s="13"/>
      <c r="I792" s="13"/>
      <c r="J792" s="13"/>
      <c r="K792" s="13"/>
      <c r="L792" s="13"/>
    </row>
    <row r="793" spans="1:12" ht="15.75" customHeight="1" x14ac:dyDescent="0.25">
      <c r="A793" s="13"/>
      <c r="B793" s="13"/>
      <c r="C793" s="13"/>
      <c r="D793" s="13"/>
      <c r="E793" s="13"/>
      <c r="F793" s="13"/>
      <c r="G793" s="13"/>
      <c r="H793" s="13"/>
      <c r="I793" s="13"/>
      <c r="J793" s="13"/>
      <c r="K793" s="13"/>
      <c r="L793" s="13"/>
    </row>
    <row r="794" spans="1:12" ht="15.75" customHeight="1" x14ac:dyDescent="0.25">
      <c r="A794" s="13"/>
      <c r="B794" s="13"/>
      <c r="C794" s="13"/>
      <c r="D794" s="13"/>
      <c r="E794" s="13"/>
      <c r="F794" s="13"/>
      <c r="G794" s="13"/>
      <c r="H794" s="13"/>
      <c r="I794" s="13"/>
      <c r="J794" s="13"/>
      <c r="K794" s="13"/>
      <c r="L794" s="13"/>
    </row>
    <row r="795" spans="1:12" ht="15.75" customHeight="1" x14ac:dyDescent="0.25">
      <c r="A795" s="13"/>
      <c r="B795" s="13"/>
      <c r="C795" s="13"/>
      <c r="D795" s="13"/>
      <c r="E795" s="13"/>
      <c r="F795" s="13"/>
      <c r="G795" s="13"/>
      <c r="H795" s="13"/>
      <c r="I795" s="13"/>
      <c r="J795" s="13"/>
      <c r="K795" s="13"/>
      <c r="L795" s="13"/>
    </row>
    <row r="796" spans="1:12" ht="15.75" customHeight="1" x14ac:dyDescent="0.25">
      <c r="A796" s="13"/>
      <c r="B796" s="13"/>
      <c r="C796" s="13"/>
      <c r="D796" s="13"/>
      <c r="E796" s="13"/>
      <c r="F796" s="13"/>
      <c r="G796" s="13"/>
      <c r="H796" s="13"/>
      <c r="I796" s="13"/>
      <c r="J796" s="13"/>
      <c r="K796" s="13"/>
      <c r="L796" s="13"/>
    </row>
    <row r="797" spans="1:12" ht="15.75" customHeight="1" x14ac:dyDescent="0.25">
      <c r="A797" s="13"/>
      <c r="B797" s="13"/>
      <c r="C797" s="13"/>
      <c r="D797" s="13"/>
      <c r="E797" s="13"/>
      <c r="F797" s="13"/>
      <c r="G797" s="13"/>
      <c r="H797" s="13"/>
      <c r="I797" s="13"/>
      <c r="J797" s="13"/>
      <c r="K797" s="13"/>
      <c r="L797" s="13"/>
    </row>
    <row r="798" spans="1:12" ht="15.75" customHeight="1" x14ac:dyDescent="0.25">
      <c r="A798" s="13"/>
      <c r="B798" s="13"/>
      <c r="C798" s="13"/>
      <c r="D798" s="13"/>
      <c r="E798" s="13"/>
      <c r="F798" s="13"/>
      <c r="G798" s="13"/>
      <c r="H798" s="13"/>
      <c r="I798" s="13"/>
      <c r="J798" s="13"/>
      <c r="K798" s="13"/>
      <c r="L798" s="13"/>
    </row>
    <row r="799" spans="1:12" ht="15.75" customHeight="1" x14ac:dyDescent="0.25">
      <c r="A799" s="13"/>
      <c r="B799" s="13"/>
      <c r="C799" s="13"/>
      <c r="D799" s="13"/>
      <c r="E799" s="13"/>
      <c r="F799" s="13"/>
      <c r="G799" s="13"/>
      <c r="H799" s="13"/>
      <c r="I799" s="13"/>
      <c r="J799" s="13"/>
      <c r="K799" s="13"/>
      <c r="L799" s="13"/>
    </row>
    <row r="800" spans="1:12" ht="15.75" customHeight="1" x14ac:dyDescent="0.25">
      <c r="A800" s="13"/>
      <c r="B800" s="13"/>
      <c r="C800" s="13"/>
      <c r="D800" s="13"/>
      <c r="E800" s="13"/>
      <c r="F800" s="13"/>
      <c r="G800" s="13"/>
      <c r="H800" s="13"/>
      <c r="I800" s="13"/>
      <c r="J800" s="13"/>
      <c r="K800" s="13"/>
      <c r="L800" s="13"/>
    </row>
    <row r="801" spans="1:12" ht="15.75" customHeight="1" x14ac:dyDescent="0.25">
      <c r="A801" s="13"/>
      <c r="B801" s="13"/>
      <c r="C801" s="13"/>
      <c r="D801" s="13"/>
      <c r="E801" s="13"/>
      <c r="F801" s="13"/>
      <c r="G801" s="13"/>
      <c r="H801" s="13"/>
      <c r="I801" s="13"/>
      <c r="J801" s="13"/>
      <c r="K801" s="13"/>
      <c r="L801" s="13"/>
    </row>
    <row r="802" spans="1:12" ht="15.75" customHeight="1" x14ac:dyDescent="0.25">
      <c r="A802" s="13"/>
      <c r="B802" s="13"/>
      <c r="C802" s="13"/>
      <c r="D802" s="13"/>
      <c r="E802" s="13"/>
      <c r="F802" s="13"/>
      <c r="G802" s="13"/>
      <c r="H802" s="13"/>
      <c r="I802" s="13"/>
      <c r="J802" s="13"/>
      <c r="K802" s="13"/>
      <c r="L802" s="13"/>
    </row>
    <row r="803" spans="1:12" ht="15.75" customHeight="1" x14ac:dyDescent="0.25">
      <c r="A803" s="13"/>
      <c r="B803" s="13"/>
      <c r="C803" s="13"/>
      <c r="D803" s="13"/>
      <c r="E803" s="13"/>
      <c r="F803" s="13"/>
      <c r="G803" s="13"/>
      <c r="H803" s="13"/>
      <c r="I803" s="13"/>
      <c r="J803" s="13"/>
      <c r="K803" s="13"/>
      <c r="L803" s="13"/>
    </row>
    <row r="804" spans="1:12" ht="15.75" customHeight="1" x14ac:dyDescent="0.25">
      <c r="A804" s="13"/>
      <c r="B804" s="13"/>
      <c r="C804" s="13"/>
      <c r="D804" s="13"/>
      <c r="E804" s="13"/>
      <c r="F804" s="13"/>
      <c r="G804" s="13"/>
      <c r="H804" s="13"/>
      <c r="I804" s="13"/>
      <c r="J804" s="13"/>
      <c r="K804" s="13"/>
      <c r="L804" s="13"/>
    </row>
    <row r="805" spans="1:12" ht="15.75" customHeight="1" x14ac:dyDescent="0.25">
      <c r="A805" s="13"/>
      <c r="B805" s="13"/>
      <c r="C805" s="13"/>
      <c r="D805" s="13"/>
      <c r="E805" s="13"/>
      <c r="F805" s="13"/>
      <c r="G805" s="13"/>
      <c r="H805" s="13"/>
      <c r="I805" s="13"/>
      <c r="J805" s="13"/>
      <c r="K805" s="13"/>
      <c r="L805" s="13"/>
    </row>
    <row r="806" spans="1:12" ht="15.75" customHeight="1" x14ac:dyDescent="0.25">
      <c r="A806" s="13"/>
      <c r="B806" s="13"/>
      <c r="C806" s="13"/>
      <c r="D806" s="13"/>
      <c r="E806" s="13"/>
      <c r="F806" s="13"/>
      <c r="G806" s="13"/>
      <c r="H806" s="13"/>
      <c r="I806" s="13"/>
      <c r="J806" s="13"/>
      <c r="K806" s="13"/>
      <c r="L806" s="13"/>
    </row>
    <row r="807" spans="1:12" ht="15.75" customHeight="1" x14ac:dyDescent="0.25">
      <c r="A807" s="13"/>
      <c r="B807" s="13"/>
      <c r="C807" s="13"/>
      <c r="D807" s="13"/>
      <c r="E807" s="13"/>
      <c r="F807" s="13"/>
      <c r="G807" s="13"/>
      <c r="H807" s="13"/>
      <c r="I807" s="13"/>
      <c r="J807" s="13"/>
      <c r="K807" s="13"/>
      <c r="L807" s="13"/>
    </row>
    <row r="808" spans="1:12" ht="15.75" customHeight="1" x14ac:dyDescent="0.25">
      <c r="A808" s="13"/>
      <c r="B808" s="13"/>
      <c r="C808" s="13"/>
      <c r="D808" s="13"/>
      <c r="E808" s="13"/>
      <c r="F808" s="13"/>
      <c r="G808" s="13"/>
      <c r="H808" s="13"/>
      <c r="I808" s="13"/>
      <c r="J808" s="13"/>
      <c r="K808" s="13"/>
      <c r="L808" s="13"/>
    </row>
    <row r="809" spans="1:12" ht="15.75" customHeight="1" x14ac:dyDescent="0.25">
      <c r="A809" s="13"/>
      <c r="B809" s="13"/>
      <c r="C809" s="13"/>
      <c r="D809" s="13"/>
      <c r="E809" s="13"/>
      <c r="F809" s="13"/>
      <c r="G809" s="13"/>
      <c r="H809" s="13"/>
      <c r="I809" s="13"/>
      <c r="J809" s="13"/>
      <c r="K809" s="13"/>
      <c r="L809" s="13"/>
    </row>
    <row r="810" spans="1:12" ht="15.75" customHeight="1" x14ac:dyDescent="0.25">
      <c r="A810" s="13"/>
      <c r="B810" s="13"/>
      <c r="C810" s="13"/>
      <c r="D810" s="13"/>
      <c r="E810" s="13"/>
      <c r="F810" s="13"/>
      <c r="G810" s="13"/>
      <c r="H810" s="13"/>
      <c r="I810" s="13"/>
      <c r="J810" s="13"/>
      <c r="K810" s="13"/>
      <c r="L810" s="13"/>
    </row>
    <row r="811" spans="1:12" ht="15.75" customHeight="1" x14ac:dyDescent="0.25">
      <c r="A811" s="13"/>
      <c r="B811" s="13"/>
      <c r="C811" s="13"/>
      <c r="D811" s="13"/>
      <c r="E811" s="13"/>
      <c r="F811" s="13"/>
      <c r="G811" s="13"/>
      <c r="H811" s="13"/>
      <c r="I811" s="13"/>
      <c r="J811" s="13"/>
      <c r="K811" s="13"/>
      <c r="L811" s="13"/>
    </row>
    <row r="812" spans="1:12" ht="15.75" customHeight="1" x14ac:dyDescent="0.25">
      <c r="A812" s="13"/>
      <c r="B812" s="13"/>
      <c r="C812" s="13"/>
      <c r="D812" s="13"/>
      <c r="E812" s="13"/>
      <c r="F812" s="13"/>
      <c r="G812" s="13"/>
      <c r="H812" s="13"/>
      <c r="I812" s="13"/>
      <c r="J812" s="13"/>
      <c r="K812" s="13"/>
      <c r="L812" s="13"/>
    </row>
    <row r="813" spans="1:12" ht="15.75" customHeight="1" x14ac:dyDescent="0.25">
      <c r="A813" s="13"/>
      <c r="B813" s="13"/>
      <c r="C813" s="13"/>
      <c r="D813" s="13"/>
      <c r="E813" s="13"/>
      <c r="F813" s="13"/>
      <c r="G813" s="13"/>
      <c r="H813" s="13"/>
      <c r="I813" s="13"/>
      <c r="J813" s="13"/>
      <c r="K813" s="13"/>
      <c r="L813" s="13"/>
    </row>
    <row r="814" spans="1:12" ht="15.75" customHeight="1" x14ac:dyDescent="0.25">
      <c r="A814" s="13"/>
      <c r="B814" s="13"/>
      <c r="C814" s="13"/>
      <c r="D814" s="13"/>
      <c r="E814" s="13"/>
      <c r="F814" s="13"/>
      <c r="G814" s="13"/>
      <c r="H814" s="13"/>
      <c r="I814" s="13"/>
      <c r="J814" s="13"/>
      <c r="K814" s="13"/>
      <c r="L814" s="13"/>
    </row>
    <row r="815" spans="1:12" ht="15.75" customHeight="1" x14ac:dyDescent="0.25">
      <c r="A815" s="13"/>
      <c r="B815" s="13"/>
      <c r="C815" s="13"/>
      <c r="D815" s="13"/>
      <c r="E815" s="13"/>
      <c r="F815" s="13"/>
      <c r="G815" s="13"/>
      <c r="H815" s="13"/>
      <c r="I815" s="13"/>
      <c r="J815" s="13"/>
      <c r="K815" s="13"/>
      <c r="L815" s="13"/>
    </row>
    <row r="816" spans="1:12" ht="15.75" customHeight="1" x14ac:dyDescent="0.25">
      <c r="A816" s="13"/>
      <c r="B816" s="13"/>
      <c r="C816" s="13"/>
      <c r="D816" s="13"/>
      <c r="E816" s="13"/>
      <c r="F816" s="13"/>
      <c r="G816" s="13"/>
      <c r="H816" s="13"/>
      <c r="I816" s="13"/>
      <c r="J816" s="13"/>
      <c r="K816" s="13"/>
      <c r="L816" s="13"/>
    </row>
    <row r="817" spans="1:12" ht="15.75" customHeight="1" x14ac:dyDescent="0.25">
      <c r="A817" s="13"/>
      <c r="B817" s="13"/>
      <c r="C817" s="13"/>
      <c r="D817" s="13"/>
      <c r="E817" s="13"/>
      <c r="F817" s="13"/>
      <c r="G817" s="13"/>
      <c r="H817" s="13"/>
      <c r="I817" s="13"/>
      <c r="J817" s="13"/>
      <c r="K817" s="13"/>
      <c r="L817" s="13"/>
    </row>
    <row r="818" spans="1:12" ht="15.75" customHeight="1" x14ac:dyDescent="0.25">
      <c r="A818" s="13"/>
      <c r="B818" s="13"/>
      <c r="C818" s="13"/>
      <c r="D818" s="13"/>
      <c r="E818" s="13"/>
      <c r="F818" s="13"/>
      <c r="G818" s="13"/>
      <c r="H818" s="13"/>
      <c r="I818" s="13"/>
      <c r="J818" s="13"/>
      <c r="K818" s="13"/>
      <c r="L818" s="13"/>
    </row>
    <row r="819" spans="1:12" ht="15.75" customHeight="1" x14ac:dyDescent="0.25">
      <c r="A819" s="13"/>
      <c r="B819" s="13"/>
      <c r="C819" s="13"/>
      <c r="D819" s="13"/>
      <c r="E819" s="13"/>
      <c r="F819" s="13"/>
      <c r="G819" s="13"/>
      <c r="H819" s="13"/>
      <c r="I819" s="13"/>
      <c r="J819" s="13"/>
      <c r="K819" s="13"/>
      <c r="L819" s="13"/>
    </row>
    <row r="820" spans="1:12" ht="15.75" customHeight="1" x14ac:dyDescent="0.25">
      <c r="A820" s="13"/>
      <c r="B820" s="13"/>
      <c r="C820" s="13"/>
      <c r="D820" s="13"/>
      <c r="E820" s="13"/>
      <c r="F820" s="13"/>
      <c r="G820" s="13"/>
      <c r="H820" s="13"/>
      <c r="I820" s="13"/>
      <c r="J820" s="13"/>
      <c r="K820" s="13"/>
      <c r="L820" s="13"/>
    </row>
    <row r="821" spans="1:12" ht="15.75" customHeight="1" x14ac:dyDescent="0.25">
      <c r="A821" s="13"/>
      <c r="B821" s="13"/>
      <c r="C821" s="13"/>
      <c r="D821" s="13"/>
      <c r="E821" s="13"/>
      <c r="F821" s="13"/>
      <c r="G821" s="13"/>
      <c r="H821" s="13"/>
      <c r="I821" s="13"/>
      <c r="J821" s="13"/>
      <c r="K821" s="13"/>
      <c r="L821" s="13"/>
    </row>
    <row r="822" spans="1:12" ht="15.75" customHeight="1" x14ac:dyDescent="0.25">
      <c r="A822" s="13"/>
      <c r="B822" s="13"/>
      <c r="C822" s="13"/>
      <c r="D822" s="13"/>
      <c r="E822" s="13"/>
      <c r="F822" s="13"/>
      <c r="G822" s="13"/>
      <c r="H822" s="13"/>
      <c r="I822" s="13"/>
      <c r="J822" s="13"/>
      <c r="K822" s="13"/>
      <c r="L822" s="13"/>
    </row>
    <row r="823" spans="1:12" ht="15.75" customHeight="1" x14ac:dyDescent="0.25">
      <c r="A823" s="13"/>
      <c r="B823" s="13"/>
      <c r="C823" s="13"/>
      <c r="D823" s="13"/>
      <c r="E823" s="13"/>
      <c r="F823" s="13"/>
      <c r="G823" s="13"/>
      <c r="H823" s="13"/>
      <c r="I823" s="13"/>
      <c r="J823" s="13"/>
      <c r="K823" s="13"/>
      <c r="L823" s="13"/>
    </row>
    <row r="824" spans="1:12" ht="15.75" customHeight="1" x14ac:dyDescent="0.25">
      <c r="A824" s="13"/>
      <c r="B824" s="13"/>
      <c r="C824" s="13"/>
      <c r="D824" s="13"/>
      <c r="E824" s="13"/>
      <c r="F824" s="13"/>
      <c r="G824" s="13"/>
      <c r="H824" s="13"/>
      <c r="I824" s="13"/>
      <c r="J824" s="13"/>
      <c r="K824" s="13"/>
      <c r="L824" s="13"/>
    </row>
    <row r="825" spans="1:12" ht="15.75" customHeight="1" x14ac:dyDescent="0.25">
      <c r="A825" s="13"/>
      <c r="B825" s="13"/>
      <c r="C825" s="13"/>
      <c r="D825" s="13"/>
      <c r="E825" s="13"/>
      <c r="F825" s="13"/>
      <c r="G825" s="13"/>
      <c r="H825" s="13"/>
      <c r="I825" s="13"/>
      <c r="J825" s="13"/>
      <c r="K825" s="13"/>
      <c r="L825" s="13"/>
    </row>
    <row r="826" spans="1:12" ht="15.75" customHeight="1" x14ac:dyDescent="0.25">
      <c r="A826" s="13"/>
      <c r="B826" s="13"/>
      <c r="C826" s="13"/>
      <c r="D826" s="13"/>
      <c r="E826" s="13"/>
      <c r="F826" s="13"/>
      <c r="G826" s="13"/>
      <c r="H826" s="13"/>
      <c r="I826" s="13"/>
      <c r="J826" s="13"/>
      <c r="K826" s="13"/>
      <c r="L826" s="13"/>
    </row>
    <row r="827" spans="1:12" ht="15.75" customHeight="1" x14ac:dyDescent="0.25">
      <c r="A827" s="13"/>
      <c r="B827" s="13"/>
      <c r="C827" s="13"/>
      <c r="D827" s="13"/>
      <c r="E827" s="13"/>
      <c r="F827" s="13"/>
      <c r="G827" s="13"/>
      <c r="H827" s="13"/>
      <c r="I827" s="13"/>
      <c r="J827" s="13"/>
      <c r="K827" s="13"/>
      <c r="L827" s="13"/>
    </row>
    <row r="828" spans="1:12" ht="15.75" customHeight="1" x14ac:dyDescent="0.25">
      <c r="A828" s="13"/>
      <c r="B828" s="13"/>
      <c r="C828" s="13"/>
      <c r="D828" s="13"/>
      <c r="E828" s="13"/>
      <c r="F828" s="13"/>
      <c r="G828" s="13"/>
      <c r="H828" s="13"/>
      <c r="I828" s="13"/>
      <c r="J828" s="13"/>
      <c r="K828" s="13"/>
      <c r="L828" s="13"/>
    </row>
    <row r="829" spans="1:12" ht="15.75" customHeight="1" x14ac:dyDescent="0.25">
      <c r="A829" s="13"/>
      <c r="B829" s="13"/>
      <c r="C829" s="13"/>
      <c r="D829" s="13"/>
      <c r="E829" s="13"/>
      <c r="F829" s="13"/>
      <c r="G829" s="13"/>
      <c r="H829" s="13"/>
      <c r="I829" s="13"/>
      <c r="J829" s="13"/>
      <c r="K829" s="13"/>
      <c r="L829" s="13"/>
    </row>
    <row r="830" spans="1:12" ht="15.75" customHeight="1" x14ac:dyDescent="0.25">
      <c r="A830" s="13"/>
      <c r="B830" s="13"/>
      <c r="C830" s="13"/>
      <c r="D830" s="13"/>
      <c r="E830" s="13"/>
      <c r="F830" s="13"/>
      <c r="G830" s="13"/>
      <c r="H830" s="13"/>
      <c r="I830" s="13"/>
      <c r="J830" s="13"/>
      <c r="K830" s="13"/>
      <c r="L830" s="13"/>
    </row>
    <row r="831" spans="1:12" ht="15.75" customHeight="1" x14ac:dyDescent="0.25">
      <c r="A831" s="13"/>
      <c r="B831" s="13"/>
      <c r="C831" s="13"/>
      <c r="D831" s="13"/>
      <c r="E831" s="13"/>
      <c r="F831" s="13"/>
      <c r="G831" s="13"/>
      <c r="H831" s="13"/>
      <c r="I831" s="13"/>
      <c r="J831" s="13"/>
      <c r="K831" s="13"/>
      <c r="L831" s="13"/>
    </row>
    <row r="832" spans="1:12" ht="15.75" customHeight="1" x14ac:dyDescent="0.25">
      <c r="A832" s="13"/>
      <c r="B832" s="13"/>
      <c r="C832" s="13"/>
      <c r="D832" s="13"/>
      <c r="E832" s="13"/>
      <c r="F832" s="13"/>
      <c r="G832" s="13"/>
      <c r="H832" s="13"/>
      <c r="I832" s="13"/>
      <c r="J832" s="13"/>
      <c r="K832" s="13"/>
      <c r="L832" s="13"/>
    </row>
    <row r="833" spans="1:12" ht="15.75" customHeight="1" x14ac:dyDescent="0.25">
      <c r="A833" s="13"/>
      <c r="B833" s="13"/>
      <c r="C833" s="13"/>
      <c r="D833" s="13"/>
      <c r="E833" s="13"/>
      <c r="F833" s="13"/>
      <c r="G833" s="13"/>
      <c r="H833" s="13"/>
      <c r="I833" s="13"/>
      <c r="J833" s="13"/>
      <c r="K833" s="13"/>
      <c r="L833" s="13"/>
    </row>
    <row r="834" spans="1:12" ht="15.75" customHeight="1" x14ac:dyDescent="0.25">
      <c r="A834" s="13"/>
      <c r="B834" s="13"/>
      <c r="C834" s="13"/>
      <c r="D834" s="13"/>
      <c r="E834" s="13"/>
      <c r="F834" s="13"/>
      <c r="G834" s="13"/>
      <c r="H834" s="13"/>
      <c r="I834" s="13"/>
      <c r="J834" s="13"/>
      <c r="K834" s="13"/>
      <c r="L834" s="13"/>
    </row>
    <row r="835" spans="1:12" ht="15.75" customHeight="1" x14ac:dyDescent="0.25">
      <c r="A835" s="13"/>
      <c r="B835" s="13"/>
      <c r="C835" s="13"/>
      <c r="D835" s="13"/>
      <c r="E835" s="13"/>
      <c r="F835" s="13"/>
      <c r="G835" s="13"/>
      <c r="H835" s="13"/>
      <c r="I835" s="13"/>
      <c r="J835" s="13"/>
      <c r="K835" s="13"/>
      <c r="L835" s="13"/>
    </row>
    <row r="836" spans="1:12" ht="15.75" customHeight="1" x14ac:dyDescent="0.25">
      <c r="A836" s="13"/>
      <c r="B836" s="13"/>
      <c r="C836" s="13"/>
      <c r="D836" s="13"/>
      <c r="E836" s="13"/>
      <c r="F836" s="13"/>
      <c r="G836" s="13"/>
      <c r="H836" s="13"/>
      <c r="I836" s="13"/>
      <c r="J836" s="13"/>
      <c r="K836" s="13"/>
      <c r="L836" s="13"/>
    </row>
    <row r="837" spans="1:12" ht="15.75" customHeight="1" x14ac:dyDescent="0.25">
      <c r="A837" s="13"/>
      <c r="B837" s="13"/>
      <c r="C837" s="13"/>
      <c r="D837" s="13"/>
      <c r="E837" s="13"/>
      <c r="F837" s="13"/>
      <c r="G837" s="13"/>
      <c r="H837" s="13"/>
      <c r="I837" s="13"/>
      <c r="J837" s="13"/>
      <c r="K837" s="13"/>
      <c r="L837" s="13"/>
    </row>
    <row r="838" spans="1:12" ht="15.75" customHeight="1" x14ac:dyDescent="0.25">
      <c r="A838" s="13"/>
      <c r="B838" s="13"/>
      <c r="C838" s="13"/>
      <c r="D838" s="13"/>
      <c r="E838" s="13"/>
      <c r="F838" s="13"/>
      <c r="G838" s="13"/>
      <c r="H838" s="13"/>
      <c r="I838" s="13"/>
      <c r="J838" s="13"/>
      <c r="K838" s="13"/>
      <c r="L838" s="13"/>
    </row>
    <row r="839" spans="1:12" ht="15.75" customHeight="1" x14ac:dyDescent="0.25">
      <c r="A839" s="13"/>
      <c r="B839" s="13"/>
      <c r="C839" s="13"/>
      <c r="D839" s="13"/>
      <c r="E839" s="13"/>
      <c r="F839" s="13"/>
      <c r="G839" s="13"/>
      <c r="H839" s="13"/>
      <c r="I839" s="13"/>
      <c r="J839" s="13"/>
      <c r="K839" s="13"/>
      <c r="L839" s="13"/>
    </row>
    <row r="840" spans="1:12" ht="15.75" customHeight="1" x14ac:dyDescent="0.25">
      <c r="A840" s="13"/>
      <c r="B840" s="13"/>
      <c r="C840" s="13"/>
      <c r="D840" s="13"/>
      <c r="E840" s="13"/>
      <c r="F840" s="13"/>
      <c r="G840" s="13"/>
      <c r="H840" s="13"/>
      <c r="I840" s="13"/>
      <c r="J840" s="13"/>
      <c r="K840" s="13"/>
      <c r="L840" s="13"/>
    </row>
    <row r="841" spans="1:12" ht="15.75" customHeight="1" x14ac:dyDescent="0.25">
      <c r="A841" s="13"/>
      <c r="B841" s="13"/>
      <c r="C841" s="13"/>
      <c r="D841" s="13"/>
      <c r="E841" s="13"/>
      <c r="F841" s="13"/>
      <c r="G841" s="13"/>
      <c r="H841" s="13"/>
      <c r="I841" s="13"/>
      <c r="J841" s="13"/>
      <c r="K841" s="13"/>
      <c r="L841" s="13"/>
    </row>
    <row r="842" spans="1:12" ht="15.75" customHeight="1" x14ac:dyDescent="0.25">
      <c r="A842" s="13"/>
      <c r="B842" s="13"/>
      <c r="C842" s="13"/>
      <c r="D842" s="13"/>
      <c r="E842" s="13"/>
      <c r="F842" s="13"/>
      <c r="G842" s="13"/>
      <c r="H842" s="13"/>
      <c r="I842" s="13"/>
      <c r="J842" s="13"/>
      <c r="K842" s="13"/>
      <c r="L842" s="13"/>
    </row>
    <row r="843" spans="1:12" ht="15.75" customHeight="1" x14ac:dyDescent="0.25">
      <c r="A843" s="13"/>
      <c r="B843" s="13"/>
      <c r="C843" s="13"/>
      <c r="D843" s="13"/>
      <c r="E843" s="13"/>
      <c r="F843" s="13"/>
      <c r="G843" s="13"/>
      <c r="H843" s="13"/>
      <c r="I843" s="13"/>
      <c r="J843" s="13"/>
      <c r="K843" s="13"/>
      <c r="L843" s="13"/>
    </row>
    <row r="844" spans="1:12" ht="15.75" customHeight="1" x14ac:dyDescent="0.25">
      <c r="A844" s="13"/>
      <c r="B844" s="13"/>
      <c r="C844" s="13"/>
      <c r="D844" s="13"/>
      <c r="E844" s="13"/>
      <c r="F844" s="13"/>
      <c r="G844" s="13"/>
      <c r="H844" s="13"/>
      <c r="I844" s="13"/>
      <c r="J844" s="13"/>
      <c r="K844" s="13"/>
      <c r="L844" s="13"/>
    </row>
    <row r="845" spans="1:12" ht="15.75" customHeight="1" x14ac:dyDescent="0.25">
      <c r="A845" s="13"/>
      <c r="B845" s="13"/>
      <c r="C845" s="13"/>
      <c r="D845" s="13"/>
      <c r="E845" s="13"/>
      <c r="F845" s="13"/>
      <c r="G845" s="13"/>
      <c r="H845" s="13"/>
      <c r="I845" s="13"/>
      <c r="J845" s="13"/>
      <c r="K845" s="13"/>
      <c r="L845" s="13"/>
    </row>
    <row r="846" spans="1:12" ht="15.75" customHeight="1" x14ac:dyDescent="0.25">
      <c r="A846" s="13"/>
      <c r="B846" s="13"/>
      <c r="C846" s="13"/>
      <c r="D846" s="13"/>
      <c r="E846" s="13"/>
      <c r="F846" s="13"/>
      <c r="G846" s="13"/>
      <c r="H846" s="13"/>
      <c r="I846" s="13"/>
      <c r="J846" s="13"/>
      <c r="K846" s="13"/>
      <c r="L846" s="13"/>
    </row>
    <row r="847" spans="1:12" ht="15.75" customHeight="1" x14ac:dyDescent="0.25">
      <c r="A847" s="13"/>
      <c r="B847" s="13"/>
      <c r="C847" s="13"/>
      <c r="D847" s="13"/>
      <c r="E847" s="13"/>
      <c r="F847" s="13"/>
      <c r="G847" s="13"/>
      <c r="H847" s="13"/>
      <c r="I847" s="13"/>
      <c r="J847" s="13"/>
      <c r="K847" s="13"/>
      <c r="L847" s="13"/>
    </row>
    <row r="848" spans="1:12" ht="15.75" customHeight="1" x14ac:dyDescent="0.25">
      <c r="A848" s="13"/>
      <c r="B848" s="13"/>
      <c r="C848" s="13"/>
      <c r="D848" s="13"/>
      <c r="E848" s="13"/>
      <c r="F848" s="13"/>
      <c r="G848" s="13"/>
      <c r="H848" s="13"/>
      <c r="I848" s="13"/>
      <c r="J848" s="13"/>
      <c r="K848" s="13"/>
      <c r="L848" s="13"/>
    </row>
    <row r="849" spans="1:12" ht="15.75" customHeight="1" x14ac:dyDescent="0.25">
      <c r="A849" s="13"/>
      <c r="B849" s="13"/>
      <c r="C849" s="13"/>
      <c r="D849" s="13"/>
      <c r="E849" s="13"/>
      <c r="F849" s="13"/>
      <c r="G849" s="13"/>
      <c r="H849" s="13"/>
      <c r="I849" s="13"/>
      <c r="J849" s="13"/>
      <c r="K849" s="13"/>
      <c r="L849" s="13"/>
    </row>
    <row r="850" spans="1:12" ht="15.75" customHeight="1" x14ac:dyDescent="0.25">
      <c r="A850" s="13"/>
      <c r="B850" s="13"/>
      <c r="C850" s="13"/>
      <c r="D850" s="13"/>
      <c r="E850" s="13"/>
      <c r="F850" s="13"/>
      <c r="G850" s="13"/>
      <c r="H850" s="13"/>
      <c r="I850" s="13"/>
      <c r="J850" s="13"/>
      <c r="K850" s="13"/>
      <c r="L850" s="13"/>
    </row>
    <row r="851" spans="1:12" ht="15.75" customHeight="1" x14ac:dyDescent="0.25">
      <c r="A851" s="13"/>
      <c r="B851" s="13"/>
      <c r="C851" s="13"/>
      <c r="D851" s="13"/>
      <c r="E851" s="13"/>
      <c r="F851" s="13"/>
      <c r="G851" s="13"/>
      <c r="H851" s="13"/>
      <c r="I851" s="13"/>
      <c r="J851" s="13"/>
      <c r="K851" s="13"/>
      <c r="L851" s="13"/>
    </row>
    <row r="852" spans="1:12" ht="15.75" customHeight="1" x14ac:dyDescent="0.25">
      <c r="A852" s="13"/>
      <c r="B852" s="13"/>
      <c r="C852" s="13"/>
      <c r="D852" s="13"/>
      <c r="E852" s="13"/>
      <c r="F852" s="13"/>
      <c r="G852" s="13"/>
      <c r="H852" s="13"/>
      <c r="I852" s="13"/>
      <c r="J852" s="13"/>
      <c r="K852" s="13"/>
      <c r="L852" s="13"/>
    </row>
    <row r="853" spans="1:12" ht="15.75" customHeight="1" x14ac:dyDescent="0.25">
      <c r="A853" s="13"/>
      <c r="B853" s="13"/>
      <c r="C853" s="13"/>
      <c r="D853" s="13"/>
      <c r="E853" s="13"/>
      <c r="F853" s="13"/>
      <c r="G853" s="13"/>
      <c r="H853" s="13"/>
      <c r="I853" s="13"/>
      <c r="J853" s="13"/>
      <c r="K853" s="13"/>
      <c r="L853" s="13"/>
    </row>
    <row r="854" spans="1:12" ht="15.75" customHeight="1" x14ac:dyDescent="0.25">
      <c r="A854" s="13"/>
      <c r="B854" s="13"/>
      <c r="C854" s="13"/>
      <c r="D854" s="13"/>
      <c r="E854" s="13"/>
      <c r="F854" s="13"/>
      <c r="G854" s="13"/>
      <c r="H854" s="13"/>
      <c r="I854" s="13"/>
      <c r="J854" s="13"/>
      <c r="K854" s="13"/>
      <c r="L854" s="13"/>
    </row>
    <row r="855" spans="1:12" ht="15.75" customHeight="1" x14ac:dyDescent="0.25">
      <c r="A855" s="13"/>
      <c r="B855" s="13"/>
      <c r="C855" s="13"/>
      <c r="D855" s="13"/>
      <c r="E855" s="13"/>
      <c r="F855" s="13"/>
      <c r="G855" s="13"/>
      <c r="H855" s="13"/>
      <c r="I855" s="13"/>
      <c r="J855" s="13"/>
      <c r="K855" s="13"/>
      <c r="L855" s="13"/>
    </row>
    <row r="856" spans="1:12" ht="15.75" customHeight="1" x14ac:dyDescent="0.25">
      <c r="A856" s="13"/>
      <c r="B856" s="13"/>
      <c r="C856" s="13"/>
      <c r="D856" s="13"/>
      <c r="E856" s="13"/>
      <c r="F856" s="13"/>
      <c r="G856" s="13"/>
      <c r="H856" s="13"/>
      <c r="I856" s="13"/>
      <c r="J856" s="13"/>
      <c r="K856" s="13"/>
      <c r="L856" s="13"/>
    </row>
    <row r="857" spans="1:12" ht="15.75" customHeight="1" x14ac:dyDescent="0.25">
      <c r="A857" s="13"/>
      <c r="B857" s="13"/>
      <c r="C857" s="13"/>
      <c r="D857" s="13"/>
      <c r="E857" s="13"/>
      <c r="F857" s="13"/>
      <c r="G857" s="13"/>
      <c r="H857" s="13"/>
      <c r="I857" s="13"/>
      <c r="J857" s="13"/>
      <c r="K857" s="13"/>
      <c r="L857" s="13"/>
    </row>
    <row r="858" spans="1:12" ht="15.75" customHeight="1" x14ac:dyDescent="0.25">
      <c r="A858" s="13"/>
      <c r="B858" s="13"/>
      <c r="C858" s="13"/>
      <c r="D858" s="13"/>
      <c r="E858" s="13"/>
      <c r="F858" s="13"/>
      <c r="G858" s="13"/>
      <c r="H858" s="13"/>
      <c r="I858" s="13"/>
      <c r="J858" s="13"/>
      <c r="K858" s="13"/>
      <c r="L858" s="13"/>
    </row>
    <row r="859" spans="1:12" ht="15.75" customHeight="1" x14ac:dyDescent="0.25">
      <c r="A859" s="13"/>
      <c r="B859" s="13"/>
      <c r="C859" s="13"/>
      <c r="D859" s="13"/>
      <c r="E859" s="13"/>
      <c r="F859" s="13"/>
      <c r="G859" s="13"/>
      <c r="H859" s="13"/>
      <c r="I859" s="13"/>
      <c r="J859" s="13"/>
      <c r="K859" s="13"/>
      <c r="L859" s="13"/>
    </row>
    <row r="860" spans="1:12" ht="15.75" customHeight="1" x14ac:dyDescent="0.25">
      <c r="A860" s="13"/>
      <c r="B860" s="13"/>
      <c r="C860" s="13"/>
      <c r="D860" s="13"/>
      <c r="E860" s="13"/>
      <c r="F860" s="13"/>
      <c r="G860" s="13"/>
      <c r="H860" s="13"/>
      <c r="I860" s="13"/>
      <c r="J860" s="13"/>
      <c r="K860" s="13"/>
      <c r="L860" s="13"/>
    </row>
    <row r="861" spans="1:12" ht="15.75" customHeight="1" x14ac:dyDescent="0.25">
      <c r="A861" s="13"/>
      <c r="B861" s="13"/>
      <c r="C861" s="13"/>
      <c r="D861" s="13"/>
      <c r="E861" s="13"/>
      <c r="F861" s="13"/>
      <c r="G861" s="13"/>
      <c r="H861" s="13"/>
      <c r="I861" s="13"/>
      <c r="J861" s="13"/>
      <c r="K861" s="13"/>
      <c r="L861" s="13"/>
    </row>
    <row r="862" spans="1:12" ht="15.75" customHeight="1" x14ac:dyDescent="0.25">
      <c r="A862" s="13"/>
      <c r="B862" s="13"/>
      <c r="C862" s="13"/>
      <c r="D862" s="13"/>
      <c r="E862" s="13"/>
      <c r="F862" s="13"/>
      <c r="G862" s="13"/>
      <c r="H862" s="13"/>
      <c r="I862" s="13"/>
      <c r="J862" s="13"/>
      <c r="K862" s="13"/>
      <c r="L862" s="13"/>
    </row>
    <row r="863" spans="1:12" ht="15.75" customHeight="1" x14ac:dyDescent="0.25">
      <c r="A863" s="13"/>
      <c r="B863" s="13"/>
      <c r="C863" s="13"/>
      <c r="D863" s="13"/>
      <c r="E863" s="13"/>
      <c r="F863" s="13"/>
      <c r="G863" s="13"/>
      <c r="H863" s="13"/>
      <c r="I863" s="13"/>
      <c r="J863" s="13"/>
      <c r="K863" s="13"/>
      <c r="L863" s="13"/>
    </row>
    <row r="864" spans="1:12" ht="15.75" customHeight="1" x14ac:dyDescent="0.25">
      <c r="A864" s="13"/>
      <c r="B864" s="13"/>
      <c r="C864" s="13"/>
      <c r="D864" s="13"/>
      <c r="E864" s="13"/>
      <c r="F864" s="13"/>
      <c r="G864" s="13"/>
      <c r="H864" s="13"/>
      <c r="I864" s="13"/>
      <c r="J864" s="13"/>
      <c r="K864" s="13"/>
      <c r="L864" s="13"/>
    </row>
    <row r="865" spans="1:12" ht="15.75" customHeight="1" x14ac:dyDescent="0.25">
      <c r="A865" s="13"/>
      <c r="B865" s="13"/>
      <c r="C865" s="13"/>
      <c r="D865" s="13"/>
      <c r="E865" s="13"/>
      <c r="F865" s="13"/>
      <c r="G865" s="13"/>
      <c r="H865" s="13"/>
      <c r="I865" s="13"/>
      <c r="J865" s="13"/>
      <c r="K865" s="13"/>
      <c r="L865" s="13"/>
    </row>
    <row r="866" spans="1:12" ht="15.75" customHeight="1" x14ac:dyDescent="0.25">
      <c r="A866" s="13"/>
      <c r="B866" s="13"/>
      <c r="C866" s="13"/>
      <c r="D866" s="13"/>
      <c r="E866" s="13"/>
      <c r="F866" s="13"/>
      <c r="G866" s="13"/>
      <c r="H866" s="13"/>
      <c r="I866" s="13"/>
      <c r="J866" s="13"/>
      <c r="K866" s="13"/>
      <c r="L866" s="13"/>
    </row>
    <row r="867" spans="1:12" ht="15.75" customHeight="1" x14ac:dyDescent="0.25">
      <c r="A867" s="13"/>
      <c r="B867" s="13"/>
      <c r="C867" s="13"/>
      <c r="D867" s="13"/>
      <c r="E867" s="13"/>
      <c r="F867" s="13"/>
      <c r="G867" s="13"/>
      <c r="H867" s="13"/>
      <c r="I867" s="13"/>
      <c r="J867" s="13"/>
      <c r="K867" s="13"/>
      <c r="L867" s="13"/>
    </row>
    <row r="868" spans="1:12" ht="15.75" customHeight="1" x14ac:dyDescent="0.25">
      <c r="A868" s="13"/>
      <c r="B868" s="13"/>
      <c r="C868" s="13"/>
      <c r="D868" s="13"/>
      <c r="E868" s="13"/>
      <c r="F868" s="13"/>
      <c r="G868" s="13"/>
      <c r="H868" s="13"/>
      <c r="I868" s="13"/>
      <c r="J868" s="13"/>
      <c r="K868" s="13"/>
      <c r="L868" s="13"/>
    </row>
    <row r="869" spans="1:12" ht="15.75" customHeight="1" x14ac:dyDescent="0.25">
      <c r="A869" s="13"/>
      <c r="B869" s="13"/>
      <c r="C869" s="13"/>
      <c r="D869" s="13"/>
      <c r="E869" s="13"/>
      <c r="F869" s="13"/>
      <c r="G869" s="13"/>
      <c r="H869" s="13"/>
      <c r="I869" s="13"/>
      <c r="J869" s="13"/>
      <c r="K869" s="13"/>
      <c r="L869" s="13"/>
    </row>
    <row r="870" spans="1:12" ht="15.75" customHeight="1" x14ac:dyDescent="0.25">
      <c r="A870" s="13"/>
      <c r="B870" s="13"/>
      <c r="C870" s="13"/>
      <c r="D870" s="13"/>
      <c r="E870" s="13"/>
      <c r="F870" s="13"/>
      <c r="G870" s="13"/>
      <c r="H870" s="13"/>
      <c r="I870" s="13"/>
      <c r="J870" s="13"/>
      <c r="K870" s="13"/>
      <c r="L870" s="13"/>
    </row>
    <row r="871" spans="1:12" ht="15.75" customHeight="1" x14ac:dyDescent="0.25">
      <c r="A871" s="13"/>
      <c r="B871" s="13"/>
      <c r="C871" s="13"/>
      <c r="D871" s="13"/>
      <c r="E871" s="13"/>
      <c r="F871" s="13"/>
      <c r="G871" s="13"/>
      <c r="H871" s="13"/>
      <c r="I871" s="13"/>
      <c r="J871" s="13"/>
      <c r="K871" s="13"/>
      <c r="L871" s="13"/>
    </row>
    <row r="872" spans="1:12" ht="15.75" customHeight="1" x14ac:dyDescent="0.25">
      <c r="A872" s="13"/>
      <c r="B872" s="13"/>
      <c r="C872" s="13"/>
      <c r="D872" s="13"/>
      <c r="E872" s="13"/>
      <c r="F872" s="13"/>
      <c r="G872" s="13"/>
      <c r="H872" s="13"/>
      <c r="I872" s="13"/>
      <c r="J872" s="13"/>
      <c r="K872" s="13"/>
      <c r="L872" s="13"/>
    </row>
    <row r="873" spans="1:12" ht="15.75" customHeight="1" x14ac:dyDescent="0.25">
      <c r="A873" s="13"/>
      <c r="B873" s="13"/>
      <c r="C873" s="13"/>
      <c r="D873" s="13"/>
      <c r="E873" s="13"/>
      <c r="F873" s="13"/>
      <c r="G873" s="13"/>
      <c r="H873" s="13"/>
      <c r="I873" s="13"/>
      <c r="J873" s="13"/>
      <c r="K873" s="13"/>
      <c r="L873" s="13"/>
    </row>
    <row r="874" spans="1:12" ht="15.75" customHeight="1" x14ac:dyDescent="0.25">
      <c r="A874" s="13"/>
      <c r="B874" s="13"/>
      <c r="C874" s="13"/>
      <c r="D874" s="13"/>
      <c r="E874" s="13"/>
      <c r="F874" s="13"/>
      <c r="G874" s="13"/>
      <c r="H874" s="13"/>
      <c r="I874" s="13"/>
      <c r="J874" s="13"/>
      <c r="K874" s="13"/>
      <c r="L874" s="13"/>
    </row>
    <row r="875" spans="1:12" ht="15.75" customHeight="1" x14ac:dyDescent="0.25">
      <c r="A875" s="13"/>
      <c r="B875" s="13"/>
      <c r="C875" s="13"/>
      <c r="D875" s="13"/>
      <c r="E875" s="13"/>
      <c r="F875" s="13"/>
      <c r="G875" s="13"/>
      <c r="H875" s="13"/>
      <c r="I875" s="13"/>
      <c r="J875" s="13"/>
      <c r="K875" s="13"/>
      <c r="L875" s="13"/>
    </row>
    <row r="876" spans="1:12" ht="15.75" customHeight="1" x14ac:dyDescent="0.25">
      <c r="A876" s="13"/>
      <c r="B876" s="13"/>
      <c r="C876" s="13"/>
      <c r="D876" s="13"/>
      <c r="E876" s="13"/>
      <c r="F876" s="13"/>
      <c r="G876" s="13"/>
      <c r="H876" s="13"/>
      <c r="I876" s="13"/>
      <c r="J876" s="13"/>
      <c r="K876" s="13"/>
      <c r="L876" s="13"/>
    </row>
    <row r="877" spans="1:12" ht="15.75" customHeight="1" x14ac:dyDescent="0.25">
      <c r="A877" s="13"/>
      <c r="B877" s="13"/>
      <c r="C877" s="13"/>
      <c r="D877" s="13"/>
      <c r="E877" s="13"/>
      <c r="F877" s="13"/>
      <c r="G877" s="13"/>
      <c r="H877" s="13"/>
      <c r="I877" s="13"/>
      <c r="J877" s="13"/>
      <c r="K877" s="13"/>
      <c r="L877" s="13"/>
    </row>
    <row r="878" spans="1:12" ht="15.75" customHeight="1" x14ac:dyDescent="0.25">
      <c r="A878" s="13"/>
      <c r="B878" s="13"/>
      <c r="C878" s="13"/>
      <c r="D878" s="13"/>
      <c r="E878" s="13"/>
      <c r="F878" s="13"/>
      <c r="G878" s="13"/>
      <c r="H878" s="13"/>
      <c r="I878" s="13"/>
      <c r="J878" s="13"/>
      <c r="K878" s="13"/>
      <c r="L878" s="13"/>
    </row>
    <row r="879" spans="1:12" ht="15.75" customHeight="1" x14ac:dyDescent="0.25">
      <c r="A879" s="13"/>
      <c r="B879" s="13"/>
      <c r="C879" s="13"/>
      <c r="D879" s="13"/>
      <c r="E879" s="13"/>
      <c r="F879" s="13"/>
      <c r="G879" s="13"/>
      <c r="H879" s="13"/>
      <c r="I879" s="13"/>
      <c r="J879" s="13"/>
      <c r="K879" s="13"/>
      <c r="L879" s="13"/>
    </row>
    <row r="880" spans="1:12" ht="15.75" customHeight="1" x14ac:dyDescent="0.25">
      <c r="A880" s="13"/>
      <c r="B880" s="13"/>
      <c r="C880" s="13"/>
      <c r="D880" s="13"/>
      <c r="E880" s="13"/>
      <c r="F880" s="13"/>
      <c r="G880" s="13"/>
      <c r="H880" s="13"/>
      <c r="I880" s="13"/>
      <c r="J880" s="13"/>
      <c r="K880" s="13"/>
      <c r="L880" s="13"/>
    </row>
    <row r="881" spans="1:12" ht="15.75" customHeight="1" x14ac:dyDescent="0.25">
      <c r="A881" s="13"/>
      <c r="B881" s="13"/>
      <c r="C881" s="13"/>
      <c r="D881" s="13"/>
      <c r="E881" s="13"/>
      <c r="F881" s="13"/>
      <c r="G881" s="13"/>
      <c r="H881" s="13"/>
      <c r="I881" s="13"/>
      <c r="J881" s="13"/>
      <c r="K881" s="13"/>
      <c r="L881" s="13"/>
    </row>
    <row r="882" spans="1:12" ht="15.75" customHeight="1" x14ac:dyDescent="0.25">
      <c r="A882" s="13"/>
      <c r="B882" s="13"/>
      <c r="C882" s="13"/>
      <c r="D882" s="13"/>
      <c r="E882" s="13"/>
      <c r="F882" s="13"/>
      <c r="G882" s="13"/>
      <c r="H882" s="13"/>
      <c r="I882" s="13"/>
      <c r="J882" s="13"/>
      <c r="K882" s="13"/>
      <c r="L882" s="13"/>
    </row>
    <row r="883" spans="1:12" ht="15.75" customHeight="1" x14ac:dyDescent="0.25">
      <c r="A883" s="13"/>
      <c r="B883" s="13"/>
      <c r="C883" s="13"/>
      <c r="D883" s="13"/>
      <c r="E883" s="13"/>
      <c r="F883" s="13"/>
      <c r="G883" s="13"/>
      <c r="H883" s="13"/>
      <c r="I883" s="13"/>
      <c r="J883" s="13"/>
      <c r="K883" s="13"/>
      <c r="L883" s="13"/>
    </row>
    <row r="884" spans="1:12" ht="15.75" customHeight="1" x14ac:dyDescent="0.25">
      <c r="A884" s="13"/>
      <c r="B884" s="13"/>
      <c r="C884" s="13"/>
      <c r="D884" s="13"/>
      <c r="E884" s="13"/>
      <c r="F884" s="13"/>
      <c r="G884" s="13"/>
      <c r="H884" s="13"/>
      <c r="I884" s="13"/>
      <c r="J884" s="13"/>
      <c r="K884" s="13"/>
      <c r="L884" s="13"/>
    </row>
    <row r="885" spans="1:12" ht="15.75" customHeight="1" x14ac:dyDescent="0.25">
      <c r="A885" s="13"/>
      <c r="B885" s="13"/>
      <c r="C885" s="13"/>
      <c r="D885" s="13"/>
      <c r="E885" s="13"/>
      <c r="F885" s="13"/>
      <c r="G885" s="13"/>
      <c r="H885" s="13"/>
      <c r="I885" s="13"/>
      <c r="J885" s="13"/>
      <c r="K885" s="13"/>
      <c r="L885" s="13"/>
    </row>
    <row r="886" spans="1:12" ht="15.75" customHeight="1" x14ac:dyDescent="0.25">
      <c r="A886" s="13"/>
      <c r="B886" s="13"/>
      <c r="C886" s="13"/>
      <c r="D886" s="13"/>
      <c r="E886" s="13"/>
      <c r="F886" s="13"/>
      <c r="G886" s="13"/>
      <c r="H886" s="13"/>
      <c r="I886" s="13"/>
      <c r="J886" s="13"/>
      <c r="K886" s="13"/>
      <c r="L886" s="13"/>
    </row>
    <row r="887" spans="1:12" ht="15.75" customHeight="1" x14ac:dyDescent="0.25">
      <c r="A887" s="13"/>
      <c r="B887" s="13"/>
      <c r="C887" s="13"/>
      <c r="D887" s="13"/>
      <c r="E887" s="13"/>
      <c r="F887" s="13"/>
      <c r="G887" s="13"/>
      <c r="H887" s="13"/>
      <c r="I887" s="13"/>
      <c r="J887" s="13"/>
      <c r="K887" s="13"/>
      <c r="L887" s="13"/>
    </row>
    <row r="888" spans="1:12" ht="15.75" customHeight="1" x14ac:dyDescent="0.25">
      <c r="A888" s="13"/>
      <c r="B888" s="13"/>
      <c r="C888" s="13"/>
      <c r="D888" s="13"/>
      <c r="E888" s="13"/>
      <c r="F888" s="13"/>
      <c r="G888" s="13"/>
      <c r="H888" s="13"/>
      <c r="I888" s="13"/>
      <c r="J888" s="13"/>
      <c r="K888" s="13"/>
      <c r="L888" s="13"/>
    </row>
    <row r="889" spans="1:12" ht="15.75" customHeight="1" x14ac:dyDescent="0.25">
      <c r="A889" s="13"/>
      <c r="B889" s="13"/>
      <c r="C889" s="13"/>
      <c r="D889" s="13"/>
      <c r="E889" s="13"/>
      <c r="F889" s="13"/>
      <c r="G889" s="13"/>
      <c r="H889" s="13"/>
      <c r="I889" s="13"/>
      <c r="J889" s="13"/>
      <c r="K889" s="13"/>
      <c r="L889" s="13"/>
    </row>
    <row r="890" spans="1:12" ht="15.75" customHeight="1" x14ac:dyDescent="0.25">
      <c r="A890" s="13"/>
      <c r="B890" s="13"/>
      <c r="C890" s="13"/>
      <c r="D890" s="13"/>
      <c r="E890" s="13"/>
      <c r="F890" s="13"/>
      <c r="G890" s="13"/>
      <c r="H890" s="13"/>
      <c r="I890" s="13"/>
      <c r="J890" s="13"/>
      <c r="K890" s="13"/>
      <c r="L890" s="13"/>
    </row>
    <row r="891" spans="1:12" ht="15.75" customHeight="1" x14ac:dyDescent="0.25">
      <c r="A891" s="13"/>
      <c r="B891" s="13"/>
      <c r="C891" s="13"/>
      <c r="D891" s="13"/>
      <c r="E891" s="13"/>
      <c r="F891" s="13"/>
      <c r="G891" s="13"/>
      <c r="H891" s="13"/>
      <c r="I891" s="13"/>
      <c r="J891" s="13"/>
      <c r="K891" s="13"/>
      <c r="L891" s="13"/>
    </row>
    <row r="892" spans="1:12" ht="15.75" customHeight="1" x14ac:dyDescent="0.25">
      <c r="A892" s="13"/>
      <c r="B892" s="13"/>
      <c r="C892" s="13"/>
      <c r="D892" s="13"/>
      <c r="E892" s="13"/>
      <c r="F892" s="13"/>
      <c r="G892" s="13"/>
      <c r="H892" s="13"/>
      <c r="I892" s="13"/>
      <c r="J892" s="13"/>
      <c r="K892" s="13"/>
      <c r="L892" s="13"/>
    </row>
    <row r="893" spans="1:12" ht="15.75" customHeight="1" x14ac:dyDescent="0.25">
      <c r="A893" s="13"/>
      <c r="B893" s="13"/>
      <c r="C893" s="13"/>
      <c r="D893" s="13"/>
      <c r="E893" s="13"/>
      <c r="F893" s="13"/>
      <c r="G893" s="13"/>
      <c r="H893" s="13"/>
      <c r="I893" s="13"/>
      <c r="J893" s="13"/>
      <c r="K893" s="13"/>
      <c r="L893" s="13"/>
    </row>
    <row r="894" spans="1:12" ht="15.75" customHeight="1" x14ac:dyDescent="0.25">
      <c r="A894" s="13"/>
      <c r="B894" s="13"/>
      <c r="C894" s="13"/>
      <c r="D894" s="13"/>
      <c r="E894" s="13"/>
      <c r="F894" s="13"/>
      <c r="G894" s="13"/>
      <c r="H894" s="13"/>
      <c r="I894" s="13"/>
      <c r="J894" s="13"/>
      <c r="K894" s="13"/>
      <c r="L894" s="13"/>
    </row>
    <row r="895" spans="1:12" ht="15.75" customHeight="1" x14ac:dyDescent="0.25">
      <c r="A895" s="13"/>
      <c r="B895" s="13"/>
      <c r="C895" s="13"/>
      <c r="D895" s="13"/>
      <c r="E895" s="13"/>
      <c r="F895" s="13"/>
      <c r="G895" s="13"/>
      <c r="H895" s="13"/>
      <c r="I895" s="13"/>
      <c r="J895" s="13"/>
      <c r="K895" s="13"/>
      <c r="L895" s="13"/>
    </row>
    <row r="896" spans="1:12" ht="15.75" customHeight="1" x14ac:dyDescent="0.25">
      <c r="A896" s="13"/>
      <c r="B896" s="13"/>
      <c r="C896" s="13"/>
      <c r="D896" s="13"/>
      <c r="E896" s="13"/>
      <c r="F896" s="13"/>
      <c r="G896" s="13"/>
      <c r="H896" s="13"/>
      <c r="I896" s="13"/>
      <c r="J896" s="13"/>
      <c r="K896" s="13"/>
      <c r="L896" s="13"/>
    </row>
    <row r="897" spans="1:12" ht="15.75" customHeight="1" x14ac:dyDescent="0.25">
      <c r="A897" s="13"/>
      <c r="B897" s="13"/>
      <c r="C897" s="13"/>
      <c r="D897" s="13"/>
      <c r="E897" s="13"/>
      <c r="F897" s="13"/>
      <c r="G897" s="13"/>
      <c r="H897" s="13"/>
      <c r="I897" s="13"/>
      <c r="J897" s="13"/>
      <c r="K897" s="13"/>
      <c r="L897" s="13"/>
    </row>
    <row r="898" spans="1:12" ht="15.75" customHeight="1" x14ac:dyDescent="0.25">
      <c r="A898" s="13"/>
      <c r="B898" s="13"/>
      <c r="C898" s="13"/>
      <c r="D898" s="13"/>
      <c r="E898" s="13"/>
      <c r="F898" s="13"/>
      <c r="G898" s="13"/>
      <c r="H898" s="13"/>
      <c r="I898" s="13"/>
      <c r="J898" s="13"/>
      <c r="K898" s="13"/>
      <c r="L898" s="13"/>
    </row>
    <row r="899" spans="1:12" ht="15.75" customHeight="1" x14ac:dyDescent="0.25">
      <c r="A899" s="13"/>
      <c r="B899" s="13"/>
      <c r="C899" s="13"/>
      <c r="D899" s="13"/>
      <c r="E899" s="13"/>
      <c r="F899" s="13"/>
      <c r="G899" s="13"/>
      <c r="H899" s="13"/>
      <c r="I899" s="13"/>
      <c r="J899" s="13"/>
      <c r="K899" s="13"/>
      <c r="L899" s="13"/>
    </row>
    <row r="900" spans="1:12" ht="15.75" customHeight="1" x14ac:dyDescent="0.25">
      <c r="A900" s="13"/>
      <c r="B900" s="13"/>
      <c r="C900" s="13"/>
      <c r="D900" s="13"/>
      <c r="E900" s="13"/>
      <c r="F900" s="13"/>
      <c r="G900" s="13"/>
      <c r="H900" s="13"/>
      <c r="I900" s="13"/>
      <c r="J900" s="13"/>
      <c r="K900" s="13"/>
      <c r="L900" s="13"/>
    </row>
    <row r="901" spans="1:12" ht="15.75" customHeight="1" x14ac:dyDescent="0.25">
      <c r="A901" s="13"/>
      <c r="B901" s="13"/>
      <c r="C901" s="13"/>
      <c r="D901" s="13"/>
      <c r="E901" s="13"/>
      <c r="F901" s="13"/>
      <c r="G901" s="13"/>
      <c r="H901" s="13"/>
      <c r="I901" s="13"/>
      <c r="J901" s="13"/>
      <c r="K901" s="13"/>
      <c r="L901" s="13"/>
    </row>
    <row r="902" spans="1:12" ht="15.75" customHeight="1" x14ac:dyDescent="0.25">
      <c r="A902" s="13"/>
      <c r="B902" s="13"/>
      <c r="C902" s="13"/>
      <c r="D902" s="13"/>
      <c r="E902" s="13"/>
      <c r="F902" s="13"/>
      <c r="G902" s="13"/>
      <c r="H902" s="13"/>
      <c r="I902" s="13"/>
      <c r="J902" s="13"/>
      <c r="K902" s="13"/>
      <c r="L902" s="13"/>
    </row>
    <row r="903" spans="1:12" ht="15.75" customHeight="1" x14ac:dyDescent="0.25">
      <c r="A903" s="13"/>
      <c r="B903" s="13"/>
      <c r="C903" s="13"/>
      <c r="D903" s="13"/>
      <c r="E903" s="13"/>
      <c r="F903" s="13"/>
      <c r="G903" s="13"/>
      <c r="H903" s="13"/>
      <c r="I903" s="13"/>
      <c r="J903" s="13"/>
      <c r="K903" s="13"/>
      <c r="L903" s="13"/>
    </row>
    <row r="904" spans="1:12" ht="15.75" customHeight="1" x14ac:dyDescent="0.25">
      <c r="A904" s="13"/>
      <c r="B904" s="13"/>
      <c r="C904" s="13"/>
      <c r="D904" s="13"/>
      <c r="E904" s="13"/>
      <c r="F904" s="13"/>
      <c r="G904" s="13"/>
      <c r="H904" s="13"/>
      <c r="I904" s="13"/>
      <c r="J904" s="13"/>
      <c r="K904" s="13"/>
      <c r="L904" s="13"/>
    </row>
    <row r="905" spans="1:12" ht="15.75" customHeight="1" x14ac:dyDescent="0.25">
      <c r="A905" s="13"/>
      <c r="B905" s="13"/>
      <c r="C905" s="13"/>
      <c r="D905" s="13"/>
      <c r="E905" s="13"/>
      <c r="F905" s="13"/>
      <c r="G905" s="13"/>
      <c r="H905" s="13"/>
      <c r="I905" s="13"/>
      <c r="J905" s="13"/>
      <c r="K905" s="13"/>
      <c r="L905" s="13"/>
    </row>
    <row r="906" spans="1:12" ht="15.75" customHeight="1" x14ac:dyDescent="0.25">
      <c r="A906" s="13"/>
      <c r="B906" s="13"/>
      <c r="C906" s="13"/>
      <c r="D906" s="13"/>
      <c r="E906" s="13"/>
      <c r="F906" s="13"/>
      <c r="G906" s="13"/>
      <c r="H906" s="13"/>
      <c r="I906" s="13"/>
      <c r="J906" s="13"/>
      <c r="K906" s="13"/>
      <c r="L906" s="13"/>
    </row>
    <row r="907" spans="1:12" ht="15.75" customHeight="1" x14ac:dyDescent="0.25">
      <c r="A907" s="13"/>
      <c r="B907" s="13"/>
      <c r="C907" s="13"/>
      <c r="D907" s="13"/>
      <c r="E907" s="13"/>
      <c r="F907" s="13"/>
      <c r="G907" s="13"/>
      <c r="H907" s="13"/>
      <c r="I907" s="13"/>
      <c r="J907" s="13"/>
      <c r="K907" s="13"/>
      <c r="L907" s="13"/>
    </row>
    <row r="908" spans="1:12" ht="15.75" customHeight="1" x14ac:dyDescent="0.25">
      <c r="A908" s="13"/>
      <c r="B908" s="13"/>
      <c r="C908" s="13"/>
      <c r="D908" s="13"/>
      <c r="E908" s="13"/>
      <c r="F908" s="13"/>
      <c r="G908" s="13"/>
      <c r="H908" s="13"/>
      <c r="I908" s="13"/>
      <c r="J908" s="13"/>
      <c r="K908" s="13"/>
      <c r="L908" s="13"/>
    </row>
    <row r="909" spans="1:12" ht="15.75" customHeight="1" x14ac:dyDescent="0.25">
      <c r="A909" s="13"/>
      <c r="B909" s="13"/>
      <c r="C909" s="13"/>
      <c r="D909" s="13"/>
      <c r="E909" s="13"/>
      <c r="F909" s="13"/>
      <c r="G909" s="13"/>
      <c r="H909" s="13"/>
      <c r="I909" s="13"/>
      <c r="J909" s="13"/>
      <c r="K909" s="13"/>
      <c r="L909" s="13"/>
    </row>
    <row r="910" spans="1:12" ht="15.75" customHeight="1" x14ac:dyDescent="0.25">
      <c r="A910" s="13"/>
      <c r="B910" s="13"/>
      <c r="C910" s="13"/>
      <c r="D910" s="13"/>
      <c r="E910" s="13"/>
      <c r="F910" s="13"/>
      <c r="G910" s="13"/>
      <c r="H910" s="13"/>
      <c r="I910" s="13"/>
      <c r="J910" s="13"/>
      <c r="K910" s="13"/>
      <c r="L910" s="13"/>
    </row>
    <row r="911" spans="1:12" ht="15.75" customHeight="1" x14ac:dyDescent="0.25">
      <c r="A911" s="13"/>
      <c r="B911" s="13"/>
      <c r="C911" s="13"/>
      <c r="D911" s="13"/>
      <c r="E911" s="13"/>
      <c r="F911" s="13"/>
      <c r="G911" s="13"/>
      <c r="H911" s="13"/>
      <c r="I911" s="13"/>
      <c r="J911" s="13"/>
      <c r="K911" s="13"/>
      <c r="L911" s="13"/>
    </row>
    <row r="912" spans="1:12" ht="15.75" customHeight="1" x14ac:dyDescent="0.25">
      <c r="A912" s="13"/>
      <c r="B912" s="13"/>
      <c r="C912" s="13"/>
      <c r="D912" s="13"/>
      <c r="E912" s="13"/>
      <c r="F912" s="13"/>
      <c r="G912" s="13"/>
      <c r="H912" s="13"/>
      <c r="I912" s="13"/>
      <c r="J912" s="13"/>
      <c r="K912" s="13"/>
      <c r="L912" s="13"/>
    </row>
    <row r="913" spans="1:12" ht="15.75" customHeight="1" x14ac:dyDescent="0.25">
      <c r="A913" s="13"/>
      <c r="B913" s="13"/>
      <c r="C913" s="13"/>
      <c r="D913" s="13"/>
      <c r="E913" s="13"/>
      <c r="F913" s="13"/>
      <c r="G913" s="13"/>
      <c r="H913" s="13"/>
      <c r="I913" s="13"/>
      <c r="J913" s="13"/>
      <c r="K913" s="13"/>
      <c r="L913" s="13"/>
    </row>
    <row r="914" spans="1:12" ht="15.75" customHeight="1" x14ac:dyDescent="0.25">
      <c r="A914" s="13"/>
      <c r="B914" s="13"/>
      <c r="C914" s="13"/>
      <c r="D914" s="13"/>
      <c r="E914" s="13"/>
      <c r="F914" s="13"/>
      <c r="G914" s="13"/>
      <c r="H914" s="13"/>
      <c r="I914" s="13"/>
      <c r="J914" s="13"/>
      <c r="K914" s="13"/>
      <c r="L914" s="13"/>
    </row>
    <row r="915" spans="1:12" ht="15.75" customHeight="1" x14ac:dyDescent="0.25">
      <c r="A915" s="13"/>
      <c r="B915" s="13"/>
      <c r="C915" s="13"/>
      <c r="D915" s="13"/>
      <c r="E915" s="13"/>
      <c r="F915" s="13"/>
      <c r="G915" s="13"/>
      <c r="H915" s="13"/>
      <c r="I915" s="13"/>
      <c r="J915" s="13"/>
      <c r="K915" s="13"/>
      <c r="L915" s="13"/>
    </row>
    <row r="916" spans="1:12" ht="15.75" customHeight="1" x14ac:dyDescent="0.25">
      <c r="A916" s="13"/>
      <c r="B916" s="13"/>
      <c r="C916" s="13"/>
      <c r="D916" s="13"/>
      <c r="E916" s="13"/>
      <c r="F916" s="13"/>
      <c r="G916" s="13"/>
      <c r="H916" s="13"/>
      <c r="I916" s="13"/>
      <c r="J916" s="13"/>
      <c r="K916" s="13"/>
      <c r="L916" s="13"/>
    </row>
    <row r="917" spans="1:12" ht="15.75" customHeight="1" x14ac:dyDescent="0.25">
      <c r="A917" s="13"/>
      <c r="B917" s="13"/>
      <c r="C917" s="13"/>
      <c r="D917" s="13"/>
      <c r="E917" s="13"/>
      <c r="F917" s="13"/>
      <c r="G917" s="13"/>
      <c r="H917" s="13"/>
      <c r="I917" s="13"/>
      <c r="J917" s="13"/>
      <c r="K917" s="13"/>
      <c r="L917" s="13"/>
    </row>
    <row r="918" spans="1:12" ht="15.75" customHeight="1" x14ac:dyDescent="0.25">
      <c r="A918" s="13"/>
      <c r="B918" s="13"/>
      <c r="C918" s="13"/>
      <c r="D918" s="13"/>
      <c r="E918" s="13"/>
      <c r="F918" s="13"/>
      <c r="G918" s="13"/>
      <c r="H918" s="13"/>
      <c r="I918" s="13"/>
      <c r="J918" s="13"/>
      <c r="K918" s="13"/>
      <c r="L918" s="13"/>
    </row>
    <row r="919" spans="1:12" ht="15.75" customHeight="1" x14ac:dyDescent="0.25">
      <c r="A919" s="13"/>
      <c r="B919" s="13"/>
      <c r="C919" s="13"/>
      <c r="D919" s="13"/>
      <c r="E919" s="13"/>
      <c r="F919" s="13"/>
      <c r="G919" s="13"/>
      <c r="H919" s="13"/>
      <c r="I919" s="13"/>
      <c r="J919" s="13"/>
      <c r="K919" s="13"/>
      <c r="L919" s="13"/>
    </row>
    <row r="920" spans="1:12" ht="15.75" customHeight="1" x14ac:dyDescent="0.25">
      <c r="A920" s="13"/>
      <c r="B920" s="13"/>
      <c r="C920" s="13"/>
      <c r="D920" s="13"/>
      <c r="E920" s="13"/>
      <c r="F920" s="13"/>
      <c r="G920" s="13"/>
      <c r="H920" s="13"/>
      <c r="I920" s="13"/>
      <c r="J920" s="13"/>
      <c r="K920" s="13"/>
      <c r="L920" s="13"/>
    </row>
    <row r="921" spans="1:12" ht="15.75" customHeight="1" x14ac:dyDescent="0.25">
      <c r="A921" s="13"/>
      <c r="B921" s="13"/>
      <c r="C921" s="13"/>
      <c r="D921" s="13"/>
      <c r="E921" s="13"/>
      <c r="F921" s="13"/>
      <c r="G921" s="13"/>
      <c r="H921" s="13"/>
      <c r="I921" s="13"/>
      <c r="J921" s="13"/>
      <c r="K921" s="13"/>
      <c r="L921" s="13"/>
    </row>
    <row r="922" spans="1:12" ht="15.75" customHeight="1" x14ac:dyDescent="0.25">
      <c r="A922" s="13"/>
      <c r="B922" s="13"/>
      <c r="C922" s="13"/>
      <c r="D922" s="13"/>
      <c r="E922" s="13"/>
      <c r="F922" s="13"/>
      <c r="G922" s="13"/>
      <c r="H922" s="13"/>
      <c r="I922" s="13"/>
      <c r="J922" s="13"/>
      <c r="K922" s="13"/>
      <c r="L922" s="13"/>
    </row>
    <row r="923" spans="1:12" ht="15.75" customHeight="1" x14ac:dyDescent="0.25">
      <c r="A923" s="13"/>
      <c r="B923" s="13"/>
      <c r="C923" s="13"/>
      <c r="D923" s="13"/>
      <c r="E923" s="13"/>
      <c r="F923" s="13"/>
      <c r="G923" s="13"/>
      <c r="H923" s="13"/>
      <c r="I923" s="13"/>
      <c r="J923" s="13"/>
      <c r="K923" s="13"/>
      <c r="L923" s="13"/>
    </row>
    <row r="924" spans="1:12" ht="15.75" customHeight="1" x14ac:dyDescent="0.25">
      <c r="A924" s="13"/>
      <c r="B924" s="13"/>
      <c r="C924" s="13"/>
      <c r="D924" s="13"/>
      <c r="E924" s="13"/>
      <c r="F924" s="13"/>
      <c r="G924" s="13"/>
      <c r="H924" s="13"/>
      <c r="I924" s="13"/>
      <c r="J924" s="13"/>
      <c r="K924" s="13"/>
      <c r="L924" s="13"/>
    </row>
    <row r="925" spans="1:12" ht="15.75" customHeight="1" x14ac:dyDescent="0.25">
      <c r="A925" s="13"/>
      <c r="B925" s="13"/>
      <c r="C925" s="13"/>
      <c r="D925" s="13"/>
      <c r="E925" s="13"/>
      <c r="F925" s="13"/>
      <c r="G925" s="13"/>
      <c r="H925" s="13"/>
      <c r="I925" s="13"/>
      <c r="J925" s="13"/>
      <c r="K925" s="13"/>
      <c r="L925" s="13"/>
    </row>
    <row r="926" spans="1:12" ht="15.75" customHeight="1" x14ac:dyDescent="0.25">
      <c r="A926" s="13"/>
      <c r="B926" s="13"/>
      <c r="C926" s="13"/>
      <c r="D926" s="13"/>
      <c r="E926" s="13"/>
      <c r="F926" s="13"/>
      <c r="G926" s="13"/>
      <c r="H926" s="13"/>
      <c r="I926" s="13"/>
      <c r="J926" s="13"/>
      <c r="K926" s="13"/>
      <c r="L926" s="13"/>
    </row>
    <row r="927" spans="1:12" ht="15.75" customHeight="1" x14ac:dyDescent="0.25">
      <c r="A927" s="13"/>
      <c r="B927" s="13"/>
      <c r="C927" s="13"/>
      <c r="D927" s="13"/>
      <c r="E927" s="13"/>
      <c r="F927" s="13"/>
      <c r="G927" s="13"/>
      <c r="H927" s="13"/>
      <c r="I927" s="13"/>
      <c r="J927" s="13"/>
      <c r="K927" s="13"/>
      <c r="L927" s="13"/>
    </row>
    <row r="928" spans="1:12" ht="15.75" customHeight="1" x14ac:dyDescent="0.25">
      <c r="A928" s="13"/>
      <c r="B928" s="13"/>
      <c r="C928" s="13"/>
      <c r="D928" s="13"/>
      <c r="E928" s="13"/>
      <c r="F928" s="13"/>
      <c r="G928" s="13"/>
      <c r="H928" s="13"/>
      <c r="I928" s="13"/>
      <c r="J928" s="13"/>
      <c r="K928" s="13"/>
      <c r="L928" s="13"/>
    </row>
    <row r="929" spans="1:12" ht="15.75" customHeight="1" x14ac:dyDescent="0.25">
      <c r="A929" s="13"/>
      <c r="B929" s="13"/>
      <c r="C929" s="13"/>
      <c r="D929" s="13"/>
      <c r="E929" s="13"/>
      <c r="F929" s="13"/>
      <c r="G929" s="13"/>
      <c r="H929" s="13"/>
      <c r="I929" s="13"/>
      <c r="J929" s="13"/>
      <c r="K929" s="13"/>
      <c r="L929" s="13"/>
    </row>
    <row r="930" spans="1:12" ht="15.75" customHeight="1" x14ac:dyDescent="0.25">
      <c r="A930" s="13"/>
      <c r="B930" s="13"/>
      <c r="C930" s="13"/>
      <c r="D930" s="13"/>
      <c r="E930" s="13"/>
      <c r="F930" s="13"/>
      <c r="G930" s="13"/>
      <c r="H930" s="13"/>
      <c r="I930" s="13"/>
      <c r="J930" s="13"/>
      <c r="K930" s="13"/>
      <c r="L930" s="13"/>
    </row>
    <row r="931" spans="1:12" ht="15.75" customHeight="1" x14ac:dyDescent="0.25">
      <c r="A931" s="13"/>
      <c r="B931" s="13"/>
      <c r="C931" s="13"/>
      <c r="D931" s="13"/>
      <c r="E931" s="13"/>
      <c r="F931" s="13"/>
      <c r="G931" s="13"/>
      <c r="H931" s="13"/>
      <c r="I931" s="13"/>
      <c r="J931" s="13"/>
      <c r="K931" s="13"/>
      <c r="L931" s="13"/>
    </row>
    <row r="932" spans="1:12" ht="15.75" customHeight="1" x14ac:dyDescent="0.25">
      <c r="A932" s="13"/>
      <c r="B932" s="13"/>
      <c r="C932" s="13"/>
      <c r="D932" s="13"/>
      <c r="E932" s="13"/>
      <c r="F932" s="13"/>
      <c r="G932" s="13"/>
      <c r="H932" s="13"/>
      <c r="I932" s="13"/>
      <c r="J932" s="13"/>
      <c r="K932" s="13"/>
      <c r="L932" s="13"/>
    </row>
    <row r="933" spans="1:12" ht="15.75" customHeight="1" x14ac:dyDescent="0.25">
      <c r="A933" s="13"/>
      <c r="B933" s="13"/>
      <c r="C933" s="13"/>
      <c r="D933" s="13"/>
      <c r="E933" s="13"/>
      <c r="F933" s="13"/>
      <c r="G933" s="13"/>
      <c r="H933" s="13"/>
      <c r="I933" s="13"/>
      <c r="J933" s="13"/>
      <c r="K933" s="13"/>
      <c r="L933" s="13"/>
    </row>
    <row r="934" spans="1:12" ht="15.75" customHeight="1" x14ac:dyDescent="0.25">
      <c r="A934" s="13"/>
      <c r="B934" s="13"/>
      <c r="C934" s="13"/>
      <c r="D934" s="13"/>
      <c r="E934" s="13"/>
      <c r="F934" s="13"/>
      <c r="G934" s="13"/>
      <c r="H934" s="13"/>
      <c r="I934" s="13"/>
      <c r="J934" s="13"/>
      <c r="K934" s="13"/>
      <c r="L934" s="13"/>
    </row>
    <row r="935" spans="1:12" ht="15.75" customHeight="1" x14ac:dyDescent="0.25">
      <c r="A935" s="13"/>
      <c r="B935" s="13"/>
      <c r="C935" s="13"/>
      <c r="D935" s="13"/>
      <c r="E935" s="13"/>
      <c r="F935" s="13"/>
      <c r="G935" s="13"/>
      <c r="H935" s="13"/>
      <c r="I935" s="13"/>
      <c r="J935" s="13"/>
      <c r="K935" s="13"/>
      <c r="L935" s="13"/>
    </row>
    <row r="936" spans="1:12" ht="15.75" customHeight="1" x14ac:dyDescent="0.25">
      <c r="A936" s="13"/>
      <c r="B936" s="13"/>
      <c r="C936" s="13"/>
      <c r="D936" s="13"/>
      <c r="E936" s="13"/>
      <c r="F936" s="13"/>
      <c r="G936" s="13"/>
      <c r="H936" s="13"/>
      <c r="I936" s="13"/>
      <c r="J936" s="13"/>
      <c r="K936" s="13"/>
      <c r="L936" s="13"/>
    </row>
    <row r="937" spans="1:12" ht="15.75" customHeight="1" x14ac:dyDescent="0.25">
      <c r="A937" s="13"/>
      <c r="B937" s="13"/>
      <c r="C937" s="13"/>
      <c r="D937" s="13"/>
      <c r="E937" s="13"/>
      <c r="F937" s="13"/>
      <c r="G937" s="13"/>
      <c r="H937" s="13"/>
      <c r="I937" s="13"/>
      <c r="J937" s="13"/>
      <c r="K937" s="13"/>
      <c r="L937" s="13"/>
    </row>
    <row r="938" spans="1:12" ht="15.75" customHeight="1" x14ac:dyDescent="0.25">
      <c r="A938" s="13"/>
      <c r="B938" s="13"/>
      <c r="C938" s="13"/>
      <c r="D938" s="13"/>
      <c r="E938" s="13"/>
      <c r="F938" s="13"/>
      <c r="G938" s="13"/>
      <c r="H938" s="13"/>
      <c r="I938" s="13"/>
      <c r="J938" s="13"/>
      <c r="K938" s="13"/>
      <c r="L938" s="13"/>
    </row>
    <row r="939" spans="1:12" ht="15.75" customHeight="1" x14ac:dyDescent="0.25">
      <c r="A939" s="13"/>
      <c r="B939" s="13"/>
      <c r="C939" s="13"/>
      <c r="D939" s="13"/>
      <c r="E939" s="13"/>
      <c r="F939" s="13"/>
      <c r="G939" s="13"/>
      <c r="H939" s="13"/>
      <c r="I939" s="13"/>
      <c r="J939" s="13"/>
      <c r="K939" s="13"/>
      <c r="L939" s="13"/>
    </row>
    <row r="940" spans="1:12" ht="15.75" customHeight="1" x14ac:dyDescent="0.25">
      <c r="A940" s="13"/>
      <c r="B940" s="13"/>
      <c r="C940" s="13"/>
      <c r="D940" s="13"/>
      <c r="E940" s="13"/>
      <c r="F940" s="13"/>
      <c r="G940" s="13"/>
      <c r="H940" s="13"/>
      <c r="I940" s="13"/>
      <c r="J940" s="13"/>
      <c r="K940" s="13"/>
      <c r="L940" s="13"/>
    </row>
    <row r="941" spans="1:12" ht="15.75" customHeight="1" x14ac:dyDescent="0.25">
      <c r="A941" s="13"/>
      <c r="B941" s="13"/>
      <c r="C941" s="13"/>
      <c r="D941" s="13"/>
      <c r="E941" s="13"/>
      <c r="F941" s="13"/>
      <c r="G941" s="13"/>
      <c r="H941" s="13"/>
      <c r="I941" s="13"/>
      <c r="J941" s="13"/>
      <c r="K941" s="13"/>
      <c r="L941" s="13"/>
    </row>
    <row r="942" spans="1:12" ht="15.75" customHeight="1" x14ac:dyDescent="0.25">
      <c r="A942" s="13"/>
      <c r="B942" s="13"/>
      <c r="C942" s="13"/>
      <c r="D942" s="13"/>
      <c r="E942" s="13"/>
      <c r="F942" s="13"/>
      <c r="G942" s="13"/>
      <c r="H942" s="13"/>
      <c r="I942" s="13"/>
      <c r="J942" s="13"/>
      <c r="K942" s="13"/>
      <c r="L942" s="13"/>
    </row>
    <row r="943" spans="1:12" ht="15.75" customHeight="1" x14ac:dyDescent="0.25">
      <c r="A943" s="13"/>
      <c r="B943" s="13"/>
      <c r="C943" s="13"/>
      <c r="D943" s="13"/>
      <c r="E943" s="13"/>
      <c r="F943" s="13"/>
      <c r="G943" s="13"/>
      <c r="H943" s="13"/>
      <c r="I943" s="13"/>
      <c r="J943" s="13"/>
      <c r="K943" s="13"/>
      <c r="L943" s="13"/>
    </row>
    <row r="944" spans="1:12" ht="15.75" customHeight="1" x14ac:dyDescent="0.25">
      <c r="A944" s="13"/>
      <c r="B944" s="13"/>
      <c r="C944" s="13"/>
      <c r="D944" s="13"/>
      <c r="E944" s="13"/>
      <c r="F944" s="13"/>
      <c r="G944" s="13"/>
      <c r="H944" s="13"/>
      <c r="I944" s="13"/>
      <c r="J944" s="13"/>
      <c r="K944" s="13"/>
      <c r="L944" s="13"/>
    </row>
    <row r="945" spans="1:12" ht="15.75" customHeight="1" x14ac:dyDescent="0.25">
      <c r="A945" s="13"/>
      <c r="B945" s="13"/>
      <c r="C945" s="13"/>
      <c r="D945" s="13"/>
      <c r="E945" s="13"/>
      <c r="F945" s="13"/>
      <c r="G945" s="13"/>
      <c r="H945" s="13"/>
      <c r="I945" s="13"/>
      <c r="J945" s="13"/>
      <c r="K945" s="13"/>
      <c r="L945" s="13"/>
    </row>
    <row r="946" spans="1:12" ht="15.75" customHeight="1" x14ac:dyDescent="0.25">
      <c r="A946" s="13"/>
      <c r="B946" s="13"/>
      <c r="C946" s="13"/>
      <c r="D946" s="13"/>
      <c r="E946" s="13"/>
      <c r="F946" s="13"/>
      <c r="G946" s="13"/>
      <c r="H946" s="13"/>
      <c r="I946" s="13"/>
      <c r="J946" s="13"/>
      <c r="K946" s="13"/>
      <c r="L946" s="13"/>
    </row>
    <row r="947" spans="1:12" ht="15.75" customHeight="1" x14ac:dyDescent="0.25">
      <c r="A947" s="13"/>
      <c r="B947" s="13"/>
      <c r="C947" s="13"/>
      <c r="D947" s="13"/>
      <c r="E947" s="13"/>
      <c r="F947" s="13"/>
      <c r="G947" s="13"/>
      <c r="H947" s="13"/>
      <c r="I947" s="13"/>
      <c r="J947" s="13"/>
      <c r="K947" s="13"/>
      <c r="L947" s="13"/>
    </row>
    <row r="948" spans="1:12" ht="15.75" customHeight="1" x14ac:dyDescent="0.25">
      <c r="A948" s="13"/>
      <c r="B948" s="13"/>
      <c r="C948" s="13"/>
      <c r="D948" s="13"/>
      <c r="E948" s="13"/>
      <c r="F948" s="13"/>
      <c r="G948" s="13"/>
      <c r="H948" s="13"/>
      <c r="I948" s="13"/>
      <c r="J948" s="13"/>
      <c r="K948" s="13"/>
      <c r="L948" s="13"/>
    </row>
    <row r="949" spans="1:12" ht="15.75" customHeight="1" x14ac:dyDescent="0.25">
      <c r="A949" s="13"/>
      <c r="B949" s="13"/>
      <c r="C949" s="13"/>
      <c r="D949" s="13"/>
      <c r="E949" s="13"/>
      <c r="F949" s="13"/>
      <c r="G949" s="13"/>
      <c r="H949" s="13"/>
      <c r="I949" s="13"/>
      <c r="J949" s="13"/>
      <c r="K949" s="13"/>
      <c r="L949" s="13"/>
    </row>
    <row r="950" spans="1:12" ht="15.75" customHeight="1" x14ac:dyDescent="0.25">
      <c r="A950" s="13"/>
      <c r="B950" s="13"/>
      <c r="C950" s="13"/>
      <c r="D950" s="13"/>
      <c r="E950" s="13"/>
      <c r="F950" s="13"/>
      <c r="G950" s="13"/>
      <c r="H950" s="13"/>
      <c r="I950" s="13"/>
      <c r="J950" s="13"/>
      <c r="K950" s="13"/>
      <c r="L950" s="13"/>
    </row>
    <row r="951" spans="1:12" ht="15.75" customHeight="1" x14ac:dyDescent="0.25">
      <c r="A951" s="13"/>
      <c r="B951" s="13"/>
      <c r="C951" s="13"/>
      <c r="D951" s="13"/>
      <c r="E951" s="13"/>
      <c r="F951" s="13"/>
      <c r="G951" s="13"/>
      <c r="H951" s="13"/>
      <c r="I951" s="13"/>
      <c r="J951" s="13"/>
      <c r="K951" s="13"/>
      <c r="L951" s="13"/>
    </row>
    <row r="952" spans="1:12" ht="15.75" customHeight="1" x14ac:dyDescent="0.25">
      <c r="A952" s="13"/>
      <c r="B952" s="13"/>
      <c r="C952" s="13"/>
      <c r="D952" s="13"/>
      <c r="E952" s="13"/>
      <c r="F952" s="13"/>
      <c r="G952" s="13"/>
      <c r="H952" s="13"/>
      <c r="I952" s="13"/>
      <c r="J952" s="13"/>
      <c r="K952" s="13"/>
      <c r="L952" s="13"/>
    </row>
    <row r="953" spans="1:12" ht="15.75" customHeight="1" x14ac:dyDescent="0.25">
      <c r="A953" s="13"/>
      <c r="B953" s="13"/>
      <c r="C953" s="13"/>
      <c r="D953" s="13"/>
      <c r="E953" s="13"/>
      <c r="F953" s="13"/>
      <c r="G953" s="13"/>
      <c r="H953" s="13"/>
      <c r="I953" s="13"/>
      <c r="J953" s="13"/>
      <c r="K953" s="13"/>
      <c r="L953" s="13"/>
    </row>
    <row r="954" spans="1:12" ht="15.75" customHeight="1" x14ac:dyDescent="0.25">
      <c r="A954" s="13"/>
      <c r="B954" s="13"/>
      <c r="C954" s="13"/>
      <c r="D954" s="13"/>
      <c r="E954" s="13"/>
      <c r="F954" s="13"/>
      <c r="G954" s="13"/>
      <c r="H954" s="13"/>
      <c r="I954" s="13"/>
      <c r="J954" s="13"/>
      <c r="K954" s="13"/>
      <c r="L954" s="13"/>
    </row>
    <row r="955" spans="1:12" ht="15.75" customHeight="1" x14ac:dyDescent="0.25">
      <c r="A955" s="13"/>
      <c r="B955" s="13"/>
      <c r="C955" s="13"/>
      <c r="D955" s="13"/>
      <c r="E955" s="13"/>
      <c r="F955" s="13"/>
      <c r="G955" s="13"/>
      <c r="H955" s="13"/>
      <c r="I955" s="13"/>
      <c r="J955" s="13"/>
      <c r="K955" s="13"/>
      <c r="L955" s="13"/>
    </row>
    <row r="956" spans="1:12" ht="15.75" customHeight="1" x14ac:dyDescent="0.25">
      <c r="A956" s="13"/>
      <c r="B956" s="13"/>
      <c r="C956" s="13"/>
      <c r="D956" s="13"/>
      <c r="E956" s="13"/>
      <c r="F956" s="13"/>
      <c r="G956" s="13"/>
      <c r="H956" s="13"/>
      <c r="I956" s="13"/>
      <c r="J956" s="13"/>
      <c r="K956" s="13"/>
      <c r="L956" s="13"/>
    </row>
    <row r="957" spans="1:12" ht="15.75" customHeight="1" x14ac:dyDescent="0.25">
      <c r="A957" s="13"/>
      <c r="B957" s="13"/>
      <c r="C957" s="13"/>
      <c r="D957" s="13"/>
      <c r="E957" s="13"/>
      <c r="F957" s="13"/>
      <c r="G957" s="13"/>
      <c r="H957" s="13"/>
      <c r="I957" s="13"/>
      <c r="J957" s="13"/>
      <c r="K957" s="13"/>
      <c r="L957" s="13"/>
    </row>
    <row r="958" spans="1:12" ht="15.75" customHeight="1" x14ac:dyDescent="0.25">
      <c r="A958" s="13"/>
      <c r="B958" s="13"/>
      <c r="C958" s="13"/>
      <c r="D958" s="13"/>
      <c r="E958" s="13"/>
      <c r="F958" s="13"/>
      <c r="G958" s="13"/>
      <c r="H958" s="13"/>
      <c r="I958" s="13"/>
      <c r="J958" s="13"/>
      <c r="K958" s="13"/>
      <c r="L958" s="13"/>
    </row>
    <row r="959" spans="1:12" ht="15.75" customHeight="1" x14ac:dyDescent="0.25">
      <c r="A959" s="13"/>
      <c r="B959" s="13"/>
      <c r="C959" s="13"/>
      <c r="D959" s="13"/>
      <c r="E959" s="13"/>
      <c r="F959" s="13"/>
      <c r="G959" s="13"/>
      <c r="H959" s="13"/>
      <c r="I959" s="13"/>
      <c r="J959" s="13"/>
      <c r="K959" s="13"/>
      <c r="L959" s="13"/>
    </row>
    <row r="960" spans="1:12" ht="15.75" customHeight="1" x14ac:dyDescent="0.25">
      <c r="A960" s="13"/>
      <c r="B960" s="13"/>
      <c r="C960" s="13"/>
      <c r="D960" s="13"/>
      <c r="E960" s="13"/>
      <c r="F960" s="13"/>
      <c r="G960" s="13"/>
      <c r="H960" s="13"/>
      <c r="I960" s="13"/>
      <c r="J960" s="13"/>
      <c r="K960" s="13"/>
      <c r="L960" s="13"/>
    </row>
    <row r="961" spans="1:12" ht="15.75" customHeight="1" x14ac:dyDescent="0.25">
      <c r="A961" s="13"/>
      <c r="B961" s="13"/>
      <c r="C961" s="13"/>
      <c r="D961" s="13"/>
      <c r="E961" s="13"/>
      <c r="F961" s="13"/>
      <c r="G961" s="13"/>
      <c r="H961" s="13"/>
      <c r="I961" s="13"/>
      <c r="J961" s="13"/>
      <c r="K961" s="13"/>
      <c r="L961" s="13"/>
    </row>
    <row r="962" spans="1:12" ht="15.75" customHeight="1" x14ac:dyDescent="0.25">
      <c r="A962" s="13"/>
      <c r="B962" s="13"/>
      <c r="C962" s="13"/>
      <c r="D962" s="13"/>
      <c r="E962" s="13"/>
      <c r="F962" s="13"/>
      <c r="G962" s="13"/>
      <c r="H962" s="13"/>
      <c r="I962" s="13"/>
      <c r="J962" s="13"/>
      <c r="K962" s="13"/>
      <c r="L962" s="13"/>
    </row>
    <row r="963" spans="1:12" ht="15.75" customHeight="1" x14ac:dyDescent="0.25">
      <c r="A963" s="13"/>
      <c r="B963" s="13"/>
      <c r="C963" s="13"/>
      <c r="D963" s="13"/>
      <c r="E963" s="13"/>
      <c r="F963" s="13"/>
      <c r="G963" s="13"/>
      <c r="H963" s="13"/>
      <c r="I963" s="13"/>
      <c r="J963" s="13"/>
      <c r="K963" s="13"/>
      <c r="L963" s="13"/>
    </row>
    <row r="964" spans="1:12" ht="15.75" customHeight="1" x14ac:dyDescent="0.25">
      <c r="A964" s="13"/>
      <c r="B964" s="13"/>
      <c r="C964" s="13"/>
      <c r="D964" s="13"/>
      <c r="E964" s="13"/>
      <c r="F964" s="13"/>
      <c r="G964" s="13"/>
      <c r="H964" s="13"/>
      <c r="I964" s="13"/>
      <c r="J964" s="13"/>
      <c r="K964" s="13"/>
      <c r="L964" s="13"/>
    </row>
    <row r="965" spans="1:12" ht="15.75" customHeight="1" x14ac:dyDescent="0.25">
      <c r="A965" s="13"/>
      <c r="B965" s="13"/>
      <c r="C965" s="13"/>
      <c r="D965" s="13"/>
      <c r="E965" s="13"/>
      <c r="F965" s="13"/>
      <c r="G965" s="13"/>
      <c r="H965" s="13"/>
      <c r="I965" s="13"/>
      <c r="J965" s="13"/>
      <c r="K965" s="13"/>
      <c r="L965" s="13"/>
    </row>
    <row r="966" spans="1:12" ht="15.75" customHeight="1" x14ac:dyDescent="0.25">
      <c r="A966" s="13"/>
      <c r="B966" s="13"/>
      <c r="C966" s="13"/>
      <c r="D966" s="13"/>
      <c r="E966" s="13"/>
      <c r="F966" s="13"/>
      <c r="G966" s="13"/>
      <c r="H966" s="13"/>
      <c r="I966" s="13"/>
      <c r="J966" s="13"/>
      <c r="K966" s="13"/>
      <c r="L966" s="13"/>
    </row>
    <row r="967" spans="1:12" ht="15.75" customHeight="1" x14ac:dyDescent="0.25">
      <c r="A967" s="13"/>
      <c r="B967" s="13"/>
      <c r="C967" s="13"/>
      <c r="D967" s="13"/>
      <c r="E967" s="13"/>
      <c r="F967" s="13"/>
      <c r="G967" s="13"/>
      <c r="H967" s="13"/>
      <c r="I967" s="13"/>
      <c r="J967" s="13"/>
      <c r="K967" s="13"/>
      <c r="L967" s="13"/>
    </row>
    <row r="968" spans="1:12" ht="15.75" customHeight="1" x14ac:dyDescent="0.25">
      <c r="A968" s="13"/>
      <c r="B968" s="13"/>
      <c r="C968" s="13"/>
      <c r="D968" s="13"/>
      <c r="E968" s="13"/>
      <c r="F968" s="13"/>
      <c r="G968" s="13"/>
      <c r="H968" s="13"/>
      <c r="I968" s="13"/>
      <c r="J968" s="13"/>
      <c r="K968" s="13"/>
      <c r="L968" s="13"/>
    </row>
    <row r="969" spans="1:12" ht="15.75" customHeight="1" x14ac:dyDescent="0.25">
      <c r="A969" s="13"/>
      <c r="B969" s="13"/>
      <c r="C969" s="13"/>
      <c r="D969" s="13"/>
      <c r="E969" s="13"/>
      <c r="F969" s="13"/>
      <c r="G969" s="13"/>
      <c r="H969" s="13"/>
      <c r="I969" s="13"/>
      <c r="J969" s="13"/>
      <c r="K969" s="13"/>
      <c r="L969" s="13"/>
    </row>
    <row r="970" spans="1:12" ht="15.75" customHeight="1" x14ac:dyDescent="0.25">
      <c r="A970" s="13"/>
      <c r="B970" s="13"/>
      <c r="C970" s="13"/>
      <c r="D970" s="13"/>
      <c r="E970" s="13"/>
      <c r="F970" s="13"/>
      <c r="G970" s="13"/>
      <c r="H970" s="13"/>
      <c r="I970" s="13"/>
      <c r="J970" s="13"/>
      <c r="K970" s="13"/>
      <c r="L970" s="13"/>
    </row>
    <row r="971" spans="1:12" ht="15.75" customHeight="1" x14ac:dyDescent="0.25">
      <c r="A971" s="13"/>
      <c r="B971" s="13"/>
      <c r="C971" s="13"/>
      <c r="D971" s="13"/>
      <c r="E971" s="13"/>
      <c r="F971" s="13"/>
      <c r="G971" s="13"/>
      <c r="H971" s="13"/>
      <c r="I971" s="13"/>
      <c r="J971" s="13"/>
      <c r="K971" s="13"/>
      <c r="L971" s="13"/>
    </row>
    <row r="972" spans="1:12" ht="15.75" customHeight="1" x14ac:dyDescent="0.25">
      <c r="A972" s="13"/>
      <c r="B972" s="13"/>
      <c r="C972" s="13"/>
      <c r="D972" s="13"/>
      <c r="E972" s="13"/>
      <c r="F972" s="13"/>
      <c r="G972" s="13"/>
      <c r="H972" s="13"/>
      <c r="I972" s="13"/>
      <c r="J972" s="13"/>
      <c r="K972" s="13"/>
      <c r="L972" s="13"/>
    </row>
    <row r="973" spans="1:12" ht="15.75" customHeight="1" x14ac:dyDescent="0.25">
      <c r="A973" s="13"/>
      <c r="B973" s="13"/>
      <c r="C973" s="13"/>
      <c r="D973" s="13"/>
      <c r="E973" s="13"/>
      <c r="F973" s="13"/>
      <c r="G973" s="13"/>
      <c r="H973" s="13"/>
      <c r="I973" s="13"/>
      <c r="J973" s="13"/>
      <c r="K973" s="13"/>
      <c r="L973" s="13"/>
    </row>
    <row r="974" spans="1:12" ht="15.75" customHeight="1" x14ac:dyDescent="0.25">
      <c r="A974" s="13"/>
      <c r="B974" s="13"/>
      <c r="C974" s="13"/>
      <c r="D974" s="13"/>
      <c r="E974" s="13"/>
      <c r="F974" s="13"/>
      <c r="G974" s="13"/>
      <c r="H974" s="13"/>
      <c r="I974" s="13"/>
      <c r="J974" s="13"/>
      <c r="K974" s="13"/>
      <c r="L974" s="13"/>
    </row>
    <row r="975" spans="1:12" ht="15.75" customHeight="1" x14ac:dyDescent="0.25">
      <c r="A975" s="13"/>
      <c r="B975" s="13"/>
      <c r="C975" s="13"/>
      <c r="D975" s="13"/>
      <c r="E975" s="13"/>
      <c r="F975" s="13"/>
      <c r="G975" s="13"/>
      <c r="H975" s="13"/>
      <c r="I975" s="13"/>
      <c r="J975" s="13"/>
      <c r="K975" s="13"/>
      <c r="L975" s="13"/>
    </row>
    <row r="976" spans="1:12" ht="15.75" customHeight="1" x14ac:dyDescent="0.25">
      <c r="A976" s="13"/>
      <c r="B976" s="13"/>
      <c r="C976" s="13"/>
      <c r="D976" s="13"/>
      <c r="E976" s="13"/>
      <c r="F976" s="13"/>
      <c r="G976" s="13"/>
      <c r="H976" s="13"/>
      <c r="I976" s="13"/>
      <c r="J976" s="13"/>
      <c r="K976" s="13"/>
      <c r="L976" s="13"/>
    </row>
    <row r="977" spans="1:12" ht="15.75" customHeight="1" x14ac:dyDescent="0.25">
      <c r="A977" s="13"/>
      <c r="B977" s="13"/>
      <c r="C977" s="13"/>
      <c r="D977" s="13"/>
      <c r="E977" s="13"/>
      <c r="F977" s="13"/>
      <c r="G977" s="13"/>
      <c r="H977" s="13"/>
      <c r="I977" s="13"/>
      <c r="J977" s="13"/>
      <c r="K977" s="13"/>
      <c r="L977" s="13"/>
    </row>
    <row r="978" spans="1:12" ht="15.75" customHeight="1" x14ac:dyDescent="0.25">
      <c r="A978" s="13"/>
      <c r="B978" s="13"/>
      <c r="C978" s="13"/>
      <c r="D978" s="13"/>
      <c r="E978" s="13"/>
      <c r="F978" s="13"/>
      <c r="G978" s="13"/>
      <c r="H978" s="13"/>
      <c r="I978" s="13"/>
      <c r="J978" s="13"/>
      <c r="K978" s="13"/>
      <c r="L978" s="13"/>
    </row>
    <row r="979" spans="1:12" ht="15.75" customHeight="1" x14ac:dyDescent="0.25">
      <c r="A979" s="13"/>
      <c r="B979" s="13"/>
      <c r="C979" s="13"/>
      <c r="D979" s="13"/>
      <c r="E979" s="13"/>
      <c r="F979" s="13"/>
      <c r="G979" s="13"/>
      <c r="H979" s="13"/>
      <c r="I979" s="13"/>
      <c r="J979" s="13"/>
      <c r="K979" s="13"/>
      <c r="L979" s="13"/>
    </row>
    <row r="980" spans="1:12" ht="15.75" customHeight="1" x14ac:dyDescent="0.25">
      <c r="A980" s="13"/>
      <c r="B980" s="13"/>
      <c r="C980" s="13"/>
      <c r="D980" s="13"/>
      <c r="E980" s="13"/>
      <c r="F980" s="13"/>
      <c r="G980" s="13"/>
      <c r="H980" s="13"/>
      <c r="I980" s="13"/>
      <c r="J980" s="13"/>
      <c r="K980" s="13"/>
      <c r="L980" s="13"/>
    </row>
    <row r="981" spans="1:12" ht="15.75" customHeight="1" x14ac:dyDescent="0.25">
      <c r="A981" s="13"/>
      <c r="B981" s="13"/>
      <c r="C981" s="13"/>
      <c r="D981" s="13"/>
      <c r="E981" s="13"/>
      <c r="F981" s="13"/>
      <c r="G981" s="13"/>
      <c r="H981" s="13"/>
      <c r="I981" s="13"/>
      <c r="J981" s="13"/>
      <c r="K981" s="13"/>
      <c r="L981" s="13"/>
    </row>
    <row r="982" spans="1:12" ht="15.75" customHeight="1" x14ac:dyDescent="0.25">
      <c r="A982" s="13"/>
      <c r="B982" s="13"/>
      <c r="C982" s="13"/>
      <c r="D982" s="13"/>
      <c r="E982" s="13"/>
      <c r="F982" s="13"/>
      <c r="G982" s="13"/>
      <c r="H982" s="13"/>
      <c r="I982" s="13"/>
      <c r="J982" s="13"/>
      <c r="K982" s="13"/>
      <c r="L982" s="13"/>
    </row>
    <row r="983" spans="1:12" ht="15.75" customHeight="1" x14ac:dyDescent="0.25">
      <c r="A983" s="13"/>
      <c r="B983" s="13"/>
      <c r="C983" s="13"/>
      <c r="D983" s="13"/>
      <c r="E983" s="13"/>
      <c r="F983" s="13"/>
      <c r="G983" s="13"/>
      <c r="H983" s="13"/>
      <c r="I983" s="13"/>
      <c r="J983" s="13"/>
      <c r="K983" s="13"/>
      <c r="L983" s="13"/>
    </row>
    <row r="984" spans="1:12" ht="15.75" customHeight="1" x14ac:dyDescent="0.25">
      <c r="A984" s="13"/>
      <c r="B984" s="13"/>
      <c r="C984" s="13"/>
      <c r="D984" s="13"/>
      <c r="E984" s="13"/>
      <c r="F984" s="13"/>
      <c r="G984" s="13"/>
      <c r="H984" s="13"/>
      <c r="I984" s="13"/>
      <c r="J984" s="13"/>
      <c r="K984" s="13"/>
      <c r="L984" s="13"/>
    </row>
    <row r="985" spans="1:12" ht="15.75" customHeight="1" x14ac:dyDescent="0.25">
      <c r="A985" s="13"/>
      <c r="B985" s="13"/>
      <c r="C985" s="13"/>
      <c r="D985" s="13"/>
      <c r="E985" s="13"/>
      <c r="F985" s="13"/>
      <c r="G985" s="13"/>
      <c r="H985" s="13"/>
      <c r="I985" s="13"/>
      <c r="J985" s="13"/>
      <c r="K985" s="13"/>
      <c r="L985" s="13"/>
    </row>
    <row r="986" spans="1:12" ht="15.75" customHeight="1" x14ac:dyDescent="0.25">
      <c r="A986" s="13"/>
      <c r="B986" s="13"/>
      <c r="C986" s="13"/>
      <c r="D986" s="13"/>
      <c r="E986" s="13"/>
      <c r="F986" s="13"/>
      <c r="G986" s="13"/>
      <c r="H986" s="13"/>
      <c r="I986" s="13"/>
      <c r="J986" s="13"/>
      <c r="K986" s="13"/>
      <c r="L986" s="13"/>
    </row>
    <row r="987" spans="1:12" ht="15.75" customHeight="1" x14ac:dyDescent="0.25">
      <c r="A987" s="13"/>
      <c r="B987" s="13"/>
      <c r="C987" s="13"/>
      <c r="D987" s="13"/>
      <c r="E987" s="13"/>
      <c r="F987" s="13"/>
      <c r="G987" s="13"/>
      <c r="H987" s="13"/>
      <c r="I987" s="13"/>
      <c r="J987" s="13"/>
      <c r="K987" s="13"/>
      <c r="L987" s="13"/>
    </row>
    <row r="988" spans="1:12" ht="15.75" customHeight="1" x14ac:dyDescent="0.25">
      <c r="A988" s="13"/>
      <c r="B988" s="13"/>
      <c r="C988" s="13"/>
      <c r="D988" s="13"/>
      <c r="E988" s="13"/>
      <c r="F988" s="13"/>
      <c r="G988" s="13"/>
      <c r="H988" s="13"/>
      <c r="I988" s="13"/>
      <c r="J988" s="13"/>
      <c r="K988" s="13"/>
      <c r="L988" s="13"/>
    </row>
    <row r="989" spans="1:12" ht="15.75" customHeight="1" x14ac:dyDescent="0.25">
      <c r="A989" s="13"/>
      <c r="B989" s="13"/>
      <c r="C989" s="13"/>
      <c r="D989" s="13"/>
      <c r="E989" s="13"/>
      <c r="F989" s="13"/>
      <c r="G989" s="13"/>
      <c r="H989" s="13"/>
      <c r="I989" s="13"/>
      <c r="J989" s="13"/>
      <c r="K989" s="13"/>
      <c r="L989" s="13"/>
    </row>
    <row r="990" spans="1:12" ht="15.75" customHeight="1" x14ac:dyDescent="0.25">
      <c r="A990" s="13"/>
      <c r="B990" s="13"/>
      <c r="C990" s="13"/>
      <c r="D990" s="13"/>
      <c r="E990" s="13"/>
      <c r="F990" s="13"/>
      <c r="G990" s="13"/>
      <c r="H990" s="13"/>
      <c r="I990" s="13"/>
      <c r="J990" s="13"/>
      <c r="K990" s="13"/>
      <c r="L990" s="13"/>
    </row>
    <row r="991" spans="1:12" ht="15.75" customHeight="1" x14ac:dyDescent="0.25">
      <c r="A991" s="13"/>
      <c r="B991" s="13"/>
      <c r="C991" s="13"/>
      <c r="D991" s="13"/>
      <c r="E991" s="13"/>
      <c r="F991" s="13"/>
      <c r="G991" s="13"/>
      <c r="H991" s="13"/>
      <c r="I991" s="13"/>
      <c r="J991" s="13"/>
      <c r="K991" s="13"/>
      <c r="L991" s="13"/>
    </row>
    <row r="992" spans="1:12" ht="15.75" customHeight="1" x14ac:dyDescent="0.25">
      <c r="A992" s="13"/>
      <c r="B992" s="13"/>
      <c r="C992" s="13"/>
      <c r="D992" s="13"/>
      <c r="E992" s="13"/>
      <c r="F992" s="13"/>
      <c r="G992" s="13"/>
      <c r="H992" s="13"/>
      <c r="I992" s="13"/>
      <c r="J992" s="13"/>
      <c r="K992" s="13"/>
      <c r="L992" s="13"/>
    </row>
    <row r="993" spans="1:12" ht="15.75" customHeight="1" x14ac:dyDescent="0.25">
      <c r="A993" s="13"/>
      <c r="B993" s="13"/>
      <c r="C993" s="13"/>
      <c r="D993" s="13"/>
      <c r="E993" s="13"/>
      <c r="F993" s="13"/>
      <c r="G993" s="13"/>
      <c r="H993" s="13"/>
      <c r="I993" s="13"/>
      <c r="J993" s="13"/>
      <c r="K993" s="13"/>
      <c r="L993" s="13"/>
    </row>
    <row r="994" spans="1:12" ht="15.75" customHeight="1" x14ac:dyDescent="0.25">
      <c r="A994" s="13"/>
      <c r="B994" s="13"/>
      <c r="C994" s="13"/>
      <c r="D994" s="13"/>
      <c r="E994" s="13"/>
      <c r="F994" s="13"/>
      <c r="G994" s="13"/>
      <c r="H994" s="13"/>
      <c r="I994" s="13"/>
      <c r="J994" s="13"/>
      <c r="K994" s="13"/>
      <c r="L994" s="13"/>
    </row>
    <row r="995" spans="1:12" ht="15.75" customHeight="1" x14ac:dyDescent="0.25">
      <c r="A995" s="13"/>
      <c r="B995" s="13"/>
      <c r="C995" s="13"/>
      <c r="D995" s="13"/>
      <c r="E995" s="13"/>
      <c r="F995" s="13"/>
      <c r="G995" s="13"/>
      <c r="H995" s="13"/>
      <c r="I995" s="13"/>
      <c r="J995" s="13"/>
      <c r="K995" s="13"/>
      <c r="L995" s="13"/>
    </row>
    <row r="996" spans="1:12" ht="15.75" customHeight="1" x14ac:dyDescent="0.25">
      <c r="A996" s="13"/>
      <c r="B996" s="13"/>
      <c r="C996" s="13"/>
      <c r="D996" s="13"/>
      <c r="E996" s="13"/>
      <c r="F996" s="13"/>
      <c r="G996" s="13"/>
      <c r="H996" s="13"/>
      <c r="I996" s="13"/>
      <c r="J996" s="13"/>
      <c r="K996" s="13"/>
      <c r="L996" s="13"/>
    </row>
    <row r="997" spans="1:12" ht="15.75" customHeight="1" x14ac:dyDescent="0.25">
      <c r="A997" s="13"/>
      <c r="B997" s="13"/>
      <c r="C997" s="13"/>
      <c r="D997" s="13"/>
      <c r="E997" s="13"/>
      <c r="F997" s="13"/>
      <c r="G997" s="13"/>
      <c r="H997" s="13"/>
      <c r="I997" s="13"/>
      <c r="J997" s="13"/>
      <c r="K997" s="13"/>
      <c r="L997" s="13"/>
    </row>
    <row r="998" spans="1:12" ht="15.75" customHeight="1" x14ac:dyDescent="0.25">
      <c r="A998" s="13"/>
      <c r="B998" s="13"/>
      <c r="C998" s="13"/>
      <c r="D998" s="13"/>
      <c r="E998" s="13"/>
      <c r="F998" s="13"/>
      <c r="G998" s="13"/>
      <c r="H998" s="13"/>
      <c r="I998" s="13"/>
      <c r="J998" s="13"/>
      <c r="K998" s="13"/>
      <c r="L998" s="13"/>
    </row>
    <row r="999" spans="1:12" ht="15.75" customHeight="1" x14ac:dyDescent="0.25">
      <c r="A999" s="13"/>
      <c r="B999" s="13"/>
      <c r="C999" s="13"/>
      <c r="D999" s="13"/>
      <c r="E999" s="13"/>
      <c r="F999" s="13"/>
      <c r="G999" s="13"/>
      <c r="H999" s="13"/>
      <c r="I999" s="13"/>
      <c r="J999" s="13"/>
      <c r="K999" s="13"/>
      <c r="L999" s="13"/>
    </row>
    <row r="1000" spans="1:12" ht="15.75" customHeight="1" x14ac:dyDescent="0.25">
      <c r="A1000" s="13"/>
      <c r="B1000" s="13"/>
      <c r="C1000" s="13"/>
      <c r="D1000" s="13"/>
      <c r="E1000" s="13"/>
      <c r="F1000" s="13"/>
      <c r="G1000" s="13"/>
      <c r="H1000" s="13"/>
      <c r="I1000" s="13"/>
      <c r="J1000" s="13"/>
      <c r="K1000" s="13"/>
      <c r="L1000" s="13"/>
    </row>
  </sheetData>
  <mergeCells count="2">
    <mergeCell ref="B6:B9"/>
    <mergeCell ref="E6:E9"/>
  </mergeCell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9"/>
  <sheetViews>
    <sheetView topLeftCell="A3" workbookViewId="0">
      <selection sqref="A1:B9"/>
    </sheetView>
  </sheetViews>
  <sheetFormatPr defaultRowHeight="13.2" x14ac:dyDescent="0.25"/>
  <sheetData>
    <row r="1" spans="1:6" ht="13.8" thickBot="1" x14ac:dyDescent="0.3">
      <c r="A1" s="28" t="s">
        <v>119</v>
      </c>
      <c r="B1" s="29" t="s">
        <v>120</v>
      </c>
      <c r="C1" s="29" t="s">
        <v>119</v>
      </c>
      <c r="D1" s="29" t="s">
        <v>120</v>
      </c>
      <c r="E1" s="29" t="s">
        <v>119</v>
      </c>
      <c r="F1" s="29" t="s">
        <v>120</v>
      </c>
    </row>
    <row r="2" spans="1:6" ht="60.6" thickBot="1" x14ac:dyDescent="0.3">
      <c r="A2" s="30" t="s">
        <v>121</v>
      </c>
      <c r="B2" s="31" t="s">
        <v>122</v>
      </c>
      <c r="C2" s="32" t="s">
        <v>123</v>
      </c>
      <c r="D2" s="31" t="s">
        <v>124</v>
      </c>
      <c r="E2" s="31" t="s">
        <v>125</v>
      </c>
      <c r="F2" s="31" t="s">
        <v>126</v>
      </c>
    </row>
    <row r="3" spans="1:6" ht="48.6" thickBot="1" x14ac:dyDescent="0.3">
      <c r="A3" s="30" t="s">
        <v>127</v>
      </c>
      <c r="B3" s="31" t="s">
        <v>128</v>
      </c>
      <c r="C3" s="32" t="s">
        <v>129</v>
      </c>
      <c r="D3" s="31" t="s">
        <v>130</v>
      </c>
      <c r="E3" s="31" t="s">
        <v>131</v>
      </c>
      <c r="F3" s="31" t="s">
        <v>132</v>
      </c>
    </row>
    <row r="4" spans="1:6" ht="60.6" thickBot="1" x14ac:dyDescent="0.3">
      <c r="A4" s="30" t="s">
        <v>133</v>
      </c>
      <c r="B4" s="31" t="s">
        <v>134</v>
      </c>
      <c r="C4" s="32" t="s">
        <v>135</v>
      </c>
      <c r="D4" s="31" t="s">
        <v>53</v>
      </c>
      <c r="E4" s="31" t="s">
        <v>136</v>
      </c>
      <c r="F4" s="31" t="s">
        <v>137</v>
      </c>
    </row>
    <row r="5" spans="1:6" ht="72.599999999999994" thickBot="1" x14ac:dyDescent="0.3">
      <c r="A5" s="30" t="s">
        <v>138</v>
      </c>
      <c r="B5" s="31" t="s">
        <v>20</v>
      </c>
      <c r="C5" s="32" t="s">
        <v>139</v>
      </c>
      <c r="D5" s="31" t="s">
        <v>140</v>
      </c>
      <c r="E5" s="31" t="s">
        <v>141</v>
      </c>
      <c r="F5" s="31" t="s">
        <v>142</v>
      </c>
    </row>
    <row r="6" spans="1:6" ht="60.6" thickBot="1" x14ac:dyDescent="0.3">
      <c r="A6" s="30" t="s">
        <v>143</v>
      </c>
      <c r="B6" s="31" t="s">
        <v>27</v>
      </c>
      <c r="C6" s="32" t="s">
        <v>144</v>
      </c>
      <c r="D6" s="31" t="s">
        <v>145</v>
      </c>
      <c r="E6" s="31" t="s">
        <v>146</v>
      </c>
      <c r="F6" s="31" t="s">
        <v>147</v>
      </c>
    </row>
    <row r="7" spans="1:6" ht="24.6" thickBot="1" x14ac:dyDescent="0.3">
      <c r="A7" s="30" t="s">
        <v>148</v>
      </c>
      <c r="B7" s="31" t="s">
        <v>149</v>
      </c>
      <c r="C7" s="32" t="s">
        <v>150</v>
      </c>
      <c r="D7" s="31" t="s">
        <v>151</v>
      </c>
      <c r="E7" s="31" t="s">
        <v>152</v>
      </c>
      <c r="F7" s="31" t="s">
        <v>153</v>
      </c>
    </row>
    <row r="8" spans="1:6" ht="60.6" thickBot="1" x14ac:dyDescent="0.3">
      <c r="A8" s="30" t="s">
        <v>154</v>
      </c>
      <c r="B8" s="31" t="s">
        <v>155</v>
      </c>
      <c r="C8" s="32" t="s">
        <v>156</v>
      </c>
      <c r="D8" s="31" t="s">
        <v>157</v>
      </c>
      <c r="E8" s="31" t="s">
        <v>158</v>
      </c>
      <c r="F8" s="31" t="s">
        <v>159</v>
      </c>
    </row>
    <row r="9" spans="1:6" ht="60.6" thickBot="1" x14ac:dyDescent="0.3">
      <c r="A9" s="30" t="s">
        <v>160</v>
      </c>
      <c r="B9" s="31" t="s">
        <v>161</v>
      </c>
      <c r="C9" s="32" t="s">
        <v>162</v>
      </c>
      <c r="D9" s="31" t="s">
        <v>163</v>
      </c>
      <c r="E9" s="31" t="s">
        <v>164</v>
      </c>
      <c r="F9" s="31" t="s">
        <v>95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J4"/>
  <sheetViews>
    <sheetView workbookViewId="0"/>
  </sheetViews>
  <sheetFormatPr defaultColWidth="17.33203125" defaultRowHeight="15" customHeight="1" x14ac:dyDescent="0.25"/>
  <sheetData>
    <row r="1" spans="1:10" ht="15" customHeight="1" x14ac:dyDescent="0.25">
      <c r="A1" s="17" t="s">
        <v>101</v>
      </c>
      <c r="D1" s="17" t="s">
        <v>102</v>
      </c>
      <c r="J1" s="18">
        <v>1</v>
      </c>
    </row>
    <row r="4" spans="1:10" ht="15" customHeight="1" x14ac:dyDescent="0.25">
      <c r="A4" s="17" t="s">
        <v>103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</vt:i4>
      </vt:variant>
    </vt:vector>
  </HeadingPairs>
  <TitlesOfParts>
    <vt:vector size="22" baseType="lpstr">
      <vt:lpstr>Start &amp; About-HowTo</vt:lpstr>
      <vt:lpstr>Threats</vt:lpstr>
      <vt:lpstr>AHP Settings</vt:lpstr>
      <vt:lpstr>AHP Likelihood Calculation</vt:lpstr>
      <vt:lpstr>AHP Severity Calculation</vt:lpstr>
      <vt:lpstr>Precautions</vt:lpstr>
      <vt:lpstr>LP Optimization 1</vt:lpstr>
      <vt:lpstr>Sheet1</vt:lpstr>
      <vt:lpstr>Summary 1</vt:lpstr>
      <vt:lpstr>Threats Visualizations 1</vt:lpstr>
      <vt:lpstr>Precaution Visualizations 1</vt:lpstr>
      <vt:lpstr>LP Optimization 2</vt:lpstr>
      <vt:lpstr>Summary 2</vt:lpstr>
      <vt:lpstr>Threats Visualizations 2</vt:lpstr>
      <vt:lpstr>Precaution Visualizations 2</vt:lpstr>
      <vt:lpstr>Sheet2</vt:lpstr>
      <vt:lpstr>Constraints for Sample Case</vt:lpstr>
      <vt:lpstr>Visualization 1</vt:lpstr>
      <vt:lpstr>Visualization 2</vt:lpstr>
      <vt:lpstr>Threat-Model-For-Case-Study</vt:lpstr>
      <vt:lpstr>Precautions for the Case Study</vt:lpstr>
      <vt:lpstr>__Solver__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Ferda</dc:creator>
  <cp:lastModifiedBy>Windows User</cp:lastModifiedBy>
  <dcterms:created xsi:type="dcterms:W3CDTF">2017-11-11T20:17:20Z</dcterms:created>
  <dcterms:modified xsi:type="dcterms:W3CDTF">2019-12-08T09:43:45Z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2</vt:i4>
  </property>
  <property fmtid="{D5CDD505-2E9C-101B-9397-08002B2CF9AE}" pid="3" name="WorkbookGuid">
    <vt:lpwstr>caccbc80-39fa-44a1-bcb0-f3c67a5dbb76</vt:lpwstr>
  </property>
</Properties>
</file>