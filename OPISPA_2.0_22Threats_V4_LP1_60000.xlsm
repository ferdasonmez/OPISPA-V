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Ex7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8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Ex9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0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Ex1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ferda\"/>
    </mc:Choice>
  </mc:AlternateContent>
  <bookViews>
    <workbookView xWindow="0" yWindow="0" windowWidth="23040" windowHeight="9396" tabRatio="806" firstSheet="3" activeTab="9"/>
  </bookViews>
  <sheets>
    <sheet name="Start &amp; About-HowTo" sheetId="17" r:id="rId1"/>
    <sheet name="Threats" sheetId="11" r:id="rId2"/>
    <sheet name="AHP Settings" sheetId="15" r:id="rId3"/>
    <sheet name="AHP Likelihood Calculation" sheetId="14" r:id="rId4"/>
    <sheet name="AHP Severity Calculation" sheetId="3" r:id="rId5"/>
    <sheet name="Precautions" sheetId="29" r:id="rId6"/>
    <sheet name="LP Optimization 1" sheetId="4" r:id="rId7"/>
    <sheet name="Summary 1" sheetId="7" r:id="rId8"/>
    <sheet name="Threats Visualizations 1" sheetId="18" r:id="rId9"/>
    <sheet name="Precaution Visualizations 1" sheetId="19" r:id="rId10"/>
    <sheet name="LP Optimization 2" sheetId="24" r:id="rId11"/>
    <sheet name="Summary 2" sheetId="21" r:id="rId12"/>
    <sheet name="Threats Visualizations 2" sheetId="30" r:id="rId13"/>
    <sheet name="Precaution Visualizations 2" sheetId="31" r:id="rId14"/>
    <sheet name="Sheet2" sheetId="26" r:id="rId15"/>
    <sheet name="Constraints for Sample Case" sheetId="27" r:id="rId16"/>
    <sheet name="Visualization 1" sheetId="22" r:id="rId17"/>
    <sheet name="Visualization 2" sheetId="23" r:id="rId18"/>
    <sheet name="Threat-Model-For-Case-Study" sheetId="1" r:id="rId19"/>
    <sheet name="Precautions for the Case Study" sheetId="12" r:id="rId20"/>
    <sheet name="__Solver__" sheetId="5" state="hidden" r:id="rId21"/>
  </sheets>
  <definedNames>
    <definedName name="_xlchart.v1.0" hidden="1">'Threats Visualizations 1'!$A$2:$B$23</definedName>
    <definedName name="_xlchart.v1.1" hidden="1">'Threats Visualizations 1'!$C$1</definedName>
    <definedName name="_xlchart.v1.10" hidden="1">'Precaution Visualizations 1'!$B$1</definedName>
    <definedName name="_xlchart.v1.11" hidden="1">'Precaution Visualizations 1'!$B$2:$B$33</definedName>
    <definedName name="_xlchart.v1.12" hidden="1">'Precaution Visualizations 1'!$C$1</definedName>
    <definedName name="_xlchart.v1.13" hidden="1">'Precaution Visualizations 1'!$C$2:$C$33</definedName>
    <definedName name="_xlchart.v1.14" hidden="1">'Precaution Visualizations 1'!$A$2:$A$33</definedName>
    <definedName name="_xlchart.v1.15" hidden="1">'Precaution Visualizations 1'!$B$1</definedName>
    <definedName name="_xlchart.v1.16" hidden="1">'Precaution Visualizations 1'!$B$2:$B$33</definedName>
    <definedName name="_xlchart.v1.17" hidden="1">'Precaution Visualizations 1'!$C$1</definedName>
    <definedName name="_xlchart.v1.18" hidden="1">'Precaution Visualizations 1'!$C$2:$C$33</definedName>
    <definedName name="_xlchart.v1.19" hidden="1">'Precaution Visualizations 1'!$A$2:$A$33</definedName>
    <definedName name="_xlchart.v1.2" hidden="1">'Threats Visualizations 1'!$C$2:$C$23</definedName>
    <definedName name="_xlchart.v1.20" hidden="1">'Precaution Visualizations 1'!$B$1</definedName>
    <definedName name="_xlchart.v1.21" hidden="1">'Precaution Visualizations 1'!$B$2:$B$33</definedName>
    <definedName name="_xlchart.v1.22" hidden="1">'Precaution Visualizations 1'!$C$1</definedName>
    <definedName name="_xlchart.v1.23" hidden="1">'Precaution Visualizations 1'!$C$2:$C$33</definedName>
    <definedName name="_xlchart.v1.24" hidden="1">'Threats Visualizations 2'!$A$2:$B$23</definedName>
    <definedName name="_xlchart.v1.25" hidden="1">'Threats Visualizations 2'!$C$1</definedName>
    <definedName name="_xlchart.v1.26" hidden="1">'Threats Visualizations 2'!$C$2:$C$23</definedName>
    <definedName name="_xlchart.v1.27" hidden="1">'Threats Visualizations 2'!$D$1</definedName>
    <definedName name="_xlchart.v1.28" hidden="1">'Threats Visualizations 2'!$D$2:$D$23</definedName>
    <definedName name="_xlchart.v1.29" hidden="1">'Threats Visualizations 2'!$A$2:$B$23</definedName>
    <definedName name="_xlchart.v1.3" hidden="1">'Threats Visualizations 1'!$D$1</definedName>
    <definedName name="_xlchart.v1.30" hidden="1">'Threats Visualizations 2'!$D$1</definedName>
    <definedName name="_xlchart.v1.31" hidden="1">'Threats Visualizations 2'!$D$2:$D$23</definedName>
    <definedName name="_xlchart.v1.32" hidden="1">'Precaution Visualizations 2'!$A$2:$A$33</definedName>
    <definedName name="_xlchart.v1.33" hidden="1">'Precaution Visualizations 2'!$B$1</definedName>
    <definedName name="_xlchart.v1.34" hidden="1">'Precaution Visualizations 2'!$B$2:$B$33</definedName>
    <definedName name="_xlchart.v1.35" hidden="1">'Precaution Visualizations 2'!$C$1</definedName>
    <definedName name="_xlchart.v1.36" hidden="1">'Precaution Visualizations 2'!$C$2:$C$33</definedName>
    <definedName name="_xlchart.v1.37" hidden="1">'Precaution Visualizations 2'!$A$2:$A$33</definedName>
    <definedName name="_xlchart.v1.38" hidden="1">'Precaution Visualizations 2'!$B$1</definedName>
    <definedName name="_xlchart.v1.39" hidden="1">'Precaution Visualizations 2'!$B$2:$B$33</definedName>
    <definedName name="_xlchart.v1.4" hidden="1">'Threats Visualizations 1'!$D$2:$D$23</definedName>
    <definedName name="_xlchart.v1.40" hidden="1">'Precaution Visualizations 2'!$C$1</definedName>
    <definedName name="_xlchart.v1.41" hidden="1">'Precaution Visualizations 2'!$C$2:$C$33</definedName>
    <definedName name="_xlchart.v1.42" hidden="1">'Threats Visualizations 1'!$A$2:$B$23</definedName>
    <definedName name="_xlchart.v1.43" hidden="1">'Threats Visualizations 1'!$D$1</definedName>
    <definedName name="_xlchart.v1.44" hidden="1">'Threats Visualizations 1'!$D$2:$D$23</definedName>
    <definedName name="_xlchart.v1.45" hidden="1">'Threats Visualizations 1'!$A$2:$B$23</definedName>
    <definedName name="_xlchart.v1.46" hidden="1">'Threats Visualizations 1'!$C$1</definedName>
    <definedName name="_xlchart.v1.47" hidden="1">'Threats Visualizations 1'!$C$2:$C$23</definedName>
    <definedName name="_xlchart.v1.48" hidden="1">'Threats Visualizations 1'!$D$1</definedName>
    <definedName name="_xlchart.v1.49" hidden="1">'Threats Visualizations 1'!$D$2:$D$23</definedName>
    <definedName name="_xlchart.v1.5" hidden="1">'Threats Visualizations 1'!$A$2:$B$23</definedName>
    <definedName name="_xlchart.v1.50" hidden="1">'Precaution Visualizations 1'!$A$2:$A$33</definedName>
    <definedName name="_xlchart.v1.51" hidden="1">'Precaution Visualizations 1'!$B$1</definedName>
    <definedName name="_xlchart.v1.52" hidden="1">'Precaution Visualizations 1'!$B$2:$B$33</definedName>
    <definedName name="_xlchart.v1.53" hidden="1">'Precaution Visualizations 1'!$C$1</definedName>
    <definedName name="_xlchart.v1.54" hidden="1">'Precaution Visualizations 1'!$C$2:$C$33</definedName>
    <definedName name="_xlchart.v1.55" hidden="1">'Precaution Visualizations 1'!$A$2:$A$33</definedName>
    <definedName name="_xlchart.v1.56" hidden="1">'Precaution Visualizations 1'!$B$1</definedName>
    <definedName name="_xlchart.v1.57" hidden="1">'Precaution Visualizations 1'!$B$2:$B$33</definedName>
    <definedName name="_xlchart.v1.58" hidden="1">'Precaution Visualizations 1'!$C$1</definedName>
    <definedName name="_xlchart.v1.59" hidden="1">'Precaution Visualizations 1'!$C$2:$C$33</definedName>
    <definedName name="_xlchart.v1.6" hidden="1">'Threats Visualizations 1'!$D$1</definedName>
    <definedName name="_xlchart.v1.7" hidden="1">'Threats Visualizations 1'!$D$2:$D$23</definedName>
    <definedName name="_xlchart.v1.8" hidden="1">'Precaution Visualizations 1'!$A$2:$A$33</definedName>
    <definedName name="_xlchart.v1.9" hidden="1">'Precaution Visualizations 1'!$A$2:$A$33</definedName>
    <definedName name="_xlcn.WorksheetConnection_Sheet2A2B241" hidden="1">'Summary 1'!$C$2:$D$23</definedName>
    <definedName name="coin_cuttype" localSheetId="6" hidden="1">1</definedName>
    <definedName name="coin_cuttype" localSheetId="10" hidden="1">1</definedName>
    <definedName name="coin_dualtol" localSheetId="6" hidden="1">0.0000001</definedName>
    <definedName name="coin_dualtol" localSheetId="10" hidden="1">0.0000001</definedName>
    <definedName name="coin_heurs" localSheetId="6" hidden="1">1</definedName>
    <definedName name="coin_heurs" localSheetId="10" hidden="1">1</definedName>
    <definedName name="coin_integerpresolve" localSheetId="6" hidden="1">1</definedName>
    <definedName name="coin_integerpresolve" localSheetId="10" hidden="1">1</definedName>
    <definedName name="coin_presolve1" localSheetId="6" hidden="1">1</definedName>
    <definedName name="coin_presolve1" localSheetId="10" hidden="1">1</definedName>
    <definedName name="coin_primaltol" localSheetId="6" hidden="1">0.0000001</definedName>
    <definedName name="coin_primaltol" localSheetId="10" hidden="1">0.0000001</definedName>
    <definedName name="grb_async_callbacks" localSheetId="6" hidden="1">1</definedName>
    <definedName name="grb_async_callbacks" localSheetId="10" hidden="1">1</definedName>
    <definedName name="grb_bariter" localSheetId="6" hidden="1">1E+100</definedName>
    <definedName name="grb_bariter" localSheetId="10" hidden="1">1E+100</definedName>
    <definedName name="grb_bartol" localSheetId="6" hidden="1">0.00000001</definedName>
    <definedName name="grb_bartol" localSheetId="10" hidden="1">0.00000001</definedName>
    <definedName name="grb_crossover" localSheetId="6" hidden="1">-1</definedName>
    <definedName name="grb_crossover" localSheetId="10" hidden="1">-1</definedName>
    <definedName name="grb_cut_passes" localSheetId="6" hidden="1">-1</definedName>
    <definedName name="grb_cut_passes" localSheetId="10" hidden="1">-1</definedName>
    <definedName name="grb_cutoff" localSheetId="6" hidden="1">1E+100</definedName>
    <definedName name="grb_cutoff" localSheetId="10" hidden="1">1E+100</definedName>
    <definedName name="grb_cuts" localSheetId="6" hidden="1">-1</definedName>
    <definedName name="grb_cuts" localSheetId="10" hidden="1">-1</definedName>
    <definedName name="grb_focus" localSheetId="6" hidden="1">0</definedName>
    <definedName name="grb_focus" localSheetId="10" hidden="1">0</definedName>
    <definedName name="grb_heur" localSheetId="6" hidden="1">0.05</definedName>
    <definedName name="grb_heur" localSheetId="10" hidden="1">0.05</definedName>
    <definedName name="grb_improv" localSheetId="6" hidden="1">1E+100</definedName>
    <definedName name="grb_improv" localSheetId="10" hidden="1">1E+100</definedName>
    <definedName name="grb_improv_start_gap" localSheetId="6" hidden="1">0</definedName>
    <definedName name="grb_improv_start_gap" localSheetId="10" hidden="1">0</definedName>
    <definedName name="grb_infeas" localSheetId="6" hidden="1">0.000001</definedName>
    <definedName name="grb_infeas" localSheetId="10" hidden="1">0.000001</definedName>
    <definedName name="grb_inttol" localSheetId="6" hidden="1">0.00001</definedName>
    <definedName name="grb_inttol" localSheetId="10" hidden="1">0.00001</definedName>
    <definedName name="grb_method" localSheetId="6" hidden="1">1</definedName>
    <definedName name="grb_method" localSheetId="10" hidden="1">1</definedName>
    <definedName name="grb_nodefilestart" localSheetId="6" hidden="1">1E+100</definedName>
    <definedName name="grb_nodefilestart" localSheetId="10" hidden="1">1E+100</definedName>
    <definedName name="grb_optimal" localSheetId="6" hidden="1">0.000001</definedName>
    <definedName name="grb_optimal" localSheetId="10" hidden="1">0.000001</definedName>
    <definedName name="grb_order" localSheetId="6" hidden="1">-1</definedName>
    <definedName name="grb_order" localSheetId="10" hidden="1">-1</definedName>
    <definedName name="grb_pre_passes" localSheetId="6" hidden="1">-1</definedName>
    <definedName name="grb_pre_passes" localSheetId="10" hidden="1">-1</definedName>
    <definedName name="grb_presolve" localSheetId="6" hidden="1">-1</definedName>
    <definedName name="grb_presolve" localSheetId="10" hidden="1">-1</definedName>
    <definedName name="grb_pricing" localSheetId="6" hidden="1">-1</definedName>
    <definedName name="grb_pricing" localSheetId="10" hidden="1">-1</definedName>
    <definedName name="grb_psdtol" localSheetId="6" hidden="1">0.000001</definedName>
    <definedName name="grb_psdtol" localSheetId="10" hidden="1">0.000001</definedName>
    <definedName name="grb_qcptol" localSheetId="6" hidden="1">0.000001</definedName>
    <definedName name="grb_qcptol" localSheetId="10" hidden="1">0.000001</definedName>
    <definedName name="grb_relmip" localSheetId="6" hidden="1">0.0001</definedName>
    <definedName name="grb_relmip" localSheetId="10" hidden="1">0.0001</definedName>
    <definedName name="grb_scaleflag" localSheetId="6" hidden="1">1</definedName>
    <definedName name="grb_scaleflag" localSheetId="10" hidden="1">1</definedName>
    <definedName name="grb_seed" localSheetId="6" hidden="1">0</definedName>
    <definedName name="grb_seed" localSheetId="10" hidden="1">0</definedName>
    <definedName name="grb_submip" localSheetId="6" hidden="1">500</definedName>
    <definedName name="grb_submip" localSheetId="10" hidden="1">500</definedName>
    <definedName name="grb_symmetry" localSheetId="6" hidden="1">-1</definedName>
    <definedName name="grb_symmetry" localSheetId="10" hidden="1">-1</definedName>
    <definedName name="grb_threads" localSheetId="6" hidden="1">0</definedName>
    <definedName name="grb_threads" localSheetId="10" hidden="1">0</definedName>
    <definedName name="grb_var" localSheetId="6" hidden="1">-1</definedName>
    <definedName name="grb_var" localSheetId="10" hidden="1">-1</definedName>
    <definedName name="gurobi_qp" localSheetId="6" hidden="1">2</definedName>
    <definedName name="gurobi_qp" localSheetId="10" hidden="1">2</definedName>
    <definedName name="LSGRGeng_RelaxBounds" localSheetId="6" hidden="1">0</definedName>
    <definedName name="LSGRGeng_RelaxBounds" localSheetId="10" hidden="1">0</definedName>
    <definedName name="param_extinc" localSheetId="10" hidden="1">0.5</definedName>
    <definedName name="param_iisbnd" localSheetId="10" hidden="1">0</definedName>
    <definedName name="param_nsfeas" localSheetId="10" hidden="1">0</definedName>
    <definedName name="solver_acc" localSheetId="6" hidden="1">0.001</definedName>
    <definedName name="solver_acc" localSheetId="10" hidden="1">0.001</definedName>
    <definedName name="solver_adj" localSheetId="6" hidden="1">'LP Optimization 1'!$L$2:$L$23,'LP Optimization 1'!$T$2:$T$23,'LP Optimization 1'!$AB$2:$AB$23</definedName>
    <definedName name="solver_adj" localSheetId="10" hidden="1">'LP Optimization 2'!$L$2:$L$23,'LP Optimization 2'!$T$2:$T$23,'LP Optimization 2'!$AB$2:$AB$23</definedName>
    <definedName name="solver_adj_ob" localSheetId="6" hidden="1">1</definedName>
    <definedName name="solver_adj_ob" localSheetId="10" hidden="1">1</definedName>
    <definedName name="solver_adj_ob1" localSheetId="6" hidden="1">1</definedName>
    <definedName name="solver_adj_ob1" localSheetId="10" hidden="1">1</definedName>
    <definedName name="solver_adj_ob2" localSheetId="6" hidden="1">1</definedName>
    <definedName name="solver_adj_ob2" localSheetId="10" hidden="1">1</definedName>
    <definedName name="solver_ars" localSheetId="6" hidden="1">1</definedName>
    <definedName name="solver_ars" localSheetId="10" hidden="1">1</definedName>
    <definedName name="solver_bigm" localSheetId="6" hidden="1">1000000</definedName>
    <definedName name="solver_bigm" localSheetId="10" hidden="1">1000000</definedName>
    <definedName name="solver_bnd" localSheetId="6" hidden="1">1</definedName>
    <definedName name="solver_bnd" localSheetId="10" hidden="1">1</definedName>
    <definedName name="solver_cct" localSheetId="6" hidden="1">20</definedName>
    <definedName name="solver_cgt" localSheetId="6" hidden="1">1</definedName>
    <definedName name="solver_cha" localSheetId="6" hidden="1">0</definedName>
    <definedName name="solver_cha" localSheetId="10" hidden="1">0</definedName>
    <definedName name="solver_chc1" localSheetId="6" hidden="1">0</definedName>
    <definedName name="solver_chc1" localSheetId="10" hidden="1">0</definedName>
    <definedName name="solver_chc10" localSheetId="6" hidden="1">0</definedName>
    <definedName name="solver_chc10" localSheetId="10" hidden="1">0</definedName>
    <definedName name="solver_chc100" localSheetId="6" hidden="1">0</definedName>
    <definedName name="solver_chc101" localSheetId="6" hidden="1">0</definedName>
    <definedName name="solver_chc102" localSheetId="6" hidden="1">0</definedName>
    <definedName name="solver_chc103" localSheetId="6" hidden="1">0</definedName>
    <definedName name="solver_chc104" localSheetId="6" hidden="1">0</definedName>
    <definedName name="solver_chc105" localSheetId="6" hidden="1">0</definedName>
    <definedName name="solver_chc106" localSheetId="6" hidden="1">0</definedName>
    <definedName name="solver_chc107" localSheetId="6" hidden="1">0</definedName>
    <definedName name="solver_chc108" localSheetId="6" hidden="1">0</definedName>
    <definedName name="solver_chc109" localSheetId="6" hidden="1">0</definedName>
    <definedName name="solver_chc11" localSheetId="6" hidden="1">0</definedName>
    <definedName name="solver_chc11" localSheetId="10" hidden="1">0</definedName>
    <definedName name="solver_chc110" localSheetId="6" hidden="1">0</definedName>
    <definedName name="solver_chc111" localSheetId="6" hidden="1">0</definedName>
    <definedName name="solver_chc112" localSheetId="6" hidden="1">0</definedName>
    <definedName name="solver_chc113" localSheetId="6" hidden="1">0</definedName>
    <definedName name="solver_chc114" localSheetId="6" hidden="1">0</definedName>
    <definedName name="solver_chc115" localSheetId="6" hidden="1">0</definedName>
    <definedName name="solver_chc116" localSheetId="6" hidden="1">0</definedName>
    <definedName name="solver_chc117" localSheetId="6" hidden="1">0</definedName>
    <definedName name="solver_chc118" localSheetId="6" hidden="1">0</definedName>
    <definedName name="solver_chc119" localSheetId="6" hidden="1">0</definedName>
    <definedName name="solver_chc12" localSheetId="6" hidden="1">0</definedName>
    <definedName name="solver_chc12" localSheetId="10" hidden="1">0</definedName>
    <definedName name="solver_chc120" localSheetId="6" hidden="1">0</definedName>
    <definedName name="solver_chc121" localSheetId="6" hidden="1">0</definedName>
    <definedName name="solver_chc122" localSheetId="6" hidden="1">0</definedName>
    <definedName name="solver_chc123" localSheetId="6" hidden="1">0</definedName>
    <definedName name="solver_chc124" localSheetId="6" hidden="1">0</definedName>
    <definedName name="solver_chc125" localSheetId="6" hidden="1">0</definedName>
    <definedName name="solver_chc126" localSheetId="6" hidden="1">0</definedName>
    <definedName name="solver_chc127" localSheetId="6" hidden="1">0</definedName>
    <definedName name="solver_chc128" localSheetId="6" hidden="1">0</definedName>
    <definedName name="solver_chc129" localSheetId="6" hidden="1">0</definedName>
    <definedName name="solver_chc13" localSheetId="6" hidden="1">0</definedName>
    <definedName name="solver_chc13" localSheetId="10" hidden="1">0</definedName>
    <definedName name="solver_chc130" localSheetId="6" hidden="1">0</definedName>
    <definedName name="solver_chc131" localSheetId="6" hidden="1">0</definedName>
    <definedName name="solver_chc132" localSheetId="6" hidden="1">0</definedName>
    <definedName name="solver_chc133" localSheetId="6" hidden="1">0</definedName>
    <definedName name="solver_chc134" localSheetId="6" hidden="1">0</definedName>
    <definedName name="solver_chc135" localSheetId="6" hidden="1">0</definedName>
    <definedName name="solver_chc136" localSheetId="6" hidden="1">0</definedName>
    <definedName name="solver_chc137" localSheetId="6" hidden="1">0</definedName>
    <definedName name="solver_chc138" localSheetId="6" hidden="1">0</definedName>
    <definedName name="solver_chc139" localSheetId="6" hidden="1">0</definedName>
    <definedName name="solver_chc14" localSheetId="6" hidden="1">0</definedName>
    <definedName name="solver_chc14" localSheetId="10" hidden="1">0</definedName>
    <definedName name="solver_chc140" localSheetId="6" hidden="1">0</definedName>
    <definedName name="solver_chc141" localSheetId="6" hidden="1">0</definedName>
    <definedName name="solver_chc142" localSheetId="6" hidden="1">0</definedName>
    <definedName name="solver_chc143" localSheetId="6" hidden="1">0</definedName>
    <definedName name="solver_chc144" localSheetId="6" hidden="1">0</definedName>
    <definedName name="solver_chc145" localSheetId="6" hidden="1">0</definedName>
    <definedName name="solver_chc146" localSheetId="6" hidden="1">0</definedName>
    <definedName name="solver_chc147" localSheetId="6" hidden="1">0</definedName>
    <definedName name="solver_chc148" localSheetId="6" hidden="1">0</definedName>
    <definedName name="solver_chc149" localSheetId="6" hidden="1">0</definedName>
    <definedName name="solver_chc15" localSheetId="6" hidden="1">0</definedName>
    <definedName name="solver_chc15" localSheetId="10" hidden="1">0</definedName>
    <definedName name="solver_chc150" localSheetId="6" hidden="1">0</definedName>
    <definedName name="solver_chc151" localSheetId="6" hidden="1">0</definedName>
    <definedName name="solver_chc152" localSheetId="6" hidden="1">0</definedName>
    <definedName name="solver_chc153" localSheetId="6" hidden="1">0</definedName>
    <definedName name="solver_chc154" localSheetId="6" hidden="1">0</definedName>
    <definedName name="solver_chc155" localSheetId="6" hidden="1">0</definedName>
    <definedName name="solver_chc156" localSheetId="6" hidden="1">0</definedName>
    <definedName name="solver_chc157" localSheetId="6" hidden="1">0</definedName>
    <definedName name="solver_chc158" localSheetId="6" hidden="1">0</definedName>
    <definedName name="solver_chc159" localSheetId="6" hidden="1">0</definedName>
    <definedName name="solver_chc16" localSheetId="6" hidden="1">0</definedName>
    <definedName name="solver_chc16" localSheetId="10" hidden="1">0</definedName>
    <definedName name="solver_chc160" localSheetId="6" hidden="1">0</definedName>
    <definedName name="solver_chc161" localSheetId="6" hidden="1">0</definedName>
    <definedName name="solver_chc162" localSheetId="6" hidden="1">0</definedName>
    <definedName name="solver_chc163" localSheetId="6" hidden="1">0</definedName>
    <definedName name="solver_chc164" localSheetId="6" hidden="1">0</definedName>
    <definedName name="solver_chc165" localSheetId="6" hidden="1">0</definedName>
    <definedName name="solver_chc166" localSheetId="6" hidden="1">0</definedName>
    <definedName name="solver_chc167" localSheetId="6" hidden="1">0</definedName>
    <definedName name="solver_chc168" localSheetId="6" hidden="1">0</definedName>
    <definedName name="solver_chc169" localSheetId="6" hidden="1">0</definedName>
    <definedName name="solver_chc17" localSheetId="6" hidden="1">0</definedName>
    <definedName name="solver_chc17" localSheetId="10" hidden="1">0</definedName>
    <definedName name="solver_chc170" localSheetId="6" hidden="1">0</definedName>
    <definedName name="solver_chc171" localSheetId="6" hidden="1">0</definedName>
    <definedName name="solver_chc172" localSheetId="6" hidden="1">0</definedName>
    <definedName name="solver_chc173" localSheetId="6" hidden="1">0</definedName>
    <definedName name="solver_chc174" localSheetId="6" hidden="1">0</definedName>
    <definedName name="solver_chc175" localSheetId="6" hidden="1">0</definedName>
    <definedName name="solver_chc176" localSheetId="6" hidden="1">0</definedName>
    <definedName name="solver_chc177" localSheetId="6" hidden="1">0</definedName>
    <definedName name="solver_chc178" localSheetId="6" hidden="1">0</definedName>
    <definedName name="solver_chc179" localSheetId="6" hidden="1">0</definedName>
    <definedName name="solver_chc18" localSheetId="6" hidden="1">0</definedName>
    <definedName name="solver_chc18" localSheetId="10" hidden="1">0</definedName>
    <definedName name="solver_chc180" localSheetId="6" hidden="1">0</definedName>
    <definedName name="solver_chc181" localSheetId="6" hidden="1">0</definedName>
    <definedName name="solver_chc182" localSheetId="6" hidden="1">0</definedName>
    <definedName name="solver_chc183" localSheetId="6" hidden="1">0</definedName>
    <definedName name="solver_chc184" localSheetId="6" hidden="1">0</definedName>
    <definedName name="solver_chc185" localSheetId="6" hidden="1">0</definedName>
    <definedName name="solver_chc186" localSheetId="6" hidden="1">0</definedName>
    <definedName name="solver_chc187" localSheetId="6" hidden="1">0</definedName>
    <definedName name="solver_chc188" localSheetId="6" hidden="1">0</definedName>
    <definedName name="solver_chc189" localSheetId="6" hidden="1">0</definedName>
    <definedName name="solver_chc19" localSheetId="6" hidden="1">0</definedName>
    <definedName name="solver_chc19" localSheetId="10" hidden="1">0</definedName>
    <definedName name="solver_chc190" localSheetId="6" hidden="1">0</definedName>
    <definedName name="solver_chc191" localSheetId="6" hidden="1">0</definedName>
    <definedName name="solver_chc192" localSheetId="6" hidden="1">0</definedName>
    <definedName name="solver_chc193" localSheetId="6" hidden="1">0</definedName>
    <definedName name="solver_chc194" localSheetId="6" hidden="1">0</definedName>
    <definedName name="solver_chc195" localSheetId="6" hidden="1">0</definedName>
    <definedName name="solver_chc196" localSheetId="6" hidden="1">0</definedName>
    <definedName name="solver_chc197" localSheetId="6" hidden="1">0</definedName>
    <definedName name="solver_chc198" localSheetId="6" hidden="1">0</definedName>
    <definedName name="solver_chc199" localSheetId="6" hidden="1">0</definedName>
    <definedName name="solver_chc2" localSheetId="6" hidden="1">0</definedName>
    <definedName name="solver_chc2" localSheetId="10" hidden="1">0</definedName>
    <definedName name="solver_chc20" localSheetId="6" hidden="1">0</definedName>
    <definedName name="solver_chc20" localSheetId="10" hidden="1">0</definedName>
    <definedName name="solver_chc200" localSheetId="6" hidden="1">0</definedName>
    <definedName name="solver_chc201" localSheetId="6" hidden="1">0</definedName>
    <definedName name="solver_chc202" localSheetId="6" hidden="1">0</definedName>
    <definedName name="solver_chc203" localSheetId="6" hidden="1">0</definedName>
    <definedName name="solver_chc204" localSheetId="6" hidden="1">0</definedName>
    <definedName name="solver_chc205" localSheetId="6" hidden="1">0</definedName>
    <definedName name="solver_chc206" localSheetId="6" hidden="1">0</definedName>
    <definedName name="solver_chc207" localSheetId="6" hidden="1">0</definedName>
    <definedName name="solver_chc208" localSheetId="6" hidden="1">0</definedName>
    <definedName name="solver_chc209" localSheetId="6" hidden="1">0</definedName>
    <definedName name="solver_chc21" localSheetId="6" hidden="1">0</definedName>
    <definedName name="solver_chc21" localSheetId="10" hidden="1">0</definedName>
    <definedName name="solver_chc210" localSheetId="6" hidden="1">0</definedName>
    <definedName name="solver_chc211" localSheetId="6" hidden="1">0</definedName>
    <definedName name="solver_chc22" localSheetId="6" hidden="1">0</definedName>
    <definedName name="solver_chc22" localSheetId="10" hidden="1">0</definedName>
    <definedName name="solver_chc23" localSheetId="6" hidden="1">0</definedName>
    <definedName name="solver_chc23" localSheetId="10" hidden="1">0</definedName>
    <definedName name="solver_chc24" localSheetId="6" hidden="1">0</definedName>
    <definedName name="solver_chc24" localSheetId="10" hidden="1">0</definedName>
    <definedName name="solver_chc25" localSheetId="6" hidden="1">0</definedName>
    <definedName name="solver_chc25" localSheetId="10" hidden="1">0</definedName>
    <definedName name="solver_chc26" localSheetId="6" hidden="1">0</definedName>
    <definedName name="solver_chc26" localSheetId="10" hidden="1">0</definedName>
    <definedName name="solver_chc27" localSheetId="6" hidden="1">0</definedName>
    <definedName name="solver_chc27" localSheetId="10" hidden="1">0</definedName>
    <definedName name="solver_chc28" localSheetId="6" hidden="1">0</definedName>
    <definedName name="solver_chc28" localSheetId="10" hidden="1">0</definedName>
    <definedName name="solver_chc29" localSheetId="6" hidden="1">0</definedName>
    <definedName name="solver_chc29" localSheetId="10" hidden="1">0</definedName>
    <definedName name="solver_chc3" localSheetId="6" hidden="1">0</definedName>
    <definedName name="solver_chc3" localSheetId="10" hidden="1">0</definedName>
    <definedName name="solver_chc30" localSheetId="6" hidden="1">0</definedName>
    <definedName name="solver_chc30" localSheetId="10" hidden="1">0</definedName>
    <definedName name="solver_chc31" localSheetId="6" hidden="1">0</definedName>
    <definedName name="solver_chc31" localSheetId="10" hidden="1">0</definedName>
    <definedName name="solver_chc32" localSheetId="6" hidden="1">0</definedName>
    <definedName name="solver_chc32" localSheetId="10" hidden="1">0</definedName>
    <definedName name="solver_chc33" localSheetId="6" hidden="1">0</definedName>
    <definedName name="solver_chc33" localSheetId="10" hidden="1">0</definedName>
    <definedName name="solver_chc34" localSheetId="6" hidden="1">0</definedName>
    <definedName name="solver_chc34" localSheetId="10" hidden="1">0</definedName>
    <definedName name="solver_chc35" localSheetId="6" hidden="1">0</definedName>
    <definedName name="solver_chc35" localSheetId="10" hidden="1">0</definedName>
    <definedName name="solver_chc36" localSheetId="6" hidden="1">0</definedName>
    <definedName name="solver_chc36" localSheetId="10" hidden="1">0</definedName>
    <definedName name="solver_chc37" localSheetId="6" hidden="1">0</definedName>
    <definedName name="solver_chc37" localSheetId="10" hidden="1">0</definedName>
    <definedName name="solver_chc38" localSheetId="6" hidden="1">0</definedName>
    <definedName name="solver_chc38" localSheetId="10" hidden="1">0</definedName>
    <definedName name="solver_chc39" localSheetId="6" hidden="1">0</definedName>
    <definedName name="solver_chc39" localSheetId="10" hidden="1">0</definedName>
    <definedName name="solver_chc4" localSheetId="6" hidden="1">0</definedName>
    <definedName name="solver_chc4" localSheetId="10" hidden="1">0</definedName>
    <definedName name="solver_chc40" localSheetId="6" hidden="1">0</definedName>
    <definedName name="solver_chc40" localSheetId="10" hidden="1">0</definedName>
    <definedName name="solver_chc41" localSheetId="6" hidden="1">0</definedName>
    <definedName name="solver_chc41" localSheetId="10" hidden="1">0</definedName>
    <definedName name="solver_chc42" localSheetId="6" hidden="1">0</definedName>
    <definedName name="solver_chc42" localSheetId="10" hidden="1">0</definedName>
    <definedName name="solver_chc43" localSheetId="6" hidden="1">0</definedName>
    <definedName name="solver_chc43" localSheetId="10" hidden="1">0</definedName>
    <definedName name="solver_chc44" localSheetId="6" hidden="1">0</definedName>
    <definedName name="solver_chc44" localSheetId="10" hidden="1">0</definedName>
    <definedName name="solver_chc45" localSheetId="6" hidden="1">0</definedName>
    <definedName name="solver_chc45" localSheetId="10" hidden="1">0</definedName>
    <definedName name="solver_chc46" localSheetId="6" hidden="1">0</definedName>
    <definedName name="solver_chc46" localSheetId="10" hidden="1">0</definedName>
    <definedName name="solver_chc47" localSheetId="6" hidden="1">0</definedName>
    <definedName name="solver_chc47" localSheetId="10" hidden="1">0</definedName>
    <definedName name="solver_chc48" localSheetId="6" hidden="1">0</definedName>
    <definedName name="solver_chc48" localSheetId="10" hidden="1">0</definedName>
    <definedName name="solver_chc49" localSheetId="6" hidden="1">0</definedName>
    <definedName name="solver_chc49" localSheetId="10" hidden="1">0</definedName>
    <definedName name="solver_chc5" localSheetId="6" hidden="1">0</definedName>
    <definedName name="solver_chc5" localSheetId="10" hidden="1">0</definedName>
    <definedName name="solver_chc50" localSheetId="6" hidden="1">0</definedName>
    <definedName name="solver_chc50" localSheetId="10" hidden="1">0</definedName>
    <definedName name="solver_chc51" localSheetId="6" hidden="1">0</definedName>
    <definedName name="solver_chc51" localSheetId="10" hidden="1">0</definedName>
    <definedName name="solver_chc52" localSheetId="6" hidden="1">0</definedName>
    <definedName name="solver_chc52" localSheetId="10" hidden="1">0</definedName>
    <definedName name="solver_chc53" localSheetId="6" hidden="1">0</definedName>
    <definedName name="solver_chc53" localSheetId="10" hidden="1">0</definedName>
    <definedName name="solver_chc54" localSheetId="6" hidden="1">0</definedName>
    <definedName name="solver_chc54" localSheetId="10" hidden="1">0</definedName>
    <definedName name="solver_chc55" localSheetId="6" hidden="1">0</definedName>
    <definedName name="solver_chc55" localSheetId="10" hidden="1">0</definedName>
    <definedName name="solver_chc56" localSheetId="6" hidden="1">0</definedName>
    <definedName name="solver_chc56" localSheetId="10" hidden="1">0</definedName>
    <definedName name="solver_chc57" localSheetId="6" hidden="1">0</definedName>
    <definedName name="solver_chc57" localSheetId="10" hidden="1">0</definedName>
    <definedName name="solver_chc58" localSheetId="6" hidden="1">0</definedName>
    <definedName name="solver_chc58" localSheetId="10" hidden="1">0</definedName>
    <definedName name="solver_chc59" localSheetId="6" hidden="1">0</definedName>
    <definedName name="solver_chc59" localSheetId="10" hidden="1">0</definedName>
    <definedName name="solver_chc6" localSheetId="6" hidden="1">0</definedName>
    <definedName name="solver_chc6" localSheetId="10" hidden="1">0</definedName>
    <definedName name="solver_chc60" localSheetId="6" hidden="1">0</definedName>
    <definedName name="solver_chc60" localSheetId="10" hidden="1">0</definedName>
    <definedName name="solver_chc61" localSheetId="6" hidden="1">0</definedName>
    <definedName name="solver_chc61" localSheetId="10" hidden="1">0</definedName>
    <definedName name="solver_chc62" localSheetId="6" hidden="1">0</definedName>
    <definedName name="solver_chc62" localSheetId="10" hidden="1">0</definedName>
    <definedName name="solver_chc63" localSheetId="6" hidden="1">0</definedName>
    <definedName name="solver_chc63" localSheetId="10" hidden="1">0</definedName>
    <definedName name="solver_chc64" localSheetId="6" hidden="1">0</definedName>
    <definedName name="solver_chc64" localSheetId="10" hidden="1">0</definedName>
    <definedName name="solver_chc65" localSheetId="6" hidden="1">0</definedName>
    <definedName name="solver_chc65" localSheetId="10" hidden="1">0</definedName>
    <definedName name="solver_chc66" localSheetId="6" hidden="1">0</definedName>
    <definedName name="solver_chc66" localSheetId="10" hidden="1">0</definedName>
    <definedName name="solver_chc67" localSheetId="6" hidden="1">0</definedName>
    <definedName name="solver_chc67" localSheetId="10" hidden="1">0</definedName>
    <definedName name="solver_chc68" localSheetId="6" hidden="1">0</definedName>
    <definedName name="solver_chc68" localSheetId="10" hidden="1">0</definedName>
    <definedName name="solver_chc69" localSheetId="6" hidden="1">0</definedName>
    <definedName name="solver_chc69" localSheetId="10" hidden="1">0</definedName>
    <definedName name="solver_chc7" localSheetId="6" hidden="1">0</definedName>
    <definedName name="solver_chc7" localSheetId="10" hidden="1">0</definedName>
    <definedName name="solver_chc70" localSheetId="6" hidden="1">0</definedName>
    <definedName name="solver_chc70" localSheetId="10" hidden="1">0</definedName>
    <definedName name="solver_chc71" localSheetId="6" hidden="1">0</definedName>
    <definedName name="solver_chc71" localSheetId="10" hidden="1">0</definedName>
    <definedName name="solver_chc72" localSheetId="6" hidden="1">0</definedName>
    <definedName name="solver_chc72" localSheetId="10" hidden="1">0</definedName>
    <definedName name="solver_chc73" localSheetId="6" hidden="1">0</definedName>
    <definedName name="solver_chc73" localSheetId="10" hidden="1">0</definedName>
    <definedName name="solver_chc74" localSheetId="6" hidden="1">0</definedName>
    <definedName name="solver_chc74" localSheetId="10" hidden="1">0</definedName>
    <definedName name="solver_chc75" localSheetId="6" hidden="1">0</definedName>
    <definedName name="solver_chc75" localSheetId="10" hidden="1">0</definedName>
    <definedName name="solver_chc76" localSheetId="6" hidden="1">0</definedName>
    <definedName name="solver_chc76" localSheetId="10" hidden="1">0</definedName>
    <definedName name="solver_chc77" localSheetId="6" hidden="1">0</definedName>
    <definedName name="solver_chc77" localSheetId="10" hidden="1">0</definedName>
    <definedName name="solver_chc78" localSheetId="6" hidden="1">0</definedName>
    <definedName name="solver_chc78" localSheetId="10" hidden="1">0</definedName>
    <definedName name="solver_chc79" localSheetId="6" hidden="1">0</definedName>
    <definedName name="solver_chc79" localSheetId="10" hidden="1">0</definedName>
    <definedName name="solver_chc8" localSheetId="6" hidden="1">0</definedName>
    <definedName name="solver_chc8" localSheetId="10" hidden="1">0</definedName>
    <definedName name="solver_chc80" localSheetId="6" hidden="1">0</definedName>
    <definedName name="solver_chc80" localSheetId="10" hidden="1">0</definedName>
    <definedName name="solver_chc81" localSheetId="6" hidden="1">0</definedName>
    <definedName name="solver_chc81" localSheetId="10" hidden="1">0</definedName>
    <definedName name="solver_chc82" localSheetId="6" hidden="1">0</definedName>
    <definedName name="solver_chc82" localSheetId="10" hidden="1">0</definedName>
    <definedName name="solver_chc83" localSheetId="6" hidden="1">0</definedName>
    <definedName name="solver_chc83" localSheetId="10" hidden="1">0</definedName>
    <definedName name="solver_chc84" localSheetId="6" hidden="1">0</definedName>
    <definedName name="solver_chc84" localSheetId="10" hidden="1">0</definedName>
    <definedName name="solver_chc85" localSheetId="6" hidden="1">0</definedName>
    <definedName name="solver_chc85" localSheetId="10" hidden="1">0</definedName>
    <definedName name="solver_chc86" localSheetId="6" hidden="1">0</definedName>
    <definedName name="solver_chc86" localSheetId="10" hidden="1">0</definedName>
    <definedName name="solver_chc87" localSheetId="6" hidden="1">0</definedName>
    <definedName name="solver_chc87" localSheetId="10" hidden="1">0</definedName>
    <definedName name="solver_chc88" localSheetId="6" hidden="1">0</definedName>
    <definedName name="solver_chc88" localSheetId="10" hidden="1">0</definedName>
    <definedName name="solver_chc89" localSheetId="6" hidden="1">0</definedName>
    <definedName name="solver_chc89" localSheetId="10" hidden="1">0</definedName>
    <definedName name="solver_chc9" localSheetId="6" hidden="1">0</definedName>
    <definedName name="solver_chc9" localSheetId="10" hidden="1">0</definedName>
    <definedName name="solver_chc90" localSheetId="6" hidden="1">0</definedName>
    <definedName name="solver_chc90" localSheetId="10" hidden="1">0</definedName>
    <definedName name="solver_chc91" localSheetId="6" hidden="1">0</definedName>
    <definedName name="solver_chc91" localSheetId="10" hidden="1">0</definedName>
    <definedName name="solver_chc92" localSheetId="6" hidden="1">0</definedName>
    <definedName name="solver_chc92" localSheetId="10" hidden="1">0</definedName>
    <definedName name="solver_chc93" localSheetId="6" hidden="1">0</definedName>
    <definedName name="solver_chc94" localSheetId="6" hidden="1">0</definedName>
    <definedName name="solver_chc95" localSheetId="6" hidden="1">0</definedName>
    <definedName name="solver_chc96" localSheetId="6" hidden="1">0</definedName>
    <definedName name="solver_chc97" localSheetId="6" hidden="1">0</definedName>
    <definedName name="solver_chc98" localSheetId="6" hidden="1">0</definedName>
    <definedName name="solver_chc99" localSheetId="6" hidden="1">0</definedName>
    <definedName name="solver_chn" localSheetId="6" hidden="1">4</definedName>
    <definedName name="solver_chn" localSheetId="10" hidden="1">4</definedName>
    <definedName name="solver_chp1" localSheetId="6" hidden="1">0</definedName>
    <definedName name="solver_chp1" localSheetId="10" hidden="1">0</definedName>
    <definedName name="solver_chp10" localSheetId="6" hidden="1">0</definedName>
    <definedName name="solver_chp10" localSheetId="10" hidden="1">0</definedName>
    <definedName name="solver_chp100" localSheetId="6" hidden="1">0</definedName>
    <definedName name="solver_chp101" localSheetId="6" hidden="1">0</definedName>
    <definedName name="solver_chp102" localSheetId="6" hidden="1">0</definedName>
    <definedName name="solver_chp103" localSheetId="6" hidden="1">0</definedName>
    <definedName name="solver_chp104" localSheetId="6" hidden="1">0</definedName>
    <definedName name="solver_chp105" localSheetId="6" hidden="1">0</definedName>
    <definedName name="solver_chp106" localSheetId="6" hidden="1">0</definedName>
    <definedName name="solver_chp107" localSheetId="6" hidden="1">0</definedName>
    <definedName name="solver_chp108" localSheetId="6" hidden="1">0</definedName>
    <definedName name="solver_chp109" localSheetId="6" hidden="1">0</definedName>
    <definedName name="solver_chp11" localSheetId="6" hidden="1">0</definedName>
    <definedName name="solver_chp11" localSheetId="10" hidden="1">0</definedName>
    <definedName name="solver_chp110" localSheetId="6" hidden="1">0</definedName>
    <definedName name="solver_chp111" localSheetId="6" hidden="1">0</definedName>
    <definedName name="solver_chp112" localSheetId="6" hidden="1">0</definedName>
    <definedName name="solver_chp113" localSheetId="6" hidden="1">0</definedName>
    <definedName name="solver_chp114" localSheetId="6" hidden="1">0</definedName>
    <definedName name="solver_chp115" localSheetId="6" hidden="1">0</definedName>
    <definedName name="solver_chp116" localSheetId="6" hidden="1">0</definedName>
    <definedName name="solver_chp117" localSheetId="6" hidden="1">0</definedName>
    <definedName name="solver_chp118" localSheetId="6" hidden="1">0</definedName>
    <definedName name="solver_chp119" localSheetId="6" hidden="1">0</definedName>
    <definedName name="solver_chp12" localSheetId="6" hidden="1">0</definedName>
    <definedName name="solver_chp12" localSheetId="10" hidden="1">0</definedName>
    <definedName name="solver_chp120" localSheetId="6" hidden="1">0</definedName>
    <definedName name="solver_chp121" localSheetId="6" hidden="1">0</definedName>
    <definedName name="solver_chp122" localSheetId="6" hidden="1">0</definedName>
    <definedName name="solver_chp123" localSheetId="6" hidden="1">0</definedName>
    <definedName name="solver_chp124" localSheetId="6" hidden="1">0</definedName>
    <definedName name="solver_chp125" localSheetId="6" hidden="1">0</definedName>
    <definedName name="solver_chp126" localSheetId="6" hidden="1">0</definedName>
    <definedName name="solver_chp127" localSheetId="6" hidden="1">0</definedName>
    <definedName name="solver_chp128" localSheetId="6" hidden="1">0</definedName>
    <definedName name="solver_chp129" localSheetId="6" hidden="1">0</definedName>
    <definedName name="solver_chp13" localSheetId="6" hidden="1">0</definedName>
    <definedName name="solver_chp13" localSheetId="10" hidden="1">0</definedName>
    <definedName name="solver_chp130" localSheetId="6" hidden="1">0</definedName>
    <definedName name="solver_chp131" localSheetId="6" hidden="1">0</definedName>
    <definedName name="solver_chp132" localSheetId="6" hidden="1">0</definedName>
    <definedName name="solver_chp133" localSheetId="6" hidden="1">0</definedName>
    <definedName name="solver_chp134" localSheetId="6" hidden="1">0</definedName>
    <definedName name="solver_chp135" localSheetId="6" hidden="1">0</definedName>
    <definedName name="solver_chp136" localSheetId="6" hidden="1">0</definedName>
    <definedName name="solver_chp137" localSheetId="6" hidden="1">0</definedName>
    <definedName name="solver_chp138" localSheetId="6" hidden="1">0</definedName>
    <definedName name="solver_chp139" localSheetId="6" hidden="1">0</definedName>
    <definedName name="solver_chp14" localSheetId="6" hidden="1">0</definedName>
    <definedName name="solver_chp14" localSheetId="10" hidden="1">0</definedName>
    <definedName name="solver_chp140" localSheetId="6" hidden="1">0</definedName>
    <definedName name="solver_chp141" localSheetId="6" hidden="1">0</definedName>
    <definedName name="solver_chp142" localSheetId="6" hidden="1">0</definedName>
    <definedName name="solver_chp143" localSheetId="6" hidden="1">0</definedName>
    <definedName name="solver_chp144" localSheetId="6" hidden="1">0</definedName>
    <definedName name="solver_chp145" localSheetId="6" hidden="1">0</definedName>
    <definedName name="solver_chp146" localSheetId="6" hidden="1">0</definedName>
    <definedName name="solver_chp147" localSheetId="6" hidden="1">0</definedName>
    <definedName name="solver_chp148" localSheetId="6" hidden="1">0</definedName>
    <definedName name="solver_chp149" localSheetId="6" hidden="1">0</definedName>
    <definedName name="solver_chp15" localSheetId="6" hidden="1">0</definedName>
    <definedName name="solver_chp15" localSheetId="10" hidden="1">0</definedName>
    <definedName name="solver_chp150" localSheetId="6" hidden="1">0</definedName>
    <definedName name="solver_chp151" localSheetId="6" hidden="1">0</definedName>
    <definedName name="solver_chp152" localSheetId="6" hidden="1">0</definedName>
    <definedName name="solver_chp153" localSheetId="6" hidden="1">0</definedName>
    <definedName name="solver_chp154" localSheetId="6" hidden="1">0</definedName>
    <definedName name="solver_chp155" localSheetId="6" hidden="1">0</definedName>
    <definedName name="solver_chp156" localSheetId="6" hidden="1">0</definedName>
    <definedName name="solver_chp157" localSheetId="6" hidden="1">0</definedName>
    <definedName name="solver_chp158" localSheetId="6" hidden="1">0</definedName>
    <definedName name="solver_chp159" localSheetId="6" hidden="1">0</definedName>
    <definedName name="solver_chp16" localSheetId="6" hidden="1">0</definedName>
    <definedName name="solver_chp16" localSheetId="10" hidden="1">0</definedName>
    <definedName name="solver_chp160" localSheetId="6" hidden="1">0</definedName>
    <definedName name="solver_chp161" localSheetId="6" hidden="1">0</definedName>
    <definedName name="solver_chp162" localSheetId="6" hidden="1">0</definedName>
    <definedName name="solver_chp163" localSheetId="6" hidden="1">0</definedName>
    <definedName name="solver_chp164" localSheetId="6" hidden="1">0</definedName>
    <definedName name="solver_chp165" localSheetId="6" hidden="1">0</definedName>
    <definedName name="solver_chp166" localSheetId="6" hidden="1">0</definedName>
    <definedName name="solver_chp167" localSheetId="6" hidden="1">0</definedName>
    <definedName name="solver_chp168" localSheetId="6" hidden="1">0</definedName>
    <definedName name="solver_chp169" localSheetId="6" hidden="1">0</definedName>
    <definedName name="solver_chp17" localSheetId="6" hidden="1">0</definedName>
    <definedName name="solver_chp17" localSheetId="10" hidden="1">0</definedName>
    <definedName name="solver_chp170" localSheetId="6" hidden="1">0</definedName>
    <definedName name="solver_chp171" localSheetId="6" hidden="1">0</definedName>
    <definedName name="solver_chp172" localSheetId="6" hidden="1">0</definedName>
    <definedName name="solver_chp173" localSheetId="6" hidden="1">0</definedName>
    <definedName name="solver_chp174" localSheetId="6" hidden="1">0</definedName>
    <definedName name="solver_chp175" localSheetId="6" hidden="1">0</definedName>
    <definedName name="solver_chp176" localSheetId="6" hidden="1">0</definedName>
    <definedName name="solver_chp177" localSheetId="6" hidden="1">0</definedName>
    <definedName name="solver_chp178" localSheetId="6" hidden="1">0</definedName>
    <definedName name="solver_chp179" localSheetId="6" hidden="1">0</definedName>
    <definedName name="solver_chp18" localSheetId="6" hidden="1">0</definedName>
    <definedName name="solver_chp18" localSheetId="10" hidden="1">0</definedName>
    <definedName name="solver_chp180" localSheetId="6" hidden="1">0</definedName>
    <definedName name="solver_chp181" localSheetId="6" hidden="1">0</definedName>
    <definedName name="solver_chp182" localSheetId="6" hidden="1">0</definedName>
    <definedName name="solver_chp183" localSheetId="6" hidden="1">0</definedName>
    <definedName name="solver_chp184" localSheetId="6" hidden="1">0</definedName>
    <definedName name="solver_chp185" localSheetId="6" hidden="1">0</definedName>
    <definedName name="solver_chp186" localSheetId="6" hidden="1">0</definedName>
    <definedName name="solver_chp187" localSheetId="6" hidden="1">0</definedName>
    <definedName name="solver_chp188" localSheetId="6" hidden="1">0</definedName>
    <definedName name="solver_chp189" localSheetId="6" hidden="1">0</definedName>
    <definedName name="solver_chp19" localSheetId="6" hidden="1">0</definedName>
    <definedName name="solver_chp19" localSheetId="10" hidden="1">0</definedName>
    <definedName name="solver_chp190" localSheetId="6" hidden="1">0</definedName>
    <definedName name="solver_chp191" localSheetId="6" hidden="1">0</definedName>
    <definedName name="solver_chp192" localSheetId="6" hidden="1">0</definedName>
    <definedName name="solver_chp193" localSheetId="6" hidden="1">0</definedName>
    <definedName name="solver_chp194" localSheetId="6" hidden="1">0</definedName>
    <definedName name="solver_chp195" localSheetId="6" hidden="1">0</definedName>
    <definedName name="solver_chp196" localSheetId="6" hidden="1">0</definedName>
    <definedName name="solver_chp197" localSheetId="6" hidden="1">0</definedName>
    <definedName name="solver_chp198" localSheetId="6" hidden="1">0</definedName>
    <definedName name="solver_chp199" localSheetId="6" hidden="1">0</definedName>
    <definedName name="solver_chp2" localSheetId="6" hidden="1">0</definedName>
    <definedName name="solver_chp2" localSheetId="10" hidden="1">0</definedName>
    <definedName name="solver_chp20" localSheetId="6" hidden="1">0</definedName>
    <definedName name="solver_chp20" localSheetId="10" hidden="1">0</definedName>
    <definedName name="solver_chp200" localSheetId="6" hidden="1">0</definedName>
    <definedName name="solver_chp201" localSheetId="6" hidden="1">0</definedName>
    <definedName name="solver_chp202" localSheetId="6" hidden="1">0</definedName>
    <definedName name="solver_chp203" localSheetId="6" hidden="1">0</definedName>
    <definedName name="solver_chp204" localSheetId="6" hidden="1">0</definedName>
    <definedName name="solver_chp205" localSheetId="6" hidden="1">0</definedName>
    <definedName name="solver_chp206" localSheetId="6" hidden="1">0</definedName>
    <definedName name="solver_chp207" localSheetId="6" hidden="1">0</definedName>
    <definedName name="solver_chp208" localSheetId="6" hidden="1">0</definedName>
    <definedName name="solver_chp209" localSheetId="6" hidden="1">0</definedName>
    <definedName name="solver_chp21" localSheetId="6" hidden="1">0</definedName>
    <definedName name="solver_chp21" localSheetId="10" hidden="1">0</definedName>
    <definedName name="solver_chp210" localSheetId="6" hidden="1">0</definedName>
    <definedName name="solver_chp211" localSheetId="6" hidden="1">0</definedName>
    <definedName name="solver_chp22" localSheetId="6" hidden="1">0</definedName>
    <definedName name="solver_chp22" localSheetId="10" hidden="1">0</definedName>
    <definedName name="solver_chp23" localSheetId="6" hidden="1">0</definedName>
    <definedName name="solver_chp23" localSheetId="10" hidden="1">0</definedName>
    <definedName name="solver_chp24" localSheetId="6" hidden="1">0</definedName>
    <definedName name="solver_chp24" localSheetId="10" hidden="1">0</definedName>
    <definedName name="solver_chp25" localSheetId="6" hidden="1">0</definedName>
    <definedName name="solver_chp25" localSheetId="10" hidden="1">0</definedName>
    <definedName name="solver_chp26" localSheetId="6" hidden="1">0</definedName>
    <definedName name="solver_chp26" localSheetId="10" hidden="1">0</definedName>
    <definedName name="solver_chp27" localSheetId="6" hidden="1">0</definedName>
    <definedName name="solver_chp27" localSheetId="10" hidden="1">0</definedName>
    <definedName name="solver_chp28" localSheetId="6" hidden="1">0</definedName>
    <definedName name="solver_chp28" localSheetId="10" hidden="1">0</definedName>
    <definedName name="solver_chp29" localSheetId="6" hidden="1">0</definedName>
    <definedName name="solver_chp29" localSheetId="10" hidden="1">0</definedName>
    <definedName name="solver_chp3" localSheetId="6" hidden="1">0</definedName>
    <definedName name="solver_chp3" localSheetId="10" hidden="1">0</definedName>
    <definedName name="solver_chp30" localSheetId="6" hidden="1">0</definedName>
    <definedName name="solver_chp30" localSheetId="10" hidden="1">0</definedName>
    <definedName name="solver_chp31" localSheetId="6" hidden="1">0</definedName>
    <definedName name="solver_chp31" localSheetId="10" hidden="1">0</definedName>
    <definedName name="solver_chp32" localSheetId="6" hidden="1">0</definedName>
    <definedName name="solver_chp32" localSheetId="10" hidden="1">0</definedName>
    <definedName name="solver_chp33" localSheetId="6" hidden="1">0</definedName>
    <definedName name="solver_chp33" localSheetId="10" hidden="1">0</definedName>
    <definedName name="solver_chp34" localSheetId="6" hidden="1">0</definedName>
    <definedName name="solver_chp34" localSheetId="10" hidden="1">0</definedName>
    <definedName name="solver_chp35" localSheetId="6" hidden="1">0</definedName>
    <definedName name="solver_chp35" localSheetId="10" hidden="1">0</definedName>
    <definedName name="solver_chp36" localSheetId="6" hidden="1">0</definedName>
    <definedName name="solver_chp36" localSheetId="10" hidden="1">0</definedName>
    <definedName name="solver_chp37" localSheetId="6" hidden="1">0</definedName>
    <definedName name="solver_chp37" localSheetId="10" hidden="1">0</definedName>
    <definedName name="solver_chp38" localSheetId="6" hidden="1">0</definedName>
    <definedName name="solver_chp38" localSheetId="10" hidden="1">0</definedName>
    <definedName name="solver_chp39" localSheetId="6" hidden="1">0</definedName>
    <definedName name="solver_chp39" localSheetId="10" hidden="1">0</definedName>
    <definedName name="solver_chp4" localSheetId="6" hidden="1">0</definedName>
    <definedName name="solver_chp4" localSheetId="10" hidden="1">0</definedName>
    <definedName name="solver_chp40" localSheetId="6" hidden="1">0</definedName>
    <definedName name="solver_chp40" localSheetId="10" hidden="1">0</definedName>
    <definedName name="solver_chp41" localSheetId="6" hidden="1">0</definedName>
    <definedName name="solver_chp41" localSheetId="10" hidden="1">0</definedName>
    <definedName name="solver_chp42" localSheetId="6" hidden="1">0</definedName>
    <definedName name="solver_chp42" localSheetId="10" hidden="1">0</definedName>
    <definedName name="solver_chp43" localSheetId="6" hidden="1">0</definedName>
    <definedName name="solver_chp43" localSheetId="10" hidden="1">0</definedName>
    <definedName name="solver_chp44" localSheetId="6" hidden="1">0</definedName>
    <definedName name="solver_chp44" localSheetId="10" hidden="1">0</definedName>
    <definedName name="solver_chp45" localSheetId="6" hidden="1">0</definedName>
    <definedName name="solver_chp45" localSheetId="10" hidden="1">0</definedName>
    <definedName name="solver_chp46" localSheetId="6" hidden="1">0</definedName>
    <definedName name="solver_chp46" localSheetId="10" hidden="1">0</definedName>
    <definedName name="solver_chp47" localSheetId="6" hidden="1">0</definedName>
    <definedName name="solver_chp47" localSheetId="10" hidden="1">0</definedName>
    <definedName name="solver_chp48" localSheetId="6" hidden="1">0</definedName>
    <definedName name="solver_chp48" localSheetId="10" hidden="1">0</definedName>
    <definedName name="solver_chp49" localSheetId="6" hidden="1">0</definedName>
    <definedName name="solver_chp49" localSheetId="10" hidden="1">0</definedName>
    <definedName name="solver_chp5" localSheetId="6" hidden="1">0</definedName>
    <definedName name="solver_chp5" localSheetId="10" hidden="1">0</definedName>
    <definedName name="solver_chp50" localSheetId="6" hidden="1">0</definedName>
    <definedName name="solver_chp50" localSheetId="10" hidden="1">0</definedName>
    <definedName name="solver_chp51" localSheetId="6" hidden="1">0</definedName>
    <definedName name="solver_chp51" localSheetId="10" hidden="1">0</definedName>
    <definedName name="solver_chp52" localSheetId="6" hidden="1">0</definedName>
    <definedName name="solver_chp52" localSheetId="10" hidden="1">0</definedName>
    <definedName name="solver_chp53" localSheetId="6" hidden="1">0</definedName>
    <definedName name="solver_chp53" localSheetId="10" hidden="1">0</definedName>
    <definedName name="solver_chp54" localSheetId="6" hidden="1">0</definedName>
    <definedName name="solver_chp54" localSheetId="10" hidden="1">0</definedName>
    <definedName name="solver_chp55" localSheetId="6" hidden="1">0</definedName>
    <definedName name="solver_chp55" localSheetId="10" hidden="1">0</definedName>
    <definedName name="solver_chp56" localSheetId="6" hidden="1">0</definedName>
    <definedName name="solver_chp56" localSheetId="10" hidden="1">0</definedName>
    <definedName name="solver_chp57" localSheetId="6" hidden="1">0</definedName>
    <definedName name="solver_chp57" localSheetId="10" hidden="1">0</definedName>
    <definedName name="solver_chp58" localSheetId="6" hidden="1">0</definedName>
    <definedName name="solver_chp58" localSheetId="10" hidden="1">0</definedName>
    <definedName name="solver_chp59" localSheetId="6" hidden="1">0</definedName>
    <definedName name="solver_chp59" localSheetId="10" hidden="1">0</definedName>
    <definedName name="solver_chp6" localSheetId="6" hidden="1">0</definedName>
    <definedName name="solver_chp6" localSheetId="10" hidden="1">0</definedName>
    <definedName name="solver_chp60" localSheetId="6" hidden="1">0</definedName>
    <definedName name="solver_chp60" localSheetId="10" hidden="1">0</definedName>
    <definedName name="solver_chp61" localSheetId="6" hidden="1">0</definedName>
    <definedName name="solver_chp61" localSheetId="10" hidden="1">0</definedName>
    <definedName name="solver_chp62" localSheetId="6" hidden="1">0</definedName>
    <definedName name="solver_chp62" localSheetId="10" hidden="1">0</definedName>
    <definedName name="solver_chp63" localSheetId="6" hidden="1">0</definedName>
    <definedName name="solver_chp63" localSheetId="10" hidden="1">0</definedName>
    <definedName name="solver_chp64" localSheetId="6" hidden="1">0</definedName>
    <definedName name="solver_chp64" localSheetId="10" hidden="1">0</definedName>
    <definedName name="solver_chp65" localSheetId="6" hidden="1">0</definedName>
    <definedName name="solver_chp65" localSheetId="10" hidden="1">0</definedName>
    <definedName name="solver_chp66" localSheetId="6" hidden="1">0</definedName>
    <definedName name="solver_chp66" localSheetId="10" hidden="1">0</definedName>
    <definedName name="solver_chp67" localSheetId="6" hidden="1">0</definedName>
    <definedName name="solver_chp67" localSheetId="10" hidden="1">0</definedName>
    <definedName name="solver_chp68" localSheetId="6" hidden="1">0</definedName>
    <definedName name="solver_chp68" localSheetId="10" hidden="1">0</definedName>
    <definedName name="solver_chp69" localSheetId="6" hidden="1">0</definedName>
    <definedName name="solver_chp69" localSheetId="10" hidden="1">0</definedName>
    <definedName name="solver_chp7" localSheetId="6" hidden="1">0</definedName>
    <definedName name="solver_chp7" localSheetId="10" hidden="1">0</definedName>
    <definedName name="solver_chp70" localSheetId="6" hidden="1">0</definedName>
    <definedName name="solver_chp70" localSheetId="10" hidden="1">0</definedName>
    <definedName name="solver_chp71" localSheetId="6" hidden="1">0</definedName>
    <definedName name="solver_chp71" localSheetId="10" hidden="1">0</definedName>
    <definedName name="solver_chp72" localSheetId="6" hidden="1">0</definedName>
    <definedName name="solver_chp72" localSheetId="10" hidden="1">0</definedName>
    <definedName name="solver_chp73" localSheetId="6" hidden="1">0</definedName>
    <definedName name="solver_chp73" localSheetId="10" hidden="1">0</definedName>
    <definedName name="solver_chp74" localSheetId="6" hidden="1">0</definedName>
    <definedName name="solver_chp74" localSheetId="10" hidden="1">0</definedName>
    <definedName name="solver_chp75" localSheetId="6" hidden="1">0</definedName>
    <definedName name="solver_chp75" localSheetId="10" hidden="1">0</definedName>
    <definedName name="solver_chp76" localSheetId="6" hidden="1">0</definedName>
    <definedName name="solver_chp76" localSheetId="10" hidden="1">0</definedName>
    <definedName name="solver_chp77" localSheetId="6" hidden="1">0</definedName>
    <definedName name="solver_chp77" localSheetId="10" hidden="1">0</definedName>
    <definedName name="solver_chp78" localSheetId="6" hidden="1">0</definedName>
    <definedName name="solver_chp78" localSheetId="10" hidden="1">0</definedName>
    <definedName name="solver_chp79" localSheetId="6" hidden="1">0</definedName>
    <definedName name="solver_chp79" localSheetId="10" hidden="1">0</definedName>
    <definedName name="solver_chp8" localSheetId="6" hidden="1">0</definedName>
    <definedName name="solver_chp8" localSheetId="10" hidden="1">0</definedName>
    <definedName name="solver_chp80" localSheetId="6" hidden="1">0</definedName>
    <definedName name="solver_chp80" localSheetId="10" hidden="1">0</definedName>
    <definedName name="solver_chp81" localSheetId="6" hidden="1">0</definedName>
    <definedName name="solver_chp81" localSheetId="10" hidden="1">0</definedName>
    <definedName name="solver_chp82" localSheetId="6" hidden="1">0</definedName>
    <definedName name="solver_chp82" localSheetId="10" hidden="1">0</definedName>
    <definedName name="solver_chp83" localSheetId="6" hidden="1">0</definedName>
    <definedName name="solver_chp83" localSheetId="10" hidden="1">0</definedName>
    <definedName name="solver_chp84" localSheetId="6" hidden="1">0</definedName>
    <definedName name="solver_chp84" localSheetId="10" hidden="1">0</definedName>
    <definedName name="solver_chp85" localSheetId="6" hidden="1">0</definedName>
    <definedName name="solver_chp85" localSheetId="10" hidden="1">0</definedName>
    <definedName name="solver_chp86" localSheetId="6" hidden="1">0</definedName>
    <definedName name="solver_chp86" localSheetId="10" hidden="1">0</definedName>
    <definedName name="solver_chp87" localSheetId="6" hidden="1">0</definedName>
    <definedName name="solver_chp87" localSheetId="10" hidden="1">0</definedName>
    <definedName name="solver_chp88" localSheetId="6" hidden="1">0</definedName>
    <definedName name="solver_chp88" localSheetId="10" hidden="1">0</definedName>
    <definedName name="solver_chp89" localSheetId="6" hidden="1">0</definedName>
    <definedName name="solver_chp89" localSheetId="10" hidden="1">0</definedName>
    <definedName name="solver_chp9" localSheetId="6" hidden="1">0</definedName>
    <definedName name="solver_chp9" localSheetId="10" hidden="1">0</definedName>
    <definedName name="solver_chp90" localSheetId="6" hidden="1">0</definedName>
    <definedName name="solver_chp90" localSheetId="10" hidden="1">0</definedName>
    <definedName name="solver_chp91" localSheetId="6" hidden="1">0</definedName>
    <definedName name="solver_chp91" localSheetId="10" hidden="1">0</definedName>
    <definedName name="solver_chp92" localSheetId="6" hidden="1">0</definedName>
    <definedName name="solver_chp92" localSheetId="10" hidden="1">0</definedName>
    <definedName name="solver_chp93" localSheetId="6" hidden="1">0</definedName>
    <definedName name="solver_chp94" localSheetId="6" hidden="1">0</definedName>
    <definedName name="solver_chp95" localSheetId="6" hidden="1">0</definedName>
    <definedName name="solver_chp96" localSheetId="6" hidden="1">0</definedName>
    <definedName name="solver_chp97" localSheetId="6" hidden="1">0</definedName>
    <definedName name="solver_chp98" localSheetId="6" hidden="1">0</definedName>
    <definedName name="solver_chp99" localSheetId="6" hidden="1">0</definedName>
    <definedName name="solver_cht" localSheetId="6" hidden="1">0</definedName>
    <definedName name="solver_cht" localSheetId="10" hidden="1">0</definedName>
    <definedName name="solver_cir1" localSheetId="6" hidden="1">1</definedName>
    <definedName name="solver_cir1" localSheetId="10" hidden="1">1</definedName>
    <definedName name="solver_cir10" localSheetId="6" hidden="1">1</definedName>
    <definedName name="solver_cir10" localSheetId="10" hidden="1">1</definedName>
    <definedName name="solver_cir100" localSheetId="6" hidden="1">1</definedName>
    <definedName name="solver_cir101" localSheetId="6" hidden="1">1</definedName>
    <definedName name="solver_cir102" localSheetId="6" hidden="1">1</definedName>
    <definedName name="solver_cir103" localSheetId="6" hidden="1">1</definedName>
    <definedName name="solver_cir104" localSheetId="6" hidden="1">1</definedName>
    <definedName name="solver_cir105" localSheetId="6" hidden="1">1</definedName>
    <definedName name="solver_cir106" localSheetId="6" hidden="1">1</definedName>
    <definedName name="solver_cir107" localSheetId="6" hidden="1">1</definedName>
    <definedName name="solver_cir108" localSheetId="6" hidden="1">1</definedName>
    <definedName name="solver_cir109" localSheetId="6" hidden="1">1</definedName>
    <definedName name="solver_cir11" localSheetId="6" hidden="1">1</definedName>
    <definedName name="solver_cir11" localSheetId="10" hidden="1">1</definedName>
    <definedName name="solver_cir110" localSheetId="6" hidden="1">1</definedName>
    <definedName name="solver_cir111" localSheetId="6" hidden="1">1</definedName>
    <definedName name="solver_cir112" localSheetId="6" hidden="1">1</definedName>
    <definedName name="solver_cir113" localSheetId="6" hidden="1">1</definedName>
    <definedName name="solver_cir114" localSheetId="6" hidden="1">1</definedName>
    <definedName name="solver_cir115" localSheetId="6" hidden="1">1</definedName>
    <definedName name="solver_cir116" localSheetId="6" hidden="1">1</definedName>
    <definedName name="solver_cir117" localSheetId="6" hidden="1">1</definedName>
    <definedName name="solver_cir118" localSheetId="6" hidden="1">1</definedName>
    <definedName name="solver_cir119" localSheetId="6" hidden="1">1</definedName>
    <definedName name="solver_cir12" localSheetId="6" hidden="1">1</definedName>
    <definedName name="solver_cir12" localSheetId="10" hidden="1">1</definedName>
    <definedName name="solver_cir120" localSheetId="6" hidden="1">1</definedName>
    <definedName name="solver_cir121" localSheetId="6" hidden="1">1</definedName>
    <definedName name="solver_cir122" localSheetId="6" hidden="1">1</definedName>
    <definedName name="solver_cir123" localSheetId="6" hidden="1">1</definedName>
    <definedName name="solver_cir124" localSheetId="6" hidden="1">1</definedName>
    <definedName name="solver_cir125" localSheetId="6" hidden="1">1</definedName>
    <definedName name="solver_cir126" localSheetId="6" hidden="1">1</definedName>
    <definedName name="solver_cir127" localSheetId="6" hidden="1">1</definedName>
    <definedName name="solver_cir128" localSheetId="6" hidden="1">1</definedName>
    <definedName name="solver_cir129" localSheetId="6" hidden="1">1</definedName>
    <definedName name="solver_cir13" localSheetId="6" hidden="1">1</definedName>
    <definedName name="solver_cir13" localSheetId="10" hidden="1">1</definedName>
    <definedName name="solver_cir130" localSheetId="6" hidden="1">1</definedName>
    <definedName name="solver_cir131" localSheetId="6" hidden="1">1</definedName>
    <definedName name="solver_cir132" localSheetId="6" hidden="1">1</definedName>
    <definedName name="solver_cir133" localSheetId="6" hidden="1">1</definedName>
    <definedName name="solver_cir134" localSheetId="6" hidden="1">1</definedName>
    <definedName name="solver_cir135" localSheetId="6" hidden="1">1</definedName>
    <definedName name="solver_cir136" localSheetId="6" hidden="1">1</definedName>
    <definedName name="solver_cir137" localSheetId="6" hidden="1">1</definedName>
    <definedName name="solver_cir138" localSheetId="6" hidden="1">1</definedName>
    <definedName name="solver_cir139" localSheetId="6" hidden="1">1</definedName>
    <definedName name="solver_cir14" localSheetId="6" hidden="1">1</definedName>
    <definedName name="solver_cir14" localSheetId="10" hidden="1">1</definedName>
    <definedName name="solver_cir140" localSheetId="6" hidden="1">1</definedName>
    <definedName name="solver_cir141" localSheetId="6" hidden="1">1</definedName>
    <definedName name="solver_cir142" localSheetId="6" hidden="1">1</definedName>
    <definedName name="solver_cir143" localSheetId="6" hidden="1">1</definedName>
    <definedName name="solver_cir144" localSheetId="6" hidden="1">1</definedName>
    <definedName name="solver_cir145" localSheetId="6" hidden="1">1</definedName>
    <definedName name="solver_cir146" localSheetId="6" hidden="1">1</definedName>
    <definedName name="solver_cir147" localSheetId="6" hidden="1">1</definedName>
    <definedName name="solver_cir148" localSheetId="6" hidden="1">1</definedName>
    <definedName name="solver_cir149" localSheetId="6" hidden="1">1</definedName>
    <definedName name="solver_cir15" localSheetId="6" hidden="1">1</definedName>
    <definedName name="solver_cir15" localSheetId="10" hidden="1">1</definedName>
    <definedName name="solver_cir150" localSheetId="6" hidden="1">1</definedName>
    <definedName name="solver_cir151" localSheetId="6" hidden="1">1</definedName>
    <definedName name="solver_cir152" localSheetId="6" hidden="1">1</definedName>
    <definedName name="solver_cir153" localSheetId="6" hidden="1">1</definedName>
    <definedName name="solver_cir154" localSheetId="6" hidden="1">1</definedName>
    <definedName name="solver_cir155" localSheetId="6" hidden="1">1</definedName>
    <definedName name="solver_cir156" localSheetId="6" hidden="1">1</definedName>
    <definedName name="solver_cir157" localSheetId="6" hidden="1">1</definedName>
    <definedName name="solver_cir158" localSheetId="6" hidden="1">1</definedName>
    <definedName name="solver_cir159" localSheetId="6" hidden="1">1</definedName>
    <definedName name="solver_cir16" localSheetId="6" hidden="1">1</definedName>
    <definedName name="solver_cir16" localSheetId="10" hidden="1">1</definedName>
    <definedName name="solver_cir160" localSheetId="6" hidden="1">1</definedName>
    <definedName name="solver_cir161" localSheetId="6" hidden="1">1</definedName>
    <definedName name="solver_cir162" localSheetId="6" hidden="1">1</definedName>
    <definedName name="solver_cir163" localSheetId="6" hidden="1">1</definedName>
    <definedName name="solver_cir164" localSheetId="6" hidden="1">1</definedName>
    <definedName name="solver_cir165" localSheetId="6" hidden="1">1</definedName>
    <definedName name="solver_cir166" localSheetId="6" hidden="1">1</definedName>
    <definedName name="solver_cir167" localSheetId="6" hidden="1">1</definedName>
    <definedName name="solver_cir168" localSheetId="6" hidden="1">1</definedName>
    <definedName name="solver_cir169" localSheetId="6" hidden="1">1</definedName>
    <definedName name="solver_cir17" localSheetId="6" hidden="1">1</definedName>
    <definedName name="solver_cir17" localSheetId="10" hidden="1">1</definedName>
    <definedName name="solver_cir170" localSheetId="6" hidden="1">1</definedName>
    <definedName name="solver_cir171" localSheetId="6" hidden="1">1</definedName>
    <definedName name="solver_cir172" localSheetId="6" hidden="1">1</definedName>
    <definedName name="solver_cir173" localSheetId="6" hidden="1">1</definedName>
    <definedName name="solver_cir174" localSheetId="6" hidden="1">1</definedName>
    <definedName name="solver_cir175" localSheetId="6" hidden="1">1</definedName>
    <definedName name="solver_cir176" localSheetId="6" hidden="1">1</definedName>
    <definedName name="solver_cir177" localSheetId="6" hidden="1">1</definedName>
    <definedName name="solver_cir178" localSheetId="6" hidden="1">1</definedName>
    <definedName name="solver_cir179" localSheetId="6" hidden="1">1</definedName>
    <definedName name="solver_cir18" localSheetId="6" hidden="1">1</definedName>
    <definedName name="solver_cir18" localSheetId="10" hidden="1">1</definedName>
    <definedName name="solver_cir180" localSheetId="6" hidden="1">1</definedName>
    <definedName name="solver_cir181" localSheetId="6" hidden="1">1</definedName>
    <definedName name="solver_cir182" localSheetId="6" hidden="1">1</definedName>
    <definedName name="solver_cir183" localSheetId="6" hidden="1">1</definedName>
    <definedName name="solver_cir184" localSheetId="6" hidden="1">1</definedName>
    <definedName name="solver_cir185" localSheetId="6" hidden="1">1</definedName>
    <definedName name="solver_cir186" localSheetId="6" hidden="1">1</definedName>
    <definedName name="solver_cir187" localSheetId="6" hidden="1">1</definedName>
    <definedName name="solver_cir188" localSheetId="6" hidden="1">1</definedName>
    <definedName name="solver_cir189" localSheetId="6" hidden="1">1</definedName>
    <definedName name="solver_cir19" localSheetId="6" hidden="1">1</definedName>
    <definedName name="solver_cir19" localSheetId="10" hidden="1">1</definedName>
    <definedName name="solver_cir190" localSheetId="6" hidden="1">1</definedName>
    <definedName name="solver_cir191" localSheetId="6" hidden="1">1</definedName>
    <definedName name="solver_cir192" localSheetId="6" hidden="1">1</definedName>
    <definedName name="solver_cir193" localSheetId="6" hidden="1">1</definedName>
    <definedName name="solver_cir194" localSheetId="6" hidden="1">1</definedName>
    <definedName name="solver_cir195" localSheetId="6" hidden="1">1</definedName>
    <definedName name="solver_cir196" localSheetId="6" hidden="1">1</definedName>
    <definedName name="solver_cir197" localSheetId="6" hidden="1">1</definedName>
    <definedName name="solver_cir198" localSheetId="6" hidden="1">1</definedName>
    <definedName name="solver_cir199" localSheetId="6" hidden="1">1</definedName>
    <definedName name="solver_cir2" localSheetId="6" hidden="1">1</definedName>
    <definedName name="solver_cir2" localSheetId="10" hidden="1">1</definedName>
    <definedName name="solver_cir20" localSheetId="6" hidden="1">1</definedName>
    <definedName name="solver_cir20" localSheetId="10" hidden="1">1</definedName>
    <definedName name="solver_cir200" localSheetId="6" hidden="1">1</definedName>
    <definedName name="solver_cir201" localSheetId="6" hidden="1">1</definedName>
    <definedName name="solver_cir202" localSheetId="6" hidden="1">1</definedName>
    <definedName name="solver_cir203" localSheetId="6" hidden="1">1</definedName>
    <definedName name="solver_cir204" localSheetId="6" hidden="1">1</definedName>
    <definedName name="solver_cir205" localSheetId="6" hidden="1">1</definedName>
    <definedName name="solver_cir206" localSheetId="6" hidden="1">1</definedName>
    <definedName name="solver_cir207" localSheetId="6" hidden="1">1</definedName>
    <definedName name="solver_cir208" localSheetId="6" hidden="1">1</definedName>
    <definedName name="solver_cir209" localSheetId="6" hidden="1">1</definedName>
    <definedName name="solver_cir21" localSheetId="6" hidden="1">1</definedName>
    <definedName name="solver_cir21" localSheetId="10" hidden="1">1</definedName>
    <definedName name="solver_cir210" localSheetId="6" hidden="1">1</definedName>
    <definedName name="solver_cir211" localSheetId="6" hidden="1">1</definedName>
    <definedName name="solver_cir22" localSheetId="6" hidden="1">1</definedName>
    <definedName name="solver_cir22" localSheetId="10" hidden="1">1</definedName>
    <definedName name="solver_cir23" localSheetId="6" hidden="1">1</definedName>
    <definedName name="solver_cir23" localSheetId="10" hidden="1">1</definedName>
    <definedName name="solver_cir24" localSheetId="6" hidden="1">1</definedName>
    <definedName name="solver_cir24" localSheetId="10" hidden="1">1</definedName>
    <definedName name="solver_cir25" localSheetId="6" hidden="1">1</definedName>
    <definedName name="solver_cir25" localSheetId="10" hidden="1">1</definedName>
    <definedName name="solver_cir26" localSheetId="6" hidden="1">1</definedName>
    <definedName name="solver_cir26" localSheetId="10" hidden="1">1</definedName>
    <definedName name="solver_cir27" localSheetId="6" hidden="1">1</definedName>
    <definedName name="solver_cir27" localSheetId="10" hidden="1">1</definedName>
    <definedName name="solver_cir28" localSheetId="6" hidden="1">1</definedName>
    <definedName name="solver_cir28" localSheetId="10" hidden="1">1</definedName>
    <definedName name="solver_cir29" localSheetId="6" hidden="1">1</definedName>
    <definedName name="solver_cir29" localSheetId="10" hidden="1">1</definedName>
    <definedName name="solver_cir3" localSheetId="6" hidden="1">1</definedName>
    <definedName name="solver_cir3" localSheetId="10" hidden="1">1</definedName>
    <definedName name="solver_cir30" localSheetId="6" hidden="1">1</definedName>
    <definedName name="solver_cir30" localSheetId="10" hidden="1">1</definedName>
    <definedName name="solver_cir31" localSheetId="6" hidden="1">1</definedName>
    <definedName name="solver_cir31" localSheetId="10" hidden="1">1</definedName>
    <definedName name="solver_cir32" localSheetId="6" hidden="1">1</definedName>
    <definedName name="solver_cir32" localSheetId="10" hidden="1">1</definedName>
    <definedName name="solver_cir33" localSheetId="6" hidden="1">1</definedName>
    <definedName name="solver_cir33" localSheetId="10" hidden="1">1</definedName>
    <definedName name="solver_cir34" localSheetId="6" hidden="1">1</definedName>
    <definedName name="solver_cir34" localSheetId="10" hidden="1">1</definedName>
    <definedName name="solver_cir35" localSheetId="6" hidden="1">1</definedName>
    <definedName name="solver_cir35" localSheetId="10" hidden="1">1</definedName>
    <definedName name="solver_cir36" localSheetId="6" hidden="1">1</definedName>
    <definedName name="solver_cir36" localSheetId="10" hidden="1">1</definedName>
    <definedName name="solver_cir37" localSheetId="6" hidden="1">1</definedName>
    <definedName name="solver_cir37" localSheetId="10" hidden="1">1</definedName>
    <definedName name="solver_cir38" localSheetId="6" hidden="1">1</definedName>
    <definedName name="solver_cir38" localSheetId="10" hidden="1">1</definedName>
    <definedName name="solver_cir39" localSheetId="6" hidden="1">1</definedName>
    <definedName name="solver_cir39" localSheetId="10" hidden="1">1</definedName>
    <definedName name="solver_cir4" localSheetId="6" hidden="1">1</definedName>
    <definedName name="solver_cir4" localSheetId="10" hidden="1">1</definedName>
    <definedName name="solver_cir40" localSheetId="6" hidden="1">1</definedName>
    <definedName name="solver_cir40" localSheetId="10" hidden="1">1</definedName>
    <definedName name="solver_cir41" localSheetId="6" hidden="1">1</definedName>
    <definedName name="solver_cir41" localSheetId="10" hidden="1">1</definedName>
    <definedName name="solver_cir42" localSheetId="6" hidden="1">1</definedName>
    <definedName name="solver_cir42" localSheetId="10" hidden="1">1</definedName>
    <definedName name="solver_cir43" localSheetId="6" hidden="1">1</definedName>
    <definedName name="solver_cir43" localSheetId="10" hidden="1">1</definedName>
    <definedName name="solver_cir44" localSheetId="6" hidden="1">1</definedName>
    <definedName name="solver_cir44" localSheetId="10" hidden="1">1</definedName>
    <definedName name="solver_cir45" localSheetId="6" hidden="1">1</definedName>
    <definedName name="solver_cir45" localSheetId="10" hidden="1">1</definedName>
    <definedName name="solver_cir46" localSheetId="6" hidden="1">1</definedName>
    <definedName name="solver_cir46" localSheetId="10" hidden="1">1</definedName>
    <definedName name="solver_cir47" localSheetId="6" hidden="1">1</definedName>
    <definedName name="solver_cir47" localSheetId="10" hidden="1">1</definedName>
    <definedName name="solver_cir48" localSheetId="6" hidden="1">1</definedName>
    <definedName name="solver_cir48" localSheetId="10" hidden="1">1</definedName>
    <definedName name="solver_cir49" localSheetId="6" hidden="1">1</definedName>
    <definedName name="solver_cir49" localSheetId="10" hidden="1">1</definedName>
    <definedName name="solver_cir5" localSheetId="6" hidden="1">1</definedName>
    <definedName name="solver_cir5" localSheetId="10" hidden="1">1</definedName>
    <definedName name="solver_cir50" localSheetId="6" hidden="1">1</definedName>
    <definedName name="solver_cir50" localSheetId="10" hidden="1">1</definedName>
    <definedName name="solver_cir51" localSheetId="6" hidden="1">1</definedName>
    <definedName name="solver_cir51" localSheetId="10" hidden="1">1</definedName>
    <definedName name="solver_cir52" localSheetId="6" hidden="1">1</definedName>
    <definedName name="solver_cir52" localSheetId="10" hidden="1">1</definedName>
    <definedName name="solver_cir53" localSheetId="6" hidden="1">1</definedName>
    <definedName name="solver_cir53" localSheetId="10" hidden="1">1</definedName>
    <definedName name="solver_cir54" localSheetId="6" hidden="1">1</definedName>
    <definedName name="solver_cir54" localSheetId="10" hidden="1">1</definedName>
    <definedName name="solver_cir55" localSheetId="6" hidden="1">1</definedName>
    <definedName name="solver_cir55" localSheetId="10" hidden="1">1</definedName>
    <definedName name="solver_cir56" localSheetId="6" hidden="1">1</definedName>
    <definedName name="solver_cir56" localSheetId="10" hidden="1">1</definedName>
    <definedName name="solver_cir57" localSheetId="6" hidden="1">1</definedName>
    <definedName name="solver_cir57" localSheetId="10" hidden="1">1</definedName>
    <definedName name="solver_cir58" localSheetId="6" hidden="1">1</definedName>
    <definedName name="solver_cir58" localSheetId="10" hidden="1">1</definedName>
    <definedName name="solver_cir59" localSheetId="6" hidden="1">1</definedName>
    <definedName name="solver_cir59" localSheetId="10" hidden="1">1</definedName>
    <definedName name="solver_cir6" localSheetId="6" hidden="1">1</definedName>
    <definedName name="solver_cir6" localSheetId="10" hidden="1">1</definedName>
    <definedName name="solver_cir60" localSheetId="6" hidden="1">1</definedName>
    <definedName name="solver_cir60" localSheetId="10" hidden="1">1</definedName>
    <definedName name="solver_cir61" localSheetId="6" hidden="1">1</definedName>
    <definedName name="solver_cir61" localSheetId="10" hidden="1">1</definedName>
    <definedName name="solver_cir62" localSheetId="6" hidden="1">1</definedName>
    <definedName name="solver_cir62" localSheetId="10" hidden="1">1</definedName>
    <definedName name="solver_cir63" localSheetId="6" hidden="1">1</definedName>
    <definedName name="solver_cir63" localSheetId="10" hidden="1">1</definedName>
    <definedName name="solver_cir64" localSheetId="6" hidden="1">1</definedName>
    <definedName name="solver_cir64" localSheetId="10" hidden="1">1</definedName>
    <definedName name="solver_cir65" localSheetId="6" hidden="1">1</definedName>
    <definedName name="solver_cir65" localSheetId="10" hidden="1">1</definedName>
    <definedName name="solver_cir66" localSheetId="6" hidden="1">1</definedName>
    <definedName name="solver_cir66" localSheetId="10" hidden="1">1</definedName>
    <definedName name="solver_cir67" localSheetId="6" hidden="1">1</definedName>
    <definedName name="solver_cir67" localSheetId="10" hidden="1">1</definedName>
    <definedName name="solver_cir68" localSheetId="6" hidden="1">1</definedName>
    <definedName name="solver_cir68" localSheetId="10" hidden="1">1</definedName>
    <definedName name="solver_cir69" localSheetId="6" hidden="1">1</definedName>
    <definedName name="solver_cir69" localSheetId="10" hidden="1">1</definedName>
    <definedName name="solver_cir7" localSheetId="6" hidden="1">1</definedName>
    <definedName name="solver_cir7" localSheetId="10" hidden="1">1</definedName>
    <definedName name="solver_cir70" localSheetId="6" hidden="1">1</definedName>
    <definedName name="solver_cir70" localSheetId="10" hidden="1">1</definedName>
    <definedName name="solver_cir71" localSheetId="6" hidden="1">1</definedName>
    <definedName name="solver_cir71" localSheetId="10" hidden="1">1</definedName>
    <definedName name="solver_cir72" localSheetId="6" hidden="1">1</definedName>
    <definedName name="solver_cir72" localSheetId="10" hidden="1">1</definedName>
    <definedName name="solver_cir73" localSheetId="6" hidden="1">1</definedName>
    <definedName name="solver_cir73" localSheetId="10" hidden="1">1</definedName>
    <definedName name="solver_cir74" localSheetId="6" hidden="1">1</definedName>
    <definedName name="solver_cir74" localSheetId="10" hidden="1">1</definedName>
    <definedName name="solver_cir75" localSheetId="6" hidden="1">1</definedName>
    <definedName name="solver_cir75" localSheetId="10" hidden="1">1</definedName>
    <definedName name="solver_cir76" localSheetId="6" hidden="1">1</definedName>
    <definedName name="solver_cir76" localSheetId="10" hidden="1">1</definedName>
    <definedName name="solver_cir77" localSheetId="6" hidden="1">1</definedName>
    <definedName name="solver_cir77" localSheetId="10" hidden="1">1</definedName>
    <definedName name="solver_cir78" localSheetId="6" hidden="1">1</definedName>
    <definedName name="solver_cir78" localSheetId="10" hidden="1">1</definedName>
    <definedName name="solver_cir79" localSheetId="6" hidden="1">1</definedName>
    <definedName name="solver_cir79" localSheetId="10" hidden="1">1</definedName>
    <definedName name="solver_cir8" localSheetId="6" hidden="1">1</definedName>
    <definedName name="solver_cir8" localSheetId="10" hidden="1">1</definedName>
    <definedName name="solver_cir80" localSheetId="6" hidden="1">1</definedName>
    <definedName name="solver_cir80" localSheetId="10" hidden="1">1</definedName>
    <definedName name="solver_cir81" localSheetId="6" hidden="1">1</definedName>
    <definedName name="solver_cir81" localSheetId="10" hidden="1">1</definedName>
    <definedName name="solver_cir82" localSheetId="6" hidden="1">1</definedName>
    <definedName name="solver_cir82" localSheetId="10" hidden="1">1</definedName>
    <definedName name="solver_cir83" localSheetId="6" hidden="1">1</definedName>
    <definedName name="solver_cir83" localSheetId="10" hidden="1">1</definedName>
    <definedName name="solver_cir84" localSheetId="6" hidden="1">1</definedName>
    <definedName name="solver_cir84" localSheetId="10" hidden="1">1</definedName>
    <definedName name="solver_cir85" localSheetId="6" hidden="1">1</definedName>
    <definedName name="solver_cir85" localSheetId="10" hidden="1">1</definedName>
    <definedName name="solver_cir86" localSheetId="6" hidden="1">1</definedName>
    <definedName name="solver_cir86" localSheetId="10" hidden="1">1</definedName>
    <definedName name="solver_cir87" localSheetId="6" hidden="1">1</definedName>
    <definedName name="solver_cir87" localSheetId="10" hidden="1">1</definedName>
    <definedName name="solver_cir88" localSheetId="6" hidden="1">1</definedName>
    <definedName name="solver_cir88" localSheetId="10" hidden="1">1</definedName>
    <definedName name="solver_cir89" localSheetId="6" hidden="1">1</definedName>
    <definedName name="solver_cir89" localSheetId="10" hidden="1">1</definedName>
    <definedName name="solver_cir9" localSheetId="6" hidden="1">1</definedName>
    <definedName name="solver_cir9" localSheetId="10" hidden="1">1</definedName>
    <definedName name="solver_cir90" localSheetId="6" hidden="1">1</definedName>
    <definedName name="solver_cir90" localSheetId="10" hidden="1">1</definedName>
    <definedName name="solver_cir91" localSheetId="6" hidden="1">1</definedName>
    <definedName name="solver_cir91" localSheetId="10" hidden="1">1</definedName>
    <definedName name="solver_cir92" localSheetId="6" hidden="1">1</definedName>
    <definedName name="solver_cir92" localSheetId="10" hidden="1">1</definedName>
    <definedName name="solver_cir93" localSheetId="6" hidden="1">1</definedName>
    <definedName name="solver_cir94" localSheetId="6" hidden="1">1</definedName>
    <definedName name="solver_cir95" localSheetId="6" hidden="1">1</definedName>
    <definedName name="solver_cir96" localSheetId="6" hidden="1">1</definedName>
    <definedName name="solver_cir97" localSheetId="6" hidden="1">1</definedName>
    <definedName name="solver_cir98" localSheetId="6" hidden="1">1</definedName>
    <definedName name="solver_cir99" localSheetId="6" hidden="1">1</definedName>
    <definedName name="solver_con1" localSheetId="6" hidden="1">" "</definedName>
    <definedName name="solver_con1" localSheetId="10" hidden="1">" "</definedName>
    <definedName name="solver_con10" localSheetId="6" hidden="1">" "</definedName>
    <definedName name="solver_con10" localSheetId="10" hidden="1">" "</definedName>
    <definedName name="solver_con100" localSheetId="6" hidden="1">" "</definedName>
    <definedName name="solver_con101" localSheetId="6" hidden="1">" "</definedName>
    <definedName name="solver_con102" localSheetId="6" hidden="1">" "</definedName>
    <definedName name="solver_con103" localSheetId="6" hidden="1">" "</definedName>
    <definedName name="solver_con104" localSheetId="6" hidden="1">" "</definedName>
    <definedName name="solver_con105" localSheetId="6" hidden="1">" "</definedName>
    <definedName name="solver_con106" localSheetId="6" hidden="1">" "</definedName>
    <definedName name="solver_con107" localSheetId="6" hidden="1">" "</definedName>
    <definedName name="solver_con108" localSheetId="6" hidden="1">" "</definedName>
    <definedName name="solver_con109" localSheetId="6" hidden="1">" "</definedName>
    <definedName name="solver_con11" localSheetId="6" hidden="1">" "</definedName>
    <definedName name="solver_con11" localSheetId="10" hidden="1">" "</definedName>
    <definedName name="solver_con110" localSheetId="6" hidden="1">" "</definedName>
    <definedName name="solver_con111" localSheetId="6" hidden="1">" "</definedName>
    <definedName name="solver_con112" localSheetId="6" hidden="1">" "</definedName>
    <definedName name="solver_con113" localSheetId="6" hidden="1">" "</definedName>
    <definedName name="solver_con114" localSheetId="6" hidden="1">" "</definedName>
    <definedName name="solver_con115" localSheetId="6" hidden="1">" "</definedName>
    <definedName name="solver_con116" localSheetId="6" hidden="1">" "</definedName>
    <definedName name="solver_con117" localSheetId="6" hidden="1">" "</definedName>
    <definedName name="solver_con118" localSheetId="6" hidden="1">" "</definedName>
    <definedName name="solver_con119" localSheetId="6" hidden="1">" "</definedName>
    <definedName name="solver_con12" localSheetId="6" hidden="1">" "</definedName>
    <definedName name="solver_con12" localSheetId="10" hidden="1">" "</definedName>
    <definedName name="solver_con120" localSheetId="6" hidden="1">" "</definedName>
    <definedName name="solver_con121" localSheetId="6" hidden="1">" "</definedName>
    <definedName name="solver_con122" localSheetId="6" hidden="1">" "</definedName>
    <definedName name="solver_con123" localSheetId="6" hidden="1">" "</definedName>
    <definedName name="solver_con124" localSheetId="6" hidden="1">" "</definedName>
    <definedName name="solver_con125" localSheetId="6" hidden="1">" "</definedName>
    <definedName name="solver_con126" localSheetId="6" hidden="1">" "</definedName>
    <definedName name="solver_con127" localSheetId="6" hidden="1">" "</definedName>
    <definedName name="solver_con128" localSheetId="6" hidden="1">" "</definedName>
    <definedName name="solver_con129" localSheetId="6" hidden="1">" "</definedName>
    <definedName name="solver_con13" localSheetId="6" hidden="1">" "</definedName>
    <definedName name="solver_con13" localSheetId="10" hidden="1">" "</definedName>
    <definedName name="solver_con130" localSheetId="6" hidden="1">" "</definedName>
    <definedName name="solver_con131" localSheetId="6" hidden="1">" "</definedName>
    <definedName name="solver_con132" localSheetId="6" hidden="1">" "</definedName>
    <definedName name="solver_con133" localSheetId="6" hidden="1">" "</definedName>
    <definedName name="solver_con134" localSheetId="6" hidden="1">" "</definedName>
    <definedName name="solver_con135" localSheetId="6" hidden="1">" "</definedName>
    <definedName name="solver_con136" localSheetId="6" hidden="1">" "</definedName>
    <definedName name="solver_con137" localSheetId="6" hidden="1">" "</definedName>
    <definedName name="solver_con138" localSheetId="6" hidden="1">" "</definedName>
    <definedName name="solver_con139" localSheetId="6" hidden="1">" "</definedName>
    <definedName name="solver_con14" localSheetId="6" hidden="1">" "</definedName>
    <definedName name="solver_con14" localSheetId="10" hidden="1">" "</definedName>
    <definedName name="solver_con140" localSheetId="6" hidden="1">" "</definedName>
    <definedName name="solver_con141" localSheetId="6" hidden="1">" "</definedName>
    <definedName name="solver_con142" localSheetId="6" hidden="1">" "</definedName>
    <definedName name="solver_con143" localSheetId="6" hidden="1">" "</definedName>
    <definedName name="solver_con144" localSheetId="6" hidden="1">" "</definedName>
    <definedName name="solver_con145" localSheetId="6" hidden="1">" "</definedName>
    <definedName name="solver_con146" localSheetId="6" hidden="1">" "</definedName>
    <definedName name="solver_con147" localSheetId="6" hidden="1">" "</definedName>
    <definedName name="solver_con148" localSheetId="6" hidden="1">" "</definedName>
    <definedName name="solver_con149" localSheetId="6" hidden="1">" "</definedName>
    <definedName name="solver_con15" localSheetId="6" hidden="1">" "</definedName>
    <definedName name="solver_con15" localSheetId="10" hidden="1">" "</definedName>
    <definedName name="solver_con150" localSheetId="6" hidden="1">" "</definedName>
    <definedName name="solver_con151" localSheetId="6" hidden="1">" "</definedName>
    <definedName name="solver_con152" localSheetId="6" hidden="1">" "</definedName>
    <definedName name="solver_con153" localSheetId="6" hidden="1">" "</definedName>
    <definedName name="solver_con154" localSheetId="6" hidden="1">" "</definedName>
    <definedName name="solver_con155" localSheetId="6" hidden="1">" "</definedName>
    <definedName name="solver_con156" localSheetId="6" hidden="1">" "</definedName>
    <definedName name="solver_con157" localSheetId="6" hidden="1">" "</definedName>
    <definedName name="solver_con158" localSheetId="6" hidden="1">" "</definedName>
    <definedName name="solver_con159" localSheetId="6" hidden="1">" "</definedName>
    <definedName name="solver_con16" localSheetId="6" hidden="1">" "</definedName>
    <definedName name="solver_con16" localSheetId="10" hidden="1">" "</definedName>
    <definedName name="solver_con160" localSheetId="6" hidden="1">" "</definedName>
    <definedName name="solver_con161" localSheetId="6" hidden="1">" "</definedName>
    <definedName name="solver_con162" localSheetId="6" hidden="1">" "</definedName>
    <definedName name="solver_con163" localSheetId="6" hidden="1">" "</definedName>
    <definedName name="solver_con164" localSheetId="6" hidden="1">" "</definedName>
    <definedName name="solver_con165" localSheetId="6" hidden="1">" "</definedName>
    <definedName name="solver_con166" localSheetId="6" hidden="1">" "</definedName>
    <definedName name="solver_con167" localSheetId="6" hidden="1">" "</definedName>
    <definedName name="solver_con168" localSheetId="6" hidden="1">" "</definedName>
    <definedName name="solver_con169" localSheetId="6" hidden="1">" "</definedName>
    <definedName name="solver_con17" localSheetId="6" hidden="1">" "</definedName>
    <definedName name="solver_con17" localSheetId="10" hidden="1">" "</definedName>
    <definedName name="solver_con170" localSheetId="6" hidden="1">" "</definedName>
    <definedName name="solver_con171" localSheetId="6" hidden="1">" "</definedName>
    <definedName name="solver_con172" localSheetId="6" hidden="1">" "</definedName>
    <definedName name="solver_con173" localSheetId="6" hidden="1">" "</definedName>
    <definedName name="solver_con174" localSheetId="6" hidden="1">" "</definedName>
    <definedName name="solver_con175" localSheetId="6" hidden="1">" "</definedName>
    <definedName name="solver_con176" localSheetId="6" hidden="1">" "</definedName>
    <definedName name="solver_con177" localSheetId="6" hidden="1">" "</definedName>
    <definedName name="solver_con178" localSheetId="6" hidden="1">" "</definedName>
    <definedName name="solver_con179" localSheetId="6" hidden="1">" "</definedName>
    <definedName name="solver_con18" localSheetId="6" hidden="1">" "</definedName>
    <definedName name="solver_con18" localSheetId="10" hidden="1">" "</definedName>
    <definedName name="solver_con180" localSheetId="6" hidden="1">" "</definedName>
    <definedName name="solver_con181" localSheetId="6" hidden="1">" "</definedName>
    <definedName name="solver_con182" localSheetId="6" hidden="1">" "</definedName>
    <definedName name="solver_con183" localSheetId="6" hidden="1">" "</definedName>
    <definedName name="solver_con184" localSheetId="6" hidden="1">" "</definedName>
    <definedName name="solver_con185" localSheetId="6" hidden="1">" "</definedName>
    <definedName name="solver_con186" localSheetId="6" hidden="1">" "</definedName>
    <definedName name="solver_con187" localSheetId="6" hidden="1">" "</definedName>
    <definedName name="solver_con188" localSheetId="6" hidden="1">" "</definedName>
    <definedName name="solver_con189" localSheetId="6" hidden="1">" "</definedName>
    <definedName name="solver_con19" localSheetId="6" hidden="1">" "</definedName>
    <definedName name="solver_con19" localSheetId="10" hidden="1">" "</definedName>
    <definedName name="solver_con190" localSheetId="6" hidden="1">" "</definedName>
    <definedName name="solver_con191" localSheetId="6" hidden="1">" "</definedName>
    <definedName name="solver_con192" localSheetId="6" hidden="1">" "</definedName>
    <definedName name="solver_con193" localSheetId="6" hidden="1">" "</definedName>
    <definedName name="solver_con194" localSheetId="6" hidden="1">" "</definedName>
    <definedName name="solver_con195" localSheetId="6" hidden="1">" "</definedName>
    <definedName name="solver_con196" localSheetId="6" hidden="1">" "</definedName>
    <definedName name="solver_con197" localSheetId="6" hidden="1">" "</definedName>
    <definedName name="solver_con198" localSheetId="6" hidden="1">" "</definedName>
    <definedName name="solver_con199" localSheetId="6" hidden="1">" "</definedName>
    <definedName name="solver_con2" localSheetId="6" hidden="1">" "</definedName>
    <definedName name="solver_con2" localSheetId="10" hidden="1">" "</definedName>
    <definedName name="solver_con20" localSheetId="6" hidden="1">" "</definedName>
    <definedName name="solver_con20" localSheetId="10" hidden="1">" "</definedName>
    <definedName name="solver_con200" localSheetId="6" hidden="1">" "</definedName>
    <definedName name="solver_con201" localSheetId="6" hidden="1">" "</definedName>
    <definedName name="solver_con202" localSheetId="6" hidden="1">" "</definedName>
    <definedName name="solver_con203" localSheetId="6" hidden="1">" "</definedName>
    <definedName name="solver_con204" localSheetId="6" hidden="1">" "</definedName>
    <definedName name="solver_con205" localSheetId="6" hidden="1">" "</definedName>
    <definedName name="solver_con206" localSheetId="6" hidden="1">" "</definedName>
    <definedName name="solver_con207" localSheetId="6" hidden="1">" "</definedName>
    <definedName name="solver_con208" localSheetId="6" hidden="1">" "</definedName>
    <definedName name="solver_con209" localSheetId="6" hidden="1">" "</definedName>
    <definedName name="solver_con21" localSheetId="6" hidden="1">" "</definedName>
    <definedName name="solver_con21" localSheetId="10" hidden="1">" "</definedName>
    <definedName name="solver_con210" localSheetId="6" hidden="1">" "</definedName>
    <definedName name="solver_con211" localSheetId="6" hidden="1">" "</definedName>
    <definedName name="solver_con22" localSheetId="6" hidden="1">" "</definedName>
    <definedName name="solver_con22" localSheetId="10" hidden="1">" "</definedName>
    <definedName name="solver_con23" localSheetId="6" hidden="1">" "</definedName>
    <definedName name="solver_con23" localSheetId="10" hidden="1">" "</definedName>
    <definedName name="solver_con24" localSheetId="6" hidden="1">" "</definedName>
    <definedName name="solver_con24" localSheetId="10" hidden="1">" "</definedName>
    <definedName name="solver_con25" localSheetId="6" hidden="1">" "</definedName>
    <definedName name="solver_con25" localSheetId="10" hidden="1">" "</definedName>
    <definedName name="solver_con26" localSheetId="6" hidden="1">" "</definedName>
    <definedName name="solver_con26" localSheetId="10" hidden="1">" "</definedName>
    <definedName name="solver_con27" localSheetId="6" hidden="1">" "</definedName>
    <definedName name="solver_con27" localSheetId="10" hidden="1">" "</definedName>
    <definedName name="solver_con28" localSheetId="6" hidden="1">" "</definedName>
    <definedName name="solver_con28" localSheetId="10" hidden="1">" "</definedName>
    <definedName name="solver_con29" localSheetId="6" hidden="1">" "</definedName>
    <definedName name="solver_con29" localSheetId="10" hidden="1">" "</definedName>
    <definedName name="solver_con3" localSheetId="6" hidden="1">" "</definedName>
    <definedName name="solver_con3" localSheetId="10" hidden="1">" "</definedName>
    <definedName name="solver_con30" localSheetId="6" hidden="1">" "</definedName>
    <definedName name="solver_con30" localSheetId="10" hidden="1">" "</definedName>
    <definedName name="solver_con31" localSheetId="6" hidden="1">" "</definedName>
    <definedName name="solver_con31" localSheetId="10" hidden="1">" "</definedName>
    <definedName name="solver_con32" localSheetId="6" hidden="1">" "</definedName>
    <definedName name="solver_con32" localSheetId="10" hidden="1">" "</definedName>
    <definedName name="solver_con33" localSheetId="6" hidden="1">" "</definedName>
    <definedName name="solver_con33" localSheetId="10" hidden="1">" "</definedName>
    <definedName name="solver_con34" localSheetId="6" hidden="1">" "</definedName>
    <definedName name="solver_con34" localSheetId="10" hidden="1">" "</definedName>
    <definedName name="solver_con35" localSheetId="6" hidden="1">" "</definedName>
    <definedName name="solver_con35" localSheetId="10" hidden="1">" "</definedName>
    <definedName name="solver_con36" localSheetId="6" hidden="1">" "</definedName>
    <definedName name="solver_con36" localSheetId="10" hidden="1">" "</definedName>
    <definedName name="solver_con37" localSheetId="6" hidden="1">" "</definedName>
    <definedName name="solver_con37" localSheetId="10" hidden="1">" "</definedName>
    <definedName name="solver_con38" localSheetId="6" hidden="1">" "</definedName>
    <definedName name="solver_con38" localSheetId="10" hidden="1">" "</definedName>
    <definedName name="solver_con39" localSheetId="6" hidden="1">" "</definedName>
    <definedName name="solver_con39" localSheetId="10" hidden="1">" "</definedName>
    <definedName name="solver_con4" localSheetId="6" hidden="1">" "</definedName>
    <definedName name="solver_con4" localSheetId="10" hidden="1">" "</definedName>
    <definedName name="solver_con40" localSheetId="6" hidden="1">" "</definedName>
    <definedName name="solver_con40" localSheetId="10" hidden="1">" "</definedName>
    <definedName name="solver_con41" localSheetId="6" hidden="1">" "</definedName>
    <definedName name="solver_con41" localSheetId="10" hidden="1">" "</definedName>
    <definedName name="solver_con42" localSheetId="6" hidden="1">" "</definedName>
    <definedName name="solver_con42" localSheetId="10" hidden="1">" "</definedName>
    <definedName name="solver_con43" localSheetId="6" hidden="1">" "</definedName>
    <definedName name="solver_con43" localSheetId="10" hidden="1">" "</definedName>
    <definedName name="solver_con44" localSheetId="6" hidden="1">" "</definedName>
    <definedName name="solver_con44" localSheetId="10" hidden="1">" "</definedName>
    <definedName name="solver_con45" localSheetId="6" hidden="1">" "</definedName>
    <definedName name="solver_con45" localSheetId="10" hidden="1">" "</definedName>
    <definedName name="solver_con46" localSheetId="6" hidden="1">" "</definedName>
    <definedName name="solver_con46" localSheetId="10" hidden="1">" "</definedName>
    <definedName name="solver_con47" localSheetId="6" hidden="1">" "</definedName>
    <definedName name="solver_con47" localSheetId="10" hidden="1">" "</definedName>
    <definedName name="solver_con48" localSheetId="6" hidden="1">" "</definedName>
    <definedName name="solver_con48" localSheetId="10" hidden="1">" "</definedName>
    <definedName name="solver_con49" localSheetId="6" hidden="1">" "</definedName>
    <definedName name="solver_con49" localSheetId="10" hidden="1">" "</definedName>
    <definedName name="solver_con5" localSheetId="6" hidden="1">" "</definedName>
    <definedName name="solver_con5" localSheetId="10" hidden="1">" "</definedName>
    <definedName name="solver_con50" localSheetId="6" hidden="1">" "</definedName>
    <definedName name="solver_con50" localSheetId="10" hidden="1">" "</definedName>
    <definedName name="solver_con51" localSheetId="6" hidden="1">" "</definedName>
    <definedName name="solver_con51" localSheetId="10" hidden="1">" "</definedName>
    <definedName name="solver_con52" localSheetId="6" hidden="1">" "</definedName>
    <definedName name="solver_con52" localSheetId="10" hidden="1">" "</definedName>
    <definedName name="solver_con53" localSheetId="6" hidden="1">" "</definedName>
    <definedName name="solver_con53" localSheetId="10" hidden="1">" "</definedName>
    <definedName name="solver_con54" localSheetId="6" hidden="1">" "</definedName>
    <definedName name="solver_con54" localSheetId="10" hidden="1">" "</definedName>
    <definedName name="solver_con55" localSheetId="6" hidden="1">" "</definedName>
    <definedName name="solver_con55" localSheetId="10" hidden="1">" "</definedName>
    <definedName name="solver_con56" localSheetId="6" hidden="1">" "</definedName>
    <definedName name="solver_con56" localSheetId="10" hidden="1">" "</definedName>
    <definedName name="solver_con57" localSheetId="6" hidden="1">" "</definedName>
    <definedName name="solver_con57" localSheetId="10" hidden="1">" "</definedName>
    <definedName name="solver_con58" localSheetId="6" hidden="1">" "</definedName>
    <definedName name="solver_con58" localSheetId="10" hidden="1">" "</definedName>
    <definedName name="solver_con59" localSheetId="6" hidden="1">" "</definedName>
    <definedName name="solver_con59" localSheetId="10" hidden="1">" "</definedName>
    <definedName name="solver_con6" localSheetId="6" hidden="1">" "</definedName>
    <definedName name="solver_con6" localSheetId="10" hidden="1">" "</definedName>
    <definedName name="solver_con60" localSheetId="6" hidden="1">" "</definedName>
    <definedName name="solver_con60" localSheetId="10" hidden="1">" "</definedName>
    <definedName name="solver_con61" localSheetId="6" hidden="1">" "</definedName>
    <definedName name="solver_con61" localSheetId="10" hidden="1">" "</definedName>
    <definedName name="solver_con62" localSheetId="6" hidden="1">" "</definedName>
    <definedName name="solver_con62" localSheetId="10" hidden="1">" "</definedName>
    <definedName name="solver_con63" localSheetId="6" hidden="1">" "</definedName>
    <definedName name="solver_con63" localSheetId="10" hidden="1">" "</definedName>
    <definedName name="solver_con64" localSheetId="6" hidden="1">" "</definedName>
    <definedName name="solver_con64" localSheetId="10" hidden="1">" "</definedName>
    <definedName name="solver_con65" localSheetId="6" hidden="1">" "</definedName>
    <definedName name="solver_con65" localSheetId="10" hidden="1">" "</definedName>
    <definedName name="solver_con66" localSheetId="6" hidden="1">" "</definedName>
    <definedName name="solver_con66" localSheetId="10" hidden="1">" "</definedName>
    <definedName name="solver_con67" localSheetId="6" hidden="1">" "</definedName>
    <definedName name="solver_con67" localSheetId="10" hidden="1">" "</definedName>
    <definedName name="solver_con68" localSheetId="6" hidden="1">" "</definedName>
    <definedName name="solver_con68" localSheetId="10" hidden="1">" "</definedName>
    <definedName name="solver_con69" localSheetId="6" hidden="1">" "</definedName>
    <definedName name="solver_con69" localSheetId="10" hidden="1">" "</definedName>
    <definedName name="solver_con7" localSheetId="6" hidden="1">" "</definedName>
    <definedName name="solver_con7" localSheetId="10" hidden="1">" "</definedName>
    <definedName name="solver_con70" localSheetId="6" hidden="1">" "</definedName>
    <definedName name="solver_con70" localSheetId="10" hidden="1">" "</definedName>
    <definedName name="solver_con71" localSheetId="6" hidden="1">" "</definedName>
    <definedName name="solver_con71" localSheetId="10" hidden="1">" "</definedName>
    <definedName name="solver_con72" localSheetId="6" hidden="1">" "</definedName>
    <definedName name="solver_con72" localSheetId="10" hidden="1">" "</definedName>
    <definedName name="solver_con73" localSheetId="6" hidden="1">" "</definedName>
    <definedName name="solver_con73" localSheetId="10" hidden="1">" "</definedName>
    <definedName name="solver_con74" localSheetId="6" hidden="1">" "</definedName>
    <definedName name="solver_con74" localSheetId="10" hidden="1">" "</definedName>
    <definedName name="solver_con75" localSheetId="6" hidden="1">" "</definedName>
    <definedName name="solver_con75" localSheetId="10" hidden="1">" "</definedName>
    <definedName name="solver_con76" localSheetId="6" hidden="1">" "</definedName>
    <definedName name="solver_con76" localSheetId="10" hidden="1">" "</definedName>
    <definedName name="solver_con77" localSheetId="6" hidden="1">" "</definedName>
    <definedName name="solver_con77" localSheetId="10" hidden="1">" "</definedName>
    <definedName name="solver_con78" localSheetId="6" hidden="1">" "</definedName>
    <definedName name="solver_con78" localSheetId="10" hidden="1">" "</definedName>
    <definedName name="solver_con79" localSheetId="6" hidden="1">" "</definedName>
    <definedName name="solver_con79" localSheetId="10" hidden="1">" "</definedName>
    <definedName name="solver_con8" localSheetId="6" hidden="1">" "</definedName>
    <definedName name="solver_con8" localSheetId="10" hidden="1">" "</definedName>
    <definedName name="solver_con80" localSheetId="6" hidden="1">" "</definedName>
    <definedName name="solver_con80" localSheetId="10" hidden="1">" "</definedName>
    <definedName name="solver_con81" localSheetId="6" hidden="1">" "</definedName>
    <definedName name="solver_con81" localSheetId="10" hidden="1">" "</definedName>
    <definedName name="solver_con82" localSheetId="6" hidden="1">" "</definedName>
    <definedName name="solver_con82" localSheetId="10" hidden="1">" "</definedName>
    <definedName name="solver_con83" localSheetId="6" hidden="1">" "</definedName>
    <definedName name="solver_con83" localSheetId="10" hidden="1">" "</definedName>
    <definedName name="solver_con84" localSheetId="6" hidden="1">" "</definedName>
    <definedName name="solver_con84" localSheetId="10" hidden="1">" "</definedName>
    <definedName name="solver_con85" localSheetId="6" hidden="1">" "</definedName>
    <definedName name="solver_con85" localSheetId="10" hidden="1">" "</definedName>
    <definedName name="solver_con86" localSheetId="6" hidden="1">" "</definedName>
    <definedName name="solver_con86" localSheetId="10" hidden="1">" "</definedName>
    <definedName name="solver_con87" localSheetId="6" hidden="1">" "</definedName>
    <definedName name="solver_con87" localSheetId="10" hidden="1">" "</definedName>
    <definedName name="solver_con88" localSheetId="6" hidden="1">" "</definedName>
    <definedName name="solver_con88" localSheetId="10" hidden="1">" "</definedName>
    <definedName name="solver_con89" localSheetId="6" hidden="1">" "</definedName>
    <definedName name="solver_con89" localSheetId="10" hidden="1">" "</definedName>
    <definedName name="solver_con9" localSheetId="6" hidden="1">" "</definedName>
    <definedName name="solver_con9" localSheetId="10" hidden="1">" "</definedName>
    <definedName name="solver_con90" localSheetId="6" hidden="1">" "</definedName>
    <definedName name="solver_con90" localSheetId="10" hidden="1">" "</definedName>
    <definedName name="solver_con91" localSheetId="6" hidden="1">" "</definedName>
    <definedName name="solver_con91" localSheetId="10" hidden="1">" "</definedName>
    <definedName name="solver_con92" localSheetId="6" hidden="1">" "</definedName>
    <definedName name="solver_con92" localSheetId="10" hidden="1">" "</definedName>
    <definedName name="solver_con93" localSheetId="6" hidden="1">" "</definedName>
    <definedName name="solver_con94" localSheetId="6" hidden="1">" "</definedName>
    <definedName name="solver_con95" localSheetId="6" hidden="1">" "</definedName>
    <definedName name="solver_con96" localSheetId="6" hidden="1">" "</definedName>
    <definedName name="solver_con97" localSheetId="6" hidden="1">" "</definedName>
    <definedName name="solver_con98" localSheetId="6" hidden="1">" "</definedName>
    <definedName name="solver_con99" localSheetId="6" hidden="1">" "</definedName>
    <definedName name="solver_corr" hidden="1">1</definedName>
    <definedName name="solver_ctp1" hidden="1">0</definedName>
    <definedName name="solver_ctp2" hidden="1">0</definedName>
    <definedName name="solver_cvg" localSheetId="6" hidden="1">0.001</definedName>
    <definedName name="solver_cvg" localSheetId="10" hidden="1">0.001</definedName>
    <definedName name="solver_dia" localSheetId="6" hidden="1">5</definedName>
    <definedName name="solver_dia" localSheetId="10" hidden="1">1</definedName>
    <definedName name="solver_dia" localSheetId="12" hidden="1">5</definedName>
    <definedName name="solver_dimcalc" localSheetId="6" hidden="1">0</definedName>
    <definedName name="solver_dimcalc" localSheetId="10" hidden="1">0</definedName>
    <definedName name="solver_disp" hidden="1">0</definedName>
    <definedName name="solver_drv" localSheetId="6" hidden="1">1</definedName>
    <definedName name="solver_drv" localSheetId="10" hidden="1">1</definedName>
    <definedName name="solver_dua" localSheetId="6" hidden="1">2</definedName>
    <definedName name="solver_eng" localSheetId="6" hidden="1">1</definedName>
    <definedName name="solver_eng" localSheetId="10" hidden="1">1</definedName>
    <definedName name="solver_eng" localSheetId="17" hidden="1">1</definedName>
    <definedName name="solver_est" localSheetId="6" hidden="1">1</definedName>
    <definedName name="solver_est" localSheetId="10" hidden="1">1</definedName>
    <definedName name="solver_eval" hidden="1">0</definedName>
    <definedName name="solver_fea" localSheetId="6" hidden="1">0.000001</definedName>
    <definedName name="solver_fea" localSheetId="10" hidden="1">0.000001</definedName>
    <definedName name="solver_fns" localSheetId="6" hidden="1">0</definedName>
    <definedName name="solver_fns" localSheetId="10" hidden="1">0</definedName>
    <definedName name="solver_gap" localSheetId="6" hidden="1">0.0000001</definedName>
    <definedName name="solver_gap" localSheetId="10" hidden="1">0.0000001</definedName>
    <definedName name="solver_gct" localSheetId="6" hidden="1">20</definedName>
    <definedName name="solver_glb" localSheetId="6" hidden="1">-1E+30</definedName>
    <definedName name="solver_glb" localSheetId="10" hidden="1">-1E+30</definedName>
    <definedName name="solver_gop" localSheetId="6" hidden="1">1</definedName>
    <definedName name="solver_gub" localSheetId="6" hidden="1">1E+30</definedName>
    <definedName name="solver_gub" localSheetId="10" hidden="1">1E+30</definedName>
    <definedName name="solver_iao" localSheetId="6" hidden="1">0</definedName>
    <definedName name="solver_iao" localSheetId="10" hidden="1">0</definedName>
    <definedName name="solver_ibd" localSheetId="6" hidden="1">0</definedName>
    <definedName name="solver_inc" localSheetId="6" hidden="1">0</definedName>
    <definedName name="solver_inc" localSheetId="10" hidden="1">0</definedName>
    <definedName name="solver_int" localSheetId="6" hidden="1">1</definedName>
    <definedName name="solver_int" localSheetId="10" hidden="1">2</definedName>
    <definedName name="solver_int" localSheetId="12" hidden="1">0</definedName>
    <definedName name="solver_ipd" localSheetId="6" hidden="1">3</definedName>
    <definedName name="solver_ipd" localSheetId="10" hidden="1">3</definedName>
    <definedName name="solver_ipi" localSheetId="6" hidden="1">1</definedName>
    <definedName name="solver_ipi" localSheetId="10" hidden="1">1</definedName>
    <definedName name="solver_ips" localSheetId="6" hidden="1">0.99</definedName>
    <definedName name="solver_ips" localSheetId="10" hidden="1">0.99</definedName>
    <definedName name="solver_irs" localSheetId="6" hidden="1">0</definedName>
    <definedName name="solver_irs" localSheetId="10" hidden="1">0</definedName>
    <definedName name="solver_ism" localSheetId="6" hidden="1">0</definedName>
    <definedName name="solver_ism" localSheetId="10" hidden="1">0</definedName>
    <definedName name="solver_itr" localSheetId="6" hidden="1">10000</definedName>
    <definedName name="solver_itr" localSheetId="10" hidden="1">10000</definedName>
    <definedName name="solver_lcens" hidden="1">-1E+30</definedName>
    <definedName name="solver_lcut" hidden="1">-1E+30</definedName>
    <definedName name="solver_legacy" localSheetId="6" hidden="1">1</definedName>
    <definedName name="solver_legacy" localSheetId="10" hidden="1">1</definedName>
    <definedName name="solver_lhs_ob1" localSheetId="6" hidden="1">0</definedName>
    <definedName name="solver_lhs_ob1" localSheetId="10" hidden="1">0</definedName>
    <definedName name="solver_lhs_ob10" localSheetId="6" hidden="1">0</definedName>
    <definedName name="solver_lhs_ob10" localSheetId="10" hidden="1">0</definedName>
    <definedName name="solver_lhs_ob100" localSheetId="6" hidden="1">0</definedName>
    <definedName name="solver_lhs_ob101" localSheetId="6" hidden="1">0</definedName>
    <definedName name="solver_lhs_ob102" localSheetId="6" hidden="1">0</definedName>
    <definedName name="solver_lhs_ob103" localSheetId="6" hidden="1">0</definedName>
    <definedName name="solver_lhs_ob104" localSheetId="6" hidden="1">0</definedName>
    <definedName name="solver_lhs_ob105" localSheetId="6" hidden="1">0</definedName>
    <definedName name="solver_lhs_ob106" localSheetId="6" hidden="1">0</definedName>
    <definedName name="solver_lhs_ob107" localSheetId="6" hidden="1">0</definedName>
    <definedName name="solver_lhs_ob108" localSheetId="6" hidden="1">0</definedName>
    <definedName name="solver_lhs_ob109" localSheetId="6" hidden="1">0</definedName>
    <definedName name="solver_lhs_ob11" localSheetId="6" hidden="1">0</definedName>
    <definedName name="solver_lhs_ob11" localSheetId="10" hidden="1">0</definedName>
    <definedName name="solver_lhs_ob110" localSheetId="6" hidden="1">0</definedName>
    <definedName name="solver_lhs_ob111" localSheetId="6" hidden="1">0</definedName>
    <definedName name="solver_lhs_ob112" localSheetId="6" hidden="1">0</definedName>
    <definedName name="solver_lhs_ob113" localSheetId="6" hidden="1">0</definedName>
    <definedName name="solver_lhs_ob114" localSheetId="6" hidden="1">0</definedName>
    <definedName name="solver_lhs_ob115" localSheetId="6" hidden="1">0</definedName>
    <definedName name="solver_lhs_ob116" localSheetId="6" hidden="1">0</definedName>
    <definedName name="solver_lhs_ob117" localSheetId="6" hidden="1">0</definedName>
    <definedName name="solver_lhs_ob118" localSheetId="6" hidden="1">0</definedName>
    <definedName name="solver_lhs_ob119" localSheetId="6" hidden="1">0</definedName>
    <definedName name="solver_lhs_ob12" localSheetId="6" hidden="1">0</definedName>
    <definedName name="solver_lhs_ob12" localSheetId="10" hidden="1">0</definedName>
    <definedName name="solver_lhs_ob120" localSheetId="6" hidden="1">0</definedName>
    <definedName name="solver_lhs_ob121" localSheetId="6" hidden="1">0</definedName>
    <definedName name="solver_lhs_ob122" localSheetId="6" hidden="1">0</definedName>
    <definedName name="solver_lhs_ob123" localSheetId="6" hidden="1">0</definedName>
    <definedName name="solver_lhs_ob124" localSheetId="6" hidden="1">0</definedName>
    <definedName name="solver_lhs_ob125" localSheetId="6" hidden="1">0</definedName>
    <definedName name="solver_lhs_ob126" localSheetId="6" hidden="1">0</definedName>
    <definedName name="solver_lhs_ob127" localSheetId="6" hidden="1">0</definedName>
    <definedName name="solver_lhs_ob128" localSheetId="6" hidden="1">0</definedName>
    <definedName name="solver_lhs_ob129" localSheetId="6" hidden="1">0</definedName>
    <definedName name="solver_lhs_ob13" localSheetId="6" hidden="1">0</definedName>
    <definedName name="solver_lhs_ob13" localSheetId="10" hidden="1">0</definedName>
    <definedName name="solver_lhs_ob130" localSheetId="6" hidden="1">0</definedName>
    <definedName name="solver_lhs_ob131" localSheetId="6" hidden="1">0</definedName>
    <definedName name="solver_lhs_ob132" localSheetId="6" hidden="1">0</definedName>
    <definedName name="solver_lhs_ob133" localSheetId="6" hidden="1">0</definedName>
    <definedName name="solver_lhs_ob134" localSheetId="6" hidden="1">0</definedName>
    <definedName name="solver_lhs_ob135" localSheetId="6" hidden="1">0</definedName>
    <definedName name="solver_lhs_ob136" localSheetId="6" hidden="1">0</definedName>
    <definedName name="solver_lhs_ob137" localSheetId="6" hidden="1">0</definedName>
    <definedName name="solver_lhs_ob138" localSheetId="6" hidden="1">0</definedName>
    <definedName name="solver_lhs_ob139" localSheetId="6" hidden="1">0</definedName>
    <definedName name="solver_lhs_ob14" localSheetId="6" hidden="1">0</definedName>
    <definedName name="solver_lhs_ob14" localSheetId="10" hidden="1">0</definedName>
    <definedName name="solver_lhs_ob140" localSheetId="6" hidden="1">0</definedName>
    <definedName name="solver_lhs_ob141" localSheetId="6" hidden="1">0</definedName>
    <definedName name="solver_lhs_ob142" localSheetId="6" hidden="1">0</definedName>
    <definedName name="solver_lhs_ob143" localSheetId="6" hidden="1">0</definedName>
    <definedName name="solver_lhs_ob144" localSheetId="6" hidden="1">0</definedName>
    <definedName name="solver_lhs_ob145" localSheetId="6" hidden="1">0</definedName>
    <definedName name="solver_lhs_ob146" localSheetId="6" hidden="1">0</definedName>
    <definedName name="solver_lhs_ob147" localSheetId="6" hidden="1">0</definedName>
    <definedName name="solver_lhs_ob148" localSheetId="6" hidden="1">0</definedName>
    <definedName name="solver_lhs_ob149" localSheetId="6" hidden="1">0</definedName>
    <definedName name="solver_lhs_ob15" localSheetId="6" hidden="1">0</definedName>
    <definedName name="solver_lhs_ob15" localSheetId="10" hidden="1">0</definedName>
    <definedName name="solver_lhs_ob150" localSheetId="6" hidden="1">0</definedName>
    <definedName name="solver_lhs_ob151" localSheetId="6" hidden="1">0</definedName>
    <definedName name="solver_lhs_ob152" localSheetId="6" hidden="1">0</definedName>
    <definedName name="solver_lhs_ob153" localSheetId="6" hidden="1">0</definedName>
    <definedName name="solver_lhs_ob154" localSheetId="6" hidden="1">0</definedName>
    <definedName name="solver_lhs_ob155" localSheetId="6" hidden="1">0</definedName>
    <definedName name="solver_lhs_ob156" localSheetId="6" hidden="1">0</definedName>
    <definedName name="solver_lhs_ob157" localSheetId="6" hidden="1">0</definedName>
    <definedName name="solver_lhs_ob158" localSheetId="6" hidden="1">0</definedName>
    <definedName name="solver_lhs_ob159" localSheetId="6" hidden="1">0</definedName>
    <definedName name="solver_lhs_ob16" localSheetId="6" hidden="1">0</definedName>
    <definedName name="solver_lhs_ob16" localSheetId="10" hidden="1">0</definedName>
    <definedName name="solver_lhs_ob160" localSheetId="6" hidden="1">0</definedName>
    <definedName name="solver_lhs_ob161" localSheetId="6" hidden="1">0</definedName>
    <definedName name="solver_lhs_ob162" localSheetId="6" hidden="1">0</definedName>
    <definedName name="solver_lhs_ob163" localSheetId="6" hidden="1">0</definedName>
    <definedName name="solver_lhs_ob164" localSheetId="6" hidden="1">0</definedName>
    <definedName name="solver_lhs_ob165" localSheetId="6" hidden="1">0</definedName>
    <definedName name="solver_lhs_ob166" localSheetId="6" hidden="1">0</definedName>
    <definedName name="solver_lhs_ob167" localSheetId="6" hidden="1">0</definedName>
    <definedName name="solver_lhs_ob168" localSheetId="6" hidden="1">0</definedName>
    <definedName name="solver_lhs_ob169" localSheetId="6" hidden="1">0</definedName>
    <definedName name="solver_lhs_ob17" localSheetId="6" hidden="1">0</definedName>
    <definedName name="solver_lhs_ob17" localSheetId="10" hidden="1">0</definedName>
    <definedName name="solver_lhs_ob170" localSheetId="6" hidden="1">0</definedName>
    <definedName name="solver_lhs_ob171" localSheetId="6" hidden="1">0</definedName>
    <definedName name="solver_lhs_ob172" localSheetId="6" hidden="1">0</definedName>
    <definedName name="solver_lhs_ob173" localSheetId="6" hidden="1">0</definedName>
    <definedName name="solver_lhs_ob174" localSheetId="6" hidden="1">0</definedName>
    <definedName name="solver_lhs_ob175" localSheetId="6" hidden="1">0</definedName>
    <definedName name="solver_lhs_ob176" localSheetId="6" hidden="1">0</definedName>
    <definedName name="solver_lhs_ob177" localSheetId="6" hidden="1">0</definedName>
    <definedName name="solver_lhs_ob178" localSheetId="6" hidden="1">0</definedName>
    <definedName name="solver_lhs_ob179" localSheetId="6" hidden="1">0</definedName>
    <definedName name="solver_lhs_ob18" localSheetId="6" hidden="1">0</definedName>
    <definedName name="solver_lhs_ob18" localSheetId="10" hidden="1">0</definedName>
    <definedName name="solver_lhs_ob180" localSheetId="6" hidden="1">0</definedName>
    <definedName name="solver_lhs_ob181" localSheetId="6" hidden="1">0</definedName>
    <definedName name="solver_lhs_ob182" localSheetId="6" hidden="1">0</definedName>
    <definedName name="solver_lhs_ob183" localSheetId="6" hidden="1">0</definedName>
    <definedName name="solver_lhs_ob184" localSheetId="6" hidden="1">0</definedName>
    <definedName name="solver_lhs_ob185" localSheetId="6" hidden="1">0</definedName>
    <definedName name="solver_lhs_ob186" localSheetId="6" hidden="1">0</definedName>
    <definedName name="solver_lhs_ob187" localSheetId="6" hidden="1">0</definedName>
    <definedName name="solver_lhs_ob188" localSheetId="6" hidden="1">0</definedName>
    <definedName name="solver_lhs_ob189" localSheetId="6" hidden="1">0</definedName>
    <definedName name="solver_lhs_ob19" localSheetId="6" hidden="1">0</definedName>
    <definedName name="solver_lhs_ob19" localSheetId="10" hidden="1">0</definedName>
    <definedName name="solver_lhs_ob190" localSheetId="6" hidden="1">0</definedName>
    <definedName name="solver_lhs_ob191" localSheetId="6" hidden="1">0</definedName>
    <definedName name="solver_lhs_ob192" localSheetId="6" hidden="1">0</definedName>
    <definedName name="solver_lhs_ob193" localSheetId="6" hidden="1">0</definedName>
    <definedName name="solver_lhs_ob194" localSheetId="6" hidden="1">0</definedName>
    <definedName name="solver_lhs_ob195" localSheetId="6" hidden="1">0</definedName>
    <definedName name="solver_lhs_ob196" localSheetId="6" hidden="1">0</definedName>
    <definedName name="solver_lhs_ob197" localSheetId="6" hidden="1">0</definedName>
    <definedName name="solver_lhs_ob198" localSheetId="6" hidden="1">0</definedName>
    <definedName name="solver_lhs_ob199" localSheetId="6" hidden="1">0</definedName>
    <definedName name="solver_lhs_ob2" localSheetId="6" hidden="1">0</definedName>
    <definedName name="solver_lhs_ob2" localSheetId="10" hidden="1">0</definedName>
    <definedName name="solver_lhs_ob20" localSheetId="6" hidden="1">0</definedName>
    <definedName name="solver_lhs_ob20" localSheetId="10" hidden="1">0</definedName>
    <definedName name="solver_lhs_ob200" localSheetId="6" hidden="1">0</definedName>
    <definedName name="solver_lhs_ob201" localSheetId="6" hidden="1">0</definedName>
    <definedName name="solver_lhs_ob202" localSheetId="6" hidden="1">0</definedName>
    <definedName name="solver_lhs_ob203" localSheetId="6" hidden="1">0</definedName>
    <definedName name="solver_lhs_ob204" localSheetId="6" hidden="1">0</definedName>
    <definedName name="solver_lhs_ob205" localSheetId="6" hidden="1">0</definedName>
    <definedName name="solver_lhs_ob206" localSheetId="6" hidden="1">0</definedName>
    <definedName name="solver_lhs_ob207" localSheetId="6" hidden="1">0</definedName>
    <definedName name="solver_lhs_ob208" localSheetId="6" hidden="1">0</definedName>
    <definedName name="solver_lhs_ob209" localSheetId="6" hidden="1">0</definedName>
    <definedName name="solver_lhs_ob21" localSheetId="6" hidden="1">0</definedName>
    <definedName name="solver_lhs_ob21" localSheetId="10" hidden="1">0</definedName>
    <definedName name="solver_lhs_ob210" localSheetId="6" hidden="1">0</definedName>
    <definedName name="solver_lhs_ob211" localSheetId="6" hidden="1">0</definedName>
    <definedName name="solver_lhs_ob22" localSheetId="6" hidden="1">0</definedName>
    <definedName name="solver_lhs_ob22" localSheetId="10" hidden="1">0</definedName>
    <definedName name="solver_lhs_ob23" localSheetId="6" hidden="1">0</definedName>
    <definedName name="solver_lhs_ob23" localSheetId="10" hidden="1">0</definedName>
    <definedName name="solver_lhs_ob24" localSheetId="6" hidden="1">0</definedName>
    <definedName name="solver_lhs_ob24" localSheetId="10" hidden="1">0</definedName>
    <definedName name="solver_lhs_ob25" localSheetId="6" hidden="1">0</definedName>
    <definedName name="solver_lhs_ob25" localSheetId="10" hidden="1">0</definedName>
    <definedName name="solver_lhs_ob26" localSheetId="6" hidden="1">0</definedName>
    <definedName name="solver_lhs_ob26" localSheetId="10" hidden="1">0</definedName>
    <definedName name="solver_lhs_ob27" localSheetId="6" hidden="1">0</definedName>
    <definedName name="solver_lhs_ob27" localSheetId="10" hidden="1">0</definedName>
    <definedName name="solver_lhs_ob28" localSheetId="6" hidden="1">0</definedName>
    <definedName name="solver_lhs_ob28" localSheetId="10" hidden="1">0</definedName>
    <definedName name="solver_lhs_ob29" localSheetId="6" hidden="1">0</definedName>
    <definedName name="solver_lhs_ob29" localSheetId="10" hidden="1">0</definedName>
    <definedName name="solver_lhs_ob3" localSheetId="6" hidden="1">0</definedName>
    <definedName name="solver_lhs_ob3" localSheetId="10" hidden="1">0</definedName>
    <definedName name="solver_lhs_ob30" localSheetId="6" hidden="1">0</definedName>
    <definedName name="solver_lhs_ob30" localSheetId="10" hidden="1">0</definedName>
    <definedName name="solver_lhs_ob31" localSheetId="6" hidden="1">0</definedName>
    <definedName name="solver_lhs_ob31" localSheetId="10" hidden="1">0</definedName>
    <definedName name="solver_lhs_ob32" localSheetId="6" hidden="1">0</definedName>
    <definedName name="solver_lhs_ob32" localSheetId="10" hidden="1">0</definedName>
    <definedName name="solver_lhs_ob33" localSheetId="6" hidden="1">0</definedName>
    <definedName name="solver_lhs_ob33" localSheetId="10" hidden="1">0</definedName>
    <definedName name="solver_lhs_ob34" localSheetId="6" hidden="1">0</definedName>
    <definedName name="solver_lhs_ob34" localSheetId="10" hidden="1">0</definedName>
    <definedName name="solver_lhs_ob35" localSheetId="6" hidden="1">0</definedName>
    <definedName name="solver_lhs_ob35" localSheetId="10" hidden="1">0</definedName>
    <definedName name="solver_lhs_ob36" localSheetId="6" hidden="1">0</definedName>
    <definedName name="solver_lhs_ob36" localSheetId="10" hidden="1">0</definedName>
    <definedName name="solver_lhs_ob37" localSheetId="6" hidden="1">0</definedName>
    <definedName name="solver_lhs_ob37" localSheetId="10" hidden="1">0</definedName>
    <definedName name="solver_lhs_ob38" localSheetId="6" hidden="1">0</definedName>
    <definedName name="solver_lhs_ob38" localSheetId="10" hidden="1">0</definedName>
    <definedName name="solver_lhs_ob39" localSheetId="6" hidden="1">0</definedName>
    <definedName name="solver_lhs_ob39" localSheetId="10" hidden="1">0</definedName>
    <definedName name="solver_lhs_ob4" localSheetId="6" hidden="1">0</definedName>
    <definedName name="solver_lhs_ob4" localSheetId="10" hidden="1">0</definedName>
    <definedName name="solver_lhs_ob40" localSheetId="6" hidden="1">0</definedName>
    <definedName name="solver_lhs_ob40" localSheetId="10" hidden="1">0</definedName>
    <definedName name="solver_lhs_ob41" localSheetId="6" hidden="1">0</definedName>
    <definedName name="solver_lhs_ob41" localSheetId="10" hidden="1">0</definedName>
    <definedName name="solver_lhs_ob42" localSheetId="6" hidden="1">0</definedName>
    <definedName name="solver_lhs_ob42" localSheetId="10" hidden="1">0</definedName>
    <definedName name="solver_lhs_ob43" localSheetId="6" hidden="1">0</definedName>
    <definedName name="solver_lhs_ob43" localSheetId="10" hidden="1">0</definedName>
    <definedName name="solver_lhs_ob44" localSheetId="6" hidden="1">0</definedName>
    <definedName name="solver_lhs_ob44" localSheetId="10" hidden="1">0</definedName>
    <definedName name="solver_lhs_ob45" localSheetId="6" hidden="1">0</definedName>
    <definedName name="solver_lhs_ob45" localSheetId="10" hidden="1">0</definedName>
    <definedName name="solver_lhs_ob46" localSheetId="6" hidden="1">0</definedName>
    <definedName name="solver_lhs_ob46" localSheetId="10" hidden="1">0</definedName>
    <definedName name="solver_lhs_ob47" localSheetId="6" hidden="1">0</definedName>
    <definedName name="solver_lhs_ob47" localSheetId="10" hidden="1">0</definedName>
    <definedName name="solver_lhs_ob48" localSheetId="6" hidden="1">0</definedName>
    <definedName name="solver_lhs_ob48" localSheetId="10" hidden="1">0</definedName>
    <definedName name="solver_lhs_ob49" localSheetId="6" hidden="1">0</definedName>
    <definedName name="solver_lhs_ob49" localSheetId="10" hidden="1">0</definedName>
    <definedName name="solver_lhs_ob5" localSheetId="6" hidden="1">0</definedName>
    <definedName name="solver_lhs_ob5" localSheetId="10" hidden="1">0</definedName>
    <definedName name="solver_lhs_ob50" localSheetId="6" hidden="1">0</definedName>
    <definedName name="solver_lhs_ob50" localSheetId="10" hidden="1">0</definedName>
    <definedName name="solver_lhs_ob51" localSheetId="6" hidden="1">0</definedName>
    <definedName name="solver_lhs_ob51" localSheetId="10" hidden="1">0</definedName>
    <definedName name="solver_lhs_ob52" localSheetId="6" hidden="1">0</definedName>
    <definedName name="solver_lhs_ob52" localSheetId="10" hidden="1">0</definedName>
    <definedName name="solver_lhs_ob53" localSheetId="6" hidden="1">0</definedName>
    <definedName name="solver_lhs_ob53" localSheetId="10" hidden="1">0</definedName>
    <definedName name="solver_lhs_ob54" localSheetId="6" hidden="1">0</definedName>
    <definedName name="solver_lhs_ob54" localSheetId="10" hidden="1">0</definedName>
    <definedName name="solver_lhs_ob55" localSheetId="6" hidden="1">0</definedName>
    <definedName name="solver_lhs_ob55" localSheetId="10" hidden="1">0</definedName>
    <definedName name="solver_lhs_ob56" localSheetId="6" hidden="1">0</definedName>
    <definedName name="solver_lhs_ob56" localSheetId="10" hidden="1">0</definedName>
    <definedName name="solver_lhs_ob57" localSheetId="6" hidden="1">0</definedName>
    <definedName name="solver_lhs_ob57" localSheetId="10" hidden="1">0</definedName>
    <definedName name="solver_lhs_ob58" localSheetId="6" hidden="1">0</definedName>
    <definedName name="solver_lhs_ob58" localSheetId="10" hidden="1">0</definedName>
    <definedName name="solver_lhs_ob59" localSheetId="6" hidden="1">0</definedName>
    <definedName name="solver_lhs_ob59" localSheetId="10" hidden="1">0</definedName>
    <definedName name="solver_lhs_ob6" localSheetId="6" hidden="1">0</definedName>
    <definedName name="solver_lhs_ob6" localSheetId="10" hidden="1">0</definedName>
    <definedName name="solver_lhs_ob60" localSheetId="6" hidden="1">0</definedName>
    <definedName name="solver_lhs_ob60" localSheetId="10" hidden="1">0</definedName>
    <definedName name="solver_lhs_ob61" localSheetId="6" hidden="1">0</definedName>
    <definedName name="solver_lhs_ob61" localSheetId="10" hidden="1">0</definedName>
    <definedName name="solver_lhs_ob62" localSheetId="6" hidden="1">0</definedName>
    <definedName name="solver_lhs_ob62" localSheetId="10" hidden="1">0</definedName>
    <definedName name="solver_lhs_ob63" localSheetId="6" hidden="1">0</definedName>
    <definedName name="solver_lhs_ob63" localSheetId="10" hidden="1">0</definedName>
    <definedName name="solver_lhs_ob64" localSheetId="6" hidden="1">0</definedName>
    <definedName name="solver_lhs_ob64" localSheetId="10" hidden="1">0</definedName>
    <definedName name="solver_lhs_ob65" localSheetId="6" hidden="1">0</definedName>
    <definedName name="solver_lhs_ob65" localSheetId="10" hidden="1">0</definedName>
    <definedName name="solver_lhs_ob66" localSheetId="6" hidden="1">0</definedName>
    <definedName name="solver_lhs_ob66" localSheetId="10" hidden="1">0</definedName>
    <definedName name="solver_lhs_ob67" localSheetId="6" hidden="1">0</definedName>
    <definedName name="solver_lhs_ob67" localSheetId="10" hidden="1">0</definedName>
    <definedName name="solver_lhs_ob68" localSheetId="6" hidden="1">0</definedName>
    <definedName name="solver_lhs_ob68" localSheetId="10" hidden="1">0</definedName>
    <definedName name="solver_lhs_ob69" localSheetId="6" hidden="1">0</definedName>
    <definedName name="solver_lhs_ob69" localSheetId="10" hidden="1">0</definedName>
    <definedName name="solver_lhs_ob7" localSheetId="6" hidden="1">0</definedName>
    <definedName name="solver_lhs_ob7" localSheetId="10" hidden="1">0</definedName>
    <definedName name="solver_lhs_ob70" localSheetId="6" hidden="1">0</definedName>
    <definedName name="solver_lhs_ob70" localSheetId="10" hidden="1">0</definedName>
    <definedName name="solver_lhs_ob71" localSheetId="6" hidden="1">0</definedName>
    <definedName name="solver_lhs_ob71" localSheetId="10" hidden="1">0</definedName>
    <definedName name="solver_lhs_ob72" localSheetId="6" hidden="1">0</definedName>
    <definedName name="solver_lhs_ob72" localSheetId="10" hidden="1">0</definedName>
    <definedName name="solver_lhs_ob73" localSheetId="6" hidden="1">0</definedName>
    <definedName name="solver_lhs_ob73" localSheetId="10" hidden="1">0</definedName>
    <definedName name="solver_lhs_ob74" localSheetId="6" hidden="1">0</definedName>
    <definedName name="solver_lhs_ob74" localSheetId="10" hidden="1">0</definedName>
    <definedName name="solver_lhs_ob75" localSheetId="6" hidden="1">0</definedName>
    <definedName name="solver_lhs_ob75" localSheetId="10" hidden="1">0</definedName>
    <definedName name="solver_lhs_ob76" localSheetId="6" hidden="1">0</definedName>
    <definedName name="solver_lhs_ob76" localSheetId="10" hidden="1">0</definedName>
    <definedName name="solver_lhs_ob77" localSheetId="6" hidden="1">0</definedName>
    <definedName name="solver_lhs_ob77" localSheetId="10" hidden="1">0</definedName>
    <definedName name="solver_lhs_ob78" localSheetId="6" hidden="1">0</definedName>
    <definedName name="solver_lhs_ob78" localSheetId="10" hidden="1">0</definedName>
    <definedName name="solver_lhs_ob79" localSheetId="6" hidden="1">0</definedName>
    <definedName name="solver_lhs_ob79" localSheetId="10" hidden="1">0</definedName>
    <definedName name="solver_lhs_ob8" localSheetId="6" hidden="1">0</definedName>
    <definedName name="solver_lhs_ob8" localSheetId="10" hidden="1">0</definedName>
    <definedName name="solver_lhs_ob80" localSheetId="6" hidden="1">0</definedName>
    <definedName name="solver_lhs_ob80" localSheetId="10" hidden="1">0</definedName>
    <definedName name="solver_lhs_ob81" localSheetId="6" hidden="1">0</definedName>
    <definedName name="solver_lhs_ob81" localSheetId="10" hidden="1">0</definedName>
    <definedName name="solver_lhs_ob82" localSheetId="6" hidden="1">0</definedName>
    <definedName name="solver_lhs_ob82" localSheetId="10" hidden="1">0</definedName>
    <definedName name="solver_lhs_ob83" localSheetId="6" hidden="1">0</definedName>
    <definedName name="solver_lhs_ob83" localSheetId="10" hidden="1">0</definedName>
    <definedName name="solver_lhs_ob84" localSheetId="6" hidden="1">0</definedName>
    <definedName name="solver_lhs_ob84" localSheetId="10" hidden="1">0</definedName>
    <definedName name="solver_lhs_ob85" localSheetId="6" hidden="1">0</definedName>
    <definedName name="solver_lhs_ob85" localSheetId="10" hidden="1">0</definedName>
    <definedName name="solver_lhs_ob86" localSheetId="6" hidden="1">0</definedName>
    <definedName name="solver_lhs_ob86" localSheetId="10" hidden="1">0</definedName>
    <definedName name="solver_lhs_ob87" localSheetId="6" hidden="1">0</definedName>
    <definedName name="solver_lhs_ob87" localSheetId="10" hidden="1">0</definedName>
    <definedName name="solver_lhs_ob88" localSheetId="6" hidden="1">0</definedName>
    <definedName name="solver_lhs_ob88" localSheetId="10" hidden="1">0</definedName>
    <definedName name="solver_lhs_ob89" localSheetId="6" hidden="1">0</definedName>
    <definedName name="solver_lhs_ob89" localSheetId="10" hidden="1">0</definedName>
    <definedName name="solver_lhs_ob9" localSheetId="6" hidden="1">0</definedName>
    <definedName name="solver_lhs_ob9" localSheetId="10" hidden="1">0</definedName>
    <definedName name="solver_lhs_ob90" localSheetId="6" hidden="1">0</definedName>
    <definedName name="solver_lhs_ob90" localSheetId="10" hidden="1">0</definedName>
    <definedName name="solver_lhs_ob91" localSheetId="6" hidden="1">0</definedName>
    <definedName name="solver_lhs_ob91" localSheetId="10" hidden="1">0</definedName>
    <definedName name="solver_lhs_ob92" localSheetId="6" hidden="1">0</definedName>
    <definedName name="solver_lhs_ob92" localSheetId="10" hidden="1">0</definedName>
    <definedName name="solver_lhs_ob93" localSheetId="6" hidden="1">0</definedName>
    <definedName name="solver_lhs_ob94" localSheetId="6" hidden="1">0</definedName>
    <definedName name="solver_lhs_ob95" localSheetId="6" hidden="1">0</definedName>
    <definedName name="solver_lhs_ob96" localSheetId="6" hidden="1">0</definedName>
    <definedName name="solver_lhs_ob97" localSheetId="6" hidden="1">0</definedName>
    <definedName name="solver_lhs_ob98" localSheetId="6" hidden="1">0</definedName>
    <definedName name="solver_lhs_ob99" localSheetId="6" hidden="1">0</definedName>
    <definedName name="solver_lhs1" localSheetId="6" hidden="1">'LP Optimization 1'!$L$2</definedName>
    <definedName name="solver_lhs1" localSheetId="10" hidden="1">'LP Optimization 2'!$L$2</definedName>
    <definedName name="solver_lhs10" localSheetId="6" hidden="1">'LP Optimization 1'!$T$4</definedName>
    <definedName name="solver_lhs10" localSheetId="10" hidden="1">'LP Optimization 2'!$T$4</definedName>
    <definedName name="solver_lhs100" localSheetId="6" hidden="1">'LP Optimization 1'!$L$13</definedName>
    <definedName name="solver_lhs101" localSheetId="6" hidden="1">'LP Optimization 1'!$L$13</definedName>
    <definedName name="solver_lhs102" localSheetId="6" hidden="1">'LP Optimization 1'!$M$13</definedName>
    <definedName name="solver_lhs103" localSheetId="6" hidden="1">'LP Optimization 1'!$T$13</definedName>
    <definedName name="solver_lhs104" localSheetId="6" hidden="1">'LP Optimization 1'!$T$13</definedName>
    <definedName name="solver_lhs105" localSheetId="6" hidden="1">'LP Optimization 1'!$U$13</definedName>
    <definedName name="solver_lhs106" localSheetId="6" hidden="1">'LP Optimization 1'!$AB$13</definedName>
    <definedName name="solver_lhs107" localSheetId="6" hidden="1">'LP Optimization 1'!$AB$13</definedName>
    <definedName name="solver_lhs108" localSheetId="6" hidden="1">'LP Optimization 1'!$AC$13</definedName>
    <definedName name="solver_lhs109" localSheetId="6" hidden="1">'LP Optimization 1'!$L$14</definedName>
    <definedName name="solver_lhs11" localSheetId="6" hidden="1">'LP Optimization 1'!$AB$4</definedName>
    <definedName name="solver_lhs11" localSheetId="10" hidden="1">'LP Optimization 2'!$AB$4</definedName>
    <definedName name="solver_lhs110" localSheetId="6" hidden="1">'LP Optimization 1'!$L$14</definedName>
    <definedName name="solver_lhs111" localSheetId="6" hidden="1">'LP Optimization 1'!$M$14</definedName>
    <definedName name="solver_lhs112" localSheetId="6" hidden="1">'LP Optimization 1'!$T$14</definedName>
    <definedName name="solver_lhs113" localSheetId="6" hidden="1">'LP Optimization 1'!$T$14</definedName>
    <definedName name="solver_lhs114" localSheetId="6" hidden="1">'LP Optimization 1'!$U$14</definedName>
    <definedName name="solver_lhs115" localSheetId="6" hidden="1">'LP Optimization 1'!$AB$14</definedName>
    <definedName name="solver_lhs116" localSheetId="6" hidden="1">'LP Optimization 1'!$AB$14</definedName>
    <definedName name="solver_lhs117" localSheetId="6" hidden="1">'LP Optimization 1'!$AC$14</definedName>
    <definedName name="solver_lhs118" localSheetId="6" hidden="1">'LP Optimization 1'!$L$15</definedName>
    <definedName name="solver_lhs119" localSheetId="6" hidden="1">'LP Optimization 1'!$L$15</definedName>
    <definedName name="solver_lhs12" localSheetId="6" hidden="1">'LP Optimization 1'!$L$5</definedName>
    <definedName name="solver_lhs12" localSheetId="10" hidden="1">'LP Optimization 2'!$L$5</definedName>
    <definedName name="solver_lhs120" localSheetId="6" hidden="1">'LP Optimization 1'!$M$15</definedName>
    <definedName name="solver_lhs121" localSheetId="6" hidden="1">'LP Optimization 1'!$T$15</definedName>
    <definedName name="solver_lhs122" localSheetId="6" hidden="1">'LP Optimization 1'!$T$15</definedName>
    <definedName name="solver_lhs123" localSheetId="6" hidden="1">'LP Optimization 1'!$U$15</definedName>
    <definedName name="solver_lhs124" localSheetId="6" hidden="1">'LP Optimization 1'!$AB$15</definedName>
    <definedName name="solver_lhs125" localSheetId="6" hidden="1">'LP Optimization 1'!$AB$15</definedName>
    <definedName name="solver_lhs126" localSheetId="6" hidden="1">'LP Optimization 1'!$AC$15</definedName>
    <definedName name="solver_lhs127" localSheetId="6" hidden="1">'LP Optimization 1'!$L$16</definedName>
    <definedName name="solver_lhs128" localSheetId="6" hidden="1">'LP Optimization 1'!$L$16</definedName>
    <definedName name="solver_lhs129" localSheetId="6" hidden="1">'LP Optimization 1'!$M$16</definedName>
    <definedName name="solver_lhs13" localSheetId="6" hidden="1">'LP Optimization 1'!$L$5</definedName>
    <definedName name="solver_lhs13" localSheetId="10" hidden="1">'LP Optimization 2'!$L$5</definedName>
    <definedName name="solver_lhs130" localSheetId="6" hidden="1">'LP Optimization 1'!$T$16</definedName>
    <definedName name="solver_lhs131" localSheetId="6" hidden="1">'LP Optimization 1'!$T$16</definedName>
    <definedName name="solver_lhs132" localSheetId="6" hidden="1">'LP Optimization 1'!$U$16</definedName>
    <definedName name="solver_lhs133" localSheetId="6" hidden="1">'LP Optimization 1'!$AB$16</definedName>
    <definedName name="solver_lhs134" localSheetId="6" hidden="1">'LP Optimization 1'!$AB$16</definedName>
    <definedName name="solver_lhs135" localSheetId="6" hidden="1">'LP Optimization 1'!$AC$16</definedName>
    <definedName name="solver_lhs136" localSheetId="6" hidden="1">'LP Optimization 1'!$L$17</definedName>
    <definedName name="solver_lhs137" localSheetId="6" hidden="1">'LP Optimization 1'!$L$17</definedName>
    <definedName name="solver_lhs138" localSheetId="6" hidden="1">'LP Optimization 1'!$M$17</definedName>
    <definedName name="solver_lhs139" localSheetId="6" hidden="1">'LP Optimization 1'!$T$17</definedName>
    <definedName name="solver_lhs14" localSheetId="6" hidden="1">'LP Optimization 1'!$U$5</definedName>
    <definedName name="solver_lhs14" localSheetId="10" hidden="1">'LP Optimization 2'!$U$5</definedName>
    <definedName name="solver_lhs140" localSheetId="6" hidden="1">'LP Optimization 1'!$T$17</definedName>
    <definedName name="solver_lhs141" localSheetId="6" hidden="1">'LP Optimization 1'!$U$17</definedName>
    <definedName name="solver_lhs142" localSheetId="6" hidden="1">'LP Optimization 1'!$AB$17</definedName>
    <definedName name="solver_lhs143" localSheetId="6" hidden="1">'LP Optimization 1'!$AB$17</definedName>
    <definedName name="solver_lhs144" localSheetId="6" hidden="1">'LP Optimization 1'!$AC$17</definedName>
    <definedName name="solver_lhs145" localSheetId="6" hidden="1">'LP Optimization 1'!$L$18</definedName>
    <definedName name="solver_lhs146" localSheetId="6" hidden="1">'LP Optimization 1'!$L$18</definedName>
    <definedName name="solver_lhs147" localSheetId="6" hidden="1">'LP Optimization 1'!$M$18</definedName>
    <definedName name="solver_lhs148" localSheetId="6" hidden="1">'LP Optimization 1'!$T$18</definedName>
    <definedName name="solver_lhs149" localSheetId="6" hidden="1">'LP Optimization 1'!$T$18</definedName>
    <definedName name="solver_lhs15" localSheetId="6" hidden="1">'LP Optimization 1'!$AB$5</definedName>
    <definedName name="solver_lhs15" localSheetId="10" hidden="1">'LP Optimization 2'!$AB$5</definedName>
    <definedName name="solver_lhs150" localSheetId="6" hidden="1">'LP Optimization 1'!$U$18</definedName>
    <definedName name="solver_lhs151" localSheetId="6" hidden="1">'LP Optimization 1'!$AB$18</definedName>
    <definedName name="solver_lhs152" localSheetId="6" hidden="1">'LP Optimization 1'!$AB$18</definedName>
    <definedName name="solver_lhs153" localSheetId="6" hidden="1">'LP Optimization 1'!$AC$18</definedName>
    <definedName name="solver_lhs154" localSheetId="6" hidden="1">'LP Optimization 1'!$L$19</definedName>
    <definedName name="solver_lhs155" localSheetId="6" hidden="1">'LP Optimization 1'!$L$19</definedName>
    <definedName name="solver_lhs156" localSheetId="6" hidden="1">'LP Optimization 1'!$M$19</definedName>
    <definedName name="solver_lhs157" localSheetId="6" hidden="1">'LP Optimization 1'!$T$19</definedName>
    <definedName name="solver_lhs158" localSheetId="6" hidden="1">'LP Optimization 1'!$T$19</definedName>
    <definedName name="solver_lhs159" localSheetId="6" hidden="1">'LP Optimization 1'!$U$19</definedName>
    <definedName name="solver_lhs16" localSheetId="6" hidden="1">'LP Optimization 1'!$L$6</definedName>
    <definedName name="solver_lhs16" localSheetId="10" hidden="1">'LP Optimization 2'!$L$6</definedName>
    <definedName name="solver_lhs160" localSheetId="6" hidden="1">'LP Optimization 1'!$AB$19</definedName>
    <definedName name="solver_lhs161" localSheetId="6" hidden="1">'LP Optimization 1'!$AB$19</definedName>
    <definedName name="solver_lhs162" localSheetId="6" hidden="1">'LP Optimization 1'!$AC$19</definedName>
    <definedName name="solver_lhs163" localSheetId="6" hidden="1">'LP Optimization 1'!$L$20</definedName>
    <definedName name="solver_lhs164" localSheetId="6" hidden="1">'LP Optimization 1'!$L$20</definedName>
    <definedName name="solver_lhs165" localSheetId="6" hidden="1">'LP Optimization 1'!$M$20</definedName>
    <definedName name="solver_lhs166" localSheetId="6" hidden="1">'LP Optimization 1'!$T$20</definedName>
    <definedName name="solver_lhs167" localSheetId="6" hidden="1">'LP Optimization 1'!$T$20</definedName>
    <definedName name="solver_lhs168" localSheetId="6" hidden="1">'LP Optimization 1'!$U$20</definedName>
    <definedName name="solver_lhs169" localSheetId="6" hidden="1">'LP Optimization 1'!$AB$20</definedName>
    <definedName name="solver_lhs17" localSheetId="6" hidden="1">'LP Optimization 1'!$L$6</definedName>
    <definedName name="solver_lhs17" localSheetId="10" hidden="1">'LP Optimization 2'!$L$6</definedName>
    <definedName name="solver_lhs170" localSheetId="6" hidden="1">'LP Optimization 1'!$AB$20</definedName>
    <definedName name="solver_lhs171" localSheetId="6" hidden="1">'LP Optimization 1'!$AC$20</definedName>
    <definedName name="solver_lhs172" localSheetId="6" hidden="1">'LP Optimization 1'!$L$21</definedName>
    <definedName name="solver_lhs173" localSheetId="6" hidden="1">'LP Optimization 1'!$L$21</definedName>
    <definedName name="solver_lhs174" localSheetId="6" hidden="1">'LP Optimization 1'!$M$21</definedName>
    <definedName name="solver_lhs175" localSheetId="6" hidden="1">'LP Optimization 1'!$T$21</definedName>
    <definedName name="solver_lhs176" localSheetId="6" hidden="1">'LP Optimization 1'!$T$21</definedName>
    <definedName name="solver_lhs177" localSheetId="6" hidden="1">'LP Optimization 1'!$U$21</definedName>
    <definedName name="solver_lhs178" localSheetId="6" hidden="1">'LP Optimization 1'!$AB$21</definedName>
    <definedName name="solver_lhs179" localSheetId="6" hidden="1">'LP Optimization 1'!$AB$21</definedName>
    <definedName name="solver_lhs18" localSheetId="6" hidden="1">'LP Optimization 1'!$T$6</definedName>
    <definedName name="solver_lhs18" localSheetId="10" hidden="1">'LP Optimization 2'!$T$6</definedName>
    <definedName name="solver_lhs180" localSheetId="6" hidden="1">'LP Optimization 1'!$AC$21</definedName>
    <definedName name="solver_lhs181" localSheetId="6" hidden="1">'LP Optimization 1'!$L$22</definedName>
    <definedName name="solver_lhs182" localSheetId="6" hidden="1">'LP Optimization 1'!$L$22</definedName>
    <definedName name="solver_lhs183" localSheetId="6" hidden="1">'LP Optimization 1'!$M$22</definedName>
    <definedName name="solver_lhs184" localSheetId="6" hidden="1">'LP Optimization 1'!$T$22</definedName>
    <definedName name="solver_lhs185" localSheetId="6" hidden="1">'LP Optimization 1'!$T$22</definedName>
    <definedName name="solver_lhs186" localSheetId="6" hidden="1">'LP Optimization 1'!$U$22</definedName>
    <definedName name="solver_lhs187" localSheetId="6" hidden="1">'LP Optimization 1'!$AB$22</definedName>
    <definedName name="solver_lhs188" localSheetId="6" hidden="1">'LP Optimization 1'!$AB$22</definedName>
    <definedName name="solver_lhs189" localSheetId="6" hidden="1">'LP Optimization 1'!$AC$22</definedName>
    <definedName name="solver_lhs19" localSheetId="6" hidden="1">'LP Optimization 1'!$T$6</definedName>
    <definedName name="solver_lhs19" localSheetId="10" hidden="1">'LP Optimization 2'!$T$6</definedName>
    <definedName name="solver_lhs190" localSheetId="6" hidden="1">'LP Optimization 1'!$L$23</definedName>
    <definedName name="solver_lhs191" localSheetId="6" hidden="1">'LP Optimization 1'!$L$23</definedName>
    <definedName name="solver_lhs192" localSheetId="6" hidden="1">'LP Optimization 1'!$M$23</definedName>
    <definedName name="solver_lhs193" localSheetId="6" hidden="1">'LP Optimization 1'!$T$23</definedName>
    <definedName name="solver_lhs194" localSheetId="6" hidden="1">'LP Optimization 1'!$T$23</definedName>
    <definedName name="solver_lhs195" localSheetId="6" hidden="1">'LP Optimization 1'!$U$23</definedName>
    <definedName name="solver_lhs196" localSheetId="6" hidden="1">'LP Optimization 1'!$AB$23</definedName>
    <definedName name="solver_lhs197" localSheetId="6" hidden="1">'LP Optimization 1'!$AB$23</definedName>
    <definedName name="solver_lhs198" localSheetId="6" hidden="1">'LP Optimization 1'!$AC$23</definedName>
    <definedName name="solver_lhs199" localSheetId="6" hidden="1">'LP Optimization 1'!$L$24</definedName>
    <definedName name="solver_lhs2" localSheetId="6" hidden="1">'LP Optimization 1'!$L$2</definedName>
    <definedName name="solver_lhs2" localSheetId="10" hidden="1">'LP Optimization 2'!$L$2</definedName>
    <definedName name="solver_lhs20" localSheetId="6" hidden="1">'LP Optimization 1'!$AB$6</definedName>
    <definedName name="solver_lhs20" localSheetId="10" hidden="1">'LP Optimization 2'!$AB$6</definedName>
    <definedName name="solver_lhs200" localSheetId="6" hidden="1">'LP Optimization 1'!$L$24</definedName>
    <definedName name="solver_lhs201" localSheetId="6" hidden="1">'LP Optimization 1'!$M$24</definedName>
    <definedName name="solver_lhs202" localSheetId="6" hidden="1">'LP Optimization 1'!$T$24</definedName>
    <definedName name="solver_lhs203" localSheetId="6" hidden="1">'LP Optimization 1'!$T$24</definedName>
    <definedName name="solver_lhs204" localSheetId="6" hidden="1">'LP Optimization 1'!$U$24</definedName>
    <definedName name="solver_lhs205" localSheetId="6" hidden="1">'LP Optimization 1'!$AB$24</definedName>
    <definedName name="solver_lhs206" localSheetId="6" hidden="1">'LP Optimization 1'!$AB$24</definedName>
    <definedName name="solver_lhs207" localSheetId="6" hidden="1">'LP Optimization 1'!$AC$24</definedName>
    <definedName name="solver_lhs208" localSheetId="6" hidden="1">'LP Optimization 1'!$D$28</definedName>
    <definedName name="solver_lhs209" localSheetId="6" hidden="1">'LP Optimization 1'!$L$2:$L$23</definedName>
    <definedName name="solver_lhs21" localSheetId="6" hidden="1">'LP Optimization 1'!$AB$6</definedName>
    <definedName name="solver_lhs21" localSheetId="10" hidden="1">'LP Optimization 2'!$AB$6</definedName>
    <definedName name="solver_lhs210" localSheetId="6" hidden="1">'LP Optimization 1'!$T$2:$T$23</definedName>
    <definedName name="solver_lhs211" localSheetId="6" hidden="1">'LP Optimization 1'!$AB$2:$AB$23</definedName>
    <definedName name="solver_lhs22" localSheetId="6" hidden="1">'LP Optimization 1'!$AB$6</definedName>
    <definedName name="solver_lhs22" localSheetId="10" hidden="1">'LP Optimization 2'!$AB$6</definedName>
    <definedName name="solver_lhs23" localSheetId="6" hidden="1">'LP Optimization 1'!$L$7</definedName>
    <definedName name="solver_lhs23" localSheetId="10" hidden="1">'LP Optimization 2'!$L$7</definedName>
    <definedName name="solver_lhs24" localSheetId="6" hidden="1">'LP Optimization 1'!$L$7</definedName>
    <definedName name="solver_lhs24" localSheetId="10" hidden="1">'LP Optimization 2'!$L$7</definedName>
    <definedName name="solver_lhs25" localSheetId="6" hidden="1">'LP Optimization 1'!$T$7</definedName>
    <definedName name="solver_lhs25" localSheetId="10" hidden="1">'LP Optimization 2'!$T$7</definedName>
    <definedName name="solver_lhs26" localSheetId="6" hidden="1">'LP Optimization 1'!$T$7</definedName>
    <definedName name="solver_lhs26" localSheetId="10" hidden="1">'LP Optimization 2'!$T$7</definedName>
    <definedName name="solver_lhs27" localSheetId="6" hidden="1">'LP Optimization 1'!$AB$7</definedName>
    <definedName name="solver_lhs27" localSheetId="10" hidden="1">'LP Optimization 2'!$AB$7</definedName>
    <definedName name="solver_lhs28" localSheetId="6" hidden="1">'LP Optimization 1'!$L$8</definedName>
    <definedName name="solver_lhs28" localSheetId="10" hidden="1">'LP Optimization 2'!$L$8</definedName>
    <definedName name="solver_lhs29" localSheetId="6" hidden="1">'LP Optimization 1'!$T$8</definedName>
    <definedName name="solver_lhs29" localSheetId="10" hidden="1">'LP Optimization 2'!$T$8</definedName>
    <definedName name="solver_lhs3" localSheetId="6" hidden="1">'LP Optimization 1'!$T$2</definedName>
    <definedName name="solver_lhs3" localSheetId="10" hidden="1">'LP Optimization 2'!$T$2</definedName>
    <definedName name="solver_lhs30" localSheetId="6" hidden="1">'LP Optimization 1'!$AB$8</definedName>
    <definedName name="solver_lhs30" localSheetId="10" hidden="1">'LP Optimization 2'!$AB$8</definedName>
    <definedName name="solver_lhs31" localSheetId="6" hidden="1">'LP Optimization 1'!$L$9</definedName>
    <definedName name="solver_lhs31" localSheetId="10" hidden="1">'LP Optimization 2'!$L$9</definedName>
    <definedName name="solver_lhs32" localSheetId="6" hidden="1">'LP Optimization 1'!$T$9</definedName>
    <definedName name="solver_lhs32" localSheetId="10" hidden="1">'LP Optimization 2'!$T$9</definedName>
    <definedName name="solver_lhs33" localSheetId="6" hidden="1">'LP Optimization 1'!$AB$9</definedName>
    <definedName name="solver_lhs33" localSheetId="10" hidden="1">'LP Optimization 2'!$AB$9</definedName>
    <definedName name="solver_lhs34" localSheetId="6" hidden="1">'LP Optimization 1'!$L$10</definedName>
    <definedName name="solver_lhs34" localSheetId="10" hidden="1">'LP Optimization 2'!$L$10</definedName>
    <definedName name="solver_lhs35" localSheetId="6" hidden="1">'LP Optimization 1'!$T$10</definedName>
    <definedName name="solver_lhs35" localSheetId="10" hidden="1">'LP Optimization 2'!$T$10</definedName>
    <definedName name="solver_lhs36" localSheetId="6" hidden="1">'LP Optimization 1'!$AC$10</definedName>
    <definedName name="solver_lhs36" localSheetId="10" hidden="1">'LP Optimization 2'!$AC$10</definedName>
    <definedName name="solver_lhs37" localSheetId="6" hidden="1">'LP Optimization 1'!$M$11</definedName>
    <definedName name="solver_lhs37" localSheetId="10" hidden="1">'LP Optimization 2'!$M$11</definedName>
    <definedName name="solver_lhs38" localSheetId="6" hidden="1">'LP Optimization 1'!$T$11</definedName>
    <definedName name="solver_lhs38" localSheetId="10" hidden="1">'LP Optimization 2'!$T$11</definedName>
    <definedName name="solver_lhs39" localSheetId="6" hidden="1">'LP Optimization 1'!$AB$11</definedName>
    <definedName name="solver_lhs39" localSheetId="10" hidden="1">'LP Optimization 2'!$AB$11</definedName>
    <definedName name="solver_lhs4" localSheetId="6" hidden="1">'LP Optimization 1'!$AB$2</definedName>
    <definedName name="solver_lhs4" localSheetId="10" hidden="1">'LP Optimization 2'!$AB$2</definedName>
    <definedName name="solver_lhs40" localSheetId="6" hidden="1">'LP Optimization 1'!$L$12</definedName>
    <definedName name="solver_lhs40" localSheetId="10" hidden="1">'LP Optimization 2'!$L$12</definedName>
    <definedName name="solver_lhs41" localSheetId="6" hidden="1">'LP Optimization 1'!$L$12</definedName>
    <definedName name="solver_lhs41" localSheetId="10" hidden="1">'LP Optimization 2'!$L$12</definedName>
    <definedName name="solver_lhs42" localSheetId="6" hidden="1">'LP Optimization 1'!$T$12</definedName>
    <definedName name="solver_lhs42" localSheetId="10" hidden="1">'LP Optimization 2'!$T$12</definedName>
    <definedName name="solver_lhs43" localSheetId="6" hidden="1">'LP Optimization 1'!$T$12</definedName>
    <definedName name="solver_lhs43" localSheetId="10" hidden="1">'LP Optimization 2'!$T$12</definedName>
    <definedName name="solver_lhs44" localSheetId="6" hidden="1">'LP Optimization 1'!$AB$12</definedName>
    <definedName name="solver_lhs44" localSheetId="10" hidden="1">'LP Optimization 2'!$AB$12</definedName>
    <definedName name="solver_lhs45" localSheetId="6" hidden="1">'LP Optimization 1'!$L$13</definedName>
    <definedName name="solver_lhs45" localSheetId="10" hidden="1">'LP Optimization 2'!$L$13</definedName>
    <definedName name="solver_lhs46" localSheetId="6" hidden="1">'LP Optimization 1'!$T$13</definedName>
    <definedName name="solver_lhs46" localSheetId="10" hidden="1">'LP Optimization 2'!$T$13</definedName>
    <definedName name="solver_lhs47" localSheetId="6" hidden="1">'LP Optimization 1'!$AB$13</definedName>
    <definedName name="solver_lhs47" localSheetId="10" hidden="1">'LP Optimization 2'!$AB$13</definedName>
    <definedName name="solver_lhs48" localSheetId="6" hidden="1">'LP Optimization 1'!$L$14</definedName>
    <definedName name="solver_lhs48" localSheetId="10" hidden="1">'LP Optimization 2'!$L$14</definedName>
    <definedName name="solver_lhs49" localSheetId="6" hidden="1">'LP Optimization 1'!$T$14</definedName>
    <definedName name="solver_lhs49" localSheetId="10" hidden="1">'LP Optimization 2'!$T$14</definedName>
    <definedName name="solver_lhs5" localSheetId="6" hidden="1">'LP Optimization 1'!$T$3</definedName>
    <definedName name="solver_lhs5" localSheetId="10" hidden="1">'LP Optimization 2'!$T$3</definedName>
    <definedName name="solver_lhs50" localSheetId="6" hidden="1">'LP Optimization 1'!$AB$14</definedName>
    <definedName name="solver_lhs50" localSheetId="10" hidden="1">'LP Optimization 2'!$AB$14</definedName>
    <definedName name="solver_lhs51" localSheetId="6" hidden="1">'LP Optimization 1'!$L$15</definedName>
    <definedName name="solver_lhs51" localSheetId="10" hidden="1">'LP Optimization 2'!$L$15</definedName>
    <definedName name="solver_lhs52" localSheetId="6" hidden="1">'LP Optimization 1'!$L$15</definedName>
    <definedName name="solver_lhs52" localSheetId="10" hidden="1">'LP Optimization 2'!$L$15</definedName>
    <definedName name="solver_lhs53" localSheetId="6" hidden="1">'LP Optimization 1'!$T$15</definedName>
    <definedName name="solver_lhs53" localSheetId="10" hidden="1">'LP Optimization 2'!$T$15</definedName>
    <definedName name="solver_lhs54" localSheetId="6" hidden="1">'LP Optimization 1'!$T$15</definedName>
    <definedName name="solver_lhs54" localSheetId="10" hidden="1">'LP Optimization 2'!$T$15</definedName>
    <definedName name="solver_lhs55" localSheetId="6" hidden="1">'LP Optimization 1'!$AB$15</definedName>
    <definedName name="solver_lhs55" localSheetId="10" hidden="1">'LP Optimization 2'!$AB$15</definedName>
    <definedName name="solver_lhs56" localSheetId="6" hidden="1">'LP Optimization 1'!$L$16</definedName>
    <definedName name="solver_lhs56" localSheetId="10" hidden="1">'LP Optimization 2'!$L$16</definedName>
    <definedName name="solver_lhs57" localSheetId="6" hidden="1">'LP Optimization 1'!$T$16</definedName>
    <definedName name="solver_lhs57" localSheetId="10" hidden="1">'LP Optimization 2'!$T$16</definedName>
    <definedName name="solver_lhs58" localSheetId="6" hidden="1">'LP Optimization 1'!$AB$16</definedName>
    <definedName name="solver_lhs58" localSheetId="10" hidden="1">'LP Optimization 2'!$AB$16</definedName>
    <definedName name="solver_lhs59" localSheetId="6" hidden="1">'LP Optimization 1'!$L$17</definedName>
    <definedName name="solver_lhs59" localSheetId="10" hidden="1">'LP Optimization 2'!$L$17</definedName>
    <definedName name="solver_lhs6" localSheetId="6" hidden="1">'LP Optimization 1'!$AB$3</definedName>
    <definedName name="solver_lhs6" localSheetId="10" hidden="1">'LP Optimization 2'!$AB$3</definedName>
    <definedName name="solver_lhs60" localSheetId="6" hidden="1">'LP Optimization 1'!$T$17</definedName>
    <definedName name="solver_lhs60" localSheetId="10" hidden="1">'LP Optimization 2'!$T$17</definedName>
    <definedName name="solver_lhs61" localSheetId="6" hidden="1">'LP Optimization 1'!$T$17</definedName>
    <definedName name="solver_lhs61" localSheetId="10" hidden="1">'LP Optimization 2'!$T$17</definedName>
    <definedName name="solver_lhs62" localSheetId="6" hidden="1">'LP Optimization 1'!$AB$17</definedName>
    <definedName name="solver_lhs62" localSheetId="10" hidden="1">'LP Optimization 2'!$AB$17</definedName>
    <definedName name="solver_lhs63" localSheetId="6" hidden="1">'LP Optimization 1'!$L$18</definedName>
    <definedName name="solver_lhs63" localSheetId="10" hidden="1">'LP Optimization 2'!$L$18</definedName>
    <definedName name="solver_lhs64" localSheetId="6" hidden="1">'LP Optimization 1'!$U$18</definedName>
    <definedName name="solver_lhs64" localSheetId="10" hidden="1">'LP Optimization 2'!$U$18</definedName>
    <definedName name="solver_lhs65" localSheetId="6" hidden="1">'LP Optimization 1'!$AB$18</definedName>
    <definedName name="solver_lhs65" localSheetId="10" hidden="1">'LP Optimization 2'!$AB$18</definedName>
    <definedName name="solver_lhs66" localSheetId="6" hidden="1">'LP Optimization 1'!$L$19</definedName>
    <definedName name="solver_lhs66" localSheetId="10" hidden="1">'LP Optimization 2'!$L$19</definedName>
    <definedName name="solver_lhs67" localSheetId="6" hidden="1">'LP Optimization 1'!$T$19</definedName>
    <definedName name="solver_lhs67" localSheetId="10" hidden="1">'LP Optimization 2'!$T$19</definedName>
    <definedName name="solver_lhs68" localSheetId="6" hidden="1">'LP Optimization 1'!$T$19</definedName>
    <definedName name="solver_lhs68" localSheetId="10" hidden="1">'LP Optimization 2'!$T$19</definedName>
    <definedName name="solver_lhs69" localSheetId="6" hidden="1">'LP Optimization 1'!$AC$19</definedName>
    <definedName name="solver_lhs69" localSheetId="10" hidden="1">'LP Optimization 2'!$AC$19</definedName>
    <definedName name="solver_lhs7" localSheetId="6" hidden="1">'LP Optimization 1'!$L$4</definedName>
    <definedName name="solver_lhs7" localSheetId="10" hidden="1">'LP Optimization 2'!$L$4</definedName>
    <definedName name="solver_lhs70" localSheetId="6" hidden="1">'LP Optimization 1'!$L$20</definedName>
    <definedName name="solver_lhs70" localSheetId="10" hidden="1">'LP Optimization 2'!$L$20</definedName>
    <definedName name="solver_lhs71" localSheetId="6" hidden="1">'LP Optimization 1'!$T$20</definedName>
    <definedName name="solver_lhs71" localSheetId="10" hidden="1">'LP Optimization 2'!$T$20</definedName>
    <definedName name="solver_lhs72" localSheetId="6" hidden="1">'LP Optimization 1'!$T$20</definedName>
    <definedName name="solver_lhs72" localSheetId="10" hidden="1">'LP Optimization 2'!$T$20</definedName>
    <definedName name="solver_lhs73" localSheetId="6" hidden="1">'LP Optimization 1'!$AB$20</definedName>
    <definedName name="solver_lhs73" localSheetId="10" hidden="1">'LP Optimization 2'!$AB$20</definedName>
    <definedName name="solver_lhs74" localSheetId="6" hidden="1">'LP Optimization 1'!$AB$20</definedName>
    <definedName name="solver_lhs74" localSheetId="10" hidden="1">'LP Optimization 2'!$AB$20</definedName>
    <definedName name="solver_lhs75" localSheetId="6" hidden="1">'LP Optimization 1'!$L$21</definedName>
    <definedName name="solver_lhs75" localSheetId="10" hidden="1">'LP Optimization 2'!$L$21</definedName>
    <definedName name="solver_lhs76" localSheetId="6" hidden="1">'LP Optimization 1'!$T$21</definedName>
    <definedName name="solver_lhs76" localSheetId="10" hidden="1">'LP Optimization 2'!$T$21</definedName>
    <definedName name="solver_lhs77" localSheetId="6" hidden="1">'LP Optimization 1'!$T$21</definedName>
    <definedName name="solver_lhs77" localSheetId="10" hidden="1">'LP Optimization 2'!$T$21</definedName>
    <definedName name="solver_lhs78" localSheetId="6" hidden="1">'LP Optimization 1'!$AB$21</definedName>
    <definedName name="solver_lhs78" localSheetId="10" hidden="1">'LP Optimization 2'!$AB$21</definedName>
    <definedName name="solver_lhs79" localSheetId="6" hidden="1">'LP Optimization 1'!$L$22</definedName>
    <definedName name="solver_lhs79" localSheetId="10" hidden="1">'LP Optimization 2'!$L$22</definedName>
    <definedName name="solver_lhs8" localSheetId="6" hidden="1">'LP Optimization 1'!$L$4</definedName>
    <definedName name="solver_lhs8" localSheetId="10" hidden="1">'LP Optimization 2'!$L$4</definedName>
    <definedName name="solver_lhs80" localSheetId="6" hidden="1">'LP Optimization 1'!$T$22</definedName>
    <definedName name="solver_lhs80" localSheetId="10" hidden="1">'LP Optimization 2'!$T$22</definedName>
    <definedName name="solver_lhs81" localSheetId="6" hidden="1">'LP Optimization 1'!$AB$22</definedName>
    <definedName name="solver_lhs81" localSheetId="10" hidden="1">'LP Optimization 2'!$AB$22</definedName>
    <definedName name="solver_lhs82" localSheetId="6" hidden="1">'LP Optimization 1'!$L$23</definedName>
    <definedName name="solver_lhs82" localSheetId="10" hidden="1">'LP Optimization 2'!$L$23</definedName>
    <definedName name="solver_lhs83" localSheetId="6" hidden="1">'LP Optimization 1'!$T$23</definedName>
    <definedName name="solver_lhs83" localSheetId="10" hidden="1">'LP Optimization 2'!$T$23</definedName>
    <definedName name="solver_lhs84" localSheetId="6" hidden="1">'LP Optimization 1'!$AB$23</definedName>
    <definedName name="solver_lhs84" localSheetId="10" hidden="1">'LP Optimization 2'!$AB$23</definedName>
    <definedName name="solver_lhs85" localSheetId="6" hidden="1">'LP Optimization 1'!$D$28</definedName>
    <definedName name="solver_lhs85" localSheetId="10" hidden="1">'LP Optimization 2'!$D$28</definedName>
    <definedName name="solver_lhs86" localSheetId="6" hidden="1">'LP Optimization 1'!$L$2:$L$23</definedName>
    <definedName name="solver_lhs86" localSheetId="10" hidden="1">'LP Optimization 2'!$L$2:$L$23</definedName>
    <definedName name="solver_lhs87" localSheetId="6" hidden="1">'LP Optimization 1'!$T$2:$T$23</definedName>
    <definedName name="solver_lhs87" localSheetId="10" hidden="1">'LP Optimization 2'!$T$2:$T$23</definedName>
    <definedName name="solver_lhs88" localSheetId="6" hidden="1">'LP Optimization 1'!$AB$2:$AB$23</definedName>
    <definedName name="solver_lhs88" localSheetId="10" hidden="1">'LP Optimization 2'!$AB$2:$AB$23</definedName>
    <definedName name="solver_lhs89" localSheetId="6" hidden="1">'LP Optimization 1'!$AB$11</definedName>
    <definedName name="solver_lhs89" localSheetId="10" hidden="1">'LP Optimization 2'!$D$28</definedName>
    <definedName name="solver_lhs9" localSheetId="6" hidden="1">'LP Optimization 1'!$L$4</definedName>
    <definedName name="solver_lhs9" localSheetId="10" hidden="1">'LP Optimization 2'!$L$4</definedName>
    <definedName name="solver_lhs90" localSheetId="6" hidden="1">'LP Optimization 1'!$AC$11</definedName>
    <definedName name="solver_lhs90" localSheetId="10" hidden="1">'LP Optimization 2'!$L$2:$L$23</definedName>
    <definedName name="solver_lhs91" localSheetId="6" hidden="1">'LP Optimization 1'!$L$12</definedName>
    <definedName name="solver_lhs91" localSheetId="10" hidden="1">'LP Optimization 2'!$T$2:$T$23</definedName>
    <definedName name="solver_lhs92" localSheetId="6" hidden="1">'LP Optimization 1'!$L$12</definedName>
    <definedName name="solver_lhs92" localSheetId="10" hidden="1">'LP Optimization 2'!$AB$2:$AB$23</definedName>
    <definedName name="solver_lhs93" localSheetId="6" hidden="1">'LP Optimization 1'!$M$12</definedName>
    <definedName name="solver_lhs94" localSheetId="6" hidden="1">'LP Optimization 1'!$T$12</definedName>
    <definedName name="solver_lhs95" localSheetId="6" hidden="1">'LP Optimization 1'!$T$12</definedName>
    <definedName name="solver_lhs96" localSheetId="6" hidden="1">'LP Optimization 1'!$U$12</definedName>
    <definedName name="solver_lhs97" localSheetId="6" hidden="1">'LP Optimization 1'!$AB$12</definedName>
    <definedName name="solver_lhs98" localSheetId="6" hidden="1">'LP Optimization 1'!$AB$12</definedName>
    <definedName name="solver_lhs99" localSheetId="6" hidden="1">'LP Optimization 1'!$AC$12</definedName>
    <definedName name="solver_lin" localSheetId="6" hidden="1">2</definedName>
    <definedName name="solver_lin" localSheetId="10" hidden="1">2</definedName>
    <definedName name="solver_loc" localSheetId="6" hidden="1">4</definedName>
    <definedName name="solver_loc" localSheetId="10" hidden="1">4</definedName>
    <definedName name="solver_log" localSheetId="6" hidden="1">0</definedName>
    <definedName name="solver_log" localSheetId="10" hidden="1">0</definedName>
    <definedName name="solver_lpp" localSheetId="6" hidden="1">0</definedName>
    <definedName name="solver_lpp" localSheetId="10" hidden="1">0</definedName>
    <definedName name="solver_lpt" localSheetId="6" hidden="1">0</definedName>
    <definedName name="solver_lpt" localSheetId="10" hidden="1">0</definedName>
    <definedName name="solver_lva" localSheetId="6" hidden="1">0</definedName>
    <definedName name="solver_lva" localSheetId="10" hidden="1">0</definedName>
    <definedName name="solver_mda" localSheetId="6" hidden="1">4</definedName>
    <definedName name="solver_mda" localSheetId="10" hidden="1">4</definedName>
    <definedName name="solver_mda" localSheetId="12" hidden="1">4</definedName>
    <definedName name="solver_mdlsearch" localSheetId="10" hidden="1">3</definedName>
    <definedName name="solver_met" localSheetId="6" hidden="1">1</definedName>
    <definedName name="solver_met" localSheetId="10" hidden="1">1</definedName>
    <definedName name="solver_mip" localSheetId="6" hidden="1">2147483647</definedName>
    <definedName name="solver_mip" localSheetId="10" hidden="1">2147483647</definedName>
    <definedName name="solver_mni" localSheetId="6" hidden="1">30</definedName>
    <definedName name="solver_mni" localSheetId="10" hidden="1">30</definedName>
    <definedName name="solver_mod" localSheetId="6" hidden="1">1</definedName>
    <definedName name="solver_mod" localSheetId="10" hidden="1">3</definedName>
    <definedName name="solver_mod" localSheetId="12" hidden="1">3</definedName>
    <definedName name="solver_mrt" localSheetId="6" hidden="1">0.075</definedName>
    <definedName name="solver_mrt" localSheetId="10" hidden="1">0.075</definedName>
    <definedName name="solver_msl" localSheetId="6" hidden="1">0</definedName>
    <definedName name="solver_msl" localSheetId="10" hidden="1">0</definedName>
    <definedName name="solver_neg" localSheetId="6" hidden="1">1</definedName>
    <definedName name="solver_neg" localSheetId="10" hidden="1">1</definedName>
    <definedName name="solver_neg" localSheetId="17" hidden="1">1</definedName>
    <definedName name="solver_nod" localSheetId="6" hidden="1">2147483647</definedName>
    <definedName name="solver_nod" localSheetId="10" hidden="1">2147483647</definedName>
    <definedName name="solver_nopt" localSheetId="6" hidden="1">1</definedName>
    <definedName name="solver_nopt" localSheetId="10" hidden="1">1</definedName>
    <definedName name="solver_nsim" hidden="1">1</definedName>
    <definedName name="solver_nsopt" localSheetId="6" hidden="1">-1</definedName>
    <definedName name="solver_nsopt" localSheetId="10" hidden="1">-1</definedName>
    <definedName name="solver_nssim" hidden="1">-1</definedName>
    <definedName name="solver_ntr" localSheetId="6" hidden="1">2</definedName>
    <definedName name="solver_ntr" localSheetId="10" hidden="1">2</definedName>
    <definedName name="solver_ntr" localSheetId="12" hidden="1">0</definedName>
    <definedName name="solver_ntri" hidden="1">1000</definedName>
    <definedName name="solver_num" localSheetId="6" hidden="1">88</definedName>
    <definedName name="solver_num" localSheetId="10" hidden="1">88</definedName>
    <definedName name="solver_num" localSheetId="12" hidden="1">0</definedName>
    <definedName name="solver_num" localSheetId="17" hidden="1">0</definedName>
    <definedName name="solver_nwt" localSheetId="6" hidden="1">1</definedName>
    <definedName name="solver_nwt" localSheetId="10" hidden="1">1</definedName>
    <definedName name="solver_ofx" localSheetId="6" hidden="1">0</definedName>
    <definedName name="solver_opt" localSheetId="6" hidden="1">'LP Optimization 1'!$G$25</definedName>
    <definedName name="solver_opt" localSheetId="10" hidden="1">'LP Optimization 2'!$J$28</definedName>
    <definedName name="solver_opt" localSheetId="17" hidden="1">'Visualization 2'!$B$2</definedName>
    <definedName name="solver_phr" localSheetId="6" hidden="1">0</definedName>
    <definedName name="solver_piv" localSheetId="6" hidden="1">0.000001</definedName>
    <definedName name="solver_pre" localSheetId="6" hidden="1">0.0000001</definedName>
    <definedName name="solver_pre" localSheetId="10" hidden="1">0.0000001</definedName>
    <definedName name="solver_pro" localSheetId="6" hidden="1">0</definedName>
    <definedName name="solver_psi" localSheetId="6" hidden="1">0</definedName>
    <definedName name="solver_psi" localSheetId="10" hidden="1">0</definedName>
    <definedName name="solver_rbv" localSheetId="6" hidden="1">1</definedName>
    <definedName name="solver_rbv" localSheetId="10" hidden="1">1</definedName>
    <definedName name="solver_rdp" localSheetId="6" hidden="1">1</definedName>
    <definedName name="solver_rdp" localSheetId="10" hidden="1">1</definedName>
    <definedName name="solver_reco1" localSheetId="6" hidden="1">0</definedName>
    <definedName name="solver_reco1" localSheetId="10" hidden="1">0</definedName>
    <definedName name="solver_reco10" localSheetId="6" hidden="1">0</definedName>
    <definedName name="solver_reco10" localSheetId="10" hidden="1">0</definedName>
    <definedName name="solver_reco100" localSheetId="6" hidden="1">0</definedName>
    <definedName name="solver_reco101" localSheetId="6" hidden="1">0</definedName>
    <definedName name="solver_reco102" localSheetId="6" hidden="1">0</definedName>
    <definedName name="solver_reco103" localSheetId="6" hidden="1">0</definedName>
    <definedName name="solver_reco104" localSheetId="6" hidden="1">0</definedName>
    <definedName name="solver_reco105" localSheetId="6" hidden="1">0</definedName>
    <definedName name="solver_reco106" localSheetId="6" hidden="1">0</definedName>
    <definedName name="solver_reco107" localSheetId="6" hidden="1">0</definedName>
    <definedName name="solver_reco108" localSheetId="6" hidden="1">0</definedName>
    <definedName name="solver_reco109" localSheetId="6" hidden="1">0</definedName>
    <definedName name="solver_reco11" localSheetId="6" hidden="1">0</definedName>
    <definedName name="solver_reco11" localSheetId="10" hidden="1">0</definedName>
    <definedName name="solver_reco110" localSheetId="6" hidden="1">0</definedName>
    <definedName name="solver_reco111" localSheetId="6" hidden="1">0</definedName>
    <definedName name="solver_reco112" localSheetId="6" hidden="1">0</definedName>
    <definedName name="solver_reco113" localSheetId="6" hidden="1">0</definedName>
    <definedName name="solver_reco114" localSheetId="6" hidden="1">0</definedName>
    <definedName name="solver_reco115" localSheetId="6" hidden="1">0</definedName>
    <definedName name="solver_reco116" localSheetId="6" hidden="1">0</definedName>
    <definedName name="solver_reco117" localSheetId="6" hidden="1">0</definedName>
    <definedName name="solver_reco118" localSheetId="6" hidden="1">0</definedName>
    <definedName name="solver_reco119" localSheetId="6" hidden="1">0</definedName>
    <definedName name="solver_reco12" localSheetId="6" hidden="1">0</definedName>
    <definedName name="solver_reco12" localSheetId="10" hidden="1">0</definedName>
    <definedName name="solver_reco120" localSheetId="6" hidden="1">0</definedName>
    <definedName name="solver_reco121" localSheetId="6" hidden="1">0</definedName>
    <definedName name="solver_reco122" localSheetId="6" hidden="1">0</definedName>
    <definedName name="solver_reco123" localSheetId="6" hidden="1">0</definedName>
    <definedName name="solver_reco124" localSheetId="6" hidden="1">0</definedName>
    <definedName name="solver_reco125" localSheetId="6" hidden="1">0</definedName>
    <definedName name="solver_reco126" localSheetId="6" hidden="1">0</definedName>
    <definedName name="solver_reco127" localSheetId="6" hidden="1">0</definedName>
    <definedName name="solver_reco128" localSheetId="6" hidden="1">0</definedName>
    <definedName name="solver_reco129" localSheetId="6" hidden="1">0</definedName>
    <definedName name="solver_reco13" localSheetId="6" hidden="1">0</definedName>
    <definedName name="solver_reco13" localSheetId="10" hidden="1">0</definedName>
    <definedName name="solver_reco130" localSheetId="6" hidden="1">0</definedName>
    <definedName name="solver_reco131" localSheetId="6" hidden="1">0</definedName>
    <definedName name="solver_reco132" localSheetId="6" hidden="1">0</definedName>
    <definedName name="solver_reco133" localSheetId="6" hidden="1">0</definedName>
    <definedName name="solver_reco134" localSheetId="6" hidden="1">0</definedName>
    <definedName name="solver_reco135" localSheetId="6" hidden="1">0</definedName>
    <definedName name="solver_reco136" localSheetId="6" hidden="1">0</definedName>
    <definedName name="solver_reco137" localSheetId="6" hidden="1">0</definedName>
    <definedName name="solver_reco138" localSheetId="6" hidden="1">0</definedName>
    <definedName name="solver_reco139" localSheetId="6" hidden="1">0</definedName>
    <definedName name="solver_reco14" localSheetId="6" hidden="1">0</definedName>
    <definedName name="solver_reco14" localSheetId="10" hidden="1">0</definedName>
    <definedName name="solver_reco140" localSheetId="6" hidden="1">0</definedName>
    <definedName name="solver_reco141" localSheetId="6" hidden="1">0</definedName>
    <definedName name="solver_reco142" localSheetId="6" hidden="1">0</definedName>
    <definedName name="solver_reco143" localSheetId="6" hidden="1">0</definedName>
    <definedName name="solver_reco144" localSheetId="6" hidden="1">0</definedName>
    <definedName name="solver_reco145" localSheetId="6" hidden="1">0</definedName>
    <definedName name="solver_reco146" localSheetId="6" hidden="1">0</definedName>
    <definedName name="solver_reco147" localSheetId="6" hidden="1">0</definedName>
    <definedName name="solver_reco148" localSheetId="6" hidden="1">0</definedName>
    <definedName name="solver_reco149" localSheetId="6" hidden="1">0</definedName>
    <definedName name="solver_reco15" localSheetId="6" hidden="1">0</definedName>
    <definedName name="solver_reco15" localSheetId="10" hidden="1">0</definedName>
    <definedName name="solver_reco150" localSheetId="6" hidden="1">0</definedName>
    <definedName name="solver_reco151" localSheetId="6" hidden="1">0</definedName>
    <definedName name="solver_reco152" localSheetId="6" hidden="1">0</definedName>
    <definedName name="solver_reco153" localSheetId="6" hidden="1">0</definedName>
    <definedName name="solver_reco154" localSheetId="6" hidden="1">0</definedName>
    <definedName name="solver_reco155" localSheetId="6" hidden="1">0</definedName>
    <definedName name="solver_reco156" localSheetId="6" hidden="1">0</definedName>
    <definedName name="solver_reco157" localSheetId="6" hidden="1">0</definedName>
    <definedName name="solver_reco158" localSheetId="6" hidden="1">0</definedName>
    <definedName name="solver_reco159" localSheetId="6" hidden="1">0</definedName>
    <definedName name="solver_reco16" localSheetId="6" hidden="1">0</definedName>
    <definedName name="solver_reco16" localSheetId="10" hidden="1">0</definedName>
    <definedName name="solver_reco160" localSheetId="6" hidden="1">0</definedName>
    <definedName name="solver_reco161" localSheetId="6" hidden="1">0</definedName>
    <definedName name="solver_reco162" localSheetId="6" hidden="1">0</definedName>
    <definedName name="solver_reco163" localSheetId="6" hidden="1">0</definedName>
    <definedName name="solver_reco164" localSheetId="6" hidden="1">0</definedName>
    <definedName name="solver_reco165" localSheetId="6" hidden="1">0</definedName>
    <definedName name="solver_reco166" localSheetId="6" hidden="1">0</definedName>
    <definedName name="solver_reco167" localSheetId="6" hidden="1">0</definedName>
    <definedName name="solver_reco168" localSheetId="6" hidden="1">0</definedName>
    <definedName name="solver_reco169" localSheetId="6" hidden="1">0</definedName>
    <definedName name="solver_reco17" localSheetId="6" hidden="1">0</definedName>
    <definedName name="solver_reco17" localSheetId="10" hidden="1">0</definedName>
    <definedName name="solver_reco170" localSheetId="6" hidden="1">0</definedName>
    <definedName name="solver_reco171" localSheetId="6" hidden="1">0</definedName>
    <definedName name="solver_reco172" localSheetId="6" hidden="1">0</definedName>
    <definedName name="solver_reco173" localSheetId="6" hidden="1">0</definedName>
    <definedName name="solver_reco174" localSheetId="6" hidden="1">0</definedName>
    <definedName name="solver_reco175" localSheetId="6" hidden="1">0</definedName>
    <definedName name="solver_reco176" localSheetId="6" hidden="1">0</definedName>
    <definedName name="solver_reco177" localSheetId="6" hidden="1">0</definedName>
    <definedName name="solver_reco178" localSheetId="6" hidden="1">0</definedName>
    <definedName name="solver_reco179" localSheetId="6" hidden="1">0</definedName>
    <definedName name="solver_reco18" localSheetId="6" hidden="1">0</definedName>
    <definedName name="solver_reco18" localSheetId="10" hidden="1">0</definedName>
    <definedName name="solver_reco180" localSheetId="6" hidden="1">0</definedName>
    <definedName name="solver_reco181" localSheetId="6" hidden="1">0</definedName>
    <definedName name="solver_reco182" localSheetId="6" hidden="1">0</definedName>
    <definedName name="solver_reco183" localSheetId="6" hidden="1">0</definedName>
    <definedName name="solver_reco184" localSheetId="6" hidden="1">0</definedName>
    <definedName name="solver_reco185" localSheetId="6" hidden="1">0</definedName>
    <definedName name="solver_reco186" localSheetId="6" hidden="1">0</definedName>
    <definedName name="solver_reco187" localSheetId="6" hidden="1">0</definedName>
    <definedName name="solver_reco188" localSheetId="6" hidden="1">0</definedName>
    <definedName name="solver_reco189" localSheetId="6" hidden="1">0</definedName>
    <definedName name="solver_reco19" localSheetId="6" hidden="1">0</definedName>
    <definedName name="solver_reco19" localSheetId="10" hidden="1">0</definedName>
    <definedName name="solver_reco190" localSheetId="6" hidden="1">0</definedName>
    <definedName name="solver_reco191" localSheetId="6" hidden="1">0</definedName>
    <definedName name="solver_reco192" localSheetId="6" hidden="1">0</definedName>
    <definedName name="solver_reco193" localSheetId="6" hidden="1">0</definedName>
    <definedName name="solver_reco194" localSheetId="6" hidden="1">0</definedName>
    <definedName name="solver_reco195" localSheetId="6" hidden="1">0</definedName>
    <definedName name="solver_reco196" localSheetId="6" hidden="1">0</definedName>
    <definedName name="solver_reco197" localSheetId="6" hidden="1">0</definedName>
    <definedName name="solver_reco198" localSheetId="6" hidden="1">0</definedName>
    <definedName name="solver_reco199" localSheetId="6" hidden="1">0</definedName>
    <definedName name="solver_reco2" localSheetId="6" hidden="1">0</definedName>
    <definedName name="solver_reco2" localSheetId="10" hidden="1">0</definedName>
    <definedName name="solver_reco20" localSheetId="6" hidden="1">0</definedName>
    <definedName name="solver_reco20" localSheetId="10" hidden="1">0</definedName>
    <definedName name="solver_reco200" localSheetId="6" hidden="1">0</definedName>
    <definedName name="solver_reco201" localSheetId="6" hidden="1">0</definedName>
    <definedName name="solver_reco202" localSheetId="6" hidden="1">0</definedName>
    <definedName name="solver_reco203" localSheetId="6" hidden="1">0</definedName>
    <definedName name="solver_reco204" localSheetId="6" hidden="1">0</definedName>
    <definedName name="solver_reco205" localSheetId="6" hidden="1">0</definedName>
    <definedName name="solver_reco206" localSheetId="6" hidden="1">0</definedName>
    <definedName name="solver_reco207" localSheetId="6" hidden="1">0</definedName>
    <definedName name="solver_reco208" localSheetId="6" hidden="1">0</definedName>
    <definedName name="solver_reco209" localSheetId="6" hidden="1">0</definedName>
    <definedName name="solver_reco21" localSheetId="6" hidden="1">0</definedName>
    <definedName name="solver_reco21" localSheetId="10" hidden="1">0</definedName>
    <definedName name="solver_reco210" localSheetId="6" hidden="1">0</definedName>
    <definedName name="solver_reco211" localSheetId="6" hidden="1">0</definedName>
    <definedName name="solver_reco22" localSheetId="6" hidden="1">0</definedName>
    <definedName name="solver_reco22" localSheetId="10" hidden="1">0</definedName>
    <definedName name="solver_reco23" localSheetId="6" hidden="1">0</definedName>
    <definedName name="solver_reco23" localSheetId="10" hidden="1">0</definedName>
    <definedName name="solver_reco24" localSheetId="6" hidden="1">0</definedName>
    <definedName name="solver_reco24" localSheetId="10" hidden="1">0</definedName>
    <definedName name="solver_reco25" localSheetId="6" hidden="1">0</definedName>
    <definedName name="solver_reco25" localSheetId="10" hidden="1">0</definedName>
    <definedName name="solver_reco26" localSheetId="6" hidden="1">0</definedName>
    <definedName name="solver_reco26" localSheetId="10" hidden="1">0</definedName>
    <definedName name="solver_reco27" localSheetId="6" hidden="1">0</definedName>
    <definedName name="solver_reco27" localSheetId="10" hidden="1">0</definedName>
    <definedName name="solver_reco28" localSheetId="6" hidden="1">0</definedName>
    <definedName name="solver_reco28" localSheetId="10" hidden="1">0</definedName>
    <definedName name="solver_reco29" localSheetId="6" hidden="1">0</definedName>
    <definedName name="solver_reco29" localSheetId="10" hidden="1">0</definedName>
    <definedName name="solver_reco3" localSheetId="6" hidden="1">0</definedName>
    <definedName name="solver_reco3" localSheetId="10" hidden="1">0</definedName>
    <definedName name="solver_reco30" localSheetId="6" hidden="1">0</definedName>
    <definedName name="solver_reco30" localSheetId="10" hidden="1">0</definedName>
    <definedName name="solver_reco31" localSheetId="6" hidden="1">0</definedName>
    <definedName name="solver_reco31" localSheetId="10" hidden="1">0</definedName>
    <definedName name="solver_reco32" localSheetId="6" hidden="1">0</definedName>
    <definedName name="solver_reco32" localSheetId="10" hidden="1">0</definedName>
    <definedName name="solver_reco33" localSheetId="6" hidden="1">0</definedName>
    <definedName name="solver_reco33" localSheetId="10" hidden="1">0</definedName>
    <definedName name="solver_reco34" localSheetId="6" hidden="1">0</definedName>
    <definedName name="solver_reco34" localSheetId="10" hidden="1">0</definedName>
    <definedName name="solver_reco35" localSheetId="6" hidden="1">0</definedName>
    <definedName name="solver_reco35" localSheetId="10" hidden="1">0</definedName>
    <definedName name="solver_reco36" localSheetId="6" hidden="1">0</definedName>
    <definedName name="solver_reco36" localSheetId="10" hidden="1">0</definedName>
    <definedName name="solver_reco37" localSheetId="6" hidden="1">0</definedName>
    <definedName name="solver_reco37" localSheetId="10" hidden="1">0</definedName>
    <definedName name="solver_reco38" localSheetId="6" hidden="1">0</definedName>
    <definedName name="solver_reco38" localSheetId="10" hidden="1">0</definedName>
    <definedName name="solver_reco39" localSheetId="6" hidden="1">0</definedName>
    <definedName name="solver_reco39" localSheetId="10" hidden="1">0</definedName>
    <definedName name="solver_reco4" localSheetId="6" hidden="1">0</definedName>
    <definedName name="solver_reco4" localSheetId="10" hidden="1">0</definedName>
    <definedName name="solver_reco40" localSheetId="6" hidden="1">0</definedName>
    <definedName name="solver_reco40" localSheetId="10" hidden="1">0</definedName>
    <definedName name="solver_reco41" localSheetId="6" hidden="1">0</definedName>
    <definedName name="solver_reco41" localSheetId="10" hidden="1">0</definedName>
    <definedName name="solver_reco42" localSheetId="6" hidden="1">0</definedName>
    <definedName name="solver_reco42" localSheetId="10" hidden="1">0</definedName>
    <definedName name="solver_reco43" localSheetId="6" hidden="1">0</definedName>
    <definedName name="solver_reco43" localSheetId="10" hidden="1">0</definedName>
    <definedName name="solver_reco44" localSheetId="6" hidden="1">0</definedName>
    <definedName name="solver_reco44" localSheetId="10" hidden="1">0</definedName>
    <definedName name="solver_reco45" localSheetId="6" hidden="1">0</definedName>
    <definedName name="solver_reco45" localSheetId="10" hidden="1">0</definedName>
    <definedName name="solver_reco46" localSheetId="6" hidden="1">0</definedName>
    <definedName name="solver_reco46" localSheetId="10" hidden="1">0</definedName>
    <definedName name="solver_reco47" localSheetId="6" hidden="1">0</definedName>
    <definedName name="solver_reco47" localSheetId="10" hidden="1">0</definedName>
    <definedName name="solver_reco48" localSheetId="6" hidden="1">0</definedName>
    <definedName name="solver_reco48" localSheetId="10" hidden="1">0</definedName>
    <definedName name="solver_reco49" localSheetId="6" hidden="1">0</definedName>
    <definedName name="solver_reco49" localSheetId="10" hidden="1">0</definedName>
    <definedName name="solver_reco5" localSheetId="6" hidden="1">0</definedName>
    <definedName name="solver_reco5" localSheetId="10" hidden="1">0</definedName>
    <definedName name="solver_reco50" localSheetId="6" hidden="1">0</definedName>
    <definedName name="solver_reco50" localSheetId="10" hidden="1">0</definedName>
    <definedName name="solver_reco51" localSheetId="6" hidden="1">0</definedName>
    <definedName name="solver_reco51" localSheetId="10" hidden="1">0</definedName>
    <definedName name="solver_reco52" localSheetId="6" hidden="1">0</definedName>
    <definedName name="solver_reco52" localSheetId="10" hidden="1">0</definedName>
    <definedName name="solver_reco53" localSheetId="6" hidden="1">0</definedName>
    <definedName name="solver_reco53" localSheetId="10" hidden="1">0</definedName>
    <definedName name="solver_reco54" localSheetId="6" hidden="1">0</definedName>
    <definedName name="solver_reco54" localSheetId="10" hidden="1">0</definedName>
    <definedName name="solver_reco55" localSheetId="6" hidden="1">0</definedName>
    <definedName name="solver_reco55" localSheetId="10" hidden="1">0</definedName>
    <definedName name="solver_reco56" localSheetId="6" hidden="1">0</definedName>
    <definedName name="solver_reco56" localSheetId="10" hidden="1">0</definedName>
    <definedName name="solver_reco57" localSheetId="6" hidden="1">0</definedName>
    <definedName name="solver_reco57" localSheetId="10" hidden="1">0</definedName>
    <definedName name="solver_reco58" localSheetId="6" hidden="1">0</definedName>
    <definedName name="solver_reco58" localSheetId="10" hidden="1">0</definedName>
    <definedName name="solver_reco59" localSheetId="6" hidden="1">0</definedName>
    <definedName name="solver_reco59" localSheetId="10" hidden="1">0</definedName>
    <definedName name="solver_reco6" localSheetId="6" hidden="1">0</definedName>
    <definedName name="solver_reco6" localSheetId="10" hidden="1">0</definedName>
    <definedName name="solver_reco60" localSheetId="6" hidden="1">0</definedName>
    <definedName name="solver_reco60" localSheetId="10" hidden="1">0</definedName>
    <definedName name="solver_reco61" localSheetId="6" hidden="1">0</definedName>
    <definedName name="solver_reco61" localSheetId="10" hidden="1">0</definedName>
    <definedName name="solver_reco62" localSheetId="6" hidden="1">0</definedName>
    <definedName name="solver_reco62" localSheetId="10" hidden="1">0</definedName>
    <definedName name="solver_reco63" localSheetId="6" hidden="1">0</definedName>
    <definedName name="solver_reco63" localSheetId="10" hidden="1">0</definedName>
    <definedName name="solver_reco64" localSheetId="6" hidden="1">0</definedName>
    <definedName name="solver_reco64" localSheetId="10" hidden="1">0</definedName>
    <definedName name="solver_reco65" localSheetId="6" hidden="1">0</definedName>
    <definedName name="solver_reco65" localSheetId="10" hidden="1">0</definedName>
    <definedName name="solver_reco66" localSheetId="6" hidden="1">0</definedName>
    <definedName name="solver_reco66" localSheetId="10" hidden="1">0</definedName>
    <definedName name="solver_reco67" localSheetId="6" hidden="1">0</definedName>
    <definedName name="solver_reco67" localSheetId="10" hidden="1">0</definedName>
    <definedName name="solver_reco68" localSheetId="6" hidden="1">0</definedName>
    <definedName name="solver_reco68" localSheetId="10" hidden="1">0</definedName>
    <definedName name="solver_reco69" localSheetId="6" hidden="1">0</definedName>
    <definedName name="solver_reco69" localSheetId="10" hidden="1">0</definedName>
    <definedName name="solver_reco7" localSheetId="6" hidden="1">0</definedName>
    <definedName name="solver_reco7" localSheetId="10" hidden="1">0</definedName>
    <definedName name="solver_reco70" localSheetId="6" hidden="1">0</definedName>
    <definedName name="solver_reco70" localSheetId="10" hidden="1">0</definedName>
    <definedName name="solver_reco71" localSheetId="6" hidden="1">0</definedName>
    <definedName name="solver_reco71" localSheetId="10" hidden="1">0</definedName>
    <definedName name="solver_reco72" localSheetId="6" hidden="1">0</definedName>
    <definedName name="solver_reco72" localSheetId="10" hidden="1">0</definedName>
    <definedName name="solver_reco73" localSheetId="6" hidden="1">0</definedName>
    <definedName name="solver_reco73" localSheetId="10" hidden="1">0</definedName>
    <definedName name="solver_reco74" localSheetId="6" hidden="1">0</definedName>
    <definedName name="solver_reco74" localSheetId="10" hidden="1">0</definedName>
    <definedName name="solver_reco75" localSheetId="6" hidden="1">0</definedName>
    <definedName name="solver_reco75" localSheetId="10" hidden="1">0</definedName>
    <definedName name="solver_reco76" localSheetId="6" hidden="1">0</definedName>
    <definedName name="solver_reco76" localSheetId="10" hidden="1">0</definedName>
    <definedName name="solver_reco77" localSheetId="6" hidden="1">0</definedName>
    <definedName name="solver_reco77" localSheetId="10" hidden="1">0</definedName>
    <definedName name="solver_reco78" localSheetId="6" hidden="1">0</definedName>
    <definedName name="solver_reco78" localSheetId="10" hidden="1">0</definedName>
    <definedName name="solver_reco79" localSheetId="6" hidden="1">0</definedName>
    <definedName name="solver_reco79" localSheetId="10" hidden="1">0</definedName>
    <definedName name="solver_reco8" localSheetId="6" hidden="1">0</definedName>
    <definedName name="solver_reco8" localSheetId="10" hidden="1">0</definedName>
    <definedName name="solver_reco80" localSheetId="6" hidden="1">0</definedName>
    <definedName name="solver_reco80" localSheetId="10" hidden="1">0</definedName>
    <definedName name="solver_reco81" localSheetId="6" hidden="1">0</definedName>
    <definedName name="solver_reco81" localSheetId="10" hidden="1">0</definedName>
    <definedName name="solver_reco82" localSheetId="6" hidden="1">0</definedName>
    <definedName name="solver_reco82" localSheetId="10" hidden="1">0</definedName>
    <definedName name="solver_reco83" localSheetId="6" hidden="1">0</definedName>
    <definedName name="solver_reco83" localSheetId="10" hidden="1">0</definedName>
    <definedName name="solver_reco84" localSheetId="6" hidden="1">0</definedName>
    <definedName name="solver_reco84" localSheetId="10" hidden="1">0</definedName>
    <definedName name="solver_reco85" localSheetId="6" hidden="1">0</definedName>
    <definedName name="solver_reco85" localSheetId="10" hidden="1">0</definedName>
    <definedName name="solver_reco86" localSheetId="6" hidden="1">0</definedName>
    <definedName name="solver_reco86" localSheetId="10" hidden="1">0</definedName>
    <definedName name="solver_reco87" localSheetId="6" hidden="1">0</definedName>
    <definedName name="solver_reco87" localSheetId="10" hidden="1">0</definedName>
    <definedName name="solver_reco88" localSheetId="6" hidden="1">0</definedName>
    <definedName name="solver_reco88" localSheetId="10" hidden="1">0</definedName>
    <definedName name="solver_reco89" localSheetId="6" hidden="1">0</definedName>
    <definedName name="solver_reco89" localSheetId="10" hidden="1">0</definedName>
    <definedName name="solver_reco9" localSheetId="6" hidden="1">0</definedName>
    <definedName name="solver_reco9" localSheetId="10" hidden="1">0</definedName>
    <definedName name="solver_reco90" localSheetId="6" hidden="1">0</definedName>
    <definedName name="solver_reco90" localSheetId="10" hidden="1">0</definedName>
    <definedName name="solver_reco91" localSheetId="6" hidden="1">0</definedName>
    <definedName name="solver_reco91" localSheetId="10" hidden="1">0</definedName>
    <definedName name="solver_reco92" localSheetId="6" hidden="1">0</definedName>
    <definedName name="solver_reco92" localSheetId="10" hidden="1">0</definedName>
    <definedName name="solver_reco93" localSheetId="6" hidden="1">0</definedName>
    <definedName name="solver_reco94" localSheetId="6" hidden="1">0</definedName>
    <definedName name="solver_reco95" localSheetId="6" hidden="1">0</definedName>
    <definedName name="solver_reco96" localSheetId="6" hidden="1">0</definedName>
    <definedName name="solver_reco97" localSheetId="6" hidden="1">0</definedName>
    <definedName name="solver_reco98" localSheetId="6" hidden="1">0</definedName>
    <definedName name="solver_reco99" localSheetId="6" hidden="1">0</definedName>
    <definedName name="solver_red" localSheetId="6" hidden="1">0.000001</definedName>
    <definedName name="solver_rel1" localSheetId="6" hidden="1">3</definedName>
    <definedName name="solver_rel1" localSheetId="10" hidden="1">3</definedName>
    <definedName name="solver_rel10" localSheetId="6" hidden="1">1</definedName>
    <definedName name="solver_rel10" localSheetId="10" hidden="1">1</definedName>
    <definedName name="solver_rel100" localSheetId="6" hidden="1">3</definedName>
    <definedName name="solver_rel101" localSheetId="6" hidden="1">1</definedName>
    <definedName name="solver_rel102" localSheetId="6" hidden="1">1</definedName>
    <definedName name="solver_rel103" localSheetId="6" hidden="1">3</definedName>
    <definedName name="solver_rel104" localSheetId="6" hidden="1">1</definedName>
    <definedName name="solver_rel105" localSheetId="6" hidden="1">1</definedName>
    <definedName name="solver_rel106" localSheetId="6" hidden="1">3</definedName>
    <definedName name="solver_rel107" localSheetId="6" hidden="1">1</definedName>
    <definedName name="solver_rel108" localSheetId="6" hidden="1">1</definedName>
    <definedName name="solver_rel109" localSheetId="6" hidden="1">3</definedName>
    <definedName name="solver_rel11" localSheetId="6" hidden="1">2</definedName>
    <definedName name="solver_rel11" localSheetId="10" hidden="1">2</definedName>
    <definedName name="solver_rel110" localSheetId="6" hidden="1">1</definedName>
    <definedName name="solver_rel111" localSheetId="6" hidden="1">1</definedName>
    <definedName name="solver_rel112" localSheetId="6" hidden="1">3</definedName>
    <definedName name="solver_rel113" localSheetId="6" hidden="1">1</definedName>
    <definedName name="solver_rel114" localSheetId="6" hidden="1">1</definedName>
    <definedName name="solver_rel115" localSheetId="6" hidden="1">3</definedName>
    <definedName name="solver_rel116" localSheetId="6" hidden="1">1</definedName>
    <definedName name="solver_rel117" localSheetId="6" hidden="1">1</definedName>
    <definedName name="solver_rel118" localSheetId="6" hidden="1">3</definedName>
    <definedName name="solver_rel119" localSheetId="6" hidden="1">1</definedName>
    <definedName name="solver_rel12" localSheetId="6" hidden="1">3</definedName>
    <definedName name="solver_rel12" localSheetId="10" hidden="1">3</definedName>
    <definedName name="solver_rel120" localSheetId="6" hidden="1">1</definedName>
    <definedName name="solver_rel121" localSheetId="6" hidden="1">3</definedName>
    <definedName name="solver_rel122" localSheetId="6" hidden="1">1</definedName>
    <definedName name="solver_rel123" localSheetId="6" hidden="1">1</definedName>
    <definedName name="solver_rel124" localSheetId="6" hidden="1">3</definedName>
    <definedName name="solver_rel125" localSheetId="6" hidden="1">1</definedName>
    <definedName name="solver_rel126" localSheetId="6" hidden="1">1</definedName>
    <definedName name="solver_rel127" localSheetId="6" hidden="1">3</definedName>
    <definedName name="solver_rel128" localSheetId="6" hidden="1">1</definedName>
    <definedName name="solver_rel129" localSheetId="6" hidden="1">1</definedName>
    <definedName name="solver_rel13" localSheetId="6" hidden="1">1</definedName>
    <definedName name="solver_rel13" localSheetId="10" hidden="1">1</definedName>
    <definedName name="solver_rel130" localSheetId="6" hidden="1">3</definedName>
    <definedName name="solver_rel131" localSheetId="6" hidden="1">1</definedName>
    <definedName name="solver_rel132" localSheetId="6" hidden="1">1</definedName>
    <definedName name="solver_rel133" localSheetId="6" hidden="1">3</definedName>
    <definedName name="solver_rel134" localSheetId="6" hidden="1">1</definedName>
    <definedName name="solver_rel135" localSheetId="6" hidden="1">1</definedName>
    <definedName name="solver_rel136" localSheetId="6" hidden="1">3</definedName>
    <definedName name="solver_rel137" localSheetId="6" hidden="1">1</definedName>
    <definedName name="solver_rel138" localSheetId="6" hidden="1">1</definedName>
    <definedName name="solver_rel139" localSheetId="6" hidden="1">3</definedName>
    <definedName name="solver_rel14" localSheetId="6" hidden="1">1</definedName>
    <definedName name="solver_rel14" localSheetId="10" hidden="1">1</definedName>
    <definedName name="solver_rel140" localSheetId="6" hidden="1">1</definedName>
    <definedName name="solver_rel141" localSheetId="6" hidden="1">1</definedName>
    <definedName name="solver_rel142" localSheetId="6" hidden="1">3</definedName>
    <definedName name="solver_rel143" localSheetId="6" hidden="1">1</definedName>
    <definedName name="solver_rel144" localSheetId="6" hidden="1">1</definedName>
    <definedName name="solver_rel145" localSheetId="6" hidden="1">3</definedName>
    <definedName name="solver_rel146" localSheetId="6" hidden="1">1</definedName>
    <definedName name="solver_rel147" localSheetId="6" hidden="1">1</definedName>
    <definedName name="solver_rel148" localSheetId="6" hidden="1">3</definedName>
    <definedName name="solver_rel149" localSheetId="6" hidden="1">1</definedName>
    <definedName name="solver_rel15" localSheetId="6" hidden="1">2</definedName>
    <definedName name="solver_rel15" localSheetId="10" hidden="1">2</definedName>
    <definedName name="solver_rel150" localSheetId="6" hidden="1">1</definedName>
    <definedName name="solver_rel151" localSheetId="6" hidden="1">3</definedName>
    <definedName name="solver_rel152" localSheetId="6" hidden="1">1</definedName>
    <definedName name="solver_rel153" localSheetId="6" hidden="1">1</definedName>
    <definedName name="solver_rel154" localSheetId="6" hidden="1">3</definedName>
    <definedName name="solver_rel155" localSheetId="6" hidden="1">1</definedName>
    <definedName name="solver_rel156" localSheetId="6" hidden="1">1</definedName>
    <definedName name="solver_rel157" localSheetId="6" hidden="1">3</definedName>
    <definedName name="solver_rel158" localSheetId="6" hidden="1">1</definedName>
    <definedName name="solver_rel159" localSheetId="6" hidden="1">1</definedName>
    <definedName name="solver_rel16" localSheetId="6" hidden="1">2</definedName>
    <definedName name="solver_rel16" localSheetId="10" hidden="1">2</definedName>
    <definedName name="solver_rel160" localSheetId="6" hidden="1">3</definedName>
    <definedName name="solver_rel161" localSheetId="6" hidden="1">1</definedName>
    <definedName name="solver_rel162" localSheetId="6" hidden="1">1</definedName>
    <definedName name="solver_rel163" localSheetId="6" hidden="1">3</definedName>
    <definedName name="solver_rel164" localSheetId="6" hidden="1">1</definedName>
    <definedName name="solver_rel165" localSheetId="6" hidden="1">1</definedName>
    <definedName name="solver_rel166" localSheetId="6" hidden="1">3</definedName>
    <definedName name="solver_rel167" localSheetId="6" hidden="1">1</definedName>
    <definedName name="solver_rel168" localSheetId="6" hidden="1">1</definedName>
    <definedName name="solver_rel169" localSheetId="6" hidden="1">3</definedName>
    <definedName name="solver_rel17" localSheetId="6" hidden="1">1</definedName>
    <definedName name="solver_rel17" localSheetId="10" hidden="1">1</definedName>
    <definedName name="solver_rel170" localSheetId="6" hidden="1">1</definedName>
    <definedName name="solver_rel171" localSheetId="6" hidden="1">1</definedName>
    <definedName name="solver_rel172" localSheetId="6" hidden="1">3</definedName>
    <definedName name="solver_rel173" localSheetId="6" hidden="1">1</definedName>
    <definedName name="solver_rel174" localSheetId="6" hidden="1">1</definedName>
    <definedName name="solver_rel175" localSheetId="6" hidden="1">3</definedName>
    <definedName name="solver_rel176" localSheetId="6" hidden="1">1</definedName>
    <definedName name="solver_rel177" localSheetId="6" hidden="1">1</definedName>
    <definedName name="solver_rel178" localSheetId="6" hidden="1">3</definedName>
    <definedName name="solver_rel179" localSheetId="6" hidden="1">1</definedName>
    <definedName name="solver_rel18" localSheetId="6" hidden="1">2</definedName>
    <definedName name="solver_rel18" localSheetId="10" hidden="1">2</definedName>
    <definedName name="solver_rel180" localSheetId="6" hidden="1">1</definedName>
    <definedName name="solver_rel181" localSheetId="6" hidden="1">3</definedName>
    <definedName name="solver_rel182" localSheetId="6" hidden="1">1</definedName>
    <definedName name="solver_rel183" localSheetId="6" hidden="1">1</definedName>
    <definedName name="solver_rel184" localSheetId="6" hidden="1">3</definedName>
    <definedName name="solver_rel185" localSheetId="6" hidden="1">1</definedName>
    <definedName name="solver_rel186" localSheetId="6" hidden="1">1</definedName>
    <definedName name="solver_rel187" localSheetId="6" hidden="1">3</definedName>
    <definedName name="solver_rel188" localSheetId="6" hidden="1">1</definedName>
    <definedName name="solver_rel189" localSheetId="6" hidden="1">1</definedName>
    <definedName name="solver_rel19" localSheetId="6" hidden="1">1</definedName>
    <definedName name="solver_rel19" localSheetId="10" hidden="1">1</definedName>
    <definedName name="solver_rel190" localSheetId="6" hidden="1">3</definedName>
    <definedName name="solver_rel191" localSheetId="6" hidden="1">1</definedName>
    <definedName name="solver_rel192" localSheetId="6" hidden="1">1</definedName>
    <definedName name="solver_rel193" localSheetId="6" hidden="1">3</definedName>
    <definedName name="solver_rel194" localSheetId="6" hidden="1">1</definedName>
    <definedName name="solver_rel195" localSheetId="6" hidden="1">1</definedName>
    <definedName name="solver_rel196" localSheetId="6" hidden="1">3</definedName>
    <definedName name="solver_rel197" localSheetId="6" hidden="1">1</definedName>
    <definedName name="solver_rel198" localSheetId="6" hidden="1">1</definedName>
    <definedName name="solver_rel199" localSheetId="6" hidden="1">3</definedName>
    <definedName name="solver_rel2" localSheetId="6" hidden="1">1</definedName>
    <definedName name="solver_rel2" localSheetId="10" hidden="1">1</definedName>
    <definedName name="solver_rel20" localSheetId="6" hidden="1">2</definedName>
    <definedName name="solver_rel20" localSheetId="10" hidden="1">2</definedName>
    <definedName name="solver_rel200" localSheetId="6" hidden="1">1</definedName>
    <definedName name="solver_rel201" localSheetId="6" hidden="1">1</definedName>
    <definedName name="solver_rel202" localSheetId="6" hidden="1">3</definedName>
    <definedName name="solver_rel203" localSheetId="6" hidden="1">1</definedName>
    <definedName name="solver_rel204" localSheetId="6" hidden="1">1</definedName>
    <definedName name="solver_rel205" localSheetId="6" hidden="1">3</definedName>
    <definedName name="solver_rel206" localSheetId="6" hidden="1">1</definedName>
    <definedName name="solver_rel207" localSheetId="6" hidden="1">1</definedName>
    <definedName name="solver_rel208" localSheetId="6" hidden="1">1</definedName>
    <definedName name="solver_rel209" localSheetId="6" hidden="1">4</definedName>
    <definedName name="solver_rel21" localSheetId="6" hidden="1">3</definedName>
    <definedName name="solver_rel21" localSheetId="10" hidden="1">3</definedName>
    <definedName name="solver_rel210" localSheetId="6" hidden="1">4</definedName>
    <definedName name="solver_rel211" localSheetId="6" hidden="1">4</definedName>
    <definedName name="solver_rel22" localSheetId="6" hidden="1">1</definedName>
    <definedName name="solver_rel22" localSheetId="10" hidden="1">1</definedName>
    <definedName name="solver_rel23" localSheetId="6" hidden="1">2</definedName>
    <definedName name="solver_rel23" localSheetId="10" hidden="1">2</definedName>
    <definedName name="solver_rel24" localSheetId="6" hidden="1">1</definedName>
    <definedName name="solver_rel24" localSheetId="10" hidden="1">1</definedName>
    <definedName name="solver_rel25" localSheetId="6" hidden="1">2</definedName>
    <definedName name="solver_rel25" localSheetId="10" hidden="1">2</definedName>
    <definedName name="solver_rel26" localSheetId="6" hidden="1">1</definedName>
    <definedName name="solver_rel26" localSheetId="10" hidden="1">1</definedName>
    <definedName name="solver_rel27" localSheetId="6" hidden="1">2</definedName>
    <definedName name="solver_rel27" localSheetId="10" hidden="1">2</definedName>
    <definedName name="solver_rel28" localSheetId="6" hidden="1">1</definedName>
    <definedName name="solver_rel28" localSheetId="10" hidden="1">1</definedName>
    <definedName name="solver_rel29" localSheetId="6" hidden="1">1</definedName>
    <definedName name="solver_rel29" localSheetId="10" hidden="1">1</definedName>
    <definedName name="solver_rel3" localSheetId="6" hidden="1">2</definedName>
    <definedName name="solver_rel3" localSheetId="10" hidden="1">2</definedName>
    <definedName name="solver_rel30" localSheetId="6" hidden="1">2</definedName>
    <definedName name="solver_rel30" localSheetId="10" hidden="1">2</definedName>
    <definedName name="solver_rel31" localSheetId="6" hidden="1">1</definedName>
    <definedName name="solver_rel31" localSheetId="10" hidden="1">1</definedName>
    <definedName name="solver_rel32" localSheetId="6" hidden="1">1</definedName>
    <definedName name="solver_rel32" localSheetId="10" hidden="1">1</definedName>
    <definedName name="solver_rel33" localSheetId="6" hidden="1">2</definedName>
    <definedName name="solver_rel33" localSheetId="10" hidden="1">2</definedName>
    <definedName name="solver_rel34" localSheetId="6" hidden="1">1</definedName>
    <definedName name="solver_rel34" localSheetId="10" hidden="1">1</definedName>
    <definedName name="solver_rel35" localSheetId="6" hidden="1">1</definedName>
    <definedName name="solver_rel35" localSheetId="10" hidden="1">1</definedName>
    <definedName name="solver_rel36" localSheetId="6" hidden="1">1</definedName>
    <definedName name="solver_rel36" localSheetId="10" hidden="1">1</definedName>
    <definedName name="solver_rel37" localSheetId="6" hidden="1">1</definedName>
    <definedName name="solver_rel37" localSheetId="10" hidden="1">1</definedName>
    <definedName name="solver_rel38" localSheetId="6" hidden="1">2</definedName>
    <definedName name="solver_rel38" localSheetId="10" hidden="1">2</definedName>
    <definedName name="solver_rel39" localSheetId="6" hidden="1">2</definedName>
    <definedName name="solver_rel39" localSheetId="10" hidden="1">2</definedName>
    <definedName name="solver_rel4" localSheetId="6" hidden="1">2</definedName>
    <definedName name="solver_rel4" localSheetId="10" hidden="1">2</definedName>
    <definedName name="solver_rel40" localSheetId="6" hidden="1">3</definedName>
    <definedName name="solver_rel40" localSheetId="10" hidden="1">3</definedName>
    <definedName name="solver_rel41" localSheetId="6" hidden="1">1</definedName>
    <definedName name="solver_rel41" localSheetId="10" hidden="1">1</definedName>
    <definedName name="solver_rel42" localSheetId="6" hidden="1">3</definedName>
    <definedName name="solver_rel42" localSheetId="10" hidden="1">3</definedName>
    <definedName name="solver_rel43" localSheetId="6" hidden="1">1</definedName>
    <definedName name="solver_rel43" localSheetId="10" hidden="1">1</definedName>
    <definedName name="solver_rel44" localSheetId="6" hidden="1">2</definedName>
    <definedName name="solver_rel44" localSheetId="10" hidden="1">2</definedName>
    <definedName name="solver_rel45" localSheetId="6" hidden="1">1</definedName>
    <definedName name="solver_rel45" localSheetId="10" hidden="1">1</definedName>
    <definedName name="solver_rel46" localSheetId="6" hidden="1">1</definedName>
    <definedName name="solver_rel46" localSheetId="10" hidden="1">1</definedName>
    <definedName name="solver_rel47" localSheetId="6" hidden="1">2</definedName>
    <definedName name="solver_rel47" localSheetId="10" hidden="1">2</definedName>
    <definedName name="solver_rel48" localSheetId="6" hidden="1">1</definedName>
    <definedName name="solver_rel48" localSheetId="10" hidden="1">1</definedName>
    <definedName name="solver_rel49" localSheetId="6" hidden="1">2</definedName>
    <definedName name="solver_rel49" localSheetId="10" hidden="1">2</definedName>
    <definedName name="solver_rel5" localSheetId="6" hidden="1">1</definedName>
    <definedName name="solver_rel5" localSheetId="10" hidden="1">1</definedName>
    <definedName name="solver_rel50" localSheetId="6" hidden="1">2</definedName>
    <definedName name="solver_rel50" localSheetId="10" hidden="1">2</definedName>
    <definedName name="solver_rel51" localSheetId="6" hidden="1">3</definedName>
    <definedName name="solver_rel51" localSheetId="10" hidden="1">3</definedName>
    <definedName name="solver_rel52" localSheetId="6" hidden="1">1</definedName>
    <definedName name="solver_rel52" localSheetId="10" hidden="1">1</definedName>
    <definedName name="solver_rel53" localSheetId="6" hidden="1">3</definedName>
    <definedName name="solver_rel53" localSheetId="10" hidden="1">3</definedName>
    <definedName name="solver_rel54" localSheetId="6" hidden="1">1</definedName>
    <definedName name="solver_rel54" localSheetId="10" hidden="1">1</definedName>
    <definedName name="solver_rel55" localSheetId="6" hidden="1">2</definedName>
    <definedName name="solver_rel55" localSheetId="10" hidden="1">2</definedName>
    <definedName name="solver_rel56" localSheetId="6" hidden="1">1</definedName>
    <definedName name="solver_rel56" localSheetId="10" hidden="1">1</definedName>
    <definedName name="solver_rel57" localSheetId="6" hidden="1">1</definedName>
    <definedName name="solver_rel57" localSheetId="10" hidden="1">1</definedName>
    <definedName name="solver_rel58" localSheetId="6" hidden="1">2</definedName>
    <definedName name="solver_rel58" localSheetId="10" hidden="1">2</definedName>
    <definedName name="solver_rel59" localSheetId="6" hidden="1">1</definedName>
    <definedName name="solver_rel59" localSheetId="10" hidden="1">1</definedName>
    <definedName name="solver_rel6" localSheetId="6" hidden="1">2</definedName>
    <definedName name="solver_rel6" localSheetId="10" hidden="1">2</definedName>
    <definedName name="solver_rel60" localSheetId="6" hidden="1">2</definedName>
    <definedName name="solver_rel60" localSheetId="10" hidden="1">2</definedName>
    <definedName name="solver_rel61" localSheetId="6" hidden="1">1</definedName>
    <definedName name="solver_rel61" localSheetId="10" hidden="1">1</definedName>
    <definedName name="solver_rel62" localSheetId="6" hidden="1">2</definedName>
    <definedName name="solver_rel62" localSheetId="10" hidden="1">2</definedName>
    <definedName name="solver_rel63" localSheetId="6" hidden="1">1</definedName>
    <definedName name="solver_rel63" localSheetId="10" hidden="1">1</definedName>
    <definedName name="solver_rel64" localSheetId="6" hidden="1">1</definedName>
    <definedName name="solver_rel64" localSheetId="10" hidden="1">1</definedName>
    <definedName name="solver_rel65" localSheetId="6" hidden="1">2</definedName>
    <definedName name="solver_rel65" localSheetId="10" hidden="1">2</definedName>
    <definedName name="solver_rel66" localSheetId="6" hidden="1">1</definedName>
    <definedName name="solver_rel66" localSheetId="10" hidden="1">1</definedName>
    <definedName name="solver_rel67" localSheetId="6" hidden="1">3</definedName>
    <definedName name="solver_rel67" localSheetId="10" hidden="1">3</definedName>
    <definedName name="solver_rel68" localSheetId="6" hidden="1">1</definedName>
    <definedName name="solver_rel68" localSheetId="10" hidden="1">1</definedName>
    <definedName name="solver_rel69" localSheetId="6" hidden="1">1</definedName>
    <definedName name="solver_rel69" localSheetId="10" hidden="1">1</definedName>
    <definedName name="solver_rel7" localSheetId="6" hidden="1">2</definedName>
    <definedName name="solver_rel7" localSheetId="10" hidden="1">2</definedName>
    <definedName name="solver_rel70" localSheetId="6" hidden="1">1</definedName>
    <definedName name="solver_rel70" localSheetId="10" hidden="1">1</definedName>
    <definedName name="solver_rel71" localSheetId="6" hidden="1">2</definedName>
    <definedName name="solver_rel71" localSheetId="10" hidden="1">2</definedName>
    <definedName name="solver_rel72" localSheetId="6" hidden="1">1</definedName>
    <definedName name="solver_rel72" localSheetId="10" hidden="1">1</definedName>
    <definedName name="solver_rel73" localSheetId="6" hidden="1">2</definedName>
    <definedName name="solver_rel73" localSheetId="10" hidden="1">2</definedName>
    <definedName name="solver_rel74" localSheetId="6" hidden="1">1</definedName>
    <definedName name="solver_rel74" localSheetId="10" hidden="1">1</definedName>
    <definedName name="solver_rel75" localSheetId="6" hidden="1">1</definedName>
    <definedName name="solver_rel75" localSheetId="10" hidden="1">1</definedName>
    <definedName name="solver_rel76" localSheetId="6" hidden="1">2</definedName>
    <definedName name="solver_rel76" localSheetId="10" hidden="1">2</definedName>
    <definedName name="solver_rel77" localSheetId="6" hidden="1">1</definedName>
    <definedName name="solver_rel77" localSheetId="10" hidden="1">1</definedName>
    <definedName name="solver_rel78" localSheetId="6" hidden="1">2</definedName>
    <definedName name="solver_rel78" localSheetId="10" hidden="1">2</definedName>
    <definedName name="solver_rel79" localSheetId="6" hidden="1">1</definedName>
    <definedName name="solver_rel79" localSheetId="10" hidden="1">1</definedName>
    <definedName name="solver_rel8" localSheetId="6" hidden="1">3</definedName>
    <definedName name="solver_rel8" localSheetId="10" hidden="1">3</definedName>
    <definedName name="solver_rel80" localSheetId="6" hidden="1">2</definedName>
    <definedName name="solver_rel80" localSheetId="10" hidden="1">2</definedName>
    <definedName name="solver_rel81" localSheetId="6" hidden="1">2</definedName>
    <definedName name="solver_rel81" localSheetId="10" hidden="1">2</definedName>
    <definedName name="solver_rel82" localSheetId="6" hidden="1">1</definedName>
    <definedName name="solver_rel82" localSheetId="10" hidden="1">1</definedName>
    <definedName name="solver_rel83" localSheetId="6" hidden="1">1</definedName>
    <definedName name="solver_rel83" localSheetId="10" hidden="1">1</definedName>
    <definedName name="solver_rel84" localSheetId="6" hidden="1">2</definedName>
    <definedName name="solver_rel84" localSheetId="10" hidden="1">2</definedName>
    <definedName name="solver_rel85" localSheetId="6" hidden="1">1</definedName>
    <definedName name="solver_rel85" localSheetId="10" hidden="1">3</definedName>
    <definedName name="solver_rel86" localSheetId="6" hidden="1">4</definedName>
    <definedName name="solver_rel86" localSheetId="10" hidden="1">4</definedName>
    <definedName name="solver_rel87" localSheetId="6" hidden="1">4</definedName>
    <definedName name="solver_rel87" localSheetId="10" hidden="1">4</definedName>
    <definedName name="solver_rel88" localSheetId="6" hidden="1">4</definedName>
    <definedName name="solver_rel88" localSheetId="10" hidden="1">4</definedName>
    <definedName name="solver_rel89" localSheetId="6" hidden="1">1</definedName>
    <definedName name="solver_rel89" localSheetId="10" hidden="1">3</definedName>
    <definedName name="solver_rel9" localSheetId="6" hidden="1">1</definedName>
    <definedName name="solver_rel9" localSheetId="10" hidden="1">1</definedName>
    <definedName name="solver_rel90" localSheetId="6" hidden="1">1</definedName>
    <definedName name="solver_rel90" localSheetId="10" hidden="1">4</definedName>
    <definedName name="solver_rel91" localSheetId="6" hidden="1">3</definedName>
    <definedName name="solver_rel91" localSheetId="10" hidden="1">4</definedName>
    <definedName name="solver_rel92" localSheetId="6" hidden="1">1</definedName>
    <definedName name="solver_rel92" localSheetId="10" hidden="1">4</definedName>
    <definedName name="solver_rel93" localSheetId="6" hidden="1">1</definedName>
    <definedName name="solver_rel94" localSheetId="6" hidden="1">3</definedName>
    <definedName name="solver_rel95" localSheetId="6" hidden="1">1</definedName>
    <definedName name="solver_rel96" localSheetId="6" hidden="1">1</definedName>
    <definedName name="solver_rel97" localSheetId="6" hidden="1">3</definedName>
    <definedName name="solver_rel98" localSheetId="6" hidden="1">1</definedName>
    <definedName name="solver_rel99" localSheetId="6" hidden="1">1</definedName>
    <definedName name="solver_rep" localSheetId="6" hidden="1">0</definedName>
    <definedName name="solver_rep" localSheetId="10" hidden="1">0</definedName>
    <definedName name="solver_res" localSheetId="6" hidden="1">0.05</definedName>
    <definedName name="solver_res" localSheetId="10" hidden="1">0.05</definedName>
    <definedName name="solver_rgen" hidden="1">1</definedName>
    <definedName name="solver_rhs1" localSheetId="6" hidden="1">'LP Optimization 1'!$N$2</definedName>
    <definedName name="solver_rhs1" localSheetId="10" hidden="1">'LP Optimization 2'!$N$2</definedName>
    <definedName name="solver_rhs10" localSheetId="6" hidden="1">'LP Optimization 1'!$W$4</definedName>
    <definedName name="solver_rhs10" localSheetId="10" hidden="1">'LP Optimization 2'!$W$4</definedName>
    <definedName name="solver_rhs100" localSheetId="6" hidden="1">'LP Optimization 1'!$N$13</definedName>
    <definedName name="solver_rhs101" localSheetId="6" hidden="1">'LP Optimization 1'!$O$13</definedName>
    <definedName name="solver_rhs102" localSheetId="6" hidden="1">'LP Optimization 1'!$P$13</definedName>
    <definedName name="solver_rhs103" localSheetId="6" hidden="1">'LP Optimization 1'!$V$13</definedName>
    <definedName name="solver_rhs104" localSheetId="6" hidden="1">'LP Optimization 1'!$W$13</definedName>
    <definedName name="solver_rhs105" localSheetId="6" hidden="1">'LP Optimization 1'!$X$13</definedName>
    <definedName name="solver_rhs106" localSheetId="6" hidden="1">'LP Optimization 1'!$AD$13</definedName>
    <definedName name="solver_rhs107" localSheetId="6" hidden="1">'LP Optimization 1'!$AE$13</definedName>
    <definedName name="solver_rhs108" localSheetId="6" hidden="1">'LP Optimization 1'!$AF$13</definedName>
    <definedName name="solver_rhs109" localSheetId="6" hidden="1">'LP Optimization 1'!$N$14</definedName>
    <definedName name="solver_rhs11" localSheetId="6" hidden="1">0</definedName>
    <definedName name="solver_rhs11" localSheetId="10" hidden="1">0</definedName>
    <definedName name="solver_rhs110" localSheetId="6" hidden="1">'LP Optimization 1'!$O$14</definedName>
    <definedName name="solver_rhs111" localSheetId="6" hidden="1">'LP Optimization 1'!$P$14</definedName>
    <definedName name="solver_rhs112" localSheetId="6" hidden="1">'LP Optimization 1'!$V$14</definedName>
    <definedName name="solver_rhs113" localSheetId="6" hidden="1">'LP Optimization 1'!$W$14</definedName>
    <definedName name="solver_rhs114" localSheetId="6" hidden="1">'LP Optimization 1'!$X$14</definedName>
    <definedName name="solver_rhs115" localSheetId="6" hidden="1">'LP Optimization 1'!$AD$14</definedName>
    <definedName name="solver_rhs116" localSheetId="6" hidden="1">'LP Optimization 1'!$AE$14</definedName>
    <definedName name="solver_rhs117" localSheetId="6" hidden="1">'LP Optimization 1'!$AF$14</definedName>
    <definedName name="solver_rhs118" localSheetId="6" hidden="1">'LP Optimization 1'!$N$15</definedName>
    <definedName name="solver_rhs119" localSheetId="6" hidden="1">'LP Optimization 1'!$O$15</definedName>
    <definedName name="solver_rhs12" localSheetId="6" hidden="1">'LP Optimization 1'!$N$5</definedName>
    <definedName name="solver_rhs12" localSheetId="10" hidden="1">'LP Optimization 2'!$N$5</definedName>
    <definedName name="solver_rhs120" localSheetId="6" hidden="1">'LP Optimization 1'!$P$15</definedName>
    <definedName name="solver_rhs121" localSheetId="6" hidden="1">'LP Optimization 1'!$V$15</definedName>
    <definedName name="solver_rhs122" localSheetId="6" hidden="1">'LP Optimization 1'!$W$15</definedName>
    <definedName name="solver_rhs123" localSheetId="6" hidden="1">'LP Optimization 1'!$X$15</definedName>
    <definedName name="solver_rhs124" localSheetId="6" hidden="1">'LP Optimization 1'!$AD$15</definedName>
    <definedName name="solver_rhs125" localSheetId="6" hidden="1">'LP Optimization 1'!$AE$15</definedName>
    <definedName name="solver_rhs126" localSheetId="6" hidden="1">'LP Optimization 1'!$AF$15</definedName>
    <definedName name="solver_rhs127" localSheetId="6" hidden="1">'LP Optimization 1'!$N$16</definedName>
    <definedName name="solver_rhs128" localSheetId="6" hidden="1">'LP Optimization 1'!$O$16</definedName>
    <definedName name="solver_rhs129" localSheetId="6" hidden="1">'LP Optimization 1'!$P$16</definedName>
    <definedName name="solver_rhs13" localSheetId="6" hidden="1">'LP Optimization 1'!$O$5</definedName>
    <definedName name="solver_rhs13" localSheetId="10" hidden="1">'LP Optimization 2'!$O$5</definedName>
    <definedName name="solver_rhs130" localSheetId="6" hidden="1">'LP Optimization 1'!$V$16</definedName>
    <definedName name="solver_rhs131" localSheetId="6" hidden="1">'LP Optimization 1'!$W$16</definedName>
    <definedName name="solver_rhs132" localSheetId="6" hidden="1">'LP Optimization 1'!$X$16</definedName>
    <definedName name="solver_rhs133" localSheetId="6" hidden="1">'LP Optimization 1'!$AD$16</definedName>
    <definedName name="solver_rhs134" localSheetId="6" hidden="1">'LP Optimization 1'!$AE$16</definedName>
    <definedName name="solver_rhs135" localSheetId="6" hidden="1">'LP Optimization 1'!$AF$16</definedName>
    <definedName name="solver_rhs136" localSheetId="6" hidden="1">'LP Optimization 1'!$N$17</definedName>
    <definedName name="solver_rhs137" localSheetId="6" hidden="1">'LP Optimization 1'!$O$17</definedName>
    <definedName name="solver_rhs138" localSheetId="6" hidden="1">'LP Optimization 1'!$P$17</definedName>
    <definedName name="solver_rhs139" localSheetId="6" hidden="1">'LP Optimization 1'!$V$17</definedName>
    <definedName name="solver_rhs14" localSheetId="6" hidden="1">'LP Optimization 1'!$X$5</definedName>
    <definedName name="solver_rhs14" localSheetId="10" hidden="1">'LP Optimization 2'!$X$5</definedName>
    <definedName name="solver_rhs140" localSheetId="6" hidden="1">'LP Optimization 1'!$W$17</definedName>
    <definedName name="solver_rhs141" localSheetId="6" hidden="1">'LP Optimization 1'!$X$17</definedName>
    <definedName name="solver_rhs142" localSheetId="6" hidden="1">'LP Optimization 1'!$AD$17</definedName>
    <definedName name="solver_rhs143" localSheetId="6" hidden="1">'LP Optimization 1'!$AE$17</definedName>
    <definedName name="solver_rhs144" localSheetId="6" hidden="1">'LP Optimization 1'!$AF$17</definedName>
    <definedName name="solver_rhs145" localSheetId="6" hidden="1">'LP Optimization 1'!$N$18</definedName>
    <definedName name="solver_rhs146" localSheetId="6" hidden="1">'LP Optimization 1'!$O$18</definedName>
    <definedName name="solver_rhs147" localSheetId="6" hidden="1">'LP Optimization 1'!$P$18</definedName>
    <definedName name="solver_rhs148" localSheetId="6" hidden="1">'LP Optimization 1'!$V$18</definedName>
    <definedName name="solver_rhs149" localSheetId="6" hidden="1">'LP Optimization 1'!$W$18</definedName>
    <definedName name="solver_rhs15" localSheetId="6" hidden="1">0</definedName>
    <definedName name="solver_rhs15" localSheetId="10" hidden="1">0</definedName>
    <definedName name="solver_rhs150" localSheetId="6" hidden="1">'LP Optimization 1'!$X$18</definedName>
    <definedName name="solver_rhs151" localSheetId="6" hidden="1">'LP Optimization 1'!$AD$18</definedName>
    <definedName name="solver_rhs152" localSheetId="6" hidden="1">'LP Optimization 1'!$AE$18</definedName>
    <definedName name="solver_rhs153" localSheetId="6" hidden="1">'LP Optimization 1'!$AF$18</definedName>
    <definedName name="solver_rhs154" localSheetId="6" hidden="1">'LP Optimization 1'!$N$19</definedName>
    <definedName name="solver_rhs155" localSheetId="6" hidden="1">'LP Optimization 1'!$O$19</definedName>
    <definedName name="solver_rhs156" localSheetId="6" hidden="1">'LP Optimization 1'!$P$19</definedName>
    <definedName name="solver_rhs157" localSheetId="6" hidden="1">'LP Optimization 1'!$V$19</definedName>
    <definedName name="solver_rhs158" localSheetId="6" hidden="1">'LP Optimization 1'!$W$19</definedName>
    <definedName name="solver_rhs159" localSheetId="6" hidden="1">'LP Optimization 1'!$X$19</definedName>
    <definedName name="solver_rhs16" localSheetId="6" hidden="1">1</definedName>
    <definedName name="solver_rhs16" localSheetId="10" hidden="1">1</definedName>
    <definedName name="solver_rhs160" localSheetId="6" hidden="1">'LP Optimization 1'!$AD$19</definedName>
    <definedName name="solver_rhs161" localSheetId="6" hidden="1">'LP Optimization 1'!$AE$19</definedName>
    <definedName name="solver_rhs162" localSheetId="6" hidden="1">'LP Optimization 1'!$AF$19</definedName>
    <definedName name="solver_rhs163" localSheetId="6" hidden="1">'LP Optimization 1'!$N$20</definedName>
    <definedName name="solver_rhs164" localSheetId="6" hidden="1">'LP Optimization 1'!$O$20</definedName>
    <definedName name="solver_rhs165" localSheetId="6" hidden="1">'LP Optimization 1'!$P$20</definedName>
    <definedName name="solver_rhs166" localSheetId="6" hidden="1">'LP Optimization 1'!$V$20</definedName>
    <definedName name="solver_rhs167" localSheetId="6" hidden="1">'LP Optimization 1'!$W$20</definedName>
    <definedName name="solver_rhs168" localSheetId="6" hidden="1">'LP Optimization 1'!$X$20</definedName>
    <definedName name="solver_rhs169" localSheetId="6" hidden="1">'LP Optimization 1'!$AD$20</definedName>
    <definedName name="solver_rhs17" localSheetId="6" hidden="1">'LP Optimization 1'!$O$6</definedName>
    <definedName name="solver_rhs17" localSheetId="10" hidden="1">'LP Optimization 2'!$O$6</definedName>
    <definedName name="solver_rhs170" localSheetId="6" hidden="1">'LP Optimization 1'!$AE$20</definedName>
    <definedName name="solver_rhs171" localSheetId="6" hidden="1">'LP Optimization 1'!$AF$20</definedName>
    <definedName name="solver_rhs172" localSheetId="6" hidden="1">'LP Optimization 1'!$N$21</definedName>
    <definedName name="solver_rhs173" localSheetId="6" hidden="1">'LP Optimization 1'!$O$21</definedName>
    <definedName name="solver_rhs174" localSheetId="6" hidden="1">'LP Optimization 1'!$P$21</definedName>
    <definedName name="solver_rhs175" localSheetId="6" hidden="1">'LP Optimization 1'!$V$21</definedName>
    <definedName name="solver_rhs176" localSheetId="6" hidden="1">'LP Optimization 1'!$W$21</definedName>
    <definedName name="solver_rhs177" localSheetId="6" hidden="1">'LP Optimization 1'!$X$21</definedName>
    <definedName name="solver_rhs178" localSheetId="6" hidden="1">'LP Optimization 1'!$AD$21</definedName>
    <definedName name="solver_rhs179" localSheetId="6" hidden="1">'LP Optimization 1'!$AE$21</definedName>
    <definedName name="solver_rhs18" localSheetId="6" hidden="1">1</definedName>
    <definedName name="solver_rhs18" localSheetId="10" hidden="1">1</definedName>
    <definedName name="solver_rhs180" localSheetId="6" hidden="1">'LP Optimization 1'!$AF$21</definedName>
    <definedName name="solver_rhs181" localSheetId="6" hidden="1">'LP Optimization 1'!$N$22</definedName>
    <definedName name="solver_rhs182" localSheetId="6" hidden="1">'LP Optimization 1'!$O$22</definedName>
    <definedName name="solver_rhs183" localSheetId="6" hidden="1">'LP Optimization 1'!$P$22</definedName>
    <definedName name="solver_rhs184" localSheetId="6" hidden="1">'LP Optimization 1'!$V$22</definedName>
    <definedName name="solver_rhs185" localSheetId="6" hidden="1">'LP Optimization 1'!$W$22</definedName>
    <definedName name="solver_rhs186" localSheetId="6" hidden="1">'LP Optimization 1'!$X$22</definedName>
    <definedName name="solver_rhs187" localSheetId="6" hidden="1">'LP Optimization 1'!$AD$22</definedName>
    <definedName name="solver_rhs188" localSheetId="6" hidden="1">'LP Optimization 1'!$AE$22</definedName>
    <definedName name="solver_rhs189" localSheetId="6" hidden="1">'LP Optimization 1'!$AF$22</definedName>
    <definedName name="solver_rhs19" localSheetId="6" hidden="1">'LP Optimization 1'!$W$6</definedName>
    <definedName name="solver_rhs19" localSheetId="10" hidden="1">'LP Optimization 2'!$W$6</definedName>
    <definedName name="solver_rhs190" localSheetId="6" hidden="1">'LP Optimization 1'!$N$23</definedName>
    <definedName name="solver_rhs191" localSheetId="6" hidden="1">'LP Optimization 1'!$O$23</definedName>
    <definedName name="solver_rhs192" localSheetId="6" hidden="1">'LP Optimization 1'!$P$23</definedName>
    <definedName name="solver_rhs193" localSheetId="6" hidden="1">'LP Optimization 1'!$V$23</definedName>
    <definedName name="solver_rhs194" localSheetId="6" hidden="1">'LP Optimization 1'!$W$23</definedName>
    <definedName name="solver_rhs195" localSheetId="6" hidden="1">'LP Optimization 1'!$X$23</definedName>
    <definedName name="solver_rhs196" localSheetId="6" hidden="1">'LP Optimization 1'!$AD$23</definedName>
    <definedName name="solver_rhs197" localSheetId="6" hidden="1">'LP Optimization 1'!$AE$23</definedName>
    <definedName name="solver_rhs198" localSheetId="6" hidden="1">'LP Optimization 1'!$AF$23</definedName>
    <definedName name="solver_rhs199" localSheetId="6" hidden="1">'LP Optimization 1'!$N$24</definedName>
    <definedName name="solver_rhs2" localSheetId="6" hidden="1">'LP Optimization 1'!$O$2</definedName>
    <definedName name="solver_rhs2" localSheetId="10" hidden="1">'LP Optimization 2'!$O$2</definedName>
    <definedName name="solver_rhs20" localSheetId="6" hidden="1">1</definedName>
    <definedName name="solver_rhs20" localSheetId="10" hidden="1">1</definedName>
    <definedName name="solver_rhs200" localSheetId="6" hidden="1">'LP Optimization 1'!$O$24</definedName>
    <definedName name="solver_rhs201" localSheetId="6" hidden="1">'LP Optimization 1'!$P$24</definedName>
    <definedName name="solver_rhs202" localSheetId="6" hidden="1">'LP Optimization 1'!$V$24</definedName>
    <definedName name="solver_rhs203" localSheetId="6" hidden="1">'LP Optimization 1'!$W$24</definedName>
    <definedName name="solver_rhs204" localSheetId="6" hidden="1">'LP Optimization 1'!$X$24</definedName>
    <definedName name="solver_rhs205" localSheetId="6" hidden="1">'LP Optimization 1'!$AD$24</definedName>
    <definedName name="solver_rhs206" localSheetId="6" hidden="1">'LP Optimization 1'!$AE$24</definedName>
    <definedName name="solver_rhs207" localSheetId="6" hidden="1">'LP Optimization 1'!$AF$24</definedName>
    <definedName name="solver_rhs208" localSheetId="6" hidden="1">'LP Optimization 1'!$B$28</definedName>
    <definedName name="solver_rhs21" localSheetId="6" hidden="1">'LP Optimization 1'!$AD$6</definedName>
    <definedName name="solver_rhs21" localSheetId="10" hidden="1">'LP Optimization 2'!$AD$6</definedName>
    <definedName name="solver_rhs22" localSheetId="6" hidden="1">'LP Optimization 1'!$AE$6</definedName>
    <definedName name="solver_rhs22" localSheetId="10" hidden="1">'LP Optimization 2'!$AE$6</definedName>
    <definedName name="solver_rhs23" localSheetId="6" hidden="1">1</definedName>
    <definedName name="solver_rhs23" localSheetId="10" hidden="1">1</definedName>
    <definedName name="solver_rhs24" localSheetId="6" hidden="1">'LP Optimization 1'!$O$7</definedName>
    <definedName name="solver_rhs24" localSheetId="10" hidden="1">'LP Optimization 2'!$O$7</definedName>
    <definedName name="solver_rhs25" localSheetId="6" hidden="1">1</definedName>
    <definedName name="solver_rhs25" localSheetId="10" hidden="1">1</definedName>
    <definedName name="solver_rhs26" localSheetId="6" hidden="1">'LP Optimization 1'!$W$7</definedName>
    <definedName name="solver_rhs26" localSheetId="10" hidden="1">'LP Optimization 2'!$W$7</definedName>
    <definedName name="solver_rhs27" localSheetId="6" hidden="1">0</definedName>
    <definedName name="solver_rhs27" localSheetId="10" hidden="1">0</definedName>
    <definedName name="solver_rhs28" localSheetId="6" hidden="1">'LP Optimization 1'!$O$8</definedName>
    <definedName name="solver_rhs28" localSheetId="10" hidden="1">'LP Optimization 2'!$O$8</definedName>
    <definedName name="solver_rhs29" localSheetId="6" hidden="1">'LP Optimization 1'!$W$8</definedName>
    <definedName name="solver_rhs29" localSheetId="10" hidden="1">'LP Optimization 2'!$W$8</definedName>
    <definedName name="solver_rhs3" localSheetId="6" hidden="1">0</definedName>
    <definedName name="solver_rhs3" localSheetId="10" hidden="1">0</definedName>
    <definedName name="solver_rhs30" localSheetId="6" hidden="1">0</definedName>
    <definedName name="solver_rhs30" localSheetId="10" hidden="1">0</definedName>
    <definedName name="solver_rhs31" localSheetId="6" hidden="1">'LP Optimization 1'!$O$9</definedName>
    <definedName name="solver_rhs31" localSheetId="10" hidden="1">'LP Optimization 2'!$O$9</definedName>
    <definedName name="solver_rhs32" localSheetId="6" hidden="1">'LP Optimization 1'!$W$9</definedName>
    <definedName name="solver_rhs32" localSheetId="10" hidden="1">'LP Optimization 2'!$W$9</definedName>
    <definedName name="solver_rhs33" localSheetId="6" hidden="1">0</definedName>
    <definedName name="solver_rhs33" localSheetId="10" hidden="1">0</definedName>
    <definedName name="solver_rhs34" localSheetId="6" hidden="1">'LP Optimization 1'!$O$10</definedName>
    <definedName name="solver_rhs34" localSheetId="10" hidden="1">'LP Optimization 2'!$O$10</definedName>
    <definedName name="solver_rhs35" localSheetId="6" hidden="1">'LP Optimization 1'!$W$10</definedName>
    <definedName name="solver_rhs35" localSheetId="10" hidden="1">'LP Optimization 2'!$W$10</definedName>
    <definedName name="solver_rhs36" localSheetId="6" hidden="1">'LP Optimization 1'!$AF$10</definedName>
    <definedName name="solver_rhs36" localSheetId="10" hidden="1">'LP Optimization 2'!$AF$10</definedName>
    <definedName name="solver_rhs37" localSheetId="6" hidden="1">'LP Optimization 1'!$P$11</definedName>
    <definedName name="solver_rhs37" localSheetId="10" hidden="1">'LP Optimization 2'!$P$11</definedName>
    <definedName name="solver_rhs38" localSheetId="6" hidden="1">0</definedName>
    <definedName name="solver_rhs38" localSheetId="10" hidden="1">0</definedName>
    <definedName name="solver_rhs39" localSheetId="6" hidden="1">0</definedName>
    <definedName name="solver_rhs39" localSheetId="10" hidden="1">0</definedName>
    <definedName name="solver_rhs4" localSheetId="6" hidden="1">0</definedName>
    <definedName name="solver_rhs4" localSheetId="10" hidden="1">0</definedName>
    <definedName name="solver_rhs40" localSheetId="6" hidden="1">'LP Optimization 1'!$N$12</definedName>
    <definedName name="solver_rhs40" localSheetId="10" hidden="1">'LP Optimization 2'!$N$12</definedName>
    <definedName name="solver_rhs41" localSheetId="6" hidden="1">'LP Optimization 1'!$O$12</definedName>
    <definedName name="solver_rhs41" localSheetId="10" hidden="1">'LP Optimization 2'!$O$12</definedName>
    <definedName name="solver_rhs42" localSheetId="6" hidden="1">'LP Optimization 1'!$V$12</definedName>
    <definedName name="solver_rhs42" localSheetId="10" hidden="1">'LP Optimization 2'!$V$12</definedName>
    <definedName name="solver_rhs43" localSheetId="6" hidden="1">'LP Optimization 1'!$W$12</definedName>
    <definedName name="solver_rhs43" localSheetId="10" hidden="1">'LP Optimization 2'!$W$12</definedName>
    <definedName name="solver_rhs44" localSheetId="6" hidden="1">0</definedName>
    <definedName name="solver_rhs44" localSheetId="10" hidden="1">0</definedName>
    <definedName name="solver_rhs45" localSheetId="6" hidden="1">'LP Optimization 1'!$O$13</definedName>
    <definedName name="solver_rhs45" localSheetId="10" hidden="1">'LP Optimization 2'!$O$13</definedName>
    <definedName name="solver_rhs46" localSheetId="6" hidden="1">'LP Optimization 1'!$W$13</definedName>
    <definedName name="solver_rhs46" localSheetId="10" hidden="1">'LP Optimization 2'!$W$13</definedName>
    <definedName name="solver_rhs47" localSheetId="6" hidden="1">0</definedName>
    <definedName name="solver_rhs47" localSheetId="10" hidden="1">0</definedName>
    <definedName name="solver_rhs48" localSheetId="6" hidden="1">'LP Optimization 1'!$O$14</definedName>
    <definedName name="solver_rhs48" localSheetId="10" hidden="1">'LP Optimization 2'!$O$14</definedName>
    <definedName name="solver_rhs49" localSheetId="6" hidden="1">0</definedName>
    <definedName name="solver_rhs49" localSheetId="10" hidden="1">0</definedName>
    <definedName name="solver_rhs5" localSheetId="6" hidden="1">'LP Optimization 1'!$W$3</definedName>
    <definedName name="solver_rhs5" localSheetId="10" hidden="1">'LP Optimization 2'!$W$3</definedName>
    <definedName name="solver_rhs50" localSheetId="6" hidden="1">0</definedName>
    <definedName name="solver_rhs50" localSheetId="10" hidden="1">0</definedName>
    <definedName name="solver_rhs51" localSheetId="6" hidden="1">'LP Optimization 1'!$N$15</definedName>
    <definedName name="solver_rhs51" localSheetId="10" hidden="1">'LP Optimization 2'!$N$15</definedName>
    <definedName name="solver_rhs52" localSheetId="6" hidden="1">'LP Optimization 1'!$O$15</definedName>
    <definedName name="solver_rhs52" localSheetId="10" hidden="1">'LP Optimization 2'!$O$15</definedName>
    <definedName name="solver_rhs53" localSheetId="6" hidden="1">'LP Optimization 1'!$V$15</definedName>
    <definedName name="solver_rhs53" localSheetId="10" hidden="1">'LP Optimization 2'!$V$15</definedName>
    <definedName name="solver_rhs54" localSheetId="6" hidden="1">'LP Optimization 1'!$W$15</definedName>
    <definedName name="solver_rhs54" localSheetId="10" hidden="1">'LP Optimization 2'!$W$15</definedName>
    <definedName name="solver_rhs55" localSheetId="6" hidden="1">0</definedName>
    <definedName name="solver_rhs55" localSheetId="10" hidden="1">0</definedName>
    <definedName name="solver_rhs56" localSheetId="6" hidden="1">'LP Optimization 1'!$O$16</definedName>
    <definedName name="solver_rhs56" localSheetId="10" hidden="1">'LP Optimization 2'!$O$16</definedName>
    <definedName name="solver_rhs57" localSheetId="6" hidden="1">'LP Optimization 1'!$W$16</definedName>
    <definedName name="solver_rhs57" localSheetId="10" hidden="1">'LP Optimization 2'!$W$16</definedName>
    <definedName name="solver_rhs58" localSheetId="6" hidden="1">0</definedName>
    <definedName name="solver_rhs58" localSheetId="10" hidden="1">0</definedName>
    <definedName name="solver_rhs59" localSheetId="6" hidden="1">'LP Optimization 1'!$O$17</definedName>
    <definedName name="solver_rhs59" localSheetId="10" hidden="1">'LP Optimization 2'!$O$17</definedName>
    <definedName name="solver_rhs6" localSheetId="6" hidden="1">0</definedName>
    <definedName name="solver_rhs6" localSheetId="10" hidden="1">0</definedName>
    <definedName name="solver_rhs60" localSheetId="6" hidden="1">1</definedName>
    <definedName name="solver_rhs60" localSheetId="10" hidden="1">1</definedName>
    <definedName name="solver_rhs61" localSheetId="6" hidden="1">'LP Optimization 1'!$W$17</definedName>
    <definedName name="solver_rhs61" localSheetId="10" hidden="1">'LP Optimization 2'!$W$17</definedName>
    <definedName name="solver_rhs62" localSheetId="6" hidden="1">0</definedName>
    <definedName name="solver_rhs62" localSheetId="10" hidden="1">0</definedName>
    <definedName name="solver_rhs63" localSheetId="6" hidden="1">'LP Optimization 1'!$O$18</definedName>
    <definedName name="solver_rhs63" localSheetId="10" hidden="1">'LP Optimization 2'!$O$18</definedName>
    <definedName name="solver_rhs64" localSheetId="6" hidden="1">'LP Optimization 1'!$X$18</definedName>
    <definedName name="solver_rhs64" localSheetId="10" hidden="1">'LP Optimization 2'!$X$18</definedName>
    <definedName name="solver_rhs65" localSheetId="6" hidden="1">0</definedName>
    <definedName name="solver_rhs65" localSheetId="10" hidden="1">0</definedName>
    <definedName name="solver_rhs66" localSheetId="6" hidden="1">'LP Optimization 1'!$O$19</definedName>
    <definedName name="solver_rhs66" localSheetId="10" hidden="1">'LP Optimization 2'!$O$19</definedName>
    <definedName name="solver_rhs67" localSheetId="6" hidden="1">'LP Optimization 1'!$V$19</definedName>
    <definedName name="solver_rhs67" localSheetId="10" hidden="1">'LP Optimization 2'!$V$19</definedName>
    <definedName name="solver_rhs68" localSheetId="6" hidden="1">'LP Optimization 1'!$W$19</definedName>
    <definedName name="solver_rhs68" localSheetId="10" hidden="1">'LP Optimization 2'!$W$19</definedName>
    <definedName name="solver_rhs69" localSheetId="6" hidden="1">'LP Optimization 1'!$AF$19</definedName>
    <definedName name="solver_rhs69" localSheetId="10" hidden="1">'LP Optimization 2'!$AF$19</definedName>
    <definedName name="solver_rhs7" localSheetId="6" hidden="1">1</definedName>
    <definedName name="solver_rhs7" localSheetId="10" hidden="1">1</definedName>
    <definedName name="solver_rhs70" localSheetId="6" hidden="1">'LP Optimization 1'!$O$20</definedName>
    <definedName name="solver_rhs70" localSheetId="10" hidden="1">'LP Optimization 2'!$O$20</definedName>
    <definedName name="solver_rhs71" localSheetId="6" hidden="1">1</definedName>
    <definedName name="solver_rhs71" localSheetId="10" hidden="1">1</definedName>
    <definedName name="solver_rhs72" localSheetId="6" hidden="1">'LP Optimization 1'!$W$20</definedName>
    <definedName name="solver_rhs72" localSheetId="10" hidden="1">'LP Optimization 2'!$W$20</definedName>
    <definedName name="solver_rhs73" localSheetId="6" hidden="1">1</definedName>
    <definedName name="solver_rhs73" localSheetId="10" hidden="1">1</definedName>
    <definedName name="solver_rhs74" localSheetId="6" hidden="1">'LP Optimization 1'!$AE$20</definedName>
    <definedName name="solver_rhs74" localSheetId="10" hidden="1">'LP Optimization 2'!$AE$20</definedName>
    <definedName name="solver_rhs75" localSheetId="6" hidden="1">'LP Optimization 1'!$O$21</definedName>
    <definedName name="solver_rhs75" localSheetId="10" hidden="1">'LP Optimization 2'!$O$21</definedName>
    <definedName name="solver_rhs76" localSheetId="6" hidden="1">1</definedName>
    <definedName name="solver_rhs76" localSheetId="10" hidden="1">1</definedName>
    <definedName name="solver_rhs77" localSheetId="6" hidden="1">'LP Optimization 1'!$W$21</definedName>
    <definedName name="solver_rhs77" localSheetId="10" hidden="1">'LP Optimization 2'!$W$21</definedName>
    <definedName name="solver_rhs78" localSheetId="6" hidden="1">0</definedName>
    <definedName name="solver_rhs78" localSheetId="10" hidden="1">0</definedName>
    <definedName name="solver_rhs79" localSheetId="6" hidden="1">'LP Optimization 1'!$O$22</definedName>
    <definedName name="solver_rhs79" localSheetId="10" hidden="1">'LP Optimization 2'!$O$22</definedName>
    <definedName name="solver_rhs8" localSheetId="6" hidden="1">'LP Optimization 1'!$N$4</definedName>
    <definedName name="solver_rhs8" localSheetId="10" hidden="1">'LP Optimization 2'!$N$4</definedName>
    <definedName name="solver_rhs80" localSheetId="6" hidden="1">0</definedName>
    <definedName name="solver_rhs80" localSheetId="10" hidden="1">0</definedName>
    <definedName name="solver_rhs81" localSheetId="6" hidden="1">0</definedName>
    <definedName name="solver_rhs81" localSheetId="10" hidden="1">0</definedName>
    <definedName name="solver_rhs82" localSheetId="6" hidden="1">'LP Optimization 1'!$O$23</definedName>
    <definedName name="solver_rhs82" localSheetId="10" hidden="1">'LP Optimization 2'!$O$23</definedName>
    <definedName name="solver_rhs83" localSheetId="6" hidden="1">'LP Optimization 1'!$W$23</definedName>
    <definedName name="solver_rhs83" localSheetId="10" hidden="1">'LP Optimization 2'!$W$23</definedName>
    <definedName name="solver_rhs84" localSheetId="6" hidden="1">0</definedName>
    <definedName name="solver_rhs84" localSheetId="10" hidden="1">0</definedName>
    <definedName name="solver_rhs85" localSheetId="6" hidden="1">'LP Optimization 1'!$B$28</definedName>
    <definedName name="solver_rhs85" localSheetId="10" hidden="1">0.498499373807304</definedName>
    <definedName name="solver_rhs86" localSheetId="6" hidden="1">'LP Optimization 1'!$W$11</definedName>
    <definedName name="solver_rhs86" localSheetId="10" hidden="1">'LP Optimization 2'!$O$23</definedName>
    <definedName name="solver_rhs87" localSheetId="6" hidden="1">'LP Optimization 1'!$X$11</definedName>
    <definedName name="solver_rhs87" localSheetId="10" hidden="1">'LP Optimization 2'!$W$23</definedName>
    <definedName name="solver_rhs88" localSheetId="6" hidden="1">'LP Optimization 1'!$AD$11</definedName>
    <definedName name="solver_rhs88" localSheetId="10" hidden="1">0</definedName>
    <definedName name="solver_rhs89" localSheetId="6" hidden="1">'LP Optimization 1'!$AE$11</definedName>
    <definedName name="solver_rhs89" localSheetId="10" hidden="1">'LP Optimization 2'!$G$28</definedName>
    <definedName name="solver_rhs9" localSheetId="6" hidden="1">'LP Optimization 1'!$O$4</definedName>
    <definedName name="solver_rhs9" localSheetId="10" hidden="1">'LP Optimization 2'!$O$4</definedName>
    <definedName name="solver_rhs90" localSheetId="6" hidden="1">'LP Optimization 1'!$AF$11</definedName>
    <definedName name="solver_rhs91" localSheetId="6" hidden="1">'LP Optimization 1'!$N$12</definedName>
    <definedName name="solver_rhs92" localSheetId="6" hidden="1">'LP Optimization 1'!$O$12</definedName>
    <definedName name="solver_rhs93" localSheetId="6" hidden="1">'LP Optimization 1'!$P$12</definedName>
    <definedName name="solver_rhs94" localSheetId="6" hidden="1">'LP Optimization 1'!$V$12</definedName>
    <definedName name="solver_rhs95" localSheetId="6" hidden="1">'LP Optimization 1'!$W$12</definedName>
    <definedName name="solver_rhs96" localSheetId="6" hidden="1">'LP Optimization 1'!$X$12</definedName>
    <definedName name="solver_rhs97" localSheetId="6" hidden="1">'LP Optimization 1'!$AD$12</definedName>
    <definedName name="solver_rhs98" localSheetId="6" hidden="1">'LP Optimization 1'!$AE$12</definedName>
    <definedName name="solver_rhs99" localSheetId="6" hidden="1">'LP Optimization 1'!$AF$12</definedName>
    <definedName name="solver_rlx" localSheetId="6" hidden="1">0</definedName>
    <definedName name="solver_rlx" localSheetId="10" hidden="1">0</definedName>
    <definedName name="solver_rsmp" hidden="1">1</definedName>
    <definedName name="solver_rtr" localSheetId="6" hidden="1">0</definedName>
    <definedName name="solver_rtr" localSheetId="10" hidden="1">0</definedName>
    <definedName name="solver_rxc1" localSheetId="6" hidden="1">1</definedName>
    <definedName name="solver_rxc1" localSheetId="10" hidden="1">1</definedName>
    <definedName name="solver_rxc10" localSheetId="6" hidden="1">1</definedName>
    <definedName name="solver_rxc10" localSheetId="10" hidden="1">1</definedName>
    <definedName name="solver_rxc100" localSheetId="6" hidden="1">1</definedName>
    <definedName name="solver_rxc101" localSheetId="6" hidden="1">1</definedName>
    <definedName name="solver_rxc102" localSheetId="6" hidden="1">1</definedName>
    <definedName name="solver_rxc103" localSheetId="6" hidden="1">1</definedName>
    <definedName name="solver_rxc104" localSheetId="6" hidden="1">1</definedName>
    <definedName name="solver_rxc105" localSheetId="6" hidden="1">1</definedName>
    <definedName name="solver_rxc106" localSheetId="6" hidden="1">1</definedName>
    <definedName name="solver_rxc107" localSheetId="6" hidden="1">1</definedName>
    <definedName name="solver_rxc108" localSheetId="6" hidden="1">1</definedName>
    <definedName name="solver_rxc109" localSheetId="6" hidden="1">1</definedName>
    <definedName name="solver_rxc11" localSheetId="6" hidden="1">1</definedName>
    <definedName name="solver_rxc11" localSheetId="10" hidden="1">1</definedName>
    <definedName name="solver_rxc110" localSheetId="6" hidden="1">1</definedName>
    <definedName name="solver_rxc111" localSheetId="6" hidden="1">1</definedName>
    <definedName name="solver_rxc112" localSheetId="6" hidden="1">1</definedName>
    <definedName name="solver_rxc113" localSheetId="6" hidden="1">1</definedName>
    <definedName name="solver_rxc114" localSheetId="6" hidden="1">1</definedName>
    <definedName name="solver_rxc115" localSheetId="6" hidden="1">1</definedName>
    <definedName name="solver_rxc116" localSheetId="6" hidden="1">1</definedName>
    <definedName name="solver_rxc117" localSheetId="6" hidden="1">1</definedName>
    <definedName name="solver_rxc118" localSheetId="6" hidden="1">1</definedName>
    <definedName name="solver_rxc119" localSheetId="6" hidden="1">1</definedName>
    <definedName name="solver_rxc12" localSheetId="6" hidden="1">1</definedName>
    <definedName name="solver_rxc12" localSheetId="10" hidden="1">1</definedName>
    <definedName name="solver_rxc120" localSheetId="6" hidden="1">1</definedName>
    <definedName name="solver_rxc121" localSheetId="6" hidden="1">1</definedName>
    <definedName name="solver_rxc122" localSheetId="6" hidden="1">1</definedName>
    <definedName name="solver_rxc123" localSheetId="6" hidden="1">1</definedName>
    <definedName name="solver_rxc124" localSheetId="6" hidden="1">1</definedName>
    <definedName name="solver_rxc125" localSheetId="6" hidden="1">1</definedName>
    <definedName name="solver_rxc126" localSheetId="6" hidden="1">1</definedName>
    <definedName name="solver_rxc127" localSheetId="6" hidden="1">1</definedName>
    <definedName name="solver_rxc128" localSheetId="6" hidden="1">1</definedName>
    <definedName name="solver_rxc129" localSheetId="6" hidden="1">1</definedName>
    <definedName name="solver_rxc13" localSheetId="6" hidden="1">1</definedName>
    <definedName name="solver_rxc13" localSheetId="10" hidden="1">1</definedName>
    <definedName name="solver_rxc130" localSheetId="6" hidden="1">1</definedName>
    <definedName name="solver_rxc131" localSheetId="6" hidden="1">1</definedName>
    <definedName name="solver_rxc132" localSheetId="6" hidden="1">1</definedName>
    <definedName name="solver_rxc133" localSheetId="6" hidden="1">1</definedName>
    <definedName name="solver_rxc134" localSheetId="6" hidden="1">1</definedName>
    <definedName name="solver_rxc135" localSheetId="6" hidden="1">1</definedName>
    <definedName name="solver_rxc136" localSheetId="6" hidden="1">1</definedName>
    <definedName name="solver_rxc137" localSheetId="6" hidden="1">1</definedName>
    <definedName name="solver_rxc138" localSheetId="6" hidden="1">1</definedName>
    <definedName name="solver_rxc139" localSheetId="6" hidden="1">1</definedName>
    <definedName name="solver_rxc14" localSheetId="6" hidden="1">1</definedName>
    <definedName name="solver_rxc14" localSheetId="10" hidden="1">1</definedName>
    <definedName name="solver_rxc140" localSheetId="6" hidden="1">1</definedName>
    <definedName name="solver_rxc141" localSheetId="6" hidden="1">1</definedName>
    <definedName name="solver_rxc142" localSheetId="6" hidden="1">1</definedName>
    <definedName name="solver_rxc143" localSheetId="6" hidden="1">1</definedName>
    <definedName name="solver_rxc144" localSheetId="6" hidden="1">1</definedName>
    <definedName name="solver_rxc145" localSheetId="6" hidden="1">1</definedName>
    <definedName name="solver_rxc146" localSheetId="6" hidden="1">1</definedName>
    <definedName name="solver_rxc147" localSheetId="6" hidden="1">1</definedName>
    <definedName name="solver_rxc148" localSheetId="6" hidden="1">1</definedName>
    <definedName name="solver_rxc149" localSheetId="6" hidden="1">1</definedName>
    <definedName name="solver_rxc15" localSheetId="6" hidden="1">1</definedName>
    <definedName name="solver_rxc15" localSheetId="10" hidden="1">1</definedName>
    <definedName name="solver_rxc150" localSheetId="6" hidden="1">1</definedName>
    <definedName name="solver_rxc151" localSheetId="6" hidden="1">1</definedName>
    <definedName name="solver_rxc152" localSheetId="6" hidden="1">1</definedName>
    <definedName name="solver_rxc153" localSheetId="6" hidden="1">1</definedName>
    <definedName name="solver_rxc154" localSheetId="6" hidden="1">1</definedName>
    <definedName name="solver_rxc155" localSheetId="6" hidden="1">1</definedName>
    <definedName name="solver_rxc156" localSheetId="6" hidden="1">1</definedName>
    <definedName name="solver_rxc157" localSheetId="6" hidden="1">1</definedName>
    <definedName name="solver_rxc158" localSheetId="6" hidden="1">1</definedName>
    <definedName name="solver_rxc159" localSheetId="6" hidden="1">1</definedName>
    <definedName name="solver_rxc16" localSheetId="6" hidden="1">1</definedName>
    <definedName name="solver_rxc16" localSheetId="10" hidden="1">1</definedName>
    <definedName name="solver_rxc160" localSheetId="6" hidden="1">1</definedName>
    <definedName name="solver_rxc161" localSheetId="6" hidden="1">1</definedName>
    <definedName name="solver_rxc162" localSheetId="6" hidden="1">1</definedName>
    <definedName name="solver_rxc163" localSheetId="6" hidden="1">1</definedName>
    <definedName name="solver_rxc164" localSheetId="6" hidden="1">1</definedName>
    <definedName name="solver_rxc165" localSheetId="6" hidden="1">1</definedName>
    <definedName name="solver_rxc166" localSheetId="6" hidden="1">1</definedName>
    <definedName name="solver_rxc167" localSheetId="6" hidden="1">1</definedName>
    <definedName name="solver_rxc168" localSheetId="6" hidden="1">1</definedName>
    <definedName name="solver_rxc169" localSheetId="6" hidden="1">1</definedName>
    <definedName name="solver_rxc17" localSheetId="6" hidden="1">1</definedName>
    <definedName name="solver_rxc17" localSheetId="10" hidden="1">1</definedName>
    <definedName name="solver_rxc170" localSheetId="6" hidden="1">1</definedName>
    <definedName name="solver_rxc171" localSheetId="6" hidden="1">1</definedName>
    <definedName name="solver_rxc172" localSheetId="6" hidden="1">1</definedName>
    <definedName name="solver_rxc173" localSheetId="6" hidden="1">1</definedName>
    <definedName name="solver_rxc174" localSheetId="6" hidden="1">1</definedName>
    <definedName name="solver_rxc175" localSheetId="6" hidden="1">1</definedName>
    <definedName name="solver_rxc176" localSheetId="6" hidden="1">1</definedName>
    <definedName name="solver_rxc177" localSheetId="6" hidden="1">1</definedName>
    <definedName name="solver_rxc178" localSheetId="6" hidden="1">1</definedName>
    <definedName name="solver_rxc179" localSheetId="6" hidden="1">1</definedName>
    <definedName name="solver_rxc18" localSheetId="6" hidden="1">1</definedName>
    <definedName name="solver_rxc18" localSheetId="10" hidden="1">1</definedName>
    <definedName name="solver_rxc180" localSheetId="6" hidden="1">1</definedName>
    <definedName name="solver_rxc181" localSheetId="6" hidden="1">1</definedName>
    <definedName name="solver_rxc182" localSheetId="6" hidden="1">1</definedName>
    <definedName name="solver_rxc183" localSheetId="6" hidden="1">1</definedName>
    <definedName name="solver_rxc184" localSheetId="6" hidden="1">1</definedName>
    <definedName name="solver_rxc185" localSheetId="6" hidden="1">1</definedName>
    <definedName name="solver_rxc186" localSheetId="6" hidden="1">1</definedName>
    <definedName name="solver_rxc187" localSheetId="6" hidden="1">1</definedName>
    <definedName name="solver_rxc188" localSheetId="6" hidden="1">1</definedName>
    <definedName name="solver_rxc189" localSheetId="6" hidden="1">1</definedName>
    <definedName name="solver_rxc19" localSheetId="6" hidden="1">1</definedName>
    <definedName name="solver_rxc19" localSheetId="10" hidden="1">1</definedName>
    <definedName name="solver_rxc190" localSheetId="6" hidden="1">1</definedName>
    <definedName name="solver_rxc191" localSheetId="6" hidden="1">1</definedName>
    <definedName name="solver_rxc192" localSheetId="6" hidden="1">1</definedName>
    <definedName name="solver_rxc193" localSheetId="6" hidden="1">1</definedName>
    <definedName name="solver_rxc194" localSheetId="6" hidden="1">1</definedName>
    <definedName name="solver_rxc195" localSheetId="6" hidden="1">1</definedName>
    <definedName name="solver_rxc196" localSheetId="6" hidden="1">1</definedName>
    <definedName name="solver_rxc197" localSheetId="6" hidden="1">1</definedName>
    <definedName name="solver_rxc198" localSheetId="6" hidden="1">1</definedName>
    <definedName name="solver_rxc199" localSheetId="6" hidden="1">1</definedName>
    <definedName name="solver_rxc2" localSheetId="6" hidden="1">1</definedName>
    <definedName name="solver_rxc2" localSheetId="10" hidden="1">1</definedName>
    <definedName name="solver_rxc20" localSheetId="6" hidden="1">1</definedName>
    <definedName name="solver_rxc20" localSheetId="10" hidden="1">1</definedName>
    <definedName name="solver_rxc200" localSheetId="6" hidden="1">1</definedName>
    <definedName name="solver_rxc201" localSheetId="6" hidden="1">1</definedName>
    <definedName name="solver_rxc202" localSheetId="6" hidden="1">1</definedName>
    <definedName name="solver_rxc203" localSheetId="6" hidden="1">1</definedName>
    <definedName name="solver_rxc204" localSheetId="6" hidden="1">1</definedName>
    <definedName name="solver_rxc205" localSheetId="6" hidden="1">1</definedName>
    <definedName name="solver_rxc206" localSheetId="6" hidden="1">1</definedName>
    <definedName name="solver_rxc207" localSheetId="6" hidden="1">1</definedName>
    <definedName name="solver_rxc208" localSheetId="6" hidden="1">1</definedName>
    <definedName name="solver_rxc209" localSheetId="6" hidden="1">1</definedName>
    <definedName name="solver_rxc21" localSheetId="6" hidden="1">1</definedName>
    <definedName name="solver_rxc21" localSheetId="10" hidden="1">1</definedName>
    <definedName name="solver_rxc210" localSheetId="6" hidden="1">1</definedName>
    <definedName name="solver_rxc211" localSheetId="6" hidden="1">1</definedName>
    <definedName name="solver_rxc22" localSheetId="6" hidden="1">1</definedName>
    <definedName name="solver_rxc22" localSheetId="10" hidden="1">1</definedName>
    <definedName name="solver_rxc23" localSheetId="6" hidden="1">1</definedName>
    <definedName name="solver_rxc23" localSheetId="10" hidden="1">1</definedName>
    <definedName name="solver_rxc24" localSheetId="6" hidden="1">1</definedName>
    <definedName name="solver_rxc24" localSheetId="10" hidden="1">1</definedName>
    <definedName name="solver_rxc25" localSheetId="6" hidden="1">1</definedName>
    <definedName name="solver_rxc25" localSheetId="10" hidden="1">1</definedName>
    <definedName name="solver_rxc26" localSheetId="6" hidden="1">1</definedName>
    <definedName name="solver_rxc26" localSheetId="10" hidden="1">1</definedName>
    <definedName name="solver_rxc27" localSheetId="6" hidden="1">1</definedName>
    <definedName name="solver_rxc27" localSheetId="10" hidden="1">1</definedName>
    <definedName name="solver_rxc28" localSheetId="6" hidden="1">1</definedName>
    <definedName name="solver_rxc28" localSheetId="10" hidden="1">1</definedName>
    <definedName name="solver_rxc29" localSheetId="6" hidden="1">1</definedName>
    <definedName name="solver_rxc29" localSheetId="10" hidden="1">1</definedName>
    <definedName name="solver_rxc3" localSheetId="6" hidden="1">1</definedName>
    <definedName name="solver_rxc3" localSheetId="10" hidden="1">1</definedName>
    <definedName name="solver_rxc30" localSheetId="6" hidden="1">1</definedName>
    <definedName name="solver_rxc30" localSheetId="10" hidden="1">1</definedName>
    <definedName name="solver_rxc31" localSheetId="6" hidden="1">1</definedName>
    <definedName name="solver_rxc31" localSheetId="10" hidden="1">1</definedName>
    <definedName name="solver_rxc32" localSheetId="6" hidden="1">1</definedName>
    <definedName name="solver_rxc32" localSheetId="10" hidden="1">1</definedName>
    <definedName name="solver_rxc33" localSheetId="6" hidden="1">1</definedName>
    <definedName name="solver_rxc33" localSheetId="10" hidden="1">1</definedName>
    <definedName name="solver_rxc34" localSheetId="6" hidden="1">1</definedName>
    <definedName name="solver_rxc34" localSheetId="10" hidden="1">1</definedName>
    <definedName name="solver_rxc35" localSheetId="6" hidden="1">1</definedName>
    <definedName name="solver_rxc35" localSheetId="10" hidden="1">1</definedName>
    <definedName name="solver_rxc36" localSheetId="6" hidden="1">1</definedName>
    <definedName name="solver_rxc36" localSheetId="10" hidden="1">1</definedName>
    <definedName name="solver_rxc37" localSheetId="6" hidden="1">1</definedName>
    <definedName name="solver_rxc37" localSheetId="10" hidden="1">1</definedName>
    <definedName name="solver_rxc38" localSheetId="6" hidden="1">1</definedName>
    <definedName name="solver_rxc38" localSheetId="10" hidden="1">1</definedName>
    <definedName name="solver_rxc39" localSheetId="6" hidden="1">1</definedName>
    <definedName name="solver_rxc39" localSheetId="10" hidden="1">1</definedName>
    <definedName name="solver_rxc4" localSheetId="6" hidden="1">1</definedName>
    <definedName name="solver_rxc4" localSheetId="10" hidden="1">1</definedName>
    <definedName name="solver_rxc40" localSheetId="6" hidden="1">1</definedName>
    <definedName name="solver_rxc40" localSheetId="10" hidden="1">1</definedName>
    <definedName name="solver_rxc41" localSheetId="6" hidden="1">1</definedName>
    <definedName name="solver_rxc41" localSheetId="10" hidden="1">1</definedName>
    <definedName name="solver_rxc42" localSheetId="6" hidden="1">1</definedName>
    <definedName name="solver_rxc42" localSheetId="10" hidden="1">1</definedName>
    <definedName name="solver_rxc43" localSheetId="6" hidden="1">1</definedName>
    <definedName name="solver_rxc43" localSheetId="10" hidden="1">1</definedName>
    <definedName name="solver_rxc44" localSheetId="6" hidden="1">1</definedName>
    <definedName name="solver_rxc44" localSheetId="10" hidden="1">1</definedName>
    <definedName name="solver_rxc45" localSheetId="6" hidden="1">1</definedName>
    <definedName name="solver_rxc45" localSheetId="10" hidden="1">1</definedName>
    <definedName name="solver_rxc46" localSheetId="6" hidden="1">1</definedName>
    <definedName name="solver_rxc46" localSheetId="10" hidden="1">1</definedName>
    <definedName name="solver_rxc47" localSheetId="6" hidden="1">1</definedName>
    <definedName name="solver_rxc47" localSheetId="10" hidden="1">1</definedName>
    <definedName name="solver_rxc48" localSheetId="6" hidden="1">1</definedName>
    <definedName name="solver_rxc48" localSheetId="10" hidden="1">1</definedName>
    <definedName name="solver_rxc49" localSheetId="6" hidden="1">1</definedName>
    <definedName name="solver_rxc49" localSheetId="10" hidden="1">1</definedName>
    <definedName name="solver_rxc5" localSheetId="6" hidden="1">1</definedName>
    <definedName name="solver_rxc5" localSheetId="10" hidden="1">1</definedName>
    <definedName name="solver_rxc50" localSheetId="6" hidden="1">1</definedName>
    <definedName name="solver_rxc50" localSheetId="10" hidden="1">1</definedName>
    <definedName name="solver_rxc51" localSheetId="6" hidden="1">1</definedName>
    <definedName name="solver_rxc51" localSheetId="10" hidden="1">1</definedName>
    <definedName name="solver_rxc52" localSheetId="6" hidden="1">1</definedName>
    <definedName name="solver_rxc52" localSheetId="10" hidden="1">1</definedName>
    <definedName name="solver_rxc53" localSheetId="6" hidden="1">1</definedName>
    <definedName name="solver_rxc53" localSheetId="10" hidden="1">1</definedName>
    <definedName name="solver_rxc54" localSheetId="6" hidden="1">1</definedName>
    <definedName name="solver_rxc54" localSheetId="10" hidden="1">1</definedName>
    <definedName name="solver_rxc55" localSheetId="6" hidden="1">1</definedName>
    <definedName name="solver_rxc55" localSheetId="10" hidden="1">1</definedName>
    <definedName name="solver_rxc56" localSheetId="6" hidden="1">1</definedName>
    <definedName name="solver_rxc56" localSheetId="10" hidden="1">1</definedName>
    <definedName name="solver_rxc57" localSheetId="6" hidden="1">1</definedName>
    <definedName name="solver_rxc57" localSheetId="10" hidden="1">1</definedName>
    <definedName name="solver_rxc58" localSheetId="6" hidden="1">1</definedName>
    <definedName name="solver_rxc58" localSheetId="10" hidden="1">1</definedName>
    <definedName name="solver_rxc59" localSheetId="6" hidden="1">1</definedName>
    <definedName name="solver_rxc59" localSheetId="10" hidden="1">1</definedName>
    <definedName name="solver_rxc6" localSheetId="6" hidden="1">1</definedName>
    <definedName name="solver_rxc6" localSheetId="10" hidden="1">1</definedName>
    <definedName name="solver_rxc60" localSheetId="6" hidden="1">1</definedName>
    <definedName name="solver_rxc60" localSheetId="10" hidden="1">1</definedName>
    <definedName name="solver_rxc61" localSheetId="6" hidden="1">1</definedName>
    <definedName name="solver_rxc61" localSheetId="10" hidden="1">1</definedName>
    <definedName name="solver_rxc62" localSheetId="6" hidden="1">1</definedName>
    <definedName name="solver_rxc62" localSheetId="10" hidden="1">1</definedName>
    <definedName name="solver_rxc63" localSheetId="6" hidden="1">1</definedName>
    <definedName name="solver_rxc63" localSheetId="10" hidden="1">1</definedName>
    <definedName name="solver_rxc64" localSheetId="6" hidden="1">1</definedName>
    <definedName name="solver_rxc64" localSheetId="10" hidden="1">1</definedName>
    <definedName name="solver_rxc65" localSheetId="6" hidden="1">1</definedName>
    <definedName name="solver_rxc65" localSheetId="10" hidden="1">1</definedName>
    <definedName name="solver_rxc66" localSheetId="6" hidden="1">1</definedName>
    <definedName name="solver_rxc66" localSheetId="10" hidden="1">1</definedName>
    <definedName name="solver_rxc67" localSheetId="6" hidden="1">1</definedName>
    <definedName name="solver_rxc67" localSheetId="10" hidden="1">1</definedName>
    <definedName name="solver_rxc68" localSheetId="6" hidden="1">1</definedName>
    <definedName name="solver_rxc68" localSheetId="10" hidden="1">1</definedName>
    <definedName name="solver_rxc69" localSheetId="6" hidden="1">1</definedName>
    <definedName name="solver_rxc69" localSheetId="10" hidden="1">1</definedName>
    <definedName name="solver_rxc7" localSheetId="6" hidden="1">1</definedName>
    <definedName name="solver_rxc7" localSheetId="10" hidden="1">1</definedName>
    <definedName name="solver_rxc70" localSheetId="6" hidden="1">1</definedName>
    <definedName name="solver_rxc70" localSheetId="10" hidden="1">1</definedName>
    <definedName name="solver_rxc71" localSheetId="6" hidden="1">1</definedName>
    <definedName name="solver_rxc71" localSheetId="10" hidden="1">1</definedName>
    <definedName name="solver_rxc72" localSheetId="6" hidden="1">1</definedName>
    <definedName name="solver_rxc72" localSheetId="10" hidden="1">1</definedName>
    <definedName name="solver_rxc73" localSheetId="6" hidden="1">1</definedName>
    <definedName name="solver_rxc73" localSheetId="10" hidden="1">1</definedName>
    <definedName name="solver_rxc74" localSheetId="6" hidden="1">1</definedName>
    <definedName name="solver_rxc74" localSheetId="10" hidden="1">1</definedName>
    <definedName name="solver_rxc75" localSheetId="6" hidden="1">1</definedName>
    <definedName name="solver_rxc75" localSheetId="10" hidden="1">1</definedName>
    <definedName name="solver_rxc76" localSheetId="6" hidden="1">1</definedName>
    <definedName name="solver_rxc76" localSheetId="10" hidden="1">1</definedName>
    <definedName name="solver_rxc77" localSheetId="6" hidden="1">1</definedName>
    <definedName name="solver_rxc77" localSheetId="10" hidden="1">1</definedName>
    <definedName name="solver_rxc78" localSheetId="6" hidden="1">1</definedName>
    <definedName name="solver_rxc78" localSheetId="10" hidden="1">1</definedName>
    <definedName name="solver_rxc79" localSheetId="6" hidden="1">1</definedName>
    <definedName name="solver_rxc79" localSheetId="10" hidden="1">1</definedName>
    <definedName name="solver_rxc8" localSheetId="6" hidden="1">1</definedName>
    <definedName name="solver_rxc8" localSheetId="10" hidden="1">1</definedName>
    <definedName name="solver_rxc80" localSheetId="6" hidden="1">1</definedName>
    <definedName name="solver_rxc80" localSheetId="10" hidden="1">1</definedName>
    <definedName name="solver_rxc81" localSheetId="6" hidden="1">1</definedName>
    <definedName name="solver_rxc81" localSheetId="10" hidden="1">1</definedName>
    <definedName name="solver_rxc82" localSheetId="6" hidden="1">1</definedName>
    <definedName name="solver_rxc82" localSheetId="10" hidden="1">1</definedName>
    <definedName name="solver_rxc83" localSheetId="6" hidden="1">1</definedName>
    <definedName name="solver_rxc83" localSheetId="10" hidden="1">1</definedName>
    <definedName name="solver_rxc84" localSheetId="6" hidden="1">1</definedName>
    <definedName name="solver_rxc84" localSheetId="10" hidden="1">1</definedName>
    <definedName name="solver_rxc85" localSheetId="6" hidden="1">1</definedName>
    <definedName name="solver_rxc85" localSheetId="10" hidden="1">1</definedName>
    <definedName name="solver_rxc86" localSheetId="6" hidden="1">1</definedName>
    <definedName name="solver_rxc86" localSheetId="10" hidden="1">1</definedName>
    <definedName name="solver_rxc87" localSheetId="6" hidden="1">1</definedName>
    <definedName name="solver_rxc87" localSheetId="10" hidden="1">1</definedName>
    <definedName name="solver_rxc88" localSheetId="6" hidden="1">1</definedName>
    <definedName name="solver_rxc88" localSheetId="10" hidden="1">1</definedName>
    <definedName name="solver_rxc89" localSheetId="6" hidden="1">1</definedName>
    <definedName name="solver_rxc89" localSheetId="10" hidden="1">1</definedName>
    <definedName name="solver_rxc9" localSheetId="6" hidden="1">1</definedName>
    <definedName name="solver_rxc9" localSheetId="10" hidden="1">1</definedName>
    <definedName name="solver_rxc90" localSheetId="6" hidden="1">1</definedName>
    <definedName name="solver_rxc90" localSheetId="10" hidden="1">1</definedName>
    <definedName name="solver_rxc91" localSheetId="6" hidden="1">1</definedName>
    <definedName name="solver_rxc91" localSheetId="10" hidden="1">1</definedName>
    <definedName name="solver_rxc92" localSheetId="6" hidden="1">1</definedName>
    <definedName name="solver_rxc92" localSheetId="10" hidden="1">1</definedName>
    <definedName name="solver_rxc93" localSheetId="6" hidden="1">1</definedName>
    <definedName name="solver_rxc94" localSheetId="6" hidden="1">1</definedName>
    <definedName name="solver_rxc95" localSheetId="6" hidden="1">1</definedName>
    <definedName name="solver_rxc96" localSheetId="6" hidden="1">1</definedName>
    <definedName name="solver_rxc97" localSheetId="6" hidden="1">1</definedName>
    <definedName name="solver_rxc98" localSheetId="6" hidden="1">1</definedName>
    <definedName name="solver_rxc99" localSheetId="6" hidden="1">1</definedName>
    <definedName name="solver_scl" localSheetId="6" hidden="1">0</definedName>
    <definedName name="solver_scl" localSheetId="10" hidden="1">0</definedName>
    <definedName name="solver_sclt" hidden="1">100</definedName>
    <definedName name="solver_scs" localSheetId="6" hidden="1">0</definedName>
    <definedName name="solver_scs" localSheetId="10" hidden="1">0</definedName>
    <definedName name="solver_seed" hidden="1">0</definedName>
    <definedName name="solver_sel" localSheetId="6" hidden="1">1</definedName>
    <definedName name="solver_sel" localSheetId="10" hidden="1">1</definedName>
    <definedName name="solver_sho" localSheetId="6" hidden="1">0</definedName>
    <definedName name="solver_sho" localSheetId="10" hidden="1">0</definedName>
    <definedName name="solver_slv" localSheetId="6" hidden="1">0</definedName>
    <definedName name="solver_slv" localSheetId="10" hidden="1">0</definedName>
    <definedName name="solver_slv" localSheetId="12" hidden="1">1</definedName>
    <definedName name="solver_slvu" localSheetId="6" hidden="1">0</definedName>
    <definedName name="solver_slvu" localSheetId="10" hidden="1">0</definedName>
    <definedName name="solver_slvu" localSheetId="12" hidden="1">0</definedName>
    <definedName name="solver_soc" localSheetId="6" hidden="1">0</definedName>
    <definedName name="solver_soc" localSheetId="10" hidden="1">0</definedName>
    <definedName name="solver_spid" localSheetId="6" hidden="1">" "</definedName>
    <definedName name="solver_spid" localSheetId="10" hidden="1">" "</definedName>
    <definedName name="solver_spid" localSheetId="12" hidden="1">" "</definedName>
    <definedName name="solver_srvr" localSheetId="6" hidden="1">" "</definedName>
    <definedName name="solver_srvr" localSheetId="10" hidden="1">" "</definedName>
    <definedName name="solver_srvr" localSheetId="12" hidden="1">" "</definedName>
    <definedName name="solver_ssz" localSheetId="6" hidden="1">0</definedName>
    <definedName name="solver_ssz" localSheetId="10" hidden="1">0</definedName>
    <definedName name="solver_sta" localSheetId="6" hidden="1">0</definedName>
    <definedName name="solver_sta" localSheetId="10" hidden="1">0</definedName>
    <definedName name="solver_strm" hidden="1">0</definedName>
    <definedName name="solver_tim" localSheetId="6" hidden="1">100000</definedName>
    <definedName name="solver_tim" localSheetId="10" hidden="1">100000</definedName>
    <definedName name="solver_tms" localSheetId="6" hidden="1">0</definedName>
    <definedName name="solver_tms" localSheetId="10" hidden="1">0</definedName>
    <definedName name="solver_tol" localSheetId="6" hidden="1">0</definedName>
    <definedName name="solver_tol" localSheetId="10" hidden="1">0</definedName>
    <definedName name="solver_tree_a" localSheetId="6" hidden="1">1</definedName>
    <definedName name="solver_tree_a" localSheetId="10" hidden="1">1</definedName>
    <definedName name="solver_tree_b" localSheetId="6" hidden="1">1</definedName>
    <definedName name="solver_tree_b" localSheetId="10" hidden="1">1</definedName>
    <definedName name="solver_tree_ce" localSheetId="6" hidden="1">1</definedName>
    <definedName name="solver_tree_ce" localSheetId="10" hidden="1">1</definedName>
    <definedName name="solver_tree_dn" localSheetId="6" hidden="1">1</definedName>
    <definedName name="solver_tree_dn" localSheetId="10" hidden="1">1</definedName>
    <definedName name="solver_tree_rt" localSheetId="6" hidden="1">1000000000000</definedName>
    <definedName name="solver_tree_rt" localSheetId="10" hidden="1">1000000000000</definedName>
    <definedName name="solver_typ" localSheetId="6" hidden="1">1</definedName>
    <definedName name="solver_typ" localSheetId="10" hidden="1">2</definedName>
    <definedName name="solver_typ" localSheetId="18" hidden="1">2</definedName>
    <definedName name="solver_typ" localSheetId="17" hidden="1">1</definedName>
    <definedName name="solver_ubigm" localSheetId="6" hidden="1">1000000</definedName>
    <definedName name="solver_ubigm" localSheetId="10" hidden="1">1000000</definedName>
    <definedName name="solver_ucens" hidden="1">1E+30</definedName>
    <definedName name="solver_ucut" hidden="1">1E+30</definedName>
    <definedName name="solver_ufp" localSheetId="10" hidden="1">1</definedName>
    <definedName name="solver_umod" localSheetId="6" hidden="1">3</definedName>
    <definedName name="solver_umod" localSheetId="10" hidden="1">3</definedName>
    <definedName name="solver_urs" localSheetId="6" hidden="1">0</definedName>
    <definedName name="solver_urs" localSheetId="10" hidden="1">0</definedName>
    <definedName name="solver_urs" localSheetId="12" hidden="1">0</definedName>
    <definedName name="solver_userid" localSheetId="6" hidden="1">248746</definedName>
    <definedName name="solver_userid" localSheetId="10" hidden="1">248746</definedName>
    <definedName name="solver_userid" localSheetId="17" hidden="1">352527</definedName>
    <definedName name="solver_val" localSheetId="17" hidden="1">0</definedName>
    <definedName name="solver_var" localSheetId="6" hidden="1">" "</definedName>
    <definedName name="solver_var" localSheetId="10" hidden="1">" "</definedName>
    <definedName name="solver_ver" localSheetId="6" hidden="1">16</definedName>
    <definedName name="solver_ver" localSheetId="10" hidden="1">16</definedName>
    <definedName name="solver_ver" localSheetId="18" hidden="1">16</definedName>
    <definedName name="solver_ver" localSheetId="12" hidden="1">16</definedName>
    <definedName name="solver_ver" localSheetId="17" hidden="1">3</definedName>
    <definedName name="solver_vol" localSheetId="6" hidden="1">0</definedName>
    <definedName name="solver_vol" localSheetId="10" hidden="1">0</definedName>
  </definedNames>
  <calcPr calcId="162913"/>
  <extLst>
    <ext xmlns:x15="http://schemas.microsoft.com/office/spreadsheetml/2010/11/main" uri="{FCE2AD5D-F65C-4FA6-A056-5C36A1767C68}">
      <x15:dataModel>
        <x15:modelTables>
          <x15:modelTable id="Range-06a8a625-634b-453a-8a18-02cdb0e1a87a" name="Range" connection="WorksheetConnection_Sheet2!$A$2:$B$24"/>
        </x15:modelTables>
      </x15:dataModel>
    </ext>
  </extLst>
</workbook>
</file>

<file path=xl/calcChain.xml><?xml version="1.0" encoding="utf-8"?>
<calcChain xmlns="http://schemas.openxmlformats.org/spreadsheetml/2006/main">
  <c r="D24" i="4" l="1"/>
  <c r="AC23" i="4"/>
  <c r="U23" i="4"/>
  <c r="M23" i="4"/>
  <c r="AC22" i="4"/>
  <c r="U22" i="4"/>
  <c r="M22" i="4"/>
  <c r="AC21" i="4"/>
  <c r="U21" i="4"/>
  <c r="M21" i="4"/>
  <c r="AC20" i="4"/>
  <c r="U20" i="4"/>
  <c r="M20" i="4"/>
  <c r="AC19" i="4"/>
  <c r="U19" i="4"/>
  <c r="M19" i="4"/>
  <c r="AC18" i="4"/>
  <c r="U18" i="4"/>
  <c r="M18" i="4"/>
  <c r="AC17" i="4"/>
  <c r="U17" i="4"/>
  <c r="M17" i="4"/>
  <c r="AC16" i="4"/>
  <c r="U16" i="4"/>
  <c r="M16" i="4"/>
  <c r="AC15" i="4"/>
  <c r="U15" i="4"/>
  <c r="M15" i="4"/>
  <c r="AC14" i="4"/>
  <c r="U14" i="4"/>
  <c r="M14" i="4"/>
  <c r="AC13" i="4"/>
  <c r="U13" i="4"/>
  <c r="M13" i="4"/>
  <c r="AC12" i="4"/>
  <c r="U12" i="4"/>
  <c r="M12" i="4"/>
  <c r="AC11" i="4"/>
  <c r="U11" i="4"/>
  <c r="M11" i="4"/>
  <c r="AC10" i="4"/>
  <c r="U10" i="4"/>
  <c r="M10" i="4"/>
  <c r="AC9" i="4"/>
  <c r="U9" i="4"/>
  <c r="M9" i="4"/>
  <c r="AC8" i="4"/>
  <c r="U8" i="4"/>
  <c r="M8" i="4"/>
  <c r="AC7" i="4"/>
  <c r="U7" i="4"/>
  <c r="M7" i="4"/>
  <c r="AC6" i="4"/>
  <c r="U6" i="4"/>
  <c r="M6" i="4"/>
  <c r="AC5" i="4"/>
  <c r="U5" i="4"/>
  <c r="M5" i="4"/>
  <c r="AC4" i="4"/>
  <c r="U4" i="4"/>
  <c r="M4" i="4"/>
  <c r="AC3" i="4"/>
  <c r="U3" i="4"/>
  <c r="M3" i="4"/>
  <c r="AC2" i="4"/>
  <c r="U2" i="4"/>
  <c r="M2" i="4"/>
  <c r="A34" i="31" l="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46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24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46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25" i="21"/>
  <c r="G26" i="21"/>
  <c r="G27" i="21"/>
  <c r="G24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" i="21"/>
  <c r="G2" i="7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46" i="21"/>
  <c r="F4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25" i="21"/>
  <c r="F24" i="21"/>
  <c r="G3" i="24" l="1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" i="24"/>
  <c r="F28" i="24" l="1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" i="24"/>
  <c r="E2" i="4"/>
  <c r="F2" i="4"/>
  <c r="G24" i="7" s="1"/>
  <c r="G2" i="4"/>
  <c r="E3" i="4"/>
  <c r="F3" i="4"/>
  <c r="G3" i="4"/>
  <c r="E4" i="4"/>
  <c r="F4" i="4"/>
  <c r="G4" i="4"/>
  <c r="E5" i="4"/>
  <c r="F5" i="4"/>
  <c r="G5" i="4"/>
  <c r="E6" i="4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E18" i="4"/>
  <c r="F18" i="4"/>
  <c r="G18" i="4"/>
  <c r="E19" i="4"/>
  <c r="F19" i="4"/>
  <c r="G19" i="4"/>
  <c r="E20" i="4"/>
  <c r="F20" i="4"/>
  <c r="G20" i="4"/>
  <c r="E21" i="4"/>
  <c r="F21" i="4"/>
  <c r="G21" i="4"/>
  <c r="E22" i="4"/>
  <c r="F22" i="4"/>
  <c r="G22" i="4"/>
  <c r="E23" i="4"/>
  <c r="F23" i="4"/>
  <c r="G23" i="4"/>
  <c r="AI3" i="24" l="1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" i="24"/>
  <c r="AH3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" i="24"/>
  <c r="AG3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" i="24"/>
  <c r="AH24" i="24" l="1"/>
  <c r="AG24" i="24"/>
  <c r="AI24" i="24"/>
  <c r="D24" i="24"/>
  <c r="AI25" i="24" l="1"/>
  <c r="AB24" i="24"/>
  <c r="T24" i="24"/>
  <c r="L24" i="24"/>
  <c r="AC23" i="24"/>
  <c r="U23" i="24"/>
  <c r="M23" i="24"/>
  <c r="H23" i="24"/>
  <c r="C23" i="24"/>
  <c r="B23" i="24"/>
  <c r="A23" i="24"/>
  <c r="AC22" i="24"/>
  <c r="U22" i="24"/>
  <c r="M22" i="24"/>
  <c r="H22" i="24"/>
  <c r="C22" i="24"/>
  <c r="B22" i="24"/>
  <c r="A22" i="24"/>
  <c r="AC21" i="24"/>
  <c r="U21" i="24"/>
  <c r="M21" i="24"/>
  <c r="H21" i="24"/>
  <c r="C21" i="24"/>
  <c r="B21" i="24"/>
  <c r="A21" i="24"/>
  <c r="AC20" i="24"/>
  <c r="U20" i="24"/>
  <c r="M20" i="24"/>
  <c r="H20" i="24"/>
  <c r="C20" i="24"/>
  <c r="B20" i="24"/>
  <c r="A20" i="24"/>
  <c r="AC19" i="24"/>
  <c r="U19" i="24"/>
  <c r="M19" i="24"/>
  <c r="H19" i="24"/>
  <c r="C19" i="24"/>
  <c r="B19" i="24"/>
  <c r="A19" i="24"/>
  <c r="AC18" i="24"/>
  <c r="U18" i="24"/>
  <c r="M18" i="24"/>
  <c r="H18" i="24"/>
  <c r="C18" i="24"/>
  <c r="B18" i="24"/>
  <c r="A18" i="24"/>
  <c r="AC17" i="24"/>
  <c r="U17" i="24"/>
  <c r="M17" i="24"/>
  <c r="H17" i="24"/>
  <c r="C17" i="24"/>
  <c r="B17" i="24"/>
  <c r="A17" i="24"/>
  <c r="AC16" i="24"/>
  <c r="U16" i="24"/>
  <c r="M16" i="24"/>
  <c r="H16" i="24"/>
  <c r="C16" i="24"/>
  <c r="B16" i="24"/>
  <c r="A16" i="24"/>
  <c r="AC15" i="24"/>
  <c r="U15" i="24"/>
  <c r="M15" i="24"/>
  <c r="H15" i="24"/>
  <c r="C15" i="24"/>
  <c r="B15" i="24"/>
  <c r="A15" i="24"/>
  <c r="AC14" i="24"/>
  <c r="U14" i="24"/>
  <c r="M14" i="24"/>
  <c r="H14" i="24"/>
  <c r="C14" i="24"/>
  <c r="B14" i="24"/>
  <c r="A14" i="24"/>
  <c r="AC13" i="24"/>
  <c r="U13" i="24"/>
  <c r="M13" i="24"/>
  <c r="H13" i="24"/>
  <c r="C13" i="24"/>
  <c r="B13" i="24"/>
  <c r="A13" i="24"/>
  <c r="AC12" i="24"/>
  <c r="U12" i="24"/>
  <c r="M12" i="24"/>
  <c r="H12" i="24"/>
  <c r="C12" i="24"/>
  <c r="B12" i="24"/>
  <c r="A12" i="24"/>
  <c r="AC11" i="24"/>
  <c r="U11" i="24"/>
  <c r="M11" i="24"/>
  <c r="H11" i="24"/>
  <c r="C11" i="24"/>
  <c r="B11" i="24"/>
  <c r="A11" i="24"/>
  <c r="AC10" i="24"/>
  <c r="U10" i="24"/>
  <c r="M10" i="24"/>
  <c r="H10" i="24"/>
  <c r="C10" i="24"/>
  <c r="B10" i="24"/>
  <c r="A10" i="24"/>
  <c r="AC9" i="24"/>
  <c r="U9" i="24"/>
  <c r="M9" i="24"/>
  <c r="H9" i="24"/>
  <c r="C9" i="24"/>
  <c r="B9" i="24"/>
  <c r="A9" i="24"/>
  <c r="AC8" i="24"/>
  <c r="U8" i="24"/>
  <c r="M8" i="24"/>
  <c r="H8" i="24"/>
  <c r="C8" i="24"/>
  <c r="B8" i="24"/>
  <c r="A8" i="24"/>
  <c r="AC7" i="24"/>
  <c r="U7" i="24"/>
  <c r="M7" i="24"/>
  <c r="H7" i="24"/>
  <c r="C7" i="24"/>
  <c r="B7" i="24"/>
  <c r="A7" i="24"/>
  <c r="AC6" i="24"/>
  <c r="U6" i="24"/>
  <c r="M6" i="24"/>
  <c r="H6" i="24"/>
  <c r="C6" i="24"/>
  <c r="B6" i="24"/>
  <c r="A6" i="24"/>
  <c r="AC5" i="24"/>
  <c r="U5" i="24"/>
  <c r="M5" i="24"/>
  <c r="H5" i="24"/>
  <c r="C5" i="24"/>
  <c r="B5" i="24"/>
  <c r="A5" i="24"/>
  <c r="AC4" i="24"/>
  <c r="U4" i="24"/>
  <c r="M4" i="24"/>
  <c r="H4" i="24"/>
  <c r="C4" i="24"/>
  <c r="B4" i="24"/>
  <c r="A4" i="24"/>
  <c r="AC3" i="24"/>
  <c r="U3" i="24"/>
  <c r="M3" i="24"/>
  <c r="H3" i="24"/>
  <c r="C3" i="24"/>
  <c r="B3" i="24"/>
  <c r="A3" i="24"/>
  <c r="AC2" i="24"/>
  <c r="U2" i="24"/>
  <c r="M2" i="24"/>
  <c r="H2" i="24"/>
  <c r="C2" i="24"/>
  <c r="B2" i="24"/>
  <c r="A2" i="24"/>
  <c r="H24" i="24" l="1"/>
  <c r="AC24" i="24"/>
  <c r="M24" i="24"/>
  <c r="U24" i="24"/>
  <c r="F24" i="24" l="1"/>
  <c r="G24" i="24"/>
  <c r="E24" i="24"/>
  <c r="G25" i="24" l="1"/>
  <c r="H25" i="24" s="1"/>
  <c r="H28" i="24"/>
  <c r="F47" i="7" l="1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46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24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3" i="7"/>
  <c r="F2" i="7"/>
  <c r="AB24" i="4"/>
  <c r="T24" i="4"/>
  <c r="J28" i="2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3" i="4"/>
  <c r="B2" i="4"/>
  <c r="A3" i="31" l="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2" i="31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2" i="19"/>
  <c r="AB26" i="24" l="1"/>
  <c r="D28" i="24"/>
  <c r="B23" i="30"/>
  <c r="A23" i="30"/>
  <c r="B22" i="30"/>
  <c r="A22" i="30"/>
  <c r="B21" i="30"/>
  <c r="A21" i="30"/>
  <c r="B20" i="30"/>
  <c r="A20" i="30"/>
  <c r="B19" i="30"/>
  <c r="A19" i="30"/>
  <c r="B18" i="30"/>
  <c r="A18" i="30"/>
  <c r="B17" i="30"/>
  <c r="A17" i="30"/>
  <c r="B16" i="30"/>
  <c r="A16" i="30"/>
  <c r="B15" i="30"/>
  <c r="A15" i="30"/>
  <c r="B14" i="30"/>
  <c r="A14" i="30"/>
  <c r="B13" i="30"/>
  <c r="A13" i="30"/>
  <c r="B12" i="30"/>
  <c r="A12" i="30"/>
  <c r="B11" i="30"/>
  <c r="A11" i="30"/>
  <c r="B10" i="30"/>
  <c r="A10" i="30"/>
  <c r="B9" i="30"/>
  <c r="A9" i="30"/>
  <c r="B8" i="30"/>
  <c r="A8" i="30"/>
  <c r="B7" i="30"/>
  <c r="A7" i="30"/>
  <c r="B6" i="30"/>
  <c r="A6" i="30"/>
  <c r="B5" i="30"/>
  <c r="A5" i="30"/>
  <c r="B4" i="30"/>
  <c r="A4" i="30"/>
  <c r="B3" i="30"/>
  <c r="A3" i="30"/>
  <c r="B2" i="30"/>
  <c r="A2" i="30"/>
  <c r="F15" i="14" l="1"/>
  <c r="F14" i="14"/>
  <c r="F13" i="14"/>
  <c r="K76" i="3" l="1"/>
  <c r="K74" i="3"/>
  <c r="G70" i="3"/>
  <c r="G64" i="3"/>
  <c r="G73" i="3" s="1"/>
  <c r="F63" i="3"/>
  <c r="E63" i="3"/>
  <c r="D63" i="3"/>
  <c r="C63" i="3"/>
  <c r="B63" i="3"/>
  <c r="G58" i="3" s="1"/>
  <c r="AI62" i="3"/>
  <c r="AG62" i="3"/>
  <c r="AH62" i="3" s="1"/>
  <c r="E62" i="3"/>
  <c r="E64" i="3" s="1"/>
  <c r="D62" i="3"/>
  <c r="D64" i="3" s="1"/>
  <c r="C62" i="3"/>
  <c r="B62" i="3"/>
  <c r="F58" i="3" s="1"/>
  <c r="AI61" i="3"/>
  <c r="AG61" i="3"/>
  <c r="AH61" i="3" s="1"/>
  <c r="D61" i="3"/>
  <c r="C61" i="3"/>
  <c r="B61" i="3"/>
  <c r="E58" i="3" s="1"/>
  <c r="AI60" i="3"/>
  <c r="C60" i="3"/>
  <c r="B60" i="3"/>
  <c r="AI59" i="3"/>
  <c r="B59" i="3"/>
  <c r="AI58" i="3"/>
  <c r="D58" i="3"/>
  <c r="AF55" i="3"/>
  <c r="AB55" i="3"/>
  <c r="C55" i="3"/>
  <c r="AF54" i="3"/>
  <c r="AB54" i="3"/>
  <c r="C54" i="3"/>
  <c r="AF53" i="3"/>
  <c r="AB53" i="3"/>
  <c r="C53" i="3"/>
  <c r="AF52" i="3"/>
  <c r="AB52" i="3"/>
  <c r="C52" i="3"/>
  <c r="AF51" i="3"/>
  <c r="AB51" i="3"/>
  <c r="C51" i="3"/>
  <c r="AF50" i="3"/>
  <c r="AB50" i="3"/>
  <c r="C50" i="3"/>
  <c r="AF49" i="3"/>
  <c r="AB49" i="3"/>
  <c r="C49" i="3"/>
  <c r="AF48" i="3"/>
  <c r="AB48" i="3"/>
  <c r="C48" i="3"/>
  <c r="AF47" i="3"/>
  <c r="AB47" i="3"/>
  <c r="C47" i="3"/>
  <c r="AF46" i="3"/>
  <c r="AB46" i="3"/>
  <c r="C46" i="3"/>
  <c r="AF45" i="3"/>
  <c r="AB45" i="3"/>
  <c r="C45" i="3"/>
  <c r="AF44" i="3"/>
  <c r="AB44" i="3"/>
  <c r="C44" i="3"/>
  <c r="AF43" i="3"/>
  <c r="AB43" i="3"/>
  <c r="C43" i="3"/>
  <c r="AF42" i="3"/>
  <c r="AB42" i="3"/>
  <c r="C42" i="3"/>
  <c r="AF41" i="3"/>
  <c r="AB41" i="3"/>
  <c r="C41" i="3"/>
  <c r="AF40" i="3"/>
  <c r="AB40" i="3"/>
  <c r="C40" i="3"/>
  <c r="AF39" i="3"/>
  <c r="AB39" i="3"/>
  <c r="C39" i="3"/>
  <c r="AF38" i="3"/>
  <c r="AB38" i="3"/>
  <c r="C38" i="3"/>
  <c r="AF37" i="3"/>
  <c r="AB37" i="3"/>
  <c r="C37" i="3"/>
  <c r="AF36" i="3"/>
  <c r="AB36" i="3"/>
  <c r="C36" i="3"/>
  <c r="AF35" i="3"/>
  <c r="AB35" i="3"/>
  <c r="C35" i="3"/>
  <c r="AF34" i="3"/>
  <c r="AB34" i="3"/>
  <c r="C34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Y29" i="3"/>
  <c r="Y47" i="3" s="1"/>
  <c r="Z28" i="3"/>
  <c r="X28" i="3"/>
  <c r="X29" i="3" s="1"/>
  <c r="X37" i="3" s="1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Z27" i="3"/>
  <c r="W27" i="3"/>
  <c r="W29" i="3" s="1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Z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Z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Z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Z23" i="3"/>
  <c r="S23" i="3"/>
  <c r="S29" i="3" s="1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Z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Z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Z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Z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Z18" i="3"/>
  <c r="N18" i="3"/>
  <c r="M18" i="3"/>
  <c r="L18" i="3"/>
  <c r="K18" i="3"/>
  <c r="J18" i="3"/>
  <c r="I18" i="3"/>
  <c r="H18" i="3"/>
  <c r="G18" i="3"/>
  <c r="F18" i="3"/>
  <c r="E18" i="3"/>
  <c r="D18" i="3"/>
  <c r="C18" i="3"/>
  <c r="Z17" i="3"/>
  <c r="M17" i="3"/>
  <c r="L17" i="3"/>
  <c r="K17" i="3"/>
  <c r="J17" i="3"/>
  <c r="I17" i="3"/>
  <c r="H17" i="3"/>
  <c r="G17" i="3"/>
  <c r="F17" i="3"/>
  <c r="E17" i="3"/>
  <c r="D17" i="3"/>
  <c r="C17" i="3"/>
  <c r="Z16" i="3"/>
  <c r="L16" i="3"/>
  <c r="K16" i="3"/>
  <c r="J16" i="3"/>
  <c r="I16" i="3"/>
  <c r="H16" i="3"/>
  <c r="G16" i="3"/>
  <c r="F16" i="3"/>
  <c r="E16" i="3"/>
  <c r="D16" i="3"/>
  <c r="C16" i="3"/>
  <c r="Z15" i="3"/>
  <c r="K15" i="3"/>
  <c r="J15" i="3"/>
  <c r="I15" i="3"/>
  <c r="H15" i="3"/>
  <c r="G15" i="3"/>
  <c r="F15" i="3"/>
  <c r="E15" i="3"/>
  <c r="D15" i="3"/>
  <c r="C15" i="3"/>
  <c r="Z14" i="3"/>
  <c r="J14" i="3"/>
  <c r="I14" i="3"/>
  <c r="H14" i="3"/>
  <c r="G14" i="3"/>
  <c r="F14" i="3"/>
  <c r="E14" i="3"/>
  <c r="D14" i="3"/>
  <c r="C14" i="3"/>
  <c r="Z13" i="3"/>
  <c r="I13" i="3"/>
  <c r="H13" i="3"/>
  <c r="G13" i="3"/>
  <c r="F13" i="3"/>
  <c r="E13" i="3"/>
  <c r="D13" i="3"/>
  <c r="C13" i="3"/>
  <c r="Z12" i="3"/>
  <c r="H12" i="3"/>
  <c r="G12" i="3"/>
  <c r="F12" i="3"/>
  <c r="E12" i="3"/>
  <c r="D12" i="3"/>
  <c r="C12" i="3"/>
  <c r="Z11" i="3"/>
  <c r="G11" i="3"/>
  <c r="F11" i="3"/>
  <c r="E11" i="3"/>
  <c r="D11" i="3"/>
  <c r="C11" i="3"/>
  <c r="Z10" i="3"/>
  <c r="F10" i="3"/>
  <c r="E10" i="3"/>
  <c r="D10" i="3"/>
  <c r="C10" i="3"/>
  <c r="Z9" i="3"/>
  <c r="E9" i="3"/>
  <c r="D9" i="3"/>
  <c r="C9" i="3"/>
  <c r="Z8" i="3"/>
  <c r="D8" i="3"/>
  <c r="C8" i="3"/>
  <c r="Z7" i="3"/>
  <c r="C7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3" i="21"/>
  <c r="F4" i="21"/>
  <c r="F5" i="21"/>
  <c r="F6" i="21"/>
  <c r="F7" i="21"/>
  <c r="F8" i="21"/>
  <c r="F9" i="21"/>
  <c r="F10" i="21"/>
  <c r="F2" i="21"/>
  <c r="AG59" i="3"/>
  <c r="AG60" i="3"/>
  <c r="AG58" i="3"/>
  <c r="Y41" i="3" l="1"/>
  <c r="Y45" i="3"/>
  <c r="Y43" i="3"/>
  <c r="Y34" i="3"/>
  <c r="Y35" i="3"/>
  <c r="Y36" i="3"/>
  <c r="Y37" i="3"/>
  <c r="Y38" i="3"/>
  <c r="Y39" i="3"/>
  <c r="D29" i="3"/>
  <c r="D34" i="3" s="1"/>
  <c r="AH58" i="3"/>
  <c r="AJ58" i="3" s="1"/>
  <c r="AH59" i="3"/>
  <c r="AJ59" i="3" s="1"/>
  <c r="AH60" i="3"/>
  <c r="AJ60" i="3" s="1"/>
  <c r="D37" i="3"/>
  <c r="W53" i="3"/>
  <c r="W51" i="3"/>
  <c r="W49" i="3"/>
  <c r="W52" i="3"/>
  <c r="W47" i="3"/>
  <c r="W46" i="3"/>
  <c r="W45" i="3"/>
  <c r="W43" i="3"/>
  <c r="W41" i="3"/>
  <c r="W48" i="3"/>
  <c r="W50" i="3"/>
  <c r="W39" i="3"/>
  <c r="W37" i="3"/>
  <c r="W36" i="3"/>
  <c r="W44" i="3"/>
  <c r="W42" i="3"/>
  <c r="W40" i="3"/>
  <c r="W38" i="3"/>
  <c r="W35" i="3"/>
  <c r="W34" i="3"/>
  <c r="P29" i="3"/>
  <c r="P53" i="3" s="1"/>
  <c r="S47" i="3"/>
  <c r="S46" i="3"/>
  <c r="S49" i="3"/>
  <c r="S48" i="3"/>
  <c r="S45" i="3"/>
  <c r="S43" i="3"/>
  <c r="S41" i="3"/>
  <c r="S38" i="3"/>
  <c r="S34" i="3"/>
  <c r="S42" i="3"/>
  <c r="S51" i="3"/>
  <c r="D53" i="3"/>
  <c r="S54" i="3"/>
  <c r="S35" i="3"/>
  <c r="D36" i="3"/>
  <c r="J29" i="3"/>
  <c r="J49" i="3" s="1"/>
  <c r="W54" i="3"/>
  <c r="L29" i="3"/>
  <c r="L45" i="3" s="1"/>
  <c r="S36" i="3"/>
  <c r="E29" i="3"/>
  <c r="E41" i="3" s="1"/>
  <c r="D38" i="3"/>
  <c r="M29" i="3"/>
  <c r="M50" i="3" s="1"/>
  <c r="M45" i="3"/>
  <c r="D46" i="3"/>
  <c r="P51" i="3"/>
  <c r="T29" i="3"/>
  <c r="T53" i="3" s="1"/>
  <c r="U29" i="3"/>
  <c r="U54" i="3" s="1"/>
  <c r="P54" i="3"/>
  <c r="N29" i="3"/>
  <c r="N46" i="3" s="1"/>
  <c r="X53" i="3"/>
  <c r="X51" i="3"/>
  <c r="X54" i="3"/>
  <c r="X52" i="3"/>
  <c r="X50" i="3"/>
  <c r="X48" i="3"/>
  <c r="X46" i="3"/>
  <c r="X47" i="3"/>
  <c r="X45" i="3"/>
  <c r="X43" i="3"/>
  <c r="X41" i="3"/>
  <c r="X39" i="3"/>
  <c r="X49" i="3"/>
  <c r="X44" i="3"/>
  <c r="X42" i="3"/>
  <c r="X40" i="3"/>
  <c r="X38" i="3"/>
  <c r="X36" i="3"/>
  <c r="X34" i="3"/>
  <c r="X35" i="3"/>
  <c r="S40" i="3"/>
  <c r="S44" i="3"/>
  <c r="I29" i="3"/>
  <c r="I41" i="3" s="1"/>
  <c r="H29" i="3"/>
  <c r="H53" i="3" s="1"/>
  <c r="S39" i="3"/>
  <c r="O29" i="3"/>
  <c r="O52" i="3" s="1"/>
  <c r="M47" i="3"/>
  <c r="N49" i="3"/>
  <c r="P52" i="3"/>
  <c r="F29" i="3"/>
  <c r="F46" i="3" s="1"/>
  <c r="K29" i="3"/>
  <c r="K46" i="3" s="1"/>
  <c r="G29" i="3"/>
  <c r="G55" i="3" s="1"/>
  <c r="R29" i="3"/>
  <c r="R52" i="3" s="1"/>
  <c r="S37" i="3"/>
  <c r="D70" i="3"/>
  <c r="D69" i="3"/>
  <c r="P48" i="3"/>
  <c r="S50" i="3"/>
  <c r="M51" i="3"/>
  <c r="N53" i="3"/>
  <c r="S55" i="3"/>
  <c r="W55" i="3"/>
  <c r="C64" i="3"/>
  <c r="C72" i="3" s="1"/>
  <c r="E71" i="3"/>
  <c r="E70" i="3"/>
  <c r="E69" i="3"/>
  <c r="E72" i="3"/>
  <c r="Q29" i="3"/>
  <c r="Q54" i="3" s="1"/>
  <c r="M49" i="3"/>
  <c r="P50" i="3"/>
  <c r="S52" i="3"/>
  <c r="S53" i="3"/>
  <c r="N54" i="3"/>
  <c r="X55" i="3"/>
  <c r="V29" i="3"/>
  <c r="V55" i="3" s="1"/>
  <c r="C58" i="3"/>
  <c r="D73" i="3"/>
  <c r="Y54" i="3"/>
  <c r="Y52" i="3"/>
  <c r="Y50" i="3"/>
  <c r="Y51" i="3"/>
  <c r="Y53" i="3"/>
  <c r="Y55" i="3"/>
  <c r="D71" i="3"/>
  <c r="Y40" i="3"/>
  <c r="Y42" i="3"/>
  <c r="Y44" i="3"/>
  <c r="Y48" i="3"/>
  <c r="Y49" i="3"/>
  <c r="AJ62" i="3"/>
  <c r="Y46" i="3"/>
  <c r="AJ61" i="3"/>
  <c r="D72" i="3"/>
  <c r="E73" i="3"/>
  <c r="G71" i="3"/>
  <c r="F64" i="3"/>
  <c r="G72" i="3"/>
  <c r="G69" i="3"/>
  <c r="V54" i="3" l="1"/>
  <c r="Y56" i="3"/>
  <c r="R54" i="3"/>
  <c r="R51" i="3"/>
  <c r="T54" i="3"/>
  <c r="R53" i="3"/>
  <c r="R50" i="3"/>
  <c r="P55" i="3"/>
  <c r="P49" i="3"/>
  <c r="O55" i="3"/>
  <c r="O50" i="3"/>
  <c r="O54" i="3"/>
  <c r="O46" i="3"/>
  <c r="O53" i="3"/>
  <c r="M53" i="3"/>
  <c r="N51" i="3"/>
  <c r="M48" i="3"/>
  <c r="M46" i="3"/>
  <c r="N55" i="3"/>
  <c r="M44" i="3"/>
  <c r="M54" i="3"/>
  <c r="N52" i="3"/>
  <c r="N45" i="3"/>
  <c r="M52" i="3"/>
  <c r="L49" i="3"/>
  <c r="L50" i="3"/>
  <c r="L48" i="3"/>
  <c r="L46" i="3"/>
  <c r="L52" i="3"/>
  <c r="L55" i="3"/>
  <c r="L43" i="3"/>
  <c r="L54" i="3"/>
  <c r="F54" i="3"/>
  <c r="F53" i="3"/>
  <c r="F44" i="3"/>
  <c r="F49" i="3"/>
  <c r="F51" i="3"/>
  <c r="F52" i="3"/>
  <c r="L53" i="3"/>
  <c r="D47" i="3"/>
  <c r="K52" i="3"/>
  <c r="K50" i="3"/>
  <c r="D50" i="3"/>
  <c r="D40" i="3"/>
  <c r="D43" i="3"/>
  <c r="D44" i="3"/>
  <c r="D39" i="3"/>
  <c r="D54" i="3"/>
  <c r="D55" i="3"/>
  <c r="D48" i="3"/>
  <c r="D35" i="3"/>
  <c r="D52" i="3"/>
  <c r="D49" i="3"/>
  <c r="I46" i="3"/>
  <c r="D41" i="3"/>
  <c r="I44" i="3"/>
  <c r="D45" i="3"/>
  <c r="D42" i="3"/>
  <c r="D51" i="3"/>
  <c r="F45" i="3"/>
  <c r="F40" i="3"/>
  <c r="C73" i="3"/>
  <c r="C71" i="3"/>
  <c r="H46" i="3"/>
  <c r="Q49" i="3"/>
  <c r="I54" i="3"/>
  <c r="I51" i="3"/>
  <c r="E46" i="3"/>
  <c r="J44" i="3"/>
  <c r="H41" i="3"/>
  <c r="E55" i="3"/>
  <c r="E42" i="3"/>
  <c r="Q48" i="3"/>
  <c r="I40" i="3"/>
  <c r="U53" i="3"/>
  <c r="U52" i="3"/>
  <c r="T51" i="3"/>
  <c r="J50" i="3"/>
  <c r="E44" i="3"/>
  <c r="K54" i="3"/>
  <c r="J48" i="3"/>
  <c r="J41" i="3"/>
  <c r="J43" i="3"/>
  <c r="E54" i="3"/>
  <c r="J53" i="3"/>
  <c r="J52" i="3"/>
  <c r="E51" i="3"/>
  <c r="H49" i="3"/>
  <c r="H48" i="3"/>
  <c r="I50" i="3"/>
  <c r="J46" i="3"/>
  <c r="O49" i="3"/>
  <c r="J42" i="3"/>
  <c r="H52" i="3"/>
  <c r="E47" i="3"/>
  <c r="E50" i="3"/>
  <c r="H55" i="3"/>
  <c r="I48" i="3"/>
  <c r="T55" i="3"/>
  <c r="J54" i="3"/>
  <c r="J51" i="3"/>
  <c r="H50" i="3"/>
  <c r="I49" i="3"/>
  <c r="E48" i="3"/>
  <c r="V53" i="3"/>
  <c r="J45" i="3"/>
  <c r="E43" i="3"/>
  <c r="H40" i="3"/>
  <c r="E45" i="3"/>
  <c r="E37" i="3"/>
  <c r="J55" i="3"/>
  <c r="H54" i="3"/>
  <c r="E53" i="3"/>
  <c r="E52" i="3"/>
  <c r="J47" i="3"/>
  <c r="M55" i="3"/>
  <c r="H45" i="3"/>
  <c r="I47" i="3"/>
  <c r="I45" i="3"/>
  <c r="G37" i="3"/>
  <c r="G36" i="3"/>
  <c r="G35" i="3"/>
  <c r="G34" i="3"/>
  <c r="G50" i="3"/>
  <c r="G47" i="3"/>
  <c r="G42" i="3"/>
  <c r="G44" i="3"/>
  <c r="G48" i="3"/>
  <c r="S56" i="3"/>
  <c r="F70" i="3"/>
  <c r="F69" i="3"/>
  <c r="F72" i="3"/>
  <c r="F71" i="3"/>
  <c r="K53" i="3"/>
  <c r="G52" i="3"/>
  <c r="Q47" i="3"/>
  <c r="Q44" i="3"/>
  <c r="Q42" i="3"/>
  <c r="Q40" i="3"/>
  <c r="Q46" i="3"/>
  <c r="Q39" i="3"/>
  <c r="Q45" i="3"/>
  <c r="Q43" i="3"/>
  <c r="Q41" i="3"/>
  <c r="Q37" i="3"/>
  <c r="Q34" i="3"/>
  <c r="Q36" i="3"/>
  <c r="Q35" i="3"/>
  <c r="Q38" i="3"/>
  <c r="F73" i="3"/>
  <c r="G39" i="3"/>
  <c r="F42" i="3"/>
  <c r="Q55" i="3"/>
  <c r="G38" i="3"/>
  <c r="H47" i="3"/>
  <c r="F43" i="3"/>
  <c r="N44" i="3"/>
  <c r="N42" i="3"/>
  <c r="N40" i="3"/>
  <c r="N43" i="3"/>
  <c r="N41" i="3"/>
  <c r="N39" i="3"/>
  <c r="N37" i="3"/>
  <c r="N35" i="3"/>
  <c r="N38" i="3"/>
  <c r="N36" i="3"/>
  <c r="N34" i="3"/>
  <c r="Q53" i="3"/>
  <c r="U50" i="3"/>
  <c r="U48" i="3"/>
  <c r="U44" i="3"/>
  <c r="U42" i="3"/>
  <c r="U40" i="3"/>
  <c r="U47" i="3"/>
  <c r="U49" i="3"/>
  <c r="U45" i="3"/>
  <c r="U43" i="3"/>
  <c r="U41" i="3"/>
  <c r="U35" i="3"/>
  <c r="U51" i="3"/>
  <c r="U39" i="3"/>
  <c r="U37" i="3"/>
  <c r="U34" i="3"/>
  <c r="U38" i="3"/>
  <c r="U36" i="3"/>
  <c r="U46" i="3"/>
  <c r="I52" i="3"/>
  <c r="N50" i="3"/>
  <c r="K49" i="3"/>
  <c r="N47" i="3"/>
  <c r="F39" i="3"/>
  <c r="L41" i="3"/>
  <c r="L39" i="3"/>
  <c r="L42" i="3"/>
  <c r="L40" i="3"/>
  <c r="L38" i="3"/>
  <c r="L36" i="3"/>
  <c r="L34" i="3"/>
  <c r="L37" i="3"/>
  <c r="L35" i="3"/>
  <c r="O51" i="3"/>
  <c r="H44" i="3"/>
  <c r="E40" i="3"/>
  <c r="G54" i="3"/>
  <c r="I42" i="3"/>
  <c r="H42" i="3"/>
  <c r="W56" i="3"/>
  <c r="E39" i="3"/>
  <c r="H73" i="3"/>
  <c r="I73" i="3" s="1"/>
  <c r="G53" i="3"/>
  <c r="H71" i="3"/>
  <c r="I71" i="3" s="1"/>
  <c r="K41" i="3"/>
  <c r="K40" i="3"/>
  <c r="K35" i="3"/>
  <c r="K34" i="3"/>
  <c r="K37" i="3"/>
  <c r="K36" i="3"/>
  <c r="K39" i="3"/>
  <c r="K38" i="3"/>
  <c r="F35" i="3"/>
  <c r="F34" i="3"/>
  <c r="F36" i="3"/>
  <c r="F38" i="3"/>
  <c r="G41" i="3"/>
  <c r="X56" i="3"/>
  <c r="F55" i="3"/>
  <c r="H51" i="3"/>
  <c r="G49" i="3"/>
  <c r="H43" i="3"/>
  <c r="K43" i="3"/>
  <c r="U55" i="3"/>
  <c r="K51" i="3"/>
  <c r="N48" i="3"/>
  <c r="F41" i="3"/>
  <c r="P46" i="3"/>
  <c r="P45" i="3"/>
  <c r="P43" i="3"/>
  <c r="P41" i="3"/>
  <c r="P39" i="3"/>
  <c r="P44" i="3"/>
  <c r="P42" i="3"/>
  <c r="P40" i="3"/>
  <c r="P38" i="3"/>
  <c r="P36" i="3"/>
  <c r="P34" i="3"/>
  <c r="P35" i="3"/>
  <c r="P37" i="3"/>
  <c r="K45" i="3"/>
  <c r="L51" i="3"/>
  <c r="H72" i="3"/>
  <c r="I72" i="3" s="1"/>
  <c r="D74" i="3"/>
  <c r="G40" i="3"/>
  <c r="G43" i="3"/>
  <c r="G74" i="3"/>
  <c r="V52" i="3"/>
  <c r="V51" i="3"/>
  <c r="V49" i="3"/>
  <c r="V47" i="3"/>
  <c r="V50" i="3"/>
  <c r="V44" i="3"/>
  <c r="V42" i="3"/>
  <c r="V40" i="3"/>
  <c r="V46" i="3"/>
  <c r="V45" i="3"/>
  <c r="V43" i="3"/>
  <c r="V41" i="3"/>
  <c r="V39" i="3"/>
  <c r="V37" i="3"/>
  <c r="V35" i="3"/>
  <c r="V48" i="3"/>
  <c r="V34" i="3"/>
  <c r="V36" i="3"/>
  <c r="V38" i="3"/>
  <c r="E74" i="3"/>
  <c r="C69" i="3"/>
  <c r="C70" i="3"/>
  <c r="K55" i="3"/>
  <c r="Q51" i="3"/>
  <c r="R47" i="3"/>
  <c r="R44" i="3"/>
  <c r="R42" i="3"/>
  <c r="R40" i="3"/>
  <c r="R46" i="3"/>
  <c r="R48" i="3"/>
  <c r="R45" i="3"/>
  <c r="R43" i="3"/>
  <c r="R41" i="3"/>
  <c r="R39" i="3"/>
  <c r="R37" i="3"/>
  <c r="R35" i="3"/>
  <c r="R36" i="3"/>
  <c r="R38" i="3"/>
  <c r="R34" i="3"/>
  <c r="K47" i="3"/>
  <c r="K42" i="3"/>
  <c r="F37" i="3"/>
  <c r="G51" i="3"/>
  <c r="O45" i="3"/>
  <c r="O43" i="3"/>
  <c r="O41" i="3"/>
  <c r="O44" i="3"/>
  <c r="O42" i="3"/>
  <c r="O40" i="3"/>
  <c r="O39" i="3"/>
  <c r="O35" i="3"/>
  <c r="O34" i="3"/>
  <c r="O38" i="3"/>
  <c r="O37" i="3"/>
  <c r="O36" i="3"/>
  <c r="O47" i="3"/>
  <c r="H38" i="3"/>
  <c r="H36" i="3"/>
  <c r="H34" i="3"/>
  <c r="H37" i="3"/>
  <c r="H35" i="3"/>
  <c r="G45" i="3"/>
  <c r="I39" i="3"/>
  <c r="I38" i="3"/>
  <c r="I35" i="3"/>
  <c r="I34" i="3"/>
  <c r="I36" i="3"/>
  <c r="I43" i="3"/>
  <c r="I37" i="3"/>
  <c r="R55" i="3"/>
  <c r="I53" i="3"/>
  <c r="Q52" i="3"/>
  <c r="T50" i="3"/>
  <c r="T48" i="3"/>
  <c r="T46" i="3"/>
  <c r="T49" i="3"/>
  <c r="T45" i="3"/>
  <c r="T43" i="3"/>
  <c r="T41" i="3"/>
  <c r="T39" i="3"/>
  <c r="T44" i="3"/>
  <c r="T42" i="3"/>
  <c r="T40" i="3"/>
  <c r="T38" i="3"/>
  <c r="T36" i="3"/>
  <c r="T34" i="3"/>
  <c r="T47" i="3"/>
  <c r="T35" i="3"/>
  <c r="T37" i="3"/>
  <c r="F50" i="3"/>
  <c r="O48" i="3"/>
  <c r="F47" i="3"/>
  <c r="M42" i="3"/>
  <c r="M40" i="3"/>
  <c r="M36" i="3"/>
  <c r="M43" i="3"/>
  <c r="M41" i="3"/>
  <c r="M39" i="3"/>
  <c r="M38" i="3"/>
  <c r="M37" i="3"/>
  <c r="M34" i="3"/>
  <c r="M35" i="3"/>
  <c r="E35" i="3"/>
  <c r="E34" i="3"/>
  <c r="E38" i="3"/>
  <c r="E49" i="3"/>
  <c r="E36" i="3"/>
  <c r="T52" i="3"/>
  <c r="R49" i="3"/>
  <c r="G46" i="3"/>
  <c r="J40" i="3"/>
  <c r="J39" i="3"/>
  <c r="J37" i="3"/>
  <c r="J35" i="3"/>
  <c r="J34" i="3"/>
  <c r="J38" i="3"/>
  <c r="J36" i="3"/>
  <c r="L47" i="3"/>
  <c r="I55" i="3"/>
  <c r="Q50" i="3"/>
  <c r="F48" i="3"/>
  <c r="L44" i="3"/>
  <c r="P47" i="3"/>
  <c r="K44" i="3"/>
  <c r="H39" i="3"/>
  <c r="K48" i="3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47" i="21"/>
  <c r="B46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" i="21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46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24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" i="7"/>
  <c r="Z54" i="3" l="1"/>
  <c r="Z36" i="3"/>
  <c r="D56" i="3"/>
  <c r="Z42" i="3"/>
  <c r="Z53" i="3"/>
  <c r="Z48" i="3"/>
  <c r="Z46" i="3"/>
  <c r="Z49" i="3"/>
  <c r="Z50" i="3"/>
  <c r="AD50" i="3" s="1"/>
  <c r="Z55" i="3"/>
  <c r="I56" i="3"/>
  <c r="Z45" i="3"/>
  <c r="Z41" i="3"/>
  <c r="Z37" i="3"/>
  <c r="Z44" i="3"/>
  <c r="Z38" i="3"/>
  <c r="Z40" i="3"/>
  <c r="Z51" i="3"/>
  <c r="Z47" i="3"/>
  <c r="Z52" i="3"/>
  <c r="Z43" i="3"/>
  <c r="Z39" i="3"/>
  <c r="Z35" i="3"/>
  <c r="E56" i="3"/>
  <c r="Z34" i="3"/>
  <c r="G56" i="3"/>
  <c r="J56" i="3"/>
  <c r="K56" i="3"/>
  <c r="AC53" i="3"/>
  <c r="AD53" i="3" s="1"/>
  <c r="AC49" i="3"/>
  <c r="AC50" i="3"/>
  <c r="AC48" i="3"/>
  <c r="AC52" i="3"/>
  <c r="AC55" i="3"/>
  <c r="AD55" i="3" s="1"/>
  <c r="AC54" i="3"/>
  <c r="AC51" i="3"/>
  <c r="O56" i="3"/>
  <c r="H70" i="3"/>
  <c r="I70" i="3" s="1"/>
  <c r="P56" i="3"/>
  <c r="F56" i="3"/>
  <c r="Q56" i="3"/>
  <c r="M56" i="3"/>
  <c r="T56" i="3"/>
  <c r="H56" i="3"/>
  <c r="R56" i="3"/>
  <c r="C74" i="3"/>
  <c r="H69" i="3"/>
  <c r="I69" i="3" s="1"/>
  <c r="V56" i="3"/>
  <c r="L56" i="3"/>
  <c r="U56" i="3"/>
  <c r="N56" i="3"/>
  <c r="F74" i="3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" i="18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D54" i="3" l="1"/>
  <c r="AD51" i="3"/>
  <c r="AD48" i="3"/>
  <c r="AD49" i="3"/>
  <c r="AD52" i="3"/>
  <c r="Z56" i="3"/>
  <c r="AA34" i="3" s="1"/>
  <c r="J70" i="3"/>
  <c r="J73" i="3"/>
  <c r="J69" i="3"/>
  <c r="J72" i="3"/>
  <c r="J71" i="3"/>
  <c r="AC41" i="3"/>
  <c r="AD41" i="3" s="1"/>
  <c r="AC39" i="3"/>
  <c r="AD39" i="3" s="1"/>
  <c r="AC38" i="3"/>
  <c r="AD38" i="3" s="1"/>
  <c r="AC37" i="3"/>
  <c r="AD37" i="3" s="1"/>
  <c r="AC36" i="3"/>
  <c r="AD36" i="3" s="1"/>
  <c r="AC34" i="3"/>
  <c r="AD34" i="3" s="1"/>
  <c r="AC40" i="3"/>
  <c r="AD40" i="3" s="1"/>
  <c r="AC42" i="3"/>
  <c r="AD42" i="3" s="1"/>
  <c r="AC35" i="3"/>
  <c r="AD35" i="3" s="1"/>
  <c r="AC45" i="3"/>
  <c r="AD45" i="3" s="1"/>
  <c r="AC43" i="3"/>
  <c r="AD43" i="3" s="1"/>
  <c r="AC46" i="3"/>
  <c r="AD46" i="3" s="1"/>
  <c r="AC44" i="3"/>
  <c r="AD44" i="3" s="1"/>
  <c r="AC47" i="3"/>
  <c r="AD47" i="3" s="1"/>
  <c r="H59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46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24" i="7"/>
  <c r="A3" i="7"/>
  <c r="A3" i="18" s="1"/>
  <c r="A4" i="7"/>
  <c r="A4" i="18" s="1"/>
  <c r="A5" i="7"/>
  <c r="A5" i="18" s="1"/>
  <c r="A6" i="7"/>
  <c r="A6" i="18" s="1"/>
  <c r="A7" i="7"/>
  <c r="A7" i="18" s="1"/>
  <c r="A8" i="7"/>
  <c r="A8" i="18" s="1"/>
  <c r="A9" i="7"/>
  <c r="A9" i="18" s="1"/>
  <c r="A10" i="7"/>
  <c r="A10" i="18" s="1"/>
  <c r="A11" i="7"/>
  <c r="A11" i="18" s="1"/>
  <c r="A12" i="7"/>
  <c r="A12" i="18" s="1"/>
  <c r="A13" i="7"/>
  <c r="A13" i="18" s="1"/>
  <c r="A14" i="7"/>
  <c r="A14" i="18" s="1"/>
  <c r="A15" i="7"/>
  <c r="A15" i="18" s="1"/>
  <c r="A16" i="7"/>
  <c r="A16" i="18" s="1"/>
  <c r="A17" i="7"/>
  <c r="A17" i="18" s="1"/>
  <c r="A18" i="7"/>
  <c r="A18" i="18" s="1"/>
  <c r="A19" i="7"/>
  <c r="A19" i="18" s="1"/>
  <c r="A20" i="7"/>
  <c r="A20" i="18" s="1"/>
  <c r="A21" i="7"/>
  <c r="A21" i="18" s="1"/>
  <c r="A22" i="7"/>
  <c r="A22" i="18" s="1"/>
  <c r="A23" i="7"/>
  <c r="A23" i="18" s="1"/>
  <c r="A2" i="7"/>
  <c r="A2" i="18" s="1"/>
  <c r="B60" i="14"/>
  <c r="D58" i="14" s="1"/>
  <c r="B61" i="14"/>
  <c r="E58" i="14" s="1"/>
  <c r="B62" i="14"/>
  <c r="F58" i="14" s="1"/>
  <c r="B63" i="14"/>
  <c r="G58" i="14" s="1"/>
  <c r="B59" i="14"/>
  <c r="C58" i="14" s="1"/>
  <c r="J74" i="3" l="1"/>
  <c r="J76" i="3" s="1"/>
  <c r="AA49" i="3"/>
  <c r="AA55" i="3"/>
  <c r="AA41" i="3"/>
  <c r="AA36" i="3"/>
  <c r="AA37" i="3"/>
  <c r="AA47" i="3"/>
  <c r="AA54" i="3"/>
  <c r="AA48" i="3"/>
  <c r="AA44" i="3"/>
  <c r="AA40" i="3"/>
  <c r="AA52" i="3"/>
  <c r="AA39" i="3"/>
  <c r="AA35" i="3"/>
  <c r="AA38" i="3"/>
  <c r="AA46" i="3"/>
  <c r="AA50" i="3"/>
  <c r="AA45" i="3"/>
  <c r="AA51" i="3"/>
  <c r="AA43" i="3"/>
  <c r="AA42" i="3"/>
  <c r="AA53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" i="4"/>
  <c r="C25" i="14"/>
  <c r="I2" i="11"/>
  <c r="I3" i="11"/>
  <c r="I4" i="11"/>
  <c r="AI61" i="14" s="1"/>
  <c r="I5" i="11"/>
  <c r="AI62" i="14" s="1"/>
  <c r="I1" i="11"/>
  <c r="H2" i="11"/>
  <c r="H3" i="11"/>
  <c r="H4" i="11"/>
  <c r="H5" i="11"/>
  <c r="G2" i="11"/>
  <c r="G3" i="11"/>
  <c r="G4" i="11"/>
  <c r="G5" i="11"/>
  <c r="H1" i="11"/>
  <c r="G1" i="11"/>
  <c r="AE43" i="3" l="1"/>
  <c r="AE46" i="3"/>
  <c r="AE52" i="3"/>
  <c r="AE54" i="3"/>
  <c r="AE38" i="3"/>
  <c r="AE55" i="3"/>
  <c r="AE53" i="3"/>
  <c r="AE45" i="3"/>
  <c r="AE35" i="3"/>
  <c r="AE44" i="3"/>
  <c r="AE37" i="3"/>
  <c r="AE49" i="3"/>
  <c r="AE39" i="3"/>
  <c r="AE48" i="3"/>
  <c r="AE50" i="3"/>
  <c r="AE51" i="3"/>
  <c r="AE41" i="3"/>
  <c r="AE40" i="3"/>
  <c r="AE42" i="3"/>
  <c r="AE47" i="3"/>
  <c r="AE34" i="3"/>
  <c r="AE36" i="3"/>
  <c r="AI58" i="14"/>
  <c r="AI59" i="14"/>
  <c r="AG62" i="14"/>
  <c r="AH62" i="14" s="1"/>
  <c r="AJ62" i="14" s="1"/>
  <c r="AG61" i="14"/>
  <c r="AH61" i="14" s="1"/>
  <c r="AJ61" i="14" s="1"/>
  <c r="AI60" i="14"/>
  <c r="D62" i="21" l="1"/>
  <c r="D40" i="21"/>
  <c r="D18" i="21"/>
  <c r="D23" i="21"/>
  <c r="D67" i="21"/>
  <c r="D45" i="21"/>
  <c r="D4" i="21"/>
  <c r="D26" i="21"/>
  <c r="D48" i="21"/>
  <c r="D63" i="21"/>
  <c r="D41" i="21"/>
  <c r="D19" i="21"/>
  <c r="D27" i="21"/>
  <c r="D5" i="21"/>
  <c r="D49" i="21"/>
  <c r="D66" i="21"/>
  <c r="D44" i="21"/>
  <c r="D22" i="21"/>
  <c r="D20" i="21"/>
  <c r="D42" i="21"/>
  <c r="D64" i="21"/>
  <c r="D39" i="21"/>
  <c r="D17" i="21"/>
  <c r="D61" i="21"/>
  <c r="D11" i="21"/>
  <c r="D55" i="21"/>
  <c r="D33" i="21"/>
  <c r="D35" i="21"/>
  <c r="D57" i="21"/>
  <c r="D13" i="21"/>
  <c r="D8" i="21"/>
  <c r="D30" i="21"/>
  <c r="D52" i="21"/>
  <c r="D54" i="21"/>
  <c r="D32" i="21"/>
  <c r="D10" i="21"/>
  <c r="D43" i="21"/>
  <c r="D21" i="21"/>
  <c r="D65" i="21"/>
  <c r="D42" i="7"/>
  <c r="D20" i="7"/>
  <c r="D64" i="7"/>
  <c r="D26" i="7"/>
  <c r="D4" i="7"/>
  <c r="D48" i="7"/>
  <c r="D59" i="7"/>
  <c r="D32" i="7"/>
  <c r="D10" i="7"/>
  <c r="D54" i="7"/>
  <c r="D67" i="7"/>
  <c r="D45" i="7"/>
  <c r="D23" i="7"/>
  <c r="D39" i="7"/>
  <c r="D17" i="7"/>
  <c r="D61" i="7"/>
  <c r="D55" i="7"/>
  <c r="D33" i="7"/>
  <c r="D11" i="7"/>
  <c r="D35" i="7"/>
  <c r="D13" i="7"/>
  <c r="D57" i="7"/>
  <c r="D38" i="7"/>
  <c r="D16" i="7"/>
  <c r="D60" i="7"/>
  <c r="D27" i="7"/>
  <c r="D5" i="7"/>
  <c r="D49" i="7"/>
  <c r="D51" i="7"/>
  <c r="D29" i="7"/>
  <c r="D7" i="7"/>
  <c r="D43" i="7"/>
  <c r="D21" i="7"/>
  <c r="D65" i="7"/>
  <c r="D30" i="7"/>
  <c r="D8" i="7"/>
  <c r="D52" i="7"/>
  <c r="D44" i="7"/>
  <c r="D22" i="7"/>
  <c r="D66" i="7"/>
  <c r="D40" i="7"/>
  <c r="D18" i="7"/>
  <c r="D62" i="7"/>
  <c r="D63" i="7"/>
  <c r="D41" i="7"/>
  <c r="D19" i="7"/>
  <c r="AF34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35" i="14"/>
  <c r="X28" i="14"/>
  <c r="W28" i="14"/>
  <c r="W27" i="14"/>
  <c r="V28" i="14"/>
  <c r="V27" i="14"/>
  <c r="V26" i="14"/>
  <c r="U28" i="14"/>
  <c r="U27" i="14"/>
  <c r="U26" i="14"/>
  <c r="U25" i="14"/>
  <c r="T25" i="14"/>
  <c r="T24" i="14"/>
  <c r="S28" i="14"/>
  <c r="S27" i="14"/>
  <c r="S26" i="14"/>
  <c r="S23" i="14"/>
  <c r="R28" i="14"/>
  <c r="R27" i="14"/>
  <c r="R26" i="14"/>
  <c r="R25" i="14"/>
  <c r="R24" i="14"/>
  <c r="D58" i="21" l="1"/>
  <c r="D36" i="21"/>
  <c r="D14" i="21"/>
  <c r="D16" i="21"/>
  <c r="D38" i="21"/>
  <c r="D60" i="21"/>
  <c r="D51" i="21"/>
  <c r="D29" i="21"/>
  <c r="D7" i="21"/>
  <c r="D59" i="21"/>
  <c r="D15" i="21"/>
  <c r="D37" i="21"/>
  <c r="D31" i="21"/>
  <c r="D53" i="21"/>
  <c r="D9" i="21"/>
  <c r="D50" i="21"/>
  <c r="D28" i="21"/>
  <c r="D6" i="21"/>
  <c r="D15" i="7"/>
  <c r="D12" i="21"/>
  <c r="D56" i="21"/>
  <c r="D34" i="21"/>
  <c r="D46" i="21"/>
  <c r="D24" i="21"/>
  <c r="D2" i="21"/>
  <c r="D47" i="21"/>
  <c r="D25" i="21"/>
  <c r="D3" i="21"/>
  <c r="D37" i="7"/>
  <c r="D36" i="7"/>
  <c r="D14" i="7"/>
  <c r="D58" i="7"/>
  <c r="D28" i="7"/>
  <c r="D6" i="7"/>
  <c r="D50" i="7"/>
  <c r="D24" i="7"/>
  <c r="D2" i="7"/>
  <c r="D46" i="7"/>
  <c r="D47" i="7"/>
  <c r="D25" i="7"/>
  <c r="D3" i="7"/>
  <c r="D31" i="7"/>
  <c r="D9" i="7"/>
  <c r="D53" i="7"/>
  <c r="D34" i="7"/>
  <c r="D12" i="7"/>
  <c r="D56" i="7"/>
  <c r="T28" i="14"/>
  <c r="T27" i="14"/>
  <c r="T26" i="14"/>
  <c r="S25" i="14"/>
  <c r="S24" i="14"/>
  <c r="R23" i="14"/>
  <c r="R22" i="14"/>
  <c r="Q28" i="14"/>
  <c r="Q27" i="14"/>
  <c r="Q26" i="14"/>
  <c r="Q25" i="14"/>
  <c r="Q24" i="14"/>
  <c r="Q23" i="14"/>
  <c r="Q22" i="14"/>
  <c r="Q21" i="14"/>
  <c r="P28" i="14"/>
  <c r="P27" i="14"/>
  <c r="P26" i="14"/>
  <c r="P25" i="14"/>
  <c r="P24" i="14"/>
  <c r="P23" i="14"/>
  <c r="P22" i="14"/>
  <c r="P21" i="14"/>
  <c r="P20" i="14"/>
  <c r="O28" i="14"/>
  <c r="O27" i="14"/>
  <c r="O26" i="14"/>
  <c r="O25" i="14"/>
  <c r="O24" i="14"/>
  <c r="O23" i="14"/>
  <c r="O22" i="14"/>
  <c r="O21" i="14"/>
  <c r="O20" i="14"/>
  <c r="O19" i="14"/>
  <c r="N28" i="14"/>
  <c r="N27" i="14"/>
  <c r="N26" i="14"/>
  <c r="N25" i="14"/>
  <c r="N24" i="14"/>
  <c r="N23" i="14"/>
  <c r="N22" i="14"/>
  <c r="N21" i="14"/>
  <c r="N20" i="14"/>
  <c r="N19" i="14"/>
  <c r="N18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L28" i="14"/>
  <c r="L27" i="14"/>
  <c r="L26" i="14"/>
  <c r="L25" i="14"/>
  <c r="L24" i="14"/>
  <c r="L23" i="14"/>
  <c r="L22" i="14"/>
  <c r="L20" i="14"/>
  <c r="L19" i="14"/>
  <c r="L18" i="14"/>
  <c r="L17" i="14"/>
  <c r="L16" i="14"/>
  <c r="K28" i="14"/>
  <c r="K27" i="14"/>
  <c r="K26" i="14"/>
  <c r="K25" i="14"/>
  <c r="K24" i="14"/>
  <c r="K23" i="14"/>
  <c r="K22" i="14"/>
  <c r="L21" i="14"/>
  <c r="K21" i="14"/>
  <c r="K20" i="14"/>
  <c r="K19" i="14"/>
  <c r="K18" i="14"/>
  <c r="K17" i="14"/>
  <c r="K16" i="14"/>
  <c r="K15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G15" i="14"/>
  <c r="I15" i="14"/>
  <c r="I14" i="14"/>
  <c r="I13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4" i="14"/>
  <c r="G13" i="14"/>
  <c r="G12" i="14"/>
  <c r="G11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2" i="14"/>
  <c r="F11" i="14"/>
  <c r="F10" i="14"/>
  <c r="E28" i="14"/>
  <c r="E27" i="14"/>
  <c r="E26" i="14"/>
  <c r="E25" i="14"/>
  <c r="E24" i="14"/>
  <c r="E23" i="14"/>
  <c r="E22" i="14"/>
  <c r="E21" i="14" l="1"/>
  <c r="E20" i="14"/>
  <c r="E19" i="14"/>
  <c r="E18" i="14"/>
  <c r="E17" i="14"/>
  <c r="E16" i="14"/>
  <c r="E15" i="14"/>
  <c r="E14" i="14"/>
  <c r="E13" i="14"/>
  <c r="E12" i="14"/>
  <c r="E11" i="14"/>
  <c r="E10" i="14"/>
  <c r="E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3" i="14"/>
  <c r="D12" i="14"/>
  <c r="D14" i="14"/>
  <c r="D15" i="14"/>
  <c r="D16" i="14"/>
  <c r="D11" i="14"/>
  <c r="K74" i="14"/>
  <c r="K76" i="14" s="1"/>
  <c r="D10" i="14"/>
  <c r="D9" i="14"/>
  <c r="D8" i="14"/>
  <c r="F63" i="14"/>
  <c r="F64" i="14" s="1"/>
  <c r="E63" i="14"/>
  <c r="E62" i="14"/>
  <c r="D63" i="14"/>
  <c r="D62" i="14"/>
  <c r="D61" i="14"/>
  <c r="C63" i="14"/>
  <c r="C62" i="14"/>
  <c r="C61" i="14"/>
  <c r="C60" i="14"/>
  <c r="G64" i="14"/>
  <c r="G71" i="14" s="1"/>
  <c r="AB55" i="14"/>
  <c r="C55" i="14"/>
  <c r="AB54" i="14"/>
  <c r="C54" i="14"/>
  <c r="AB53" i="14"/>
  <c r="C53" i="14"/>
  <c r="AB52" i="14"/>
  <c r="C52" i="14"/>
  <c r="AB51" i="14"/>
  <c r="C51" i="14"/>
  <c r="AB50" i="14"/>
  <c r="C50" i="14"/>
  <c r="AB49" i="14"/>
  <c r="C49" i="14"/>
  <c r="AB48" i="14"/>
  <c r="C48" i="14"/>
  <c r="AB47" i="14"/>
  <c r="C47" i="14"/>
  <c r="AB46" i="14"/>
  <c r="C46" i="14"/>
  <c r="AB45" i="14"/>
  <c r="C45" i="14"/>
  <c r="AB44" i="14"/>
  <c r="C44" i="14"/>
  <c r="AB43" i="14"/>
  <c r="C43" i="14"/>
  <c r="AB42" i="14"/>
  <c r="C42" i="14"/>
  <c r="AB41" i="14"/>
  <c r="C41" i="14"/>
  <c r="AB40" i="14"/>
  <c r="C40" i="14"/>
  <c r="AB39" i="14"/>
  <c r="C39" i="14"/>
  <c r="AB38" i="14"/>
  <c r="C38" i="14"/>
  <c r="AB37" i="14"/>
  <c r="C37" i="14"/>
  <c r="AB36" i="14"/>
  <c r="C36" i="14"/>
  <c r="AB35" i="14"/>
  <c r="C35" i="14"/>
  <c r="AB34" i="14"/>
  <c r="C34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Z28" i="14"/>
  <c r="C28" i="14"/>
  <c r="Z27" i="14"/>
  <c r="C27" i="14"/>
  <c r="Z26" i="14"/>
  <c r="C26" i="14"/>
  <c r="Z25" i="14"/>
  <c r="Z24" i="14"/>
  <c r="C24" i="14"/>
  <c r="Z23" i="14"/>
  <c r="C23" i="14"/>
  <c r="Z22" i="14"/>
  <c r="C22" i="14"/>
  <c r="Z21" i="14"/>
  <c r="C21" i="14"/>
  <c r="Z20" i="14"/>
  <c r="C20" i="14"/>
  <c r="Z19" i="14"/>
  <c r="O29" i="14"/>
  <c r="C19" i="14"/>
  <c r="Z18" i="14"/>
  <c r="C18" i="14"/>
  <c r="Z17" i="14"/>
  <c r="C17" i="14"/>
  <c r="Z16" i="14"/>
  <c r="C16" i="14"/>
  <c r="Z15" i="14"/>
  <c r="C15" i="14"/>
  <c r="Z14" i="14"/>
  <c r="C14" i="14"/>
  <c r="Z13" i="14"/>
  <c r="C13" i="14"/>
  <c r="Z12" i="14"/>
  <c r="C12" i="14"/>
  <c r="Z11" i="14"/>
  <c r="C11" i="14"/>
  <c r="Z10" i="14"/>
  <c r="C10" i="14"/>
  <c r="Z9" i="14"/>
  <c r="C9" i="14"/>
  <c r="Z8" i="14"/>
  <c r="C8" i="14"/>
  <c r="Z7" i="14"/>
  <c r="C7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D64" i="14" l="1"/>
  <c r="D73" i="14" s="1"/>
  <c r="G72" i="14"/>
  <c r="W29" i="14"/>
  <c r="W51" i="14" s="1"/>
  <c r="V29" i="14"/>
  <c r="V52" i="14" s="1"/>
  <c r="R29" i="14"/>
  <c r="R43" i="14" s="1"/>
  <c r="N29" i="14"/>
  <c r="N44" i="14" s="1"/>
  <c r="J29" i="14"/>
  <c r="J34" i="14" s="1"/>
  <c r="G29" i="14"/>
  <c r="G37" i="14" s="1"/>
  <c r="F29" i="14"/>
  <c r="F34" i="14" s="1"/>
  <c r="E64" i="14"/>
  <c r="E70" i="14" s="1"/>
  <c r="O44" i="14"/>
  <c r="O43" i="14"/>
  <c r="O40" i="14"/>
  <c r="O38" i="14"/>
  <c r="O36" i="14"/>
  <c r="O34" i="14"/>
  <c r="O41" i="14"/>
  <c r="O39" i="14"/>
  <c r="O37" i="14"/>
  <c r="O35" i="14"/>
  <c r="O45" i="14"/>
  <c r="O42" i="14"/>
  <c r="D29" i="14"/>
  <c r="D34" i="14" s="1"/>
  <c r="L29" i="14"/>
  <c r="L49" i="14" s="1"/>
  <c r="O48" i="14"/>
  <c r="U29" i="14"/>
  <c r="U55" i="14" s="1"/>
  <c r="O47" i="14"/>
  <c r="O50" i="14"/>
  <c r="O55" i="14"/>
  <c r="E29" i="14"/>
  <c r="E43" i="14" s="1"/>
  <c r="M29" i="14"/>
  <c r="M52" i="14" s="1"/>
  <c r="O49" i="14"/>
  <c r="T29" i="14"/>
  <c r="T53" i="14" s="1"/>
  <c r="H29" i="14"/>
  <c r="H42" i="14" s="1"/>
  <c r="I29" i="14"/>
  <c r="I44" i="14" s="1"/>
  <c r="P29" i="14"/>
  <c r="P55" i="14" s="1"/>
  <c r="Q29" i="14"/>
  <c r="Q53" i="14" s="1"/>
  <c r="O52" i="14"/>
  <c r="O53" i="14"/>
  <c r="X29" i="14"/>
  <c r="X55" i="14" s="1"/>
  <c r="Y29" i="14"/>
  <c r="O46" i="14"/>
  <c r="O51" i="14"/>
  <c r="O54" i="14"/>
  <c r="K29" i="14"/>
  <c r="K49" i="14" s="1"/>
  <c r="S29" i="14"/>
  <c r="S50" i="14" s="1"/>
  <c r="F72" i="14"/>
  <c r="F71" i="14"/>
  <c r="F70" i="14"/>
  <c r="F69" i="14"/>
  <c r="F73" i="14"/>
  <c r="C64" i="14"/>
  <c r="C71" i="14" s="1"/>
  <c r="G69" i="14"/>
  <c r="G73" i="14"/>
  <c r="G70" i="14"/>
  <c r="D69" i="14" l="1"/>
  <c r="E69" i="14"/>
  <c r="D71" i="14"/>
  <c r="D70" i="14"/>
  <c r="D72" i="14"/>
  <c r="E73" i="14"/>
  <c r="E72" i="14"/>
  <c r="E71" i="14"/>
  <c r="H71" i="14" s="1"/>
  <c r="I71" i="14" s="1"/>
  <c r="AC51" i="14" s="1"/>
  <c r="W53" i="14"/>
  <c r="W52" i="14"/>
  <c r="W41" i="14"/>
  <c r="W43" i="14"/>
  <c r="W55" i="14"/>
  <c r="W42" i="14"/>
  <c r="W36" i="14"/>
  <c r="W35" i="14"/>
  <c r="W38" i="14"/>
  <c r="G54" i="14"/>
  <c r="V39" i="14"/>
  <c r="W54" i="14"/>
  <c r="V53" i="14"/>
  <c r="V38" i="14"/>
  <c r="W37" i="14"/>
  <c r="W45" i="14"/>
  <c r="W44" i="14"/>
  <c r="V46" i="14"/>
  <c r="W39" i="14"/>
  <c r="W34" i="14"/>
  <c r="W48" i="14"/>
  <c r="V49" i="14"/>
  <c r="V40" i="14"/>
  <c r="V50" i="14"/>
  <c r="V55" i="14"/>
  <c r="V35" i="14"/>
  <c r="V34" i="14"/>
  <c r="V42" i="14"/>
  <c r="V47" i="14"/>
  <c r="V54" i="14"/>
  <c r="V37" i="14"/>
  <c r="V36" i="14"/>
  <c r="V44" i="14"/>
  <c r="V51" i="14"/>
  <c r="F74" i="14"/>
  <c r="C70" i="14"/>
  <c r="W47" i="14"/>
  <c r="W46" i="14"/>
  <c r="W49" i="14"/>
  <c r="W40" i="14"/>
  <c r="W50" i="14"/>
  <c r="V43" i="14"/>
  <c r="V41" i="14"/>
  <c r="V48" i="14"/>
  <c r="V45" i="14"/>
  <c r="R52" i="14"/>
  <c r="R51" i="14"/>
  <c r="R53" i="14"/>
  <c r="R36" i="14"/>
  <c r="R40" i="14"/>
  <c r="R39" i="14"/>
  <c r="R46" i="14"/>
  <c r="R55" i="14"/>
  <c r="R49" i="14"/>
  <c r="R47" i="14"/>
  <c r="R45" i="14"/>
  <c r="N49" i="14"/>
  <c r="N51" i="14"/>
  <c r="N39" i="14"/>
  <c r="N48" i="14"/>
  <c r="N34" i="14"/>
  <c r="N46" i="14"/>
  <c r="N45" i="14"/>
  <c r="N50" i="14"/>
  <c r="N37" i="14"/>
  <c r="N41" i="14"/>
  <c r="N54" i="14"/>
  <c r="N52" i="14"/>
  <c r="N43" i="14"/>
  <c r="N55" i="14"/>
  <c r="N53" i="14"/>
  <c r="N36" i="14"/>
  <c r="L47" i="14"/>
  <c r="J49" i="14"/>
  <c r="J41" i="14"/>
  <c r="H54" i="14"/>
  <c r="H53" i="14"/>
  <c r="G43" i="14"/>
  <c r="G38" i="14"/>
  <c r="G48" i="14"/>
  <c r="G52" i="14"/>
  <c r="G41" i="14"/>
  <c r="G39" i="14"/>
  <c r="G51" i="14"/>
  <c r="G40" i="14"/>
  <c r="G45" i="14"/>
  <c r="G50" i="14"/>
  <c r="G46" i="14"/>
  <c r="G49" i="14"/>
  <c r="G47" i="14"/>
  <c r="G34" i="14"/>
  <c r="G44" i="14"/>
  <c r="G53" i="14"/>
  <c r="G55" i="14"/>
  <c r="G36" i="14"/>
  <c r="F52" i="14"/>
  <c r="F51" i="14"/>
  <c r="F48" i="14"/>
  <c r="F47" i="14"/>
  <c r="F42" i="14"/>
  <c r="F41" i="14"/>
  <c r="F43" i="14"/>
  <c r="F39" i="14"/>
  <c r="F53" i="14"/>
  <c r="F50" i="14"/>
  <c r="F55" i="14"/>
  <c r="F45" i="14"/>
  <c r="F49" i="14"/>
  <c r="F40" i="14"/>
  <c r="F54" i="14"/>
  <c r="F46" i="14"/>
  <c r="F44" i="14"/>
  <c r="F38" i="14"/>
  <c r="R44" i="14"/>
  <c r="R54" i="14"/>
  <c r="R37" i="14"/>
  <c r="R38" i="14"/>
  <c r="R48" i="14"/>
  <c r="R50" i="14"/>
  <c r="R35" i="14"/>
  <c r="R34" i="14"/>
  <c r="R42" i="14"/>
  <c r="R41" i="14"/>
  <c r="N47" i="14"/>
  <c r="N35" i="14"/>
  <c r="N38" i="14"/>
  <c r="N40" i="14"/>
  <c r="N42" i="14"/>
  <c r="L53" i="14"/>
  <c r="J48" i="14"/>
  <c r="J47" i="14"/>
  <c r="J55" i="14"/>
  <c r="J54" i="14"/>
  <c r="J51" i="14"/>
  <c r="J50" i="14"/>
  <c r="J35" i="14"/>
  <c r="J36" i="14"/>
  <c r="J46" i="14"/>
  <c r="J43" i="14"/>
  <c r="J53" i="14"/>
  <c r="J52" i="14"/>
  <c r="J44" i="14"/>
  <c r="J38" i="14"/>
  <c r="J45" i="14"/>
  <c r="J42" i="14"/>
  <c r="J37" i="14"/>
  <c r="J39" i="14"/>
  <c r="J40" i="14"/>
  <c r="I47" i="14"/>
  <c r="M55" i="14"/>
  <c r="M50" i="14"/>
  <c r="M47" i="14"/>
  <c r="M49" i="14"/>
  <c r="H45" i="14"/>
  <c r="I40" i="14"/>
  <c r="G42" i="14"/>
  <c r="Q52" i="14"/>
  <c r="G35" i="14"/>
  <c r="L51" i="14"/>
  <c r="L48" i="14"/>
  <c r="F37" i="14"/>
  <c r="F35" i="14"/>
  <c r="F36" i="14"/>
  <c r="I42" i="14"/>
  <c r="I55" i="14"/>
  <c r="I50" i="14"/>
  <c r="U54" i="14"/>
  <c r="U53" i="14"/>
  <c r="S51" i="14"/>
  <c r="E50" i="14"/>
  <c r="E37" i="14"/>
  <c r="E38" i="14"/>
  <c r="M45" i="14"/>
  <c r="M54" i="14"/>
  <c r="M48" i="14"/>
  <c r="E55" i="14"/>
  <c r="E42" i="14"/>
  <c r="E39" i="14"/>
  <c r="E47" i="14"/>
  <c r="L44" i="14"/>
  <c r="K54" i="14"/>
  <c r="I48" i="14"/>
  <c r="E40" i="14"/>
  <c r="E49" i="14"/>
  <c r="E44" i="14"/>
  <c r="S55" i="14"/>
  <c r="S54" i="14"/>
  <c r="Q55" i="14"/>
  <c r="Q49" i="14"/>
  <c r="Q48" i="14"/>
  <c r="Q51" i="14"/>
  <c r="Q50" i="14"/>
  <c r="P52" i="14"/>
  <c r="M44" i="14"/>
  <c r="L46" i="14"/>
  <c r="L43" i="14"/>
  <c r="L55" i="14"/>
  <c r="L54" i="14"/>
  <c r="L52" i="14"/>
  <c r="L45" i="14"/>
  <c r="L50" i="14"/>
  <c r="K45" i="14"/>
  <c r="K55" i="14"/>
  <c r="I51" i="14"/>
  <c r="I46" i="14"/>
  <c r="I53" i="14"/>
  <c r="I49" i="14"/>
  <c r="I41" i="14"/>
  <c r="H39" i="14"/>
  <c r="H55" i="14"/>
  <c r="H47" i="14"/>
  <c r="H48" i="14"/>
  <c r="H49" i="14"/>
  <c r="H44" i="14"/>
  <c r="H52" i="14"/>
  <c r="H50" i="14"/>
  <c r="D39" i="14"/>
  <c r="D46" i="14"/>
  <c r="D42" i="14"/>
  <c r="D44" i="14"/>
  <c r="D51" i="14"/>
  <c r="D43" i="14"/>
  <c r="D50" i="14"/>
  <c r="E48" i="14"/>
  <c r="D47" i="14"/>
  <c r="E41" i="14"/>
  <c r="E36" i="14"/>
  <c r="E54" i="14"/>
  <c r="D48" i="14"/>
  <c r="D40" i="14"/>
  <c r="D45" i="14"/>
  <c r="D37" i="14"/>
  <c r="D55" i="14"/>
  <c r="D41" i="14"/>
  <c r="D53" i="14"/>
  <c r="D52" i="14"/>
  <c r="D49" i="14"/>
  <c r="P49" i="14"/>
  <c r="C69" i="14"/>
  <c r="C72" i="14"/>
  <c r="T54" i="14"/>
  <c r="C73" i="14"/>
  <c r="H73" i="14" s="1"/>
  <c r="I73" i="14" s="1"/>
  <c r="S49" i="14"/>
  <c r="S47" i="14"/>
  <c r="S48" i="14"/>
  <c r="S46" i="14"/>
  <c r="S44" i="14"/>
  <c r="S41" i="14"/>
  <c r="S40" i="14"/>
  <c r="S38" i="14"/>
  <c r="S36" i="14"/>
  <c r="S34" i="14"/>
  <c r="S42" i="14"/>
  <c r="S45" i="14"/>
  <c r="S39" i="14"/>
  <c r="S37" i="14"/>
  <c r="S35" i="14"/>
  <c r="S43" i="14"/>
  <c r="P51" i="14"/>
  <c r="T55" i="14"/>
  <c r="K53" i="14"/>
  <c r="K52" i="14"/>
  <c r="P47" i="14"/>
  <c r="H37" i="14"/>
  <c r="H35" i="14"/>
  <c r="H36" i="14"/>
  <c r="H38" i="14"/>
  <c r="H34" i="14"/>
  <c r="T51" i="14"/>
  <c r="I45" i="14"/>
  <c r="H43" i="14"/>
  <c r="E35" i="14"/>
  <c r="E34" i="14"/>
  <c r="I54" i="14"/>
  <c r="M51" i="14"/>
  <c r="K47" i="14"/>
  <c r="E46" i="14"/>
  <c r="K42" i="14"/>
  <c r="H40" i="14"/>
  <c r="D54" i="14"/>
  <c r="E53" i="14"/>
  <c r="H51" i="14"/>
  <c r="E45" i="14"/>
  <c r="Y54" i="14"/>
  <c r="Y52" i="14"/>
  <c r="Y50" i="14"/>
  <c r="Y48" i="14"/>
  <c r="Y55" i="14"/>
  <c r="Y53" i="14"/>
  <c r="Y51" i="14"/>
  <c r="Y49" i="14"/>
  <c r="Y47" i="14"/>
  <c r="Y45" i="14"/>
  <c r="Y43" i="14"/>
  <c r="Y44" i="14"/>
  <c r="Y39" i="14"/>
  <c r="Y37" i="14"/>
  <c r="Y35" i="14"/>
  <c r="Y41" i="14"/>
  <c r="Y42" i="14"/>
  <c r="Y40" i="14"/>
  <c r="Y38" i="14"/>
  <c r="Y36" i="14"/>
  <c r="Y34" i="14"/>
  <c r="Y46" i="14"/>
  <c r="K41" i="14"/>
  <c r="K40" i="14"/>
  <c r="K38" i="14"/>
  <c r="K36" i="14"/>
  <c r="K34" i="14"/>
  <c r="K39" i="14"/>
  <c r="K37" i="14"/>
  <c r="K35" i="14"/>
  <c r="K51" i="14"/>
  <c r="K44" i="14"/>
  <c r="K50" i="14"/>
  <c r="U50" i="14"/>
  <c r="U48" i="14"/>
  <c r="U51" i="14"/>
  <c r="U49" i="14"/>
  <c r="U47" i="14"/>
  <c r="U45" i="14"/>
  <c r="U43" i="14"/>
  <c r="U46" i="14"/>
  <c r="U42" i="14"/>
  <c r="U39" i="14"/>
  <c r="U37" i="14"/>
  <c r="U35" i="14"/>
  <c r="U44" i="14"/>
  <c r="U40" i="14"/>
  <c r="U38" i="14"/>
  <c r="U36" i="14"/>
  <c r="U34" i="14"/>
  <c r="U41" i="14"/>
  <c r="I52" i="14"/>
  <c r="O56" i="14"/>
  <c r="P46" i="14"/>
  <c r="P44" i="14"/>
  <c r="P42" i="14"/>
  <c r="P45" i="14"/>
  <c r="P43" i="14"/>
  <c r="P41" i="14"/>
  <c r="P39" i="14"/>
  <c r="P37" i="14"/>
  <c r="P35" i="14"/>
  <c r="P40" i="14"/>
  <c r="P34" i="14"/>
  <c r="P36" i="14"/>
  <c r="P38" i="14"/>
  <c r="T49" i="14"/>
  <c r="T46" i="14"/>
  <c r="T44" i="14"/>
  <c r="T42" i="14"/>
  <c r="T48" i="14"/>
  <c r="T47" i="14"/>
  <c r="T45" i="14"/>
  <c r="T43" i="14"/>
  <c r="T41" i="14"/>
  <c r="T50" i="14"/>
  <c r="T39" i="14"/>
  <c r="T37" i="14"/>
  <c r="T35" i="14"/>
  <c r="T40" i="14"/>
  <c r="T34" i="14"/>
  <c r="T36" i="14"/>
  <c r="T38" i="14"/>
  <c r="P48" i="14"/>
  <c r="P54" i="14"/>
  <c r="G74" i="14"/>
  <c r="P53" i="14"/>
  <c r="T52" i="14"/>
  <c r="K46" i="14"/>
  <c r="K43" i="14"/>
  <c r="K48" i="14"/>
  <c r="X54" i="14"/>
  <c r="X51" i="14"/>
  <c r="X47" i="14"/>
  <c r="X46" i="14"/>
  <c r="X44" i="14"/>
  <c r="X42" i="14"/>
  <c r="X50" i="14"/>
  <c r="X53" i="14"/>
  <c r="X49" i="14"/>
  <c r="X45" i="14"/>
  <c r="X43" i="14"/>
  <c r="X41" i="14"/>
  <c r="X48" i="14"/>
  <c r="X52" i="14"/>
  <c r="X39" i="14"/>
  <c r="X37" i="14"/>
  <c r="X35" i="14"/>
  <c r="X40" i="14"/>
  <c r="X36" i="14"/>
  <c r="X38" i="14"/>
  <c r="X34" i="14"/>
  <c r="S53" i="14"/>
  <c r="S52" i="14"/>
  <c r="P50" i="14"/>
  <c r="Q47" i="14"/>
  <c r="Q45" i="14"/>
  <c r="Q43" i="14"/>
  <c r="Q39" i="14"/>
  <c r="Q37" i="14"/>
  <c r="Q35" i="14"/>
  <c r="Q46" i="14"/>
  <c r="Q41" i="14"/>
  <c r="Q44" i="14"/>
  <c r="Q42" i="14"/>
  <c r="Q40" i="14"/>
  <c r="Q38" i="14"/>
  <c r="Q36" i="14"/>
  <c r="Q34" i="14"/>
  <c r="I39" i="14"/>
  <c r="I37" i="14"/>
  <c r="I35" i="14"/>
  <c r="I38" i="14"/>
  <c r="I36" i="14"/>
  <c r="I34" i="14"/>
  <c r="M43" i="14"/>
  <c r="M42" i="14"/>
  <c r="M39" i="14"/>
  <c r="M37" i="14"/>
  <c r="M35" i="14"/>
  <c r="M40" i="14"/>
  <c r="M38" i="14"/>
  <c r="M36" i="14"/>
  <c r="M34" i="14"/>
  <c r="M41" i="14"/>
  <c r="Q54" i="14"/>
  <c r="E51" i="14"/>
  <c r="M46" i="14"/>
  <c r="I43" i="14"/>
  <c r="H41" i="14"/>
  <c r="M53" i="14"/>
  <c r="U52" i="14"/>
  <c r="E52" i="14"/>
  <c r="H46" i="14"/>
  <c r="L42" i="14"/>
  <c r="L41" i="14"/>
  <c r="L39" i="14"/>
  <c r="L37" i="14"/>
  <c r="L35" i="14"/>
  <c r="L40" i="14"/>
  <c r="L38" i="14"/>
  <c r="L34" i="14"/>
  <c r="L36" i="14"/>
  <c r="D35" i="14"/>
  <c r="D38" i="14"/>
  <c r="D36" i="14"/>
  <c r="H70" i="14" l="1"/>
  <c r="I70" i="14" s="1"/>
  <c r="AC47" i="14" s="1"/>
  <c r="D74" i="14"/>
  <c r="E74" i="14"/>
  <c r="H72" i="14"/>
  <c r="I72" i="14" s="1"/>
  <c r="AC44" i="14"/>
  <c r="AC46" i="14"/>
  <c r="AC43" i="14"/>
  <c r="AC45" i="14"/>
  <c r="J56" i="14"/>
  <c r="AC54" i="14"/>
  <c r="N56" i="14"/>
  <c r="V56" i="14"/>
  <c r="W56" i="14"/>
  <c r="AC52" i="14"/>
  <c r="AC49" i="14"/>
  <c r="AC53" i="14"/>
  <c r="AC55" i="14"/>
  <c r="AC48" i="14"/>
  <c r="AC50" i="14"/>
  <c r="R56" i="14"/>
  <c r="G56" i="14"/>
  <c r="F56" i="14"/>
  <c r="T56" i="14"/>
  <c r="Z55" i="14"/>
  <c r="Z48" i="14"/>
  <c r="Z47" i="14"/>
  <c r="AD47" i="14" s="1"/>
  <c r="Z34" i="14"/>
  <c r="Z43" i="14"/>
  <c r="Z39" i="14"/>
  <c r="Z44" i="14"/>
  <c r="Z49" i="14"/>
  <c r="Z52" i="14"/>
  <c r="Z46" i="14"/>
  <c r="Z51" i="14"/>
  <c r="AD51" i="14" s="1"/>
  <c r="Z37" i="14"/>
  <c r="Z42" i="14"/>
  <c r="Z45" i="14"/>
  <c r="Z53" i="14"/>
  <c r="Z41" i="14"/>
  <c r="Z40" i="14"/>
  <c r="Z50" i="14"/>
  <c r="H69" i="14"/>
  <c r="I69" i="14" s="1"/>
  <c r="AC34" i="14" s="1"/>
  <c r="C74" i="14"/>
  <c r="Z38" i="14"/>
  <c r="L56" i="14"/>
  <c r="M56" i="14"/>
  <c r="P56" i="14"/>
  <c r="Z54" i="14"/>
  <c r="E56" i="14"/>
  <c r="Q56" i="14"/>
  <c r="Y56" i="14"/>
  <c r="H56" i="14"/>
  <c r="Z36" i="14"/>
  <c r="Z35" i="14"/>
  <c r="I56" i="14"/>
  <c r="X56" i="14"/>
  <c r="D56" i="14"/>
  <c r="U56" i="14"/>
  <c r="K56" i="14"/>
  <c r="S56" i="14"/>
  <c r="C19" i="21" l="1"/>
  <c r="E19" i="21" s="1"/>
  <c r="C41" i="21"/>
  <c r="E41" i="21" s="1"/>
  <c r="C63" i="21"/>
  <c r="E63" i="21" s="1"/>
  <c r="C15" i="21"/>
  <c r="E15" i="21" s="1"/>
  <c r="C59" i="21"/>
  <c r="E59" i="21" s="1"/>
  <c r="C37" i="21"/>
  <c r="E37" i="21" s="1"/>
  <c r="C41" i="7"/>
  <c r="E41" i="7" s="1"/>
  <c r="C19" i="7"/>
  <c r="E19" i="7" s="1"/>
  <c r="C63" i="7"/>
  <c r="E63" i="7" s="1"/>
  <c r="C37" i="7"/>
  <c r="E37" i="7" s="1"/>
  <c r="C15" i="7"/>
  <c r="E15" i="7" s="1"/>
  <c r="C59" i="7"/>
  <c r="E59" i="7" s="1"/>
  <c r="AD44" i="14"/>
  <c r="AD52" i="14"/>
  <c r="AD46" i="14"/>
  <c r="AD45" i="14"/>
  <c r="AD43" i="14"/>
  <c r="AD49" i="14"/>
  <c r="AD53" i="14"/>
  <c r="AD55" i="14"/>
  <c r="AD48" i="14"/>
  <c r="AD50" i="14"/>
  <c r="AD54" i="14"/>
  <c r="J72" i="14"/>
  <c r="J71" i="14"/>
  <c r="J70" i="14"/>
  <c r="J73" i="14"/>
  <c r="J69" i="14"/>
  <c r="AC38" i="14"/>
  <c r="AD38" i="14" s="1"/>
  <c r="AC36" i="14"/>
  <c r="AD36" i="14" s="1"/>
  <c r="AD34" i="14"/>
  <c r="AC39" i="14"/>
  <c r="AD39" i="14" s="1"/>
  <c r="AC37" i="14"/>
  <c r="AD37" i="14" s="1"/>
  <c r="AC35" i="14"/>
  <c r="AD35" i="14" s="1"/>
  <c r="AC41" i="14"/>
  <c r="AD41" i="14" s="1"/>
  <c r="AC40" i="14"/>
  <c r="AD40" i="14" s="1"/>
  <c r="AC42" i="14"/>
  <c r="AD42" i="14" s="1"/>
  <c r="Z56" i="14"/>
  <c r="AA36" i="14" s="1"/>
  <c r="C3" i="21" l="1"/>
  <c r="E3" i="21" s="1"/>
  <c r="C25" i="21"/>
  <c r="E25" i="21" s="1"/>
  <c r="C47" i="21"/>
  <c r="E47" i="21" s="1"/>
  <c r="C7" i="21"/>
  <c r="E7" i="21" s="1"/>
  <c r="C51" i="21"/>
  <c r="E51" i="21" s="1"/>
  <c r="C29" i="21"/>
  <c r="E29" i="21" s="1"/>
  <c r="C23" i="21"/>
  <c r="E23" i="21" s="1"/>
  <c r="C45" i="21"/>
  <c r="E45" i="21" s="1"/>
  <c r="C67" i="21"/>
  <c r="E67" i="21" s="1"/>
  <c r="C34" i="21"/>
  <c r="E34" i="21" s="1"/>
  <c r="C12" i="21"/>
  <c r="E12" i="21" s="1"/>
  <c r="C56" i="21"/>
  <c r="E56" i="21" s="1"/>
  <c r="C53" i="21"/>
  <c r="E53" i="21" s="1"/>
  <c r="C31" i="21"/>
  <c r="E31" i="21" s="1"/>
  <c r="C9" i="21"/>
  <c r="E9" i="21" s="1"/>
  <c r="C2" i="21"/>
  <c r="E2" i="21" s="1"/>
  <c r="C46" i="21"/>
  <c r="E46" i="21" s="1"/>
  <c r="C24" i="21"/>
  <c r="E24" i="21" s="1"/>
  <c r="C66" i="21"/>
  <c r="E66" i="21" s="1"/>
  <c r="C22" i="21"/>
  <c r="E22" i="21" s="1"/>
  <c r="C44" i="21"/>
  <c r="E44" i="21" s="1"/>
  <c r="C65" i="21"/>
  <c r="E65" i="21" s="1"/>
  <c r="C43" i="21"/>
  <c r="E43" i="21" s="1"/>
  <c r="C21" i="21"/>
  <c r="E21" i="21" s="1"/>
  <c r="C57" i="21"/>
  <c r="E57" i="21" s="1"/>
  <c r="C35" i="21"/>
  <c r="E35" i="21" s="1"/>
  <c r="C13" i="21"/>
  <c r="E13" i="21" s="1"/>
  <c r="C58" i="21"/>
  <c r="E58" i="21" s="1"/>
  <c r="C14" i="21"/>
  <c r="E14" i="21" s="1"/>
  <c r="C36" i="21"/>
  <c r="E36" i="21" s="1"/>
  <c r="C26" i="21"/>
  <c r="E26" i="21" s="1"/>
  <c r="C48" i="21"/>
  <c r="E48" i="21" s="1"/>
  <c r="C4" i="21"/>
  <c r="E4" i="21" s="1"/>
  <c r="C62" i="21"/>
  <c r="E62" i="21" s="1"/>
  <c r="C18" i="21"/>
  <c r="E18" i="21" s="1"/>
  <c r="C40" i="21"/>
  <c r="E40" i="21" s="1"/>
  <c r="C54" i="21"/>
  <c r="E54" i="21" s="1"/>
  <c r="C32" i="21"/>
  <c r="E32" i="21" s="1"/>
  <c r="C10" i="21"/>
  <c r="E10" i="21" s="1"/>
  <c r="C49" i="21"/>
  <c r="E49" i="21" s="1"/>
  <c r="C27" i="21"/>
  <c r="E27" i="21" s="1"/>
  <c r="C5" i="21"/>
  <c r="E5" i="21" s="1"/>
  <c r="C50" i="21"/>
  <c r="E50" i="21" s="1"/>
  <c r="C6" i="21"/>
  <c r="E6" i="21" s="1"/>
  <c r="C28" i="21"/>
  <c r="E28" i="21" s="1"/>
  <c r="C38" i="21"/>
  <c r="E38" i="21" s="1"/>
  <c r="C16" i="21"/>
  <c r="E16" i="21" s="1"/>
  <c r="C60" i="21"/>
  <c r="E60" i="21" s="1"/>
  <c r="C61" i="21"/>
  <c r="E61" i="21" s="1"/>
  <c r="C39" i="21"/>
  <c r="E39" i="21" s="1"/>
  <c r="C17" i="21"/>
  <c r="E17" i="21" s="1"/>
  <c r="C42" i="21"/>
  <c r="E42" i="21" s="1"/>
  <c r="C20" i="21"/>
  <c r="E20" i="21" s="1"/>
  <c r="C64" i="21"/>
  <c r="E64" i="21" s="1"/>
  <c r="C30" i="21"/>
  <c r="E30" i="21" s="1"/>
  <c r="C52" i="21"/>
  <c r="E52" i="21" s="1"/>
  <c r="C8" i="21"/>
  <c r="E8" i="21" s="1"/>
  <c r="C11" i="21"/>
  <c r="E11" i="21" s="1"/>
  <c r="C55" i="21"/>
  <c r="E55" i="21" s="1"/>
  <c r="C33" i="21"/>
  <c r="E33" i="21" s="1"/>
  <c r="C27" i="7"/>
  <c r="E27" i="7" s="1"/>
  <c r="C5" i="7"/>
  <c r="E5" i="7" s="1"/>
  <c r="C49" i="7"/>
  <c r="E49" i="7" s="1"/>
  <c r="C6" i="7"/>
  <c r="E6" i="7" s="1"/>
  <c r="C28" i="7"/>
  <c r="E28" i="7" s="1"/>
  <c r="C50" i="7"/>
  <c r="E50" i="7" s="1"/>
  <c r="C60" i="7"/>
  <c r="E60" i="7" s="1"/>
  <c r="C38" i="7"/>
  <c r="E38" i="7" s="1"/>
  <c r="C16" i="7"/>
  <c r="E16" i="7" s="1"/>
  <c r="C39" i="7"/>
  <c r="E39" i="7" s="1"/>
  <c r="C17" i="7"/>
  <c r="E17" i="7" s="1"/>
  <c r="C61" i="7"/>
  <c r="E61" i="7" s="1"/>
  <c r="C64" i="7"/>
  <c r="E64" i="7" s="1"/>
  <c r="C42" i="7"/>
  <c r="E42" i="7" s="1"/>
  <c r="C20" i="7"/>
  <c r="E20" i="7" s="1"/>
  <c r="C52" i="7"/>
  <c r="E52" i="7" s="1"/>
  <c r="C30" i="7"/>
  <c r="E30" i="7" s="1"/>
  <c r="C8" i="7"/>
  <c r="E8" i="7" s="1"/>
  <c r="C45" i="7"/>
  <c r="E45" i="7" s="1"/>
  <c r="C23" i="7"/>
  <c r="E23" i="7" s="1"/>
  <c r="C67" i="7"/>
  <c r="E67" i="7" s="1"/>
  <c r="C33" i="7"/>
  <c r="E33" i="7" s="1"/>
  <c r="C11" i="7"/>
  <c r="E11" i="7" s="1"/>
  <c r="C55" i="7"/>
  <c r="E55" i="7" s="1"/>
  <c r="C56" i="7"/>
  <c r="E56" i="7" s="1"/>
  <c r="C34" i="7"/>
  <c r="E34" i="7" s="1"/>
  <c r="C12" i="7"/>
  <c r="E12" i="7" s="1"/>
  <c r="C32" i="7"/>
  <c r="E32" i="7" s="1"/>
  <c r="C54" i="7"/>
  <c r="E54" i="7" s="1"/>
  <c r="C10" i="7"/>
  <c r="E10" i="7" s="1"/>
  <c r="C29" i="7"/>
  <c r="E29" i="7" s="1"/>
  <c r="C7" i="7"/>
  <c r="E7" i="7" s="1"/>
  <c r="C51" i="7"/>
  <c r="E51" i="7" s="1"/>
  <c r="C31" i="7"/>
  <c r="E31" i="7" s="1"/>
  <c r="C9" i="7"/>
  <c r="E9" i="7" s="1"/>
  <c r="C53" i="7"/>
  <c r="E53" i="7" s="1"/>
  <c r="C24" i="7"/>
  <c r="E24" i="7" s="1"/>
  <c r="C2" i="7"/>
  <c r="E2" i="7" s="1"/>
  <c r="C46" i="7"/>
  <c r="E46" i="7" s="1"/>
  <c r="C44" i="7"/>
  <c r="E44" i="7" s="1"/>
  <c r="C66" i="7"/>
  <c r="E66" i="7" s="1"/>
  <c r="C22" i="7"/>
  <c r="E22" i="7" s="1"/>
  <c r="C43" i="7"/>
  <c r="E43" i="7" s="1"/>
  <c r="C21" i="7"/>
  <c r="E21" i="7" s="1"/>
  <c r="C65" i="7"/>
  <c r="E65" i="7" s="1"/>
  <c r="C35" i="7"/>
  <c r="E35" i="7" s="1"/>
  <c r="C13" i="7"/>
  <c r="E13" i="7" s="1"/>
  <c r="C57" i="7"/>
  <c r="E57" i="7" s="1"/>
  <c r="C25" i="7"/>
  <c r="E25" i="7" s="1"/>
  <c r="C3" i="7"/>
  <c r="E3" i="7" s="1"/>
  <c r="C47" i="7"/>
  <c r="E47" i="7" s="1"/>
  <c r="C48" i="7"/>
  <c r="E48" i="7" s="1"/>
  <c r="C26" i="7"/>
  <c r="E26" i="7" s="1"/>
  <c r="C4" i="7"/>
  <c r="E4" i="7" s="1"/>
  <c r="C18" i="7"/>
  <c r="E18" i="7" s="1"/>
  <c r="C40" i="7"/>
  <c r="E40" i="7" s="1"/>
  <c r="C62" i="7"/>
  <c r="E62" i="7" s="1"/>
  <c r="C36" i="7"/>
  <c r="E36" i="7" s="1"/>
  <c r="C58" i="7"/>
  <c r="E58" i="7" s="1"/>
  <c r="C14" i="7"/>
  <c r="E14" i="7" s="1"/>
  <c r="J74" i="14"/>
  <c r="J76" i="14" s="1"/>
  <c r="AA35" i="14"/>
  <c r="AA40" i="14"/>
  <c r="AA46" i="14"/>
  <c r="AA44" i="14"/>
  <c r="AA55" i="14"/>
  <c r="AA52" i="14"/>
  <c r="AA53" i="14"/>
  <c r="AA37" i="14"/>
  <c r="AA39" i="14"/>
  <c r="AA42" i="14"/>
  <c r="AA34" i="14"/>
  <c r="AA49" i="14"/>
  <c r="AA51" i="14"/>
  <c r="AA48" i="14"/>
  <c r="AA50" i="14"/>
  <c r="AA47" i="14"/>
  <c r="AA41" i="14"/>
  <c r="AA45" i="14"/>
  <c r="AA43" i="14"/>
  <c r="AA38" i="14"/>
  <c r="AA54" i="14"/>
  <c r="AE53" i="14" l="1"/>
  <c r="AE45" i="14"/>
  <c r="AE37" i="14"/>
  <c r="AE36" i="14"/>
  <c r="AE41" i="14"/>
  <c r="AE52" i="14"/>
  <c r="AE44" i="14"/>
  <c r="AE55" i="14"/>
  <c r="AE54" i="14"/>
  <c r="AE48" i="14"/>
  <c r="AE40" i="14"/>
  <c r="AE49" i="14"/>
  <c r="AE34" i="14"/>
  <c r="AE50" i="14"/>
  <c r="AE46" i="14"/>
  <c r="AE42" i="14"/>
  <c r="AE43" i="14"/>
  <c r="AE47" i="14"/>
  <c r="AE51" i="14"/>
  <c r="AE39" i="14"/>
  <c r="AE35" i="14"/>
  <c r="AE38" i="14"/>
  <c r="AG59" i="14"/>
  <c r="AG58" i="14"/>
  <c r="AG60" i="14"/>
  <c r="AH60" i="14" l="1"/>
  <c r="AJ60" i="14" s="1"/>
  <c r="AH59" i="14"/>
  <c r="AJ59" i="14" s="1"/>
  <c r="AH58" i="14"/>
  <c r="AJ58" i="14" s="1"/>
  <c r="G47" i="7"/>
  <c r="G48" i="7"/>
  <c r="G49" i="7"/>
  <c r="G51" i="7"/>
  <c r="G52" i="7"/>
  <c r="G53" i="7"/>
  <c r="G55" i="7"/>
  <c r="G56" i="7"/>
  <c r="G57" i="7"/>
  <c r="G58" i="7"/>
  <c r="G59" i="7"/>
  <c r="G60" i="7"/>
  <c r="G61" i="7"/>
  <c r="G62" i="7"/>
  <c r="G64" i="7"/>
  <c r="G65" i="7"/>
  <c r="G66" i="7"/>
  <c r="G46" i="7"/>
  <c r="G33" i="7"/>
  <c r="G36" i="7"/>
  <c r="G42" i="7"/>
  <c r="G43" i="7"/>
  <c r="G44" i="7"/>
  <c r="H15" i="7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67" i="7" l="1"/>
  <c r="H66" i="7"/>
  <c r="H65" i="7"/>
  <c r="H64" i="7"/>
  <c r="H63" i="7"/>
  <c r="H62" i="7"/>
  <c r="H61" i="7"/>
  <c r="H60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AC24" i="4" l="1"/>
  <c r="U24" i="4"/>
  <c r="D3" i="4"/>
  <c r="D4" i="4"/>
  <c r="D5" i="4"/>
  <c r="D6" i="4"/>
  <c r="D7" i="4"/>
  <c r="D8" i="4"/>
  <c r="D9" i="4"/>
  <c r="D10" i="4"/>
  <c r="D11" i="4"/>
  <c r="G11" i="7" s="1"/>
  <c r="D12" i="4"/>
  <c r="D13" i="4"/>
  <c r="D14" i="4"/>
  <c r="G14" i="7" s="1"/>
  <c r="D15" i="4"/>
  <c r="D16" i="4"/>
  <c r="D17" i="4"/>
  <c r="D18" i="4"/>
  <c r="D19" i="4"/>
  <c r="D20" i="4"/>
  <c r="G20" i="7" s="1"/>
  <c r="D21" i="4"/>
  <c r="G21" i="7" s="1"/>
  <c r="D22" i="4"/>
  <c r="G22" i="7" s="1"/>
  <c r="D23" i="4"/>
  <c r="G67" i="7" s="1"/>
  <c r="G50" i="7" l="1"/>
  <c r="G28" i="7"/>
  <c r="G6" i="7"/>
  <c r="G17" i="7"/>
  <c r="G39" i="7"/>
  <c r="G27" i="7"/>
  <c r="G5" i="7"/>
  <c r="G38" i="7"/>
  <c r="G16" i="7"/>
  <c r="G26" i="7"/>
  <c r="G4" i="7"/>
  <c r="G29" i="7"/>
  <c r="G7" i="7"/>
  <c r="G40" i="7"/>
  <c r="G18" i="7"/>
  <c r="G34" i="7"/>
  <c r="G12" i="7"/>
  <c r="G32" i="7"/>
  <c r="G54" i="7"/>
  <c r="G10" i="7"/>
  <c r="G30" i="7"/>
  <c r="G8" i="7"/>
  <c r="G23" i="7"/>
  <c r="G45" i="7"/>
  <c r="G63" i="7"/>
  <c r="G19" i="7"/>
  <c r="G41" i="7"/>
  <c r="G15" i="7"/>
  <c r="G37" i="7"/>
  <c r="G13" i="7"/>
  <c r="G35" i="7"/>
  <c r="G9" i="7"/>
  <c r="G31" i="7"/>
  <c r="G3" i="7"/>
  <c r="D2" i="4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L33" i="1"/>
  <c r="H33" i="1"/>
  <c r="L32" i="1"/>
  <c r="H32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8" i="1"/>
  <c r="H18" i="1"/>
  <c r="L17" i="1"/>
  <c r="H17" i="1"/>
  <c r="L16" i="1"/>
  <c r="H16" i="1"/>
  <c r="L15" i="1"/>
  <c r="H15" i="1"/>
  <c r="L14" i="1"/>
  <c r="H14" i="1"/>
  <c r="L13" i="1"/>
  <c r="H13" i="1"/>
  <c r="L12" i="1"/>
  <c r="H12" i="1"/>
  <c r="L11" i="1"/>
  <c r="H11" i="1"/>
  <c r="L10" i="1"/>
  <c r="H10" i="1"/>
  <c r="L9" i="1"/>
  <c r="H9" i="1"/>
  <c r="L8" i="1"/>
  <c r="H8" i="1"/>
  <c r="L7" i="1"/>
  <c r="H7" i="1"/>
  <c r="L6" i="1"/>
  <c r="H6" i="1"/>
  <c r="L5" i="1"/>
  <c r="H5" i="1"/>
  <c r="L4" i="1"/>
  <c r="H4" i="1"/>
  <c r="L3" i="1"/>
  <c r="H3" i="1"/>
  <c r="H23" i="7"/>
  <c r="H22" i="7"/>
  <c r="H21" i="7"/>
  <c r="H20" i="7"/>
  <c r="H18" i="7"/>
  <c r="H17" i="7"/>
  <c r="H16" i="7"/>
  <c r="H19" i="7"/>
  <c r="H12" i="7"/>
  <c r="H14" i="7"/>
  <c r="H9" i="7"/>
  <c r="H8" i="7"/>
  <c r="H10" i="7"/>
  <c r="H7" i="7"/>
  <c r="H6" i="7"/>
  <c r="H13" i="7"/>
  <c r="H5" i="7"/>
  <c r="H4" i="7"/>
  <c r="H3" i="7"/>
  <c r="H11" i="7" l="1"/>
  <c r="F24" i="4"/>
  <c r="G25" i="7"/>
  <c r="G24" i="4"/>
  <c r="L24" i="4"/>
  <c r="M24" i="4"/>
  <c r="D28" i="4" s="1"/>
  <c r="H2" i="4"/>
  <c r="H24" i="4"/>
  <c r="E24" i="4"/>
  <c r="G25" i="4" l="1"/>
  <c r="H2" i="7"/>
  <c r="AB26" i="4" l="1"/>
  <c r="F28" i="4"/>
  <c r="H25" i="4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heet2!$A$2:$B$24" type="102" refreshedVersion="5" minRefreshableVersion="5">
    <extLst>
      <ext xmlns:x15="http://schemas.microsoft.com/office/spreadsheetml/2010/11/main" uri="{DE250136-89BD-433C-8126-D09CA5730AF9}">
        <x15:connection id="Range-06a8a625-634b-453a-8a18-02cdb0e1a87a" autoDelete="1" usedByAddin="1">
          <x15:rangePr sourceName="_xlcn.WorksheetConnection_Sheet2A2B241"/>
        </x15:connection>
      </ext>
    </extLst>
  </connection>
</connections>
</file>

<file path=xl/sharedStrings.xml><?xml version="1.0" encoding="utf-8"?>
<sst xmlns="http://schemas.openxmlformats.org/spreadsheetml/2006/main" count="951" uniqueCount="367">
  <si>
    <t>Total Budget</t>
  </si>
  <si>
    <t>Threats to the Level Of Service</t>
  </si>
  <si>
    <t>Possibility</t>
  </si>
  <si>
    <t>Impact</t>
  </si>
  <si>
    <t>Cost of Threat</t>
  </si>
  <si>
    <t>Unit</t>
  </si>
  <si>
    <t>Min Unit</t>
  </si>
  <si>
    <t>Max Unit</t>
  </si>
  <si>
    <t>Max Cost</t>
  </si>
  <si>
    <t>Power Loss</t>
  </si>
  <si>
    <t>T1</t>
  </si>
  <si>
    <t>Buy USB</t>
  </si>
  <si>
    <t>Hardware Failure</t>
  </si>
  <si>
    <t>T2</t>
  </si>
  <si>
    <t>Replicate Hardware</t>
  </si>
  <si>
    <t>Software Crash</t>
  </si>
  <si>
    <t>T3</t>
  </si>
  <si>
    <t>Operator Errors</t>
  </si>
  <si>
    <t>System Operators</t>
  </si>
  <si>
    <t>T4</t>
  </si>
  <si>
    <t>Education and Assessment of Security Personal</t>
  </si>
  <si>
    <t>Authorized Users</t>
  </si>
  <si>
    <t>“</t>
  </si>
  <si>
    <t>Programmers</t>
  </si>
  <si>
    <t>The Rest Of The World</t>
  </si>
  <si>
    <t>Malicious Inside Action</t>
  </si>
  <si>
    <t>T5</t>
  </si>
  <si>
    <t>Functional Isolation</t>
  </si>
  <si>
    <t>Computer Viruses</t>
  </si>
  <si>
    <t>Viruses</t>
  </si>
  <si>
    <t>T6</t>
  </si>
  <si>
    <t>Anti Virus- Anti Spam</t>
  </si>
  <si>
    <t>Trojan</t>
  </si>
  <si>
    <t>Worms</t>
  </si>
  <si>
    <t>Fire</t>
  </si>
  <si>
    <t>T7</t>
  </si>
  <si>
    <t>Disaster Recovery Center</t>
  </si>
  <si>
    <t>Explosion</t>
  </si>
  <si>
    <t>Floods</t>
  </si>
  <si>
    <t>Earthquakes</t>
  </si>
  <si>
    <t>Sabotage&amp;Arson</t>
  </si>
  <si>
    <t>Availability Threats</t>
  </si>
  <si>
    <t>DDOS Attack</t>
  </si>
  <si>
    <t>T8</t>
  </si>
  <si>
    <t>Threats to the Information Base</t>
  </si>
  <si>
    <t>Disk Failure</t>
  </si>
  <si>
    <t>T9</t>
  </si>
  <si>
    <t>Data Corruption</t>
  </si>
  <si>
    <t>T10</t>
  </si>
  <si>
    <t>Inaccurate Data</t>
  </si>
  <si>
    <t>T11</t>
  </si>
  <si>
    <t>Unauthorized Access</t>
  </si>
  <si>
    <t>T12</t>
  </si>
  <si>
    <t>Firewall</t>
  </si>
  <si>
    <t>T13</t>
  </si>
  <si>
    <t>AntiVirus</t>
  </si>
  <si>
    <t>Spyware</t>
  </si>
  <si>
    <t>AntiSpam</t>
  </si>
  <si>
    <t>Threats to Information Leakage</t>
  </si>
  <si>
    <t>Access Control Problems- Unauthorized Access</t>
  </si>
  <si>
    <t>Access Control Communications Threat</t>
  </si>
  <si>
    <t>Covert Channel Threat</t>
  </si>
  <si>
    <t>Discretionary Access Control Threats</t>
  </si>
  <si>
    <t>Mandatory Access Control Threats</t>
  </si>
  <si>
    <t>Physical Access Control Threats</t>
  </si>
  <si>
    <t>Hacking</t>
  </si>
  <si>
    <t>T14</t>
  </si>
  <si>
    <t>Pretty Good Privacy, Firewall</t>
  </si>
  <si>
    <t>Keylogger</t>
  </si>
  <si>
    <t>Backdoor</t>
  </si>
  <si>
    <t>Media Leakage</t>
  </si>
  <si>
    <t>T15</t>
  </si>
  <si>
    <t>Theft of Media</t>
  </si>
  <si>
    <t>T16</t>
  </si>
  <si>
    <t>Increase Physical Security</t>
  </si>
  <si>
    <t>Tempest</t>
  </si>
  <si>
    <t>T17</t>
  </si>
  <si>
    <t>Botnet</t>
  </si>
  <si>
    <t>T18</t>
  </si>
  <si>
    <t>Dialer</t>
  </si>
  <si>
    <t>Accountability Threats</t>
  </si>
  <si>
    <t>Authentication Threats</t>
  </si>
  <si>
    <t>T19</t>
  </si>
  <si>
    <t>Non Repudiation Threats</t>
  </si>
  <si>
    <t>T20</t>
  </si>
  <si>
    <t>Separation of Duties Threats</t>
  </si>
  <si>
    <t>T21</t>
  </si>
  <si>
    <t>Configuration Threats</t>
  </si>
  <si>
    <t>T22</t>
  </si>
  <si>
    <t>Software Signatures</t>
  </si>
  <si>
    <t>Hardware Signatures</t>
  </si>
  <si>
    <t>Tamper Resistant Construction</t>
  </si>
  <si>
    <t>Tamper Evident Construction</t>
  </si>
  <si>
    <t>Limit the transfer of executable objects</t>
  </si>
  <si>
    <t>Communication Threats</t>
  </si>
  <si>
    <t>Digital Signatures</t>
  </si>
  <si>
    <t>T23</t>
  </si>
  <si>
    <t>Integrity Check Value</t>
  </si>
  <si>
    <t>Trusted Communications Channels</t>
  </si>
  <si>
    <t>Storage Threats</t>
  </si>
  <si>
    <t>Is Prevented?</t>
  </si>
  <si>
    <t>20161191455918968162</t>
  </si>
  <si>
    <t>5aBufdizcLalXd0z</t>
  </si>
  <si>
    <t>cjMF</t>
  </si>
  <si>
    <t>Other Environmental Disasters</t>
  </si>
  <si>
    <t>Communication Preventer Threats</t>
  </si>
  <si>
    <t>Threat</t>
  </si>
  <si>
    <t>Threats to The Level of Service</t>
  </si>
  <si>
    <t>Selected Sample PCounterMeasures</t>
  </si>
  <si>
    <t>Unit Cost of CounterMeasure</t>
  </si>
  <si>
    <t>Cost of Counter Measure</t>
  </si>
  <si>
    <t>Backup tapes</t>
  </si>
  <si>
    <t xml:space="preserve">Improvement in Data Governance and Data Distribution techniques </t>
  </si>
  <si>
    <t>Firewall, Central Access Control, Improvement in Access Control Policies,</t>
  </si>
  <si>
    <t xml:space="preserve">Load- Unload Device Drivers,Turn off Auto Run, </t>
  </si>
  <si>
    <t>Strong passwords, Regular software patches, use of 64 bit OS</t>
  </si>
  <si>
    <t>Increasing bandwidth, Bandwidth throttling techniques, Traffic Management, Filtering (Firewall). Cache servers</t>
  </si>
  <si>
    <t>Numerical Risk Value of Threat</t>
  </si>
  <si>
    <t>Calculated Cost</t>
  </si>
  <si>
    <t>Name</t>
  </si>
  <si>
    <t>Description</t>
  </si>
  <si>
    <t>P1</t>
  </si>
  <si>
    <t>Install UPS</t>
  </si>
  <si>
    <t>P12</t>
  </si>
  <si>
    <t>Traffic Management</t>
  </si>
  <si>
    <t>P23</t>
  </si>
  <si>
    <t>Service level software agreement, PAAS</t>
  </si>
  <si>
    <t>P2</t>
  </si>
  <si>
    <t>Replicate Servers</t>
  </si>
  <si>
    <t>P13</t>
  </si>
  <si>
    <t>Backup Tapes</t>
  </si>
  <si>
    <t>P24</t>
  </si>
  <si>
    <t>Cache Servers in Virtual Machines</t>
  </si>
  <si>
    <t>P3</t>
  </si>
  <si>
    <t>Add validation to forms in enterprise software</t>
  </si>
  <si>
    <t>P14</t>
  </si>
  <si>
    <t>P25</t>
  </si>
  <si>
    <t>Pre-employment screening</t>
  </si>
  <si>
    <t>P4</t>
  </si>
  <si>
    <t>P15</t>
  </si>
  <si>
    <t>Improvement in Data Distribution and Data Governance Policies</t>
  </si>
  <si>
    <t>P26</t>
  </si>
  <si>
    <t>Mandatory vacations</t>
  </si>
  <si>
    <t>P5</t>
  </si>
  <si>
    <t>P16</t>
  </si>
  <si>
    <t>Pretty Good Privacy</t>
  </si>
  <si>
    <t>P27</t>
  </si>
  <si>
    <t>Identity and Access Management (IAM) Systems</t>
  </si>
  <si>
    <t>P6</t>
  </si>
  <si>
    <t>Anti-Virus</t>
  </si>
  <si>
    <t>P17</t>
  </si>
  <si>
    <t>Strong passwords</t>
  </si>
  <si>
    <t>P28</t>
  </si>
  <si>
    <t>Encryption Solutions</t>
  </si>
  <si>
    <t>P7</t>
  </si>
  <si>
    <t>Anti-Spam</t>
  </si>
  <si>
    <t>P18</t>
  </si>
  <si>
    <t>Regular software patches</t>
  </si>
  <si>
    <t>P29</t>
  </si>
  <si>
    <t>Intrusion Detection and Prevention Systems</t>
  </si>
  <si>
    <t>P8</t>
  </si>
  <si>
    <t>Disaster Recovery Center on Cloud Systems</t>
  </si>
  <si>
    <t>P19</t>
  </si>
  <si>
    <t>Use of 64 bit OS</t>
  </si>
  <si>
    <t>P30</t>
  </si>
  <si>
    <t>P13-Backup Tapes</t>
  </si>
  <si>
    <t>P25-Pre Employment Screening</t>
  </si>
  <si>
    <t>P1-Install USB</t>
  </si>
  <si>
    <t>P2-Replicate Servers</t>
  </si>
  <si>
    <t>P18-Regular Software Patches</t>
  </si>
  <si>
    <t>P4-Education and Assessment of Security Personal</t>
  </si>
  <si>
    <t>P5-Functional Isolation</t>
  </si>
  <si>
    <t>P9-FHM System</t>
  </si>
  <si>
    <t>P8-Disaster Recovery on Cloud</t>
  </si>
  <si>
    <t>P3-Add validation to forms</t>
  </si>
  <si>
    <t>P14-Firewall</t>
  </si>
  <si>
    <t>P6-AntiVirus</t>
  </si>
  <si>
    <t>P22-Increase Physical Security</t>
  </si>
  <si>
    <t>P17-Strong Passwords</t>
  </si>
  <si>
    <t>P30-Digital Signatures</t>
  </si>
  <si>
    <t>P20-Turn off AutoRun</t>
  </si>
  <si>
    <t>Non</t>
  </si>
  <si>
    <t>P23-Service Level Software Agreement</t>
  </si>
  <si>
    <t>P26-Mandatory vacations</t>
  </si>
  <si>
    <t>P7-Anti spam</t>
  </si>
  <si>
    <t>P15-Improvement in Data Distribution and Governance</t>
  </si>
  <si>
    <t>P33-Limit Transfer of Executables</t>
  </si>
  <si>
    <t>P27-Identity and Access Management System</t>
  </si>
  <si>
    <t>P32-Integrity Check</t>
  </si>
  <si>
    <t>P21-Load Unload Drivers</t>
  </si>
  <si>
    <t>P10-Increase Bandwidth</t>
  </si>
  <si>
    <t>T22- Communications Threats</t>
  </si>
  <si>
    <t>T21-Configuration Threats</t>
  </si>
  <si>
    <t>T20-Separation of Duties</t>
  </si>
  <si>
    <t>T19-Non Repudiation Threats</t>
  </si>
  <si>
    <t>P28-Cryptologic Solutions(Digital Signatures)</t>
  </si>
  <si>
    <t>T18-Authentication Threats</t>
  </si>
  <si>
    <t>T17-Communication Preventers(Botnet, Dialer)</t>
  </si>
  <si>
    <t>T16-Media Leakage</t>
  </si>
  <si>
    <t>T15-Hacking</t>
  </si>
  <si>
    <t>T14-Virus and Spyware</t>
  </si>
  <si>
    <t>T13-Un-authorized Access</t>
  </si>
  <si>
    <t>T12-Inaccurrate Data</t>
  </si>
  <si>
    <t>T1-Power Loss</t>
  </si>
  <si>
    <t>T2-Hardware Failure</t>
  </si>
  <si>
    <t>T3-Software Crash</t>
  </si>
  <si>
    <t>T4-Operator Errors</t>
  </si>
  <si>
    <t>T5-Malicious Inside Action</t>
  </si>
  <si>
    <t>T6-Trojan and Worms</t>
  </si>
  <si>
    <t>T7-Fire</t>
  </si>
  <si>
    <t>T8-Other Enviromental Disasters</t>
  </si>
  <si>
    <t>T9-Availability Threats(DDOS)</t>
  </si>
  <si>
    <t>T10-Disk Failure</t>
  </si>
  <si>
    <t>T11-Data Corruption</t>
  </si>
  <si>
    <t>P19-Use of 64 bit OS's</t>
  </si>
  <si>
    <t>P15-Improvement in Data Distribution and Governance Systems</t>
  </si>
  <si>
    <t>P28-Cryptologic Solutions(Encryption)</t>
  </si>
  <si>
    <t>P24-Auditing</t>
  </si>
  <si>
    <t>P12-Traffic Management</t>
  </si>
  <si>
    <t>P11-Bandwidth Throtting Techniques</t>
  </si>
  <si>
    <t>P29-Intrusion Detection System</t>
  </si>
  <si>
    <t>P31-Trusted Communication Channels</t>
  </si>
  <si>
    <t>P16-Pretty Good Privacy</t>
  </si>
  <si>
    <t>Prevented Amount of Risk by Px</t>
  </si>
  <si>
    <t>Prevented Amount of Risk by Py</t>
  </si>
  <si>
    <t>Prevented Amount of Risk by Pz</t>
  </si>
  <si>
    <t>Offered Precaution x</t>
  </si>
  <si>
    <t>Unit Cost of Precaution x</t>
  </si>
  <si>
    <t>Unit x</t>
  </si>
  <si>
    <t>Cost of Precaution x</t>
  </si>
  <si>
    <t>Min Unit x</t>
  </si>
  <si>
    <t>Max Unit x</t>
  </si>
  <si>
    <t>Max Cost x</t>
  </si>
  <si>
    <t>Offered Precaution y</t>
  </si>
  <si>
    <t>Unit Cost of Precaution y</t>
  </si>
  <si>
    <t>Unit y</t>
  </si>
  <si>
    <t>Cost of Precaution y</t>
  </si>
  <si>
    <t>Min Unit y</t>
  </si>
  <si>
    <t>Max Unit y</t>
  </si>
  <si>
    <t>Max Cost y</t>
  </si>
  <si>
    <t>Offered Precaution z</t>
  </si>
  <si>
    <t>Unit Cost of Precaution z</t>
  </si>
  <si>
    <t>Unit z</t>
  </si>
  <si>
    <t>Cost of Precaution z</t>
  </si>
  <si>
    <t>Min Unit z</t>
  </si>
  <si>
    <t>Max Unit z</t>
  </si>
  <si>
    <t>Max Cost z</t>
  </si>
  <si>
    <t>Percentage of Risk  Prevented x</t>
  </si>
  <si>
    <t>Percentage of Risk  Prevented y</t>
  </si>
  <si>
    <t>Percentage of Risk  Prevented z</t>
  </si>
  <si>
    <t>CTQ'S</t>
  </si>
  <si>
    <t>COL. TOTAL</t>
  </si>
  <si>
    <t>CUMULATIVE NORMALIZED SCORE OR ROW SUM</t>
  </si>
  <si>
    <t>NORMALIZED PERCENTAGE OR PERCENT RATIO SCALE OF PRIORITY</t>
  </si>
  <si>
    <t>AHP MATRIX TEMPLATE  TO ANALYZE POSSIBILTY OF THREATS</t>
  </si>
  <si>
    <t>FILL THE SCORES ALLOCATED IN THE CELLS SHADED AS THIS BACKGROUND COLOR</t>
  </si>
  <si>
    <t>Corresponding Threat Group</t>
  </si>
  <si>
    <t>Threat Group Likelihood/Priority Calculation Result</t>
  </si>
  <si>
    <t>Threat Likelihood Overall Result</t>
  </si>
  <si>
    <t>Threat_Group4</t>
  </si>
  <si>
    <t>Threat_Group5</t>
  </si>
  <si>
    <t>Consistency Index (CI)=</t>
  </si>
  <si>
    <t>Random Index(RI)=</t>
  </si>
  <si>
    <t>Consistency Ration (CR)=</t>
  </si>
  <si>
    <t>Consistency Measure For Threats</t>
  </si>
  <si>
    <t>Consistency Measure for Threat Groups</t>
  </si>
  <si>
    <t>GUIDE FOR PAIRWISE COMPARISON</t>
  </si>
  <si>
    <t>Consistency Measure for 3 Threat Groups</t>
  </si>
  <si>
    <t>RI Values based on published article</t>
  </si>
  <si>
    <t>CONSISTENCY IN THE ANALYTIC HIERARCHY PROCESS: A NEW APPROACH</t>
  </si>
  <si>
    <t>JOSÉ ANTONIO ALONSO and M. TERESA LAMATA</t>
  </si>
  <si>
    <t>International Journal of Uncertainty, Fuzziness and Knowledge-Based Systems 2006 14:04, 445-459 </t>
  </si>
  <si>
    <t>RI</t>
  </si>
  <si>
    <t>n</t>
  </si>
  <si>
    <t>Random Index</t>
  </si>
  <si>
    <t># of comparison items</t>
  </si>
  <si>
    <t>Consistency Ratio (CR)=</t>
  </si>
  <si>
    <t>Thread Names</t>
  </si>
  <si>
    <t>Extreme</t>
  </si>
  <si>
    <t>Very Strong</t>
  </si>
  <si>
    <t>Strong</t>
  </si>
  <si>
    <t>Moderate</t>
  </si>
  <si>
    <t>Equal</t>
  </si>
  <si>
    <t>1/3</t>
  </si>
  <si>
    <t>1/5</t>
  </si>
  <si>
    <t>1/7</t>
  </si>
  <si>
    <t>1/9</t>
  </si>
  <si>
    <t>A</t>
  </si>
  <si>
    <t xml:space="preserve">Extreme </t>
  </si>
  <si>
    <t>B</t>
  </si>
  <si>
    <t>Comparison Values</t>
  </si>
  <si>
    <t>Thread Groups</t>
  </si>
  <si>
    <t>Not Related to</t>
  </si>
  <si>
    <t>RI Values For The # of Threats For Each Group</t>
  </si>
  <si>
    <t>Average Values For Consistency Calc</t>
  </si>
  <si>
    <t>Consistency Index (CI)</t>
  </si>
  <si>
    <t>Group 1 (CI)=</t>
  </si>
  <si>
    <t>Group 2 (CI)=</t>
  </si>
  <si>
    <t>Group 3 (CI)=</t>
  </si>
  <si>
    <t>Group 4 (CI)=</t>
  </si>
  <si>
    <t>Group 5 (CI)=</t>
  </si>
  <si>
    <t>Accepted Consistency Level</t>
  </si>
  <si>
    <t>Likelyhood</t>
  </si>
  <si>
    <t>Risk</t>
  </si>
  <si>
    <t>Threat Group</t>
  </si>
  <si>
    <t xml:space="preserve">Precaution </t>
  </si>
  <si>
    <t>Cost of Precaution</t>
  </si>
  <si>
    <t>Prevented Amount of Risk By Precaution</t>
  </si>
  <si>
    <t>Total Risk</t>
  </si>
  <si>
    <t>Total Cost of Precaution</t>
  </si>
  <si>
    <t>P11-Bandwidth throttling techniques</t>
  </si>
  <si>
    <t>P15-Improvement in Data Distribution and Data Governance Policies</t>
  </si>
  <si>
    <t>P17-Strong passwords</t>
  </si>
  <si>
    <t>P18-Regular software patches</t>
  </si>
  <si>
    <t>P19-Use of 64 bit OS</t>
  </si>
  <si>
    <t>P20-Turnoff Auto-Run</t>
  </si>
  <si>
    <t>P21-Load – Un-Load Drivers</t>
  </si>
  <si>
    <t>P25-Pre-employment screening</t>
  </si>
  <si>
    <t>P27-Identity and Access Management (IAM) Systems</t>
  </si>
  <si>
    <t>P28-Encryption Solutions</t>
  </si>
  <si>
    <t>P29-Intrusion Detection and Prevention Systems</t>
  </si>
  <si>
    <t>Total Prevented Amount of Risk By Precaution</t>
  </si>
  <si>
    <t>AHP MATRIX TEMPLATE  TO ANALYZE SEVERITY(IMPACT) OF THREATS</t>
  </si>
  <si>
    <t>Threat Group Severity Calculation Result</t>
  </si>
  <si>
    <t>Threat Severity Overall Result</t>
  </si>
  <si>
    <t>P23-Service level software agreement, PAAS</t>
  </si>
  <si>
    <t>Consistency Measure for  5 Threat Groups</t>
  </si>
  <si>
    <t>The Rest of The World</t>
  </si>
  <si>
    <t>Trojan and Worms</t>
  </si>
  <si>
    <t>Other Enviromental Disasters</t>
  </si>
  <si>
    <t>Availability Threats(DDOS)</t>
  </si>
  <si>
    <t>Inaccurrate Data</t>
  </si>
  <si>
    <t>Virus and Spyware</t>
  </si>
  <si>
    <t>Explosions</t>
  </si>
  <si>
    <t>Covert Channel</t>
  </si>
  <si>
    <t>Mandatory Access Control</t>
  </si>
  <si>
    <t>Physical Access Control</t>
  </si>
  <si>
    <t>Discretionary Access Control</t>
  </si>
  <si>
    <t>Un-authorized Access</t>
  </si>
  <si>
    <t>Communication Preventers(Botnet, Dialer)</t>
  </si>
  <si>
    <t>Separation of Duties</t>
  </si>
  <si>
    <t>Communications Threats</t>
  </si>
  <si>
    <t>P33</t>
  </si>
  <si>
    <t>P9</t>
  </si>
  <si>
    <t>P10</t>
  </si>
  <si>
    <t>P11</t>
  </si>
  <si>
    <t>P20</t>
  </si>
  <si>
    <t>P22</t>
  </si>
  <si>
    <t>P31</t>
  </si>
  <si>
    <t>P21</t>
  </si>
  <si>
    <t>P32</t>
  </si>
  <si>
    <t>Risk Decrease x</t>
  </si>
  <si>
    <t>Risk Decrease y</t>
  </si>
  <si>
    <t>Unit Cost y</t>
  </si>
  <si>
    <t>P x</t>
  </si>
  <si>
    <t>P z</t>
  </si>
  <si>
    <t>Risk  Decrease z</t>
  </si>
  <si>
    <t>Unit Cost z</t>
  </si>
  <si>
    <t>Unit Cost x</t>
  </si>
  <si>
    <t>P y</t>
  </si>
  <si>
    <t>Prevented Amount of Risk</t>
  </si>
  <si>
    <t>Total Existing Risk</t>
  </si>
  <si>
    <t>Threat_Group1</t>
  </si>
  <si>
    <t>Threat_Group2</t>
  </si>
  <si>
    <t>Threat_Group3</t>
  </si>
  <si>
    <t>Total Spent Budget =</t>
  </si>
  <si>
    <t>Percentage of Total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</si>
</sst>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00000"/>
    <numFmt numFmtId="167" formatCode="0.000000000"/>
  </numFmts>
  <fonts count="36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9"/>
      <color rgb="FF000000"/>
      <name val="Times New Roman"/>
      <family val="1"/>
    </font>
    <font>
      <sz val="10"/>
      <name val="Arial"/>
      <family val="2"/>
    </font>
    <font>
      <b/>
      <sz val="22"/>
      <name val="Arial"/>
      <family val="2"/>
    </font>
    <font>
      <b/>
      <i/>
      <u/>
      <sz val="16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sz val="10"/>
      <color theme="0" tint="-4.9989318521683403E-2"/>
      <name val="Arial"/>
      <family val="2"/>
    </font>
    <font>
      <b/>
      <sz val="10"/>
      <name val="Segoe UI Light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1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i/>
      <sz val="14"/>
      <color rgb="FFFF0000"/>
      <name val="Arial"/>
      <family val="2"/>
    </font>
    <font>
      <sz val="7"/>
      <color rgb="FF000000"/>
      <name val="Verdana"/>
      <family val="2"/>
    </font>
    <font>
      <u/>
      <sz val="10"/>
      <color theme="10"/>
      <name val="Arial"/>
      <family val="2"/>
    </font>
    <font>
      <b/>
      <sz val="12"/>
      <color rgb="FF000000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1"/>
      <name val="Arial"/>
      <family val="2"/>
    </font>
    <font>
      <b/>
      <sz val="10"/>
      <color rgb="FF282828"/>
      <name val="Georgia"/>
      <family val="1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</patternFill>
    </fill>
    <fill>
      <patternFill patternType="solid">
        <fgColor rgb="FFFEE6F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70C0"/>
        <bgColor indexed="64"/>
      </patternFill>
    </fill>
  </fills>
  <borders count="5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11" fillId="0" borderId="0"/>
    <xf numFmtId="0" fontId="21" fillId="34" borderId="32" applyNumberFormat="0" applyAlignment="0" applyProtection="0"/>
    <xf numFmtId="0" fontId="25" fillId="0" borderId="0" applyNumberFormat="0" applyFill="0" applyBorder="0" applyAlignment="0" applyProtection="0"/>
  </cellStyleXfs>
  <cellXfs count="413">
    <xf numFmtId="0" fontId="0" fillId="0" borderId="0" xfId="0" applyFont="1" applyAlignment="1"/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/>
    <xf numFmtId="0" fontId="1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1" fillId="0" borderId="1" xfId="0" applyFont="1" applyBorder="1"/>
    <xf numFmtId="0" fontId="2" fillId="0" borderId="2" xfId="0" applyFont="1" applyBorder="1" applyAlignment="1">
      <alignment vertical="top"/>
    </xf>
    <xf numFmtId="0" fontId="2" fillId="0" borderId="2" xfId="0" applyFont="1" applyBorder="1" applyAlignment="1">
      <alignment vertical="top"/>
    </xf>
    <xf numFmtId="0" fontId="0" fillId="0" borderId="1" xfId="0" applyFont="1" applyBorder="1"/>
    <xf numFmtId="0" fontId="0" fillId="0" borderId="1" xfId="0" applyFont="1" applyBorder="1"/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0" fillId="0" borderId="0" xfId="0" applyFont="1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2" xfId="0" applyFont="1" applyBorder="1" applyAlignment="1">
      <alignment vertical="top"/>
    </xf>
    <xf numFmtId="0" fontId="3" fillId="0" borderId="0" xfId="0" applyFont="1" applyAlignment="1"/>
    <xf numFmtId="0" fontId="3" fillId="0" borderId="0" xfId="0" applyFont="1" applyAlignment="1"/>
    <xf numFmtId="0" fontId="3" fillId="0" borderId="5" xfId="0" applyFont="1" applyBorder="1" applyAlignment="1"/>
    <xf numFmtId="0" fontId="3" fillId="0" borderId="6" xfId="0" applyFont="1" applyBorder="1" applyAlignment="1"/>
    <xf numFmtId="0" fontId="3" fillId="0" borderId="3" xfId="0" applyFont="1" applyBorder="1" applyAlignment="1"/>
    <xf numFmtId="0" fontId="3" fillId="0" borderId="2" xfId="0" applyFont="1" applyBorder="1" applyAlignment="1"/>
    <xf numFmtId="0" fontId="2" fillId="0" borderId="5" xfId="0" applyFont="1" applyBorder="1" applyAlignment="1"/>
    <xf numFmtId="0" fontId="4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7" fillId="0" borderId="0" xfId="0" applyFont="1" applyAlignment="1"/>
    <xf numFmtId="0" fontId="4" fillId="0" borderId="1" xfId="0" applyFont="1" applyBorder="1"/>
    <xf numFmtId="0" fontId="8" fillId="0" borderId="8" xfId="0" applyFont="1" applyBorder="1" applyAlignment="1">
      <alignment vertical="center" wrapText="1"/>
    </xf>
    <xf numFmtId="0" fontId="8" fillId="0" borderId="9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25" fillId="0" borderId="0" xfId="3" applyAlignment="1">
      <alignment horizontal="left" vertical="top" wrapText="1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/>
    <xf numFmtId="0" fontId="5" fillId="0" borderId="0" xfId="0" applyFont="1" applyAlignment="1"/>
    <xf numFmtId="12" fontId="20" fillId="9" borderId="7" xfId="0" applyNumberFormat="1" applyFont="1" applyFill="1" applyBorder="1" applyAlignment="1" applyProtection="1">
      <alignment horizontal="center" vertical="center"/>
      <protection locked="0"/>
    </xf>
    <xf numFmtId="12" fontId="20" fillId="11" borderId="7" xfId="0" applyNumberFormat="1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vertical="top" wrapText="1"/>
      <protection locked="0"/>
    </xf>
    <xf numFmtId="0" fontId="18" fillId="5" borderId="1" xfId="0" applyFont="1" applyFill="1" applyBorder="1" applyAlignment="1" applyProtection="1">
      <alignment vertical="top" wrapText="1"/>
      <protection locked="0"/>
    </xf>
    <xf numFmtId="0" fontId="18" fillId="3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>
      <protection locked="0"/>
    </xf>
    <xf numFmtId="0" fontId="18" fillId="2" borderId="2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 applyProtection="1"/>
    <xf numFmtId="0" fontId="2" fillId="0" borderId="0" xfId="0" applyFont="1" applyAlignment="1" applyProtection="1">
      <protection hidden="1"/>
    </xf>
    <xf numFmtId="0" fontId="0" fillId="0" borderId="0" xfId="0" applyFont="1" applyAlignment="1" applyProtection="1">
      <protection hidden="1"/>
    </xf>
    <xf numFmtId="0" fontId="11" fillId="0" borderId="0" xfId="1" applyProtection="1"/>
    <xf numFmtId="0" fontId="0" fillId="0" borderId="0" xfId="0" applyFont="1" applyProtection="1"/>
    <xf numFmtId="0" fontId="0" fillId="0" borderId="0" xfId="0" applyProtection="1"/>
    <xf numFmtId="0" fontId="0" fillId="3" borderId="0" xfId="0" applyFont="1" applyFill="1" applyAlignment="1" applyProtection="1"/>
    <xf numFmtId="0" fontId="1" fillId="5" borderId="7" xfId="1" applyFont="1" applyFill="1" applyBorder="1" applyProtection="1"/>
    <xf numFmtId="0" fontId="1" fillId="7" borderId="7" xfId="1" applyFont="1" applyFill="1" applyBorder="1" applyAlignment="1" applyProtection="1">
      <alignment textRotation="45" wrapText="1"/>
    </xf>
    <xf numFmtId="0" fontId="11" fillId="3" borderId="25" xfId="1" applyFill="1" applyBorder="1" applyProtection="1"/>
    <xf numFmtId="0" fontId="11" fillId="3" borderId="0" xfId="1" applyFill="1" applyProtection="1"/>
    <xf numFmtId="0" fontId="1" fillId="7" borderId="27" xfId="1" applyFont="1" applyFill="1" applyBorder="1" applyProtection="1"/>
    <xf numFmtId="12" fontId="1" fillId="8" borderId="37" xfId="0" applyNumberFormat="1" applyFont="1" applyFill="1" applyBorder="1" applyAlignment="1" applyProtection="1">
      <alignment horizontal="center" vertical="center"/>
    </xf>
    <xf numFmtId="164" fontId="17" fillId="9" borderId="7" xfId="0" applyNumberFormat="1" applyFont="1" applyFill="1" applyBorder="1" applyAlignment="1" applyProtection="1">
      <alignment horizontal="center" vertical="center"/>
    </xf>
    <xf numFmtId="0" fontId="1" fillId="0" borderId="0" xfId="1" applyFont="1" applyFill="1" applyBorder="1" applyProtection="1"/>
    <xf numFmtId="0" fontId="11" fillId="0" borderId="0" xfId="1" applyFill="1" applyBorder="1" applyProtection="1"/>
    <xf numFmtId="0" fontId="1" fillId="7" borderId="7" xfId="1" applyFont="1" applyFill="1" applyBorder="1" applyProtection="1"/>
    <xf numFmtId="12" fontId="1" fillId="10" borderId="22" xfId="0" applyNumberFormat="1" applyFont="1" applyFill="1" applyBorder="1" applyAlignment="1" applyProtection="1">
      <alignment horizontal="center" vertical="center"/>
    </xf>
    <xf numFmtId="12" fontId="20" fillId="8" borderId="37" xfId="0" applyNumberFormat="1" applyFont="1" applyFill="1" applyBorder="1" applyAlignment="1" applyProtection="1">
      <alignment horizontal="center" vertical="center"/>
    </xf>
    <xf numFmtId="164" fontId="1" fillId="11" borderId="7" xfId="0" applyNumberFormat="1" applyFont="1" applyFill="1" applyBorder="1" applyAlignment="1" applyProtection="1">
      <alignment horizontal="center" vertical="center"/>
    </xf>
    <xf numFmtId="12" fontId="1" fillId="10" borderId="7" xfId="0" applyNumberFormat="1" applyFont="1" applyFill="1" applyBorder="1" applyAlignment="1" applyProtection="1">
      <alignment horizontal="center" vertical="center"/>
    </xf>
    <xf numFmtId="12" fontId="20" fillId="10" borderId="22" xfId="0" applyNumberFormat="1" applyFont="1" applyFill="1" applyBorder="1" applyAlignment="1" applyProtection="1">
      <alignment horizontal="center" vertical="center"/>
    </xf>
    <xf numFmtId="164" fontId="1" fillId="7" borderId="7" xfId="0" applyNumberFormat="1" applyFont="1" applyFill="1" applyBorder="1" applyAlignment="1" applyProtection="1">
      <alignment horizontal="center" vertical="center"/>
    </xf>
    <xf numFmtId="12" fontId="20" fillId="10" borderId="7" xfId="0" applyNumberFormat="1" applyFont="1" applyFill="1" applyBorder="1" applyAlignment="1" applyProtection="1">
      <alignment horizontal="center" vertical="center"/>
    </xf>
    <xf numFmtId="164" fontId="1" fillId="12" borderId="7" xfId="0" applyNumberFormat="1" applyFont="1" applyFill="1" applyBorder="1" applyAlignment="1" applyProtection="1">
      <alignment horizontal="center" vertical="center"/>
    </xf>
    <xf numFmtId="164" fontId="1" fillId="16" borderId="7" xfId="0" applyNumberFormat="1" applyFont="1" applyFill="1" applyBorder="1" applyAlignment="1" applyProtection="1">
      <alignment horizontal="center" vertical="center"/>
    </xf>
    <xf numFmtId="164" fontId="1" fillId="17" borderId="7" xfId="0" applyNumberFormat="1" applyFont="1" applyFill="1" applyBorder="1" applyAlignment="1" applyProtection="1">
      <alignment horizontal="center" vertical="center"/>
    </xf>
    <xf numFmtId="164" fontId="1" fillId="18" borderId="7" xfId="0" applyNumberFormat="1" applyFont="1" applyFill="1" applyBorder="1" applyAlignment="1" applyProtection="1">
      <alignment horizontal="center" vertical="center"/>
    </xf>
    <xf numFmtId="164" fontId="1" fillId="19" borderId="7" xfId="0" applyNumberFormat="1" applyFont="1" applyFill="1" applyBorder="1" applyAlignment="1" applyProtection="1">
      <alignment horizontal="center" vertical="center"/>
    </xf>
    <xf numFmtId="164" fontId="1" fillId="20" borderId="7" xfId="0" applyNumberFormat="1" applyFont="1" applyFill="1" applyBorder="1" applyAlignment="1" applyProtection="1">
      <alignment horizontal="center" vertical="center"/>
    </xf>
    <xf numFmtId="164" fontId="1" fillId="15" borderId="7" xfId="0" applyNumberFormat="1" applyFont="1" applyFill="1" applyBorder="1" applyAlignment="1" applyProtection="1">
      <alignment horizontal="center" vertical="center"/>
    </xf>
    <xf numFmtId="164" fontId="1" fillId="4" borderId="7" xfId="0" applyNumberFormat="1" applyFont="1" applyFill="1" applyBorder="1" applyAlignment="1" applyProtection="1">
      <alignment horizontal="center" vertical="center"/>
    </xf>
    <xf numFmtId="164" fontId="1" fillId="21" borderId="7" xfId="0" applyNumberFormat="1" applyFont="1" applyFill="1" applyBorder="1" applyAlignment="1" applyProtection="1">
      <alignment horizontal="center" vertical="center"/>
    </xf>
    <xf numFmtId="164" fontId="1" fillId="22" borderId="7" xfId="0" applyNumberFormat="1" applyFont="1" applyFill="1" applyBorder="1" applyAlignment="1" applyProtection="1">
      <alignment horizontal="center" vertical="center"/>
    </xf>
    <xf numFmtId="164" fontId="1" fillId="3" borderId="7" xfId="0" applyNumberFormat="1" applyFont="1" applyFill="1" applyBorder="1" applyAlignment="1" applyProtection="1">
      <alignment horizontal="center" vertical="center"/>
    </xf>
    <xf numFmtId="164" fontId="1" fillId="23" borderId="7" xfId="0" applyNumberFormat="1" applyFont="1" applyFill="1" applyBorder="1" applyAlignment="1" applyProtection="1">
      <alignment horizontal="center" vertical="center"/>
    </xf>
    <xf numFmtId="164" fontId="16" fillId="24" borderId="7" xfId="0" applyNumberFormat="1" applyFont="1" applyFill="1" applyBorder="1" applyAlignment="1" applyProtection="1">
      <alignment horizontal="center" vertical="center"/>
    </xf>
    <xf numFmtId="164" fontId="1" fillId="25" borderId="7" xfId="0" applyNumberFormat="1" applyFont="1" applyFill="1" applyBorder="1" applyAlignment="1" applyProtection="1">
      <alignment horizontal="center" vertical="center"/>
    </xf>
    <xf numFmtId="164" fontId="1" fillId="26" borderId="7" xfId="0" applyNumberFormat="1" applyFont="1" applyFill="1" applyBorder="1" applyAlignment="1" applyProtection="1">
      <alignment horizontal="center" vertical="center"/>
    </xf>
    <xf numFmtId="164" fontId="16" fillId="27" borderId="7" xfId="0" applyNumberFormat="1" applyFont="1" applyFill="1" applyBorder="1" applyAlignment="1" applyProtection="1">
      <alignment horizontal="center" vertical="center"/>
    </xf>
    <xf numFmtId="164" fontId="1" fillId="28" borderId="7" xfId="0" applyNumberFormat="1" applyFont="1" applyFill="1" applyBorder="1" applyAlignment="1" applyProtection="1">
      <alignment horizontal="center" vertical="center"/>
    </xf>
    <xf numFmtId="164" fontId="16" fillId="29" borderId="7" xfId="0" applyNumberFormat="1" applyFont="1" applyFill="1" applyBorder="1" applyAlignment="1" applyProtection="1">
      <alignment horizontal="center" vertical="center"/>
    </xf>
    <xf numFmtId="164" fontId="16" fillId="30" borderId="7" xfId="0" applyNumberFormat="1" applyFont="1" applyFill="1" applyBorder="1" applyAlignment="1" applyProtection="1">
      <alignment horizontal="center" vertical="center"/>
    </xf>
    <xf numFmtId="0" fontId="16" fillId="31" borderId="7" xfId="0" applyFont="1" applyFill="1" applyBorder="1" applyAlignment="1" applyProtection="1">
      <alignment horizontal="center" vertical="center"/>
    </xf>
    <xf numFmtId="164" fontId="16" fillId="31" borderId="7" xfId="0" applyNumberFormat="1" applyFont="1" applyFill="1" applyBorder="1" applyAlignment="1" applyProtection="1">
      <alignment horizontal="center" vertical="center"/>
    </xf>
    <xf numFmtId="164" fontId="27" fillId="31" borderId="7" xfId="0" applyNumberFormat="1" applyFont="1" applyFill="1" applyBorder="1" applyAlignment="1" applyProtection="1">
      <alignment horizontal="center" vertical="center"/>
    </xf>
    <xf numFmtId="0" fontId="0" fillId="3" borderId="0" xfId="0" applyFont="1" applyFill="1" applyProtection="1"/>
    <xf numFmtId="0" fontId="16" fillId="3" borderId="21" xfId="0" applyFont="1" applyFill="1" applyBorder="1" applyAlignment="1" applyProtection="1">
      <alignment horizontal="center" vertical="center"/>
    </xf>
    <xf numFmtId="164" fontId="16" fillId="3" borderId="7" xfId="0" applyNumberFormat="1" applyFont="1" applyFill="1" applyBorder="1" applyAlignment="1" applyProtection="1">
      <alignment horizontal="center" vertical="center"/>
    </xf>
    <xf numFmtId="0" fontId="0" fillId="3" borderId="0" xfId="0" applyFill="1" applyProtection="1"/>
    <xf numFmtId="0" fontId="1" fillId="3" borderId="0" xfId="1" applyFont="1" applyFill="1" applyBorder="1" applyProtection="1"/>
    <xf numFmtId="0" fontId="11" fillId="3" borderId="0" xfId="1" applyFill="1" applyBorder="1" applyProtection="1"/>
    <xf numFmtId="0" fontId="18" fillId="7" borderId="21" xfId="1" applyFont="1" applyFill="1" applyBorder="1" applyAlignment="1" applyProtection="1">
      <alignment horizontal="center" wrapText="1"/>
    </xf>
    <xf numFmtId="0" fontId="18" fillId="7" borderId="31" xfId="1" applyFont="1" applyFill="1" applyBorder="1" applyAlignment="1" applyProtection="1">
      <alignment horizontal="center" wrapText="1"/>
    </xf>
    <xf numFmtId="0" fontId="18" fillId="7" borderId="23" xfId="1" applyFont="1" applyFill="1" applyBorder="1" applyAlignment="1" applyProtection="1">
      <alignment horizontal="center" wrapText="1"/>
    </xf>
    <xf numFmtId="0" fontId="1" fillId="7" borderId="22" xfId="1" applyFont="1" applyFill="1" applyBorder="1" applyAlignment="1" applyProtection="1">
      <alignment horizontal="center" wrapText="1"/>
    </xf>
    <xf numFmtId="0" fontId="1" fillId="7" borderId="12" xfId="1" applyFont="1" applyFill="1" applyBorder="1" applyAlignment="1" applyProtection="1">
      <alignment horizontal="center" vertical="center" wrapText="1"/>
    </xf>
    <xf numFmtId="0" fontId="1" fillId="7" borderId="0" xfId="1" applyFont="1" applyFill="1" applyBorder="1" applyAlignment="1" applyProtection="1">
      <alignment horizontal="center" vertical="center" wrapText="1"/>
    </xf>
    <xf numFmtId="0" fontId="19" fillId="7" borderId="24" xfId="1" applyFont="1" applyFill="1" applyBorder="1" applyAlignment="1" applyProtection="1">
      <alignment horizontal="center" vertical="center" wrapText="1"/>
    </xf>
    <xf numFmtId="0" fontId="2" fillId="0" borderId="0" xfId="1" applyFont="1" applyProtection="1"/>
    <xf numFmtId="0" fontId="20" fillId="7" borderId="7" xfId="1" applyFont="1" applyFill="1" applyBorder="1" applyProtection="1"/>
    <xf numFmtId="164" fontId="1" fillId="9" borderId="7" xfId="0" applyNumberFormat="1" applyFont="1" applyFill="1" applyBorder="1" applyAlignment="1" applyProtection="1">
      <alignment horizontal="center" vertical="center"/>
    </xf>
    <xf numFmtId="165" fontId="1" fillId="9" borderId="7" xfId="0" applyNumberFormat="1" applyFont="1" applyFill="1" applyBorder="1" applyAlignment="1" applyProtection="1">
      <alignment horizontal="center" vertical="center"/>
    </xf>
    <xf numFmtId="164" fontId="1" fillId="9" borderId="27" xfId="0" applyNumberFormat="1" applyFont="1" applyFill="1" applyBorder="1" applyAlignment="1" applyProtection="1">
      <alignment horizontal="center" vertical="center"/>
    </xf>
    <xf numFmtId="164" fontId="1" fillId="9" borderId="28" xfId="0" applyNumberFormat="1" applyFont="1" applyFill="1" applyBorder="1" applyAlignment="1" applyProtection="1">
      <alignment horizontal="center" vertical="center"/>
    </xf>
    <xf numFmtId="0" fontId="21" fillId="35" borderId="32" xfId="2" applyFill="1" applyAlignment="1" applyProtection="1"/>
    <xf numFmtId="165" fontId="1" fillId="11" borderId="7" xfId="0" applyNumberFormat="1" applyFont="1" applyFill="1" applyBorder="1" applyAlignment="1" applyProtection="1">
      <alignment horizontal="center" vertical="center"/>
    </xf>
    <xf numFmtId="164" fontId="1" fillId="11" borderId="28" xfId="0" applyNumberFormat="1" applyFont="1" applyFill="1" applyBorder="1" applyAlignment="1" applyProtection="1">
      <alignment horizontal="center" vertical="center"/>
    </xf>
    <xf numFmtId="165" fontId="1" fillId="7" borderId="7" xfId="0" applyNumberFormat="1" applyFont="1" applyFill="1" applyBorder="1" applyAlignment="1" applyProtection="1">
      <alignment horizontal="center" vertical="center"/>
    </xf>
    <xf numFmtId="164" fontId="1" fillId="7" borderId="28" xfId="0" applyNumberFormat="1" applyFont="1" applyFill="1" applyBorder="1" applyAlignment="1" applyProtection="1">
      <alignment horizontal="center" vertical="center"/>
    </xf>
    <xf numFmtId="165" fontId="1" fillId="12" borderId="7" xfId="0" applyNumberFormat="1" applyFont="1" applyFill="1" applyBorder="1" applyAlignment="1" applyProtection="1">
      <alignment horizontal="center" vertical="center"/>
    </xf>
    <xf numFmtId="164" fontId="1" fillId="12" borderId="28" xfId="0" applyNumberFormat="1" applyFont="1" applyFill="1" applyBorder="1" applyAlignment="1" applyProtection="1">
      <alignment horizontal="center" vertical="center"/>
    </xf>
    <xf numFmtId="165" fontId="1" fillId="16" borderId="7" xfId="0" applyNumberFormat="1" applyFont="1" applyFill="1" applyBorder="1" applyAlignment="1" applyProtection="1">
      <alignment horizontal="center" vertical="center"/>
    </xf>
    <xf numFmtId="164" fontId="1" fillId="16" borderId="28" xfId="0" applyNumberFormat="1" applyFont="1" applyFill="1" applyBorder="1" applyAlignment="1" applyProtection="1">
      <alignment horizontal="center" vertical="center"/>
    </xf>
    <xf numFmtId="165" fontId="1" fillId="17" borderId="7" xfId="0" applyNumberFormat="1" applyFont="1" applyFill="1" applyBorder="1" applyAlignment="1" applyProtection="1">
      <alignment horizontal="center" vertical="center"/>
    </xf>
    <xf numFmtId="164" fontId="1" fillId="17" borderId="28" xfId="0" applyNumberFormat="1" applyFont="1" applyFill="1" applyBorder="1" applyAlignment="1" applyProtection="1">
      <alignment horizontal="center" vertical="center"/>
    </xf>
    <xf numFmtId="165" fontId="1" fillId="18" borderId="7" xfId="0" applyNumberFormat="1" applyFont="1" applyFill="1" applyBorder="1" applyAlignment="1" applyProtection="1">
      <alignment horizontal="center" vertical="center"/>
    </xf>
    <xf numFmtId="164" fontId="1" fillId="18" borderId="28" xfId="0" applyNumberFormat="1" applyFont="1" applyFill="1" applyBorder="1" applyAlignment="1" applyProtection="1">
      <alignment horizontal="center" vertical="center"/>
    </xf>
    <xf numFmtId="165" fontId="1" fillId="19" borderId="7" xfId="0" applyNumberFormat="1" applyFont="1" applyFill="1" applyBorder="1" applyAlignment="1" applyProtection="1">
      <alignment horizontal="center" vertical="center"/>
    </xf>
    <xf numFmtId="164" fontId="1" fillId="19" borderId="28" xfId="0" applyNumberFormat="1" applyFont="1" applyFill="1" applyBorder="1" applyAlignment="1" applyProtection="1">
      <alignment horizontal="center" vertical="center"/>
    </xf>
    <xf numFmtId="165" fontId="1" fillId="20" borderId="7" xfId="0" applyNumberFormat="1" applyFont="1" applyFill="1" applyBorder="1" applyAlignment="1" applyProtection="1">
      <alignment horizontal="center" vertical="center"/>
    </xf>
    <xf numFmtId="164" fontId="1" fillId="20" borderId="28" xfId="0" applyNumberFormat="1" applyFont="1" applyFill="1" applyBorder="1" applyAlignment="1" applyProtection="1">
      <alignment horizontal="center" vertical="center"/>
    </xf>
    <xf numFmtId="165" fontId="1" fillId="15" borderId="7" xfId="0" applyNumberFormat="1" applyFont="1" applyFill="1" applyBorder="1" applyAlignment="1" applyProtection="1">
      <alignment horizontal="center" vertical="center"/>
    </xf>
    <xf numFmtId="164" fontId="1" fillId="15" borderId="28" xfId="0" applyNumberFormat="1" applyFont="1" applyFill="1" applyBorder="1" applyAlignment="1" applyProtection="1">
      <alignment horizontal="center" vertical="center"/>
    </xf>
    <xf numFmtId="165" fontId="1" fillId="4" borderId="7" xfId="0" applyNumberFormat="1" applyFont="1" applyFill="1" applyBorder="1" applyAlignment="1" applyProtection="1">
      <alignment horizontal="center" vertical="center"/>
    </xf>
    <xf numFmtId="164" fontId="1" fillId="4" borderId="28" xfId="0" applyNumberFormat="1" applyFont="1" applyFill="1" applyBorder="1" applyAlignment="1" applyProtection="1">
      <alignment horizontal="center" vertical="center"/>
    </xf>
    <xf numFmtId="165" fontId="1" fillId="21" borderId="7" xfId="0" applyNumberFormat="1" applyFont="1" applyFill="1" applyBorder="1" applyAlignment="1" applyProtection="1">
      <alignment horizontal="center" vertical="center"/>
    </xf>
    <xf numFmtId="164" fontId="1" fillId="21" borderId="28" xfId="0" applyNumberFormat="1" applyFont="1" applyFill="1" applyBorder="1" applyAlignment="1" applyProtection="1">
      <alignment horizontal="center" vertical="center"/>
    </xf>
    <xf numFmtId="165" fontId="1" fillId="22" borderId="7" xfId="0" applyNumberFormat="1" applyFont="1" applyFill="1" applyBorder="1" applyAlignment="1" applyProtection="1">
      <alignment horizontal="center" vertical="center"/>
    </xf>
    <xf numFmtId="164" fontId="1" fillId="22" borderId="28" xfId="0" applyNumberFormat="1" applyFont="1" applyFill="1" applyBorder="1" applyAlignment="1" applyProtection="1">
      <alignment horizontal="center" vertical="center"/>
    </xf>
    <xf numFmtId="165" fontId="1" fillId="3" borderId="7" xfId="0" applyNumberFormat="1" applyFont="1" applyFill="1" applyBorder="1" applyAlignment="1" applyProtection="1">
      <alignment horizontal="center" vertical="center"/>
    </xf>
    <xf numFmtId="164" fontId="1" fillId="3" borderId="28" xfId="0" applyNumberFormat="1" applyFont="1" applyFill="1" applyBorder="1" applyAlignment="1" applyProtection="1">
      <alignment horizontal="center" vertical="center"/>
    </xf>
    <xf numFmtId="165" fontId="1" fillId="23" borderId="7" xfId="0" applyNumberFormat="1" applyFont="1" applyFill="1" applyBorder="1" applyAlignment="1" applyProtection="1">
      <alignment horizontal="center" vertical="center"/>
    </xf>
    <xf numFmtId="164" fontId="1" fillId="23" borderId="28" xfId="0" applyNumberFormat="1" applyFont="1" applyFill="1" applyBorder="1" applyAlignment="1" applyProtection="1">
      <alignment horizontal="center" vertical="center"/>
    </xf>
    <xf numFmtId="165" fontId="16" fillId="24" borderId="7" xfId="0" applyNumberFormat="1" applyFont="1" applyFill="1" applyBorder="1" applyAlignment="1" applyProtection="1">
      <alignment horizontal="center" vertical="center"/>
    </xf>
    <xf numFmtId="164" fontId="16" fillId="24" borderId="28" xfId="0" applyNumberFormat="1" applyFont="1" applyFill="1" applyBorder="1" applyAlignment="1" applyProtection="1">
      <alignment horizontal="center" vertical="center"/>
    </xf>
    <xf numFmtId="165" fontId="1" fillId="25" borderId="7" xfId="0" applyNumberFormat="1" applyFont="1" applyFill="1" applyBorder="1" applyAlignment="1" applyProtection="1">
      <alignment horizontal="center" vertical="center"/>
    </xf>
    <xf numFmtId="164" fontId="1" fillId="25" borderId="28" xfId="0" applyNumberFormat="1" applyFont="1" applyFill="1" applyBorder="1" applyAlignment="1" applyProtection="1">
      <alignment horizontal="center" vertical="center"/>
    </xf>
    <xf numFmtId="165" fontId="1" fillId="26" borderId="7" xfId="0" applyNumberFormat="1" applyFont="1" applyFill="1" applyBorder="1" applyAlignment="1" applyProtection="1">
      <alignment horizontal="center" vertical="center"/>
    </xf>
    <xf numFmtId="164" fontId="1" fillId="26" borderId="28" xfId="0" applyNumberFormat="1" applyFont="1" applyFill="1" applyBorder="1" applyAlignment="1" applyProtection="1">
      <alignment horizontal="center" vertical="center"/>
    </xf>
    <xf numFmtId="165" fontId="16" fillId="27" borderId="7" xfId="0" applyNumberFormat="1" applyFont="1" applyFill="1" applyBorder="1" applyAlignment="1" applyProtection="1">
      <alignment horizontal="center" vertical="center"/>
    </xf>
    <xf numFmtId="164" fontId="16" fillId="27" borderId="28" xfId="0" applyNumberFormat="1" applyFont="1" applyFill="1" applyBorder="1" applyAlignment="1" applyProtection="1">
      <alignment horizontal="center" vertical="center"/>
    </xf>
    <xf numFmtId="165" fontId="1" fillId="28" borderId="7" xfId="0" applyNumberFormat="1" applyFont="1" applyFill="1" applyBorder="1" applyAlignment="1" applyProtection="1">
      <alignment horizontal="center" vertical="center"/>
    </xf>
    <xf numFmtId="164" fontId="1" fillId="28" borderId="28" xfId="0" applyNumberFormat="1" applyFont="1" applyFill="1" applyBorder="1" applyAlignment="1" applyProtection="1">
      <alignment horizontal="center" vertical="center"/>
    </xf>
    <xf numFmtId="164" fontId="16" fillId="29" borderId="28" xfId="0" applyNumberFormat="1" applyFont="1" applyFill="1" applyBorder="1" applyAlignment="1" applyProtection="1">
      <alignment horizontal="center" vertical="center"/>
    </xf>
    <xf numFmtId="165" fontId="16" fillId="30" borderId="7" xfId="0" applyNumberFormat="1" applyFont="1" applyFill="1" applyBorder="1" applyAlignment="1" applyProtection="1">
      <alignment horizontal="center" vertical="center"/>
    </xf>
    <xf numFmtId="164" fontId="16" fillId="30" borderId="28" xfId="0" applyNumberFormat="1" applyFont="1" applyFill="1" applyBorder="1" applyAlignment="1" applyProtection="1">
      <alignment horizontal="center" vertical="center"/>
    </xf>
    <xf numFmtId="0" fontId="1" fillId="13" borderId="7" xfId="1" applyFont="1" applyFill="1" applyBorder="1" applyProtection="1"/>
    <xf numFmtId="164" fontId="1" fillId="13" borderId="7" xfId="1" applyNumberFormat="1" applyFont="1" applyFill="1" applyBorder="1" applyProtection="1"/>
    <xf numFmtId="164" fontId="1" fillId="13" borderId="27" xfId="1" applyNumberFormat="1" applyFont="1" applyFill="1" applyBorder="1" applyProtection="1"/>
    <xf numFmtId="0" fontId="1" fillId="13" borderId="30" xfId="1" applyFont="1" applyFill="1" applyBorder="1" applyAlignment="1" applyProtection="1">
      <alignment horizontal="right"/>
    </xf>
    <xf numFmtId="0" fontId="1" fillId="0" borderId="0" xfId="1" applyFont="1" applyProtection="1"/>
    <xf numFmtId="0" fontId="7" fillId="0" borderId="0" xfId="0" applyFont="1" applyAlignment="1" applyProtection="1">
      <alignment horizontal="center" vertical="center"/>
    </xf>
    <xf numFmtId="0" fontId="1" fillId="0" borderId="0" xfId="1" applyFont="1" applyAlignment="1" applyProtection="1">
      <alignment horizontal="right"/>
    </xf>
    <xf numFmtId="0" fontId="1" fillId="37" borderId="7" xfId="1" applyFont="1" applyFill="1" applyBorder="1" applyProtection="1"/>
    <xf numFmtId="0" fontId="5" fillId="37" borderId="7" xfId="0" applyFont="1" applyFill="1" applyBorder="1" applyAlignment="1" applyProtection="1">
      <alignment horizontal="right" vertical="top" wrapText="1"/>
    </xf>
    <xf numFmtId="0" fontId="1" fillId="6" borderId="7" xfId="1" applyFont="1" applyFill="1" applyBorder="1" applyProtection="1"/>
    <xf numFmtId="0" fontId="1" fillId="19" borderId="7" xfId="1" applyFont="1" applyFill="1" applyBorder="1" applyAlignment="1" applyProtection="1">
      <alignment vertical="center"/>
    </xf>
    <xf numFmtId="0" fontId="1" fillId="19" borderId="7" xfId="1" applyFont="1" applyFill="1" applyBorder="1" applyAlignment="1" applyProtection="1">
      <alignment vertical="center" wrapText="1"/>
    </xf>
    <xf numFmtId="0" fontId="13" fillId="3" borderId="26" xfId="1" applyFont="1" applyFill="1" applyBorder="1" applyProtection="1"/>
    <xf numFmtId="0" fontId="2" fillId="3" borderId="0" xfId="1" applyFont="1" applyFill="1" applyProtection="1"/>
    <xf numFmtId="0" fontId="7" fillId="0" borderId="0" xfId="0" applyFont="1" applyAlignment="1" applyProtection="1"/>
    <xf numFmtId="0" fontId="1" fillId="37" borderId="7" xfId="1" applyFont="1" applyFill="1" applyBorder="1" applyAlignment="1" applyProtection="1">
      <alignment horizontal="right"/>
    </xf>
    <xf numFmtId="0" fontId="1" fillId="19" borderId="7" xfId="1" applyFont="1" applyFill="1" applyBorder="1" applyProtection="1"/>
    <xf numFmtId="12" fontId="20" fillId="8" borderId="7" xfId="0" applyNumberFormat="1" applyFont="1" applyFill="1" applyBorder="1" applyAlignment="1" applyProtection="1">
      <alignment horizontal="center" vertical="center"/>
    </xf>
    <xf numFmtId="0" fontId="14" fillId="0" borderId="0" xfId="1" applyFont="1" applyProtection="1"/>
    <xf numFmtId="0" fontId="5" fillId="0" borderId="0" xfId="0" applyFont="1" applyAlignment="1" applyProtection="1">
      <alignment horizontal="right" vertical="top"/>
    </xf>
    <xf numFmtId="0" fontId="18" fillId="19" borderId="21" xfId="1" applyFont="1" applyFill="1" applyBorder="1" applyAlignment="1" applyProtection="1">
      <alignment horizontal="center" wrapText="1"/>
    </xf>
    <xf numFmtId="0" fontId="1" fillId="19" borderId="22" xfId="1" applyFont="1" applyFill="1" applyBorder="1" applyAlignment="1" applyProtection="1">
      <alignment horizontal="center" wrapText="1"/>
    </xf>
    <xf numFmtId="165" fontId="17" fillId="11" borderId="7" xfId="0" applyNumberFormat="1" applyFont="1" applyFill="1" applyBorder="1" applyAlignment="1" applyProtection="1">
      <alignment horizontal="center" vertical="center"/>
    </xf>
    <xf numFmtId="164" fontId="17" fillId="11" borderId="7" xfId="0" applyNumberFormat="1" applyFont="1" applyFill="1" applyBorder="1" applyAlignment="1" applyProtection="1">
      <alignment horizontal="center" vertical="center"/>
    </xf>
    <xf numFmtId="0" fontId="22" fillId="35" borderId="32" xfId="2" applyFont="1" applyFill="1" applyAlignment="1" applyProtection="1"/>
    <xf numFmtId="165" fontId="17" fillId="7" borderId="7" xfId="0" applyNumberFormat="1" applyFont="1" applyFill="1" applyBorder="1" applyAlignment="1" applyProtection="1">
      <alignment horizontal="center" vertical="center"/>
    </xf>
    <xf numFmtId="164" fontId="17" fillId="7" borderId="7" xfId="0" applyNumberFormat="1" applyFont="1" applyFill="1" applyBorder="1" applyAlignment="1" applyProtection="1">
      <alignment horizontal="center" vertical="center"/>
    </xf>
    <xf numFmtId="165" fontId="17" fillId="12" borderId="7" xfId="0" applyNumberFormat="1" applyFont="1" applyFill="1" applyBorder="1" applyAlignment="1" applyProtection="1">
      <alignment horizontal="center" vertical="center"/>
    </xf>
    <xf numFmtId="164" fontId="17" fillId="12" borderId="7" xfId="0" applyNumberFormat="1" applyFont="1" applyFill="1" applyBorder="1" applyAlignment="1" applyProtection="1">
      <alignment horizontal="center" vertical="center"/>
    </xf>
    <xf numFmtId="165" fontId="17" fillId="16" borderId="7" xfId="0" applyNumberFormat="1" applyFont="1" applyFill="1" applyBorder="1" applyAlignment="1" applyProtection="1">
      <alignment horizontal="center" vertical="center"/>
    </xf>
    <xf numFmtId="164" fontId="17" fillId="16" borderId="7" xfId="0" applyNumberFormat="1" applyFont="1" applyFill="1" applyBorder="1" applyAlignment="1" applyProtection="1">
      <alignment horizontal="center" vertical="center"/>
    </xf>
    <xf numFmtId="165" fontId="17" fillId="17" borderId="7" xfId="0" applyNumberFormat="1" applyFont="1" applyFill="1" applyBorder="1" applyAlignment="1" applyProtection="1">
      <alignment horizontal="center" vertical="center"/>
    </xf>
    <xf numFmtId="164" fontId="17" fillId="17" borderId="7" xfId="0" applyNumberFormat="1" applyFont="1" applyFill="1" applyBorder="1" applyAlignment="1" applyProtection="1">
      <alignment horizontal="center" vertical="center"/>
    </xf>
    <xf numFmtId="0" fontId="1" fillId="13" borderId="30" xfId="1" applyFont="1" applyFill="1" applyBorder="1" applyAlignment="1" applyProtection="1">
      <alignment horizontal="right" wrapText="1"/>
    </xf>
    <xf numFmtId="0" fontId="1" fillId="0" borderId="7" xfId="1" applyFont="1" applyBorder="1" applyAlignment="1" applyProtection="1">
      <alignment horizontal="right" wrapText="1"/>
    </xf>
    <xf numFmtId="0" fontId="5" fillId="0" borderId="7" xfId="0" applyFont="1" applyBorder="1" applyAlignment="1" applyProtection="1">
      <alignment horizontal="right" vertical="top" wrapText="1"/>
    </xf>
    <xf numFmtId="0" fontId="15" fillId="12" borderId="7" xfId="0" applyFont="1" applyFill="1" applyBorder="1" applyAlignment="1" applyProtection="1">
      <alignment horizontal="center"/>
    </xf>
    <xf numFmtId="0" fontId="1" fillId="14" borderId="7" xfId="0" applyFont="1" applyFill="1" applyBorder="1" applyAlignment="1" applyProtection="1">
      <alignment horizontal="center"/>
    </xf>
    <xf numFmtId="0" fontId="15" fillId="36" borderId="7" xfId="0" applyFont="1" applyFill="1" applyBorder="1" applyAlignment="1" applyProtection="1">
      <alignment horizontal="center"/>
    </xf>
    <xf numFmtId="12" fontId="20" fillId="7" borderId="7" xfId="0" applyNumberFormat="1" applyFont="1" applyFill="1" applyBorder="1" applyAlignment="1" applyProtection="1">
      <alignment horizontal="center" vertical="center"/>
      <protection locked="0"/>
    </xf>
    <xf numFmtId="12" fontId="20" fillId="12" borderId="7" xfId="0" applyNumberFormat="1" applyFont="1" applyFill="1" applyBorder="1" applyAlignment="1" applyProtection="1">
      <alignment horizontal="center" vertical="center"/>
      <protection locked="0"/>
    </xf>
    <xf numFmtId="12" fontId="20" fillId="16" borderId="7" xfId="0" applyNumberFormat="1" applyFont="1" applyFill="1" applyBorder="1" applyAlignment="1" applyProtection="1">
      <alignment horizontal="center" vertical="center"/>
      <protection locked="0"/>
    </xf>
    <xf numFmtId="12" fontId="20" fillId="17" borderId="7" xfId="0" applyNumberFormat="1" applyFont="1" applyFill="1" applyBorder="1" applyAlignment="1" applyProtection="1">
      <alignment horizontal="center" vertical="center"/>
      <protection locked="0"/>
    </xf>
    <xf numFmtId="12" fontId="20" fillId="18" borderId="7" xfId="0" applyNumberFormat="1" applyFont="1" applyFill="1" applyBorder="1" applyAlignment="1" applyProtection="1">
      <alignment horizontal="center" vertical="center"/>
      <protection locked="0"/>
    </xf>
    <xf numFmtId="12" fontId="20" fillId="19" borderId="7" xfId="0" applyNumberFormat="1" applyFont="1" applyFill="1" applyBorder="1" applyAlignment="1" applyProtection="1">
      <alignment horizontal="center" vertical="center"/>
      <protection locked="0"/>
    </xf>
    <xf numFmtId="12" fontId="20" fillId="20" borderId="7" xfId="0" applyNumberFormat="1" applyFont="1" applyFill="1" applyBorder="1" applyAlignment="1" applyProtection="1">
      <alignment horizontal="center" vertical="center"/>
      <protection locked="0"/>
    </xf>
    <xf numFmtId="12" fontId="20" fillId="15" borderId="7" xfId="0" applyNumberFormat="1" applyFont="1" applyFill="1" applyBorder="1" applyAlignment="1" applyProtection="1">
      <alignment horizontal="center" vertical="center"/>
      <protection locked="0"/>
    </xf>
    <xf numFmtId="12" fontId="20" fillId="4" borderId="7" xfId="0" applyNumberFormat="1" applyFont="1" applyFill="1" applyBorder="1" applyAlignment="1" applyProtection="1">
      <alignment horizontal="center" vertical="center"/>
      <protection locked="0"/>
    </xf>
    <xf numFmtId="12" fontId="20" fillId="21" borderId="7" xfId="0" applyNumberFormat="1" applyFont="1" applyFill="1" applyBorder="1" applyAlignment="1" applyProtection="1">
      <alignment horizontal="center" vertical="center"/>
      <protection locked="0"/>
    </xf>
    <xf numFmtId="12" fontId="20" fillId="22" borderId="7" xfId="0" applyNumberFormat="1" applyFont="1" applyFill="1" applyBorder="1" applyAlignment="1" applyProtection="1">
      <alignment horizontal="center" vertical="center"/>
      <protection locked="0"/>
    </xf>
    <xf numFmtId="12" fontId="20" fillId="3" borderId="7" xfId="0" applyNumberFormat="1" applyFont="1" applyFill="1" applyBorder="1" applyAlignment="1" applyProtection="1">
      <alignment horizontal="center" vertical="center"/>
      <protection locked="0"/>
    </xf>
    <xf numFmtId="12" fontId="20" fillId="23" borderId="7" xfId="0" applyNumberFormat="1" applyFont="1" applyFill="1" applyBorder="1" applyAlignment="1" applyProtection="1">
      <alignment horizontal="center" vertical="center"/>
      <protection locked="0"/>
    </xf>
    <xf numFmtId="12" fontId="27" fillId="24" borderId="7" xfId="0" applyNumberFormat="1" applyFont="1" applyFill="1" applyBorder="1" applyAlignment="1" applyProtection="1">
      <alignment horizontal="center" vertical="center"/>
      <protection locked="0"/>
    </xf>
    <xf numFmtId="12" fontId="20" fillId="25" borderId="7" xfId="0" applyNumberFormat="1" applyFont="1" applyFill="1" applyBorder="1" applyAlignment="1" applyProtection="1">
      <alignment horizontal="center" vertical="center"/>
      <protection locked="0"/>
    </xf>
    <xf numFmtId="12" fontId="20" fillId="26" borderId="7" xfId="0" applyNumberFormat="1" applyFont="1" applyFill="1" applyBorder="1" applyAlignment="1" applyProtection="1">
      <alignment horizontal="center" vertical="center"/>
      <protection locked="0"/>
    </xf>
    <xf numFmtId="12" fontId="27" fillId="27" borderId="7" xfId="0" applyNumberFormat="1" applyFont="1" applyFill="1" applyBorder="1" applyAlignment="1" applyProtection="1">
      <alignment horizontal="center" vertical="center"/>
      <protection locked="0"/>
    </xf>
    <xf numFmtId="12" fontId="20" fillId="28" borderId="7" xfId="0" applyNumberFormat="1" applyFont="1" applyFill="1" applyBorder="1" applyAlignment="1" applyProtection="1">
      <alignment horizontal="center" vertical="center"/>
      <protection locked="0"/>
    </xf>
    <xf numFmtId="12" fontId="27" fillId="29" borderId="7" xfId="0" applyNumberFormat="1" applyFont="1" applyFill="1" applyBorder="1" applyAlignment="1" applyProtection="1">
      <alignment horizontal="center" vertical="center"/>
      <protection locked="0"/>
    </xf>
    <xf numFmtId="0" fontId="5" fillId="33" borderId="7" xfId="0" applyFont="1" applyFill="1" applyBorder="1" applyAlignment="1">
      <alignment wrapText="1"/>
    </xf>
    <xf numFmtId="0" fontId="5" fillId="33" borderId="7" xfId="0" applyFont="1" applyFill="1" applyBorder="1" applyAlignment="1"/>
    <xf numFmtId="0" fontId="7" fillId="33" borderId="7" xfId="0" applyFont="1" applyFill="1" applyBorder="1" applyAlignment="1"/>
    <xf numFmtId="0" fontId="29" fillId="48" borderId="7" xfId="0" applyFont="1" applyFill="1" applyBorder="1" applyAlignment="1" applyProtection="1">
      <alignment horizontal="right"/>
    </xf>
    <xf numFmtId="0" fontId="5" fillId="36" borderId="7" xfId="0" applyFont="1" applyFill="1" applyBorder="1" applyAlignment="1"/>
    <xf numFmtId="0" fontId="18" fillId="19" borderId="1" xfId="0" applyFont="1" applyFill="1" applyBorder="1" applyAlignment="1" applyProtection="1">
      <alignment vertical="top" wrapText="1"/>
      <protection locked="0"/>
    </xf>
    <xf numFmtId="0" fontId="28" fillId="26" borderId="1" xfId="0" applyFont="1" applyFill="1" applyBorder="1" applyAlignment="1" applyProtection="1">
      <protection locked="0"/>
    </xf>
    <xf numFmtId="0" fontId="1" fillId="19" borderId="7" xfId="1" applyFont="1" applyFill="1" applyBorder="1" applyAlignment="1" applyProtection="1">
      <alignment wrapText="1"/>
    </xf>
    <xf numFmtId="164" fontId="1" fillId="50" borderId="7" xfId="0" applyNumberFormat="1" applyFont="1" applyFill="1" applyBorder="1" applyAlignment="1" applyProtection="1">
      <alignment horizontal="right" vertical="center"/>
    </xf>
    <xf numFmtId="164" fontId="1" fillId="37" borderId="7" xfId="0" applyNumberFormat="1" applyFont="1" applyFill="1" applyBorder="1" applyAlignment="1" applyProtection="1">
      <alignment horizontal="right" vertical="center"/>
    </xf>
    <xf numFmtId="0" fontId="18" fillId="5" borderId="7" xfId="0" applyFont="1" applyFill="1" applyBorder="1" applyAlignment="1" applyProtection="1">
      <alignment vertical="top" wrapText="1"/>
    </xf>
    <xf numFmtId="0" fontId="18" fillId="33" borderId="7" xfId="0" applyFont="1" applyFill="1" applyBorder="1" applyAlignment="1" applyProtection="1">
      <alignment vertical="top" wrapText="1"/>
    </xf>
    <xf numFmtId="0" fontId="0" fillId="41" borderId="7" xfId="0" applyFont="1" applyFill="1" applyBorder="1" applyAlignment="1" applyProtection="1"/>
    <xf numFmtId="0" fontId="0" fillId="49" borderId="7" xfId="0" applyFont="1" applyFill="1" applyBorder="1" applyAlignment="1" applyProtection="1"/>
    <xf numFmtId="0" fontId="30" fillId="0" borderId="7" xfId="0" applyFont="1" applyBorder="1" applyAlignment="1" applyProtection="1">
      <alignment wrapText="1"/>
    </xf>
    <xf numFmtId="0" fontId="30" fillId="0" borderId="12" xfId="0" applyFont="1" applyBorder="1" applyAlignment="1" applyProtection="1">
      <alignment wrapText="1"/>
    </xf>
    <xf numFmtId="0" fontId="30" fillId="0" borderId="12" xfId="0" applyFont="1" applyFill="1" applyBorder="1" applyAlignment="1" applyProtection="1">
      <alignment wrapText="1"/>
    </xf>
    <xf numFmtId="0" fontId="0" fillId="46" borderId="7" xfId="0" applyFont="1" applyFill="1" applyBorder="1" applyAlignment="1" applyProtection="1"/>
    <xf numFmtId="0" fontId="31" fillId="0" borderId="7" xfId="0" applyFont="1" applyBorder="1" applyAlignment="1">
      <alignment wrapText="1"/>
    </xf>
    <xf numFmtId="0" fontId="0" fillId="0" borderId="7" xfId="0" applyFont="1" applyBorder="1" applyAlignment="1">
      <alignment wrapText="1"/>
    </xf>
    <xf numFmtId="0" fontId="0" fillId="0" borderId="7" xfId="0" applyFont="1" applyBorder="1" applyAlignment="1"/>
    <xf numFmtId="0" fontId="31" fillId="0" borderId="7" xfId="0" applyFont="1" applyBorder="1"/>
    <xf numFmtId="165" fontId="0" fillId="0" borderId="0" xfId="0" applyNumberFormat="1" applyFont="1" applyProtection="1">
      <protection hidden="1"/>
    </xf>
    <xf numFmtId="0" fontId="7" fillId="0" borderId="0" xfId="0" applyFont="1"/>
    <xf numFmtId="0" fontId="33" fillId="0" borderId="0" xfId="0" applyFont="1" applyAlignment="1">
      <alignment vertical="top"/>
    </xf>
    <xf numFmtId="0" fontId="32" fillId="0" borderId="0" xfId="0" applyFont="1"/>
    <xf numFmtId="0" fontId="34" fillId="0" borderId="0" xfId="0" applyFont="1" applyAlignment="1"/>
    <xf numFmtId="0" fontId="32" fillId="0" borderId="1" xfId="0" applyFont="1" applyBorder="1" applyAlignment="1">
      <alignment vertical="top" wrapText="1"/>
    </xf>
    <xf numFmtId="0" fontId="33" fillId="42" borderId="1" xfId="0" applyFont="1" applyFill="1" applyBorder="1" applyAlignment="1">
      <alignment textRotation="45"/>
    </xf>
    <xf numFmtId="0" fontId="33" fillId="43" borderId="1" xfId="0" applyFont="1" applyFill="1" applyBorder="1" applyAlignment="1">
      <alignment textRotation="45"/>
    </xf>
    <xf numFmtId="0" fontId="33" fillId="44" borderId="1" xfId="0" applyFont="1" applyFill="1" applyBorder="1" applyAlignment="1">
      <alignment textRotation="45"/>
    </xf>
    <xf numFmtId="0" fontId="33" fillId="45" borderId="1" xfId="0" applyFont="1" applyFill="1" applyBorder="1" applyAlignment="1">
      <alignment textRotation="45"/>
    </xf>
    <xf numFmtId="0" fontId="33" fillId="46" borderId="1" xfId="0" applyFont="1" applyFill="1" applyBorder="1" applyAlignment="1">
      <alignment textRotation="45"/>
    </xf>
    <xf numFmtId="0" fontId="33" fillId="47" borderId="1" xfId="0" applyFont="1" applyFill="1" applyBorder="1" applyAlignment="1">
      <alignment textRotation="45"/>
    </xf>
    <xf numFmtId="0" fontId="33" fillId="7" borderId="27" xfId="1" applyFont="1" applyFill="1" applyBorder="1" applyProtection="1"/>
    <xf numFmtId="165" fontId="32" fillId="38" borderId="2" xfId="0" applyNumberFormat="1" applyFont="1" applyFill="1" applyBorder="1" applyAlignment="1">
      <alignment vertical="top"/>
    </xf>
    <xf numFmtId="165" fontId="32" fillId="38" borderId="44" xfId="0" applyNumberFormat="1" applyFont="1" applyFill="1" applyBorder="1" applyAlignment="1">
      <alignment vertical="top"/>
    </xf>
    <xf numFmtId="165" fontId="32" fillId="40" borderId="46" xfId="0" applyNumberFormat="1" applyFont="1" applyFill="1" applyBorder="1" applyAlignment="1">
      <alignment vertical="top"/>
    </xf>
    <xf numFmtId="165" fontId="32" fillId="39" borderId="41" xfId="0" applyNumberFormat="1" applyFont="1" applyFill="1" applyBorder="1" applyAlignment="1">
      <alignment vertical="top"/>
    </xf>
    <xf numFmtId="165" fontId="32" fillId="39" borderId="2" xfId="0" applyNumberFormat="1" applyFont="1" applyFill="1" applyBorder="1" applyAlignment="1">
      <alignment vertical="top"/>
    </xf>
    <xf numFmtId="0" fontId="32" fillId="39" borderId="44" xfId="0" applyFont="1" applyFill="1" applyBorder="1" applyAlignment="1">
      <alignment vertical="top"/>
    </xf>
    <xf numFmtId="0" fontId="32" fillId="5" borderId="41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 wrapText="1"/>
      <protection locked="0"/>
    </xf>
    <xf numFmtId="0" fontId="32" fillId="5" borderId="29" xfId="0" applyFont="1" applyFill="1" applyBorder="1" applyAlignment="1" applyProtection="1">
      <alignment vertical="top"/>
      <protection locked="0"/>
    </xf>
    <xf numFmtId="1" fontId="34" fillId="5" borderId="1" xfId="0" applyNumberFormat="1" applyFont="1" applyFill="1" applyBorder="1" applyAlignment="1" applyProtection="1">
      <alignment vertical="top"/>
      <protection locked="0"/>
    </xf>
    <xf numFmtId="0" fontId="34" fillId="5" borderId="1" xfId="0" applyFont="1" applyFill="1" applyBorder="1" applyAlignment="1" applyProtection="1">
      <alignment vertical="top"/>
      <protection locked="0"/>
    </xf>
    <xf numFmtId="0" fontId="34" fillId="5" borderId="38" xfId="0" applyFont="1" applyFill="1" applyBorder="1" applyAlignment="1" applyProtection="1">
      <alignment vertical="top"/>
      <protection locked="0"/>
    </xf>
    <xf numFmtId="0" fontId="32" fillId="4" borderId="2" xfId="0" applyFont="1" applyFill="1" applyBorder="1" applyAlignment="1" applyProtection="1">
      <alignment vertical="top" wrapText="1"/>
      <protection locked="0"/>
    </xf>
    <xf numFmtId="0" fontId="32" fillId="4" borderId="2" xfId="0" applyFont="1" applyFill="1" applyBorder="1" applyAlignment="1" applyProtection="1">
      <alignment vertical="top"/>
      <protection locked="0"/>
    </xf>
    <xf numFmtId="1" fontId="34" fillId="4" borderId="1" xfId="0" applyNumberFormat="1" applyFont="1" applyFill="1" applyBorder="1" applyAlignment="1" applyProtection="1">
      <alignment vertical="top"/>
      <protection locked="0"/>
    </xf>
    <xf numFmtId="0" fontId="34" fillId="4" borderId="1" xfId="0" applyFont="1" applyFill="1" applyBorder="1" applyAlignment="1" applyProtection="1">
      <alignment vertical="top"/>
      <protection locked="0"/>
    </xf>
    <xf numFmtId="0" fontId="34" fillId="4" borderId="42" xfId="0" applyFont="1" applyFill="1" applyBorder="1" applyAlignment="1" applyProtection="1">
      <alignment vertical="top"/>
      <protection locked="0"/>
    </xf>
    <xf numFmtId="0" fontId="32" fillId="41" borderId="41" xfId="0" applyFont="1" applyFill="1" applyBorder="1" applyAlignment="1" applyProtection="1">
      <alignment vertical="top"/>
      <protection locked="0"/>
    </xf>
    <xf numFmtId="0" fontId="32" fillId="41" borderId="2" xfId="0" applyFont="1" applyFill="1" applyBorder="1" applyAlignment="1" applyProtection="1">
      <alignment vertical="top"/>
      <protection locked="0"/>
    </xf>
    <xf numFmtId="1" fontId="34" fillId="41" borderId="1" xfId="0" applyNumberFormat="1" applyFont="1" applyFill="1" applyBorder="1" applyAlignment="1" applyProtection="1">
      <alignment vertical="top"/>
      <protection locked="0"/>
    </xf>
    <xf numFmtId="0" fontId="34" fillId="41" borderId="1" xfId="0" applyFont="1" applyFill="1" applyBorder="1" applyAlignment="1" applyProtection="1">
      <alignment vertical="top"/>
      <protection locked="0"/>
    </xf>
    <xf numFmtId="165" fontId="32" fillId="40" borderId="47" xfId="0" applyNumberFormat="1" applyFont="1" applyFill="1" applyBorder="1" applyAlignment="1">
      <alignment vertical="top"/>
    </xf>
    <xf numFmtId="0" fontId="32" fillId="5" borderId="43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 wrapText="1"/>
      <protection locked="0"/>
    </xf>
    <xf numFmtId="0" fontId="32" fillId="5" borderId="2" xfId="0" applyFont="1" applyFill="1" applyBorder="1" applyAlignment="1" applyProtection="1">
      <alignment vertical="top"/>
      <protection locked="0"/>
    </xf>
    <xf numFmtId="1" fontId="32" fillId="5" borderId="2" xfId="0" applyNumberFormat="1" applyFont="1" applyFill="1" applyBorder="1" applyAlignment="1" applyProtection="1">
      <alignment vertical="top"/>
      <protection locked="0"/>
    </xf>
    <xf numFmtId="1" fontId="32" fillId="4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/>
      <protection locked="0"/>
    </xf>
    <xf numFmtId="1" fontId="32" fillId="41" borderId="2" xfId="0" applyNumberFormat="1" applyFont="1" applyFill="1" applyBorder="1" applyAlignment="1" applyProtection="1">
      <alignment vertical="top"/>
      <protection locked="0"/>
    </xf>
    <xf numFmtId="0" fontId="32" fillId="41" borderId="43" xfId="0" applyFont="1" applyFill="1" applyBorder="1" applyAlignment="1" applyProtection="1">
      <alignment vertical="top" wrapText="1"/>
      <protection locked="0"/>
    </xf>
    <xf numFmtId="0" fontId="32" fillId="41" borderId="2" xfId="0" applyFont="1" applyFill="1" applyBorder="1" applyAlignment="1" applyProtection="1">
      <alignment vertical="top" wrapText="1"/>
      <protection locked="0"/>
    </xf>
    <xf numFmtId="0" fontId="35" fillId="5" borderId="43" xfId="0" applyFont="1" applyFill="1" applyBorder="1" applyAlignment="1" applyProtection="1">
      <alignment vertical="top" wrapText="1"/>
      <protection locked="0"/>
    </xf>
    <xf numFmtId="0" fontId="35" fillId="5" borderId="2" xfId="0" applyFont="1" applyFill="1" applyBorder="1" applyAlignment="1" applyProtection="1">
      <alignment vertical="top" wrapText="1"/>
      <protection locked="0"/>
    </xf>
    <xf numFmtId="1" fontId="32" fillId="5" borderId="2" xfId="0" applyNumberFormat="1" applyFont="1" applyFill="1" applyBorder="1" applyAlignment="1" applyProtection="1">
      <alignment vertical="top" wrapText="1"/>
      <protection locked="0"/>
    </xf>
    <xf numFmtId="165" fontId="32" fillId="40" borderId="48" xfId="0" applyNumberFormat="1" applyFont="1" applyFill="1" applyBorder="1" applyAlignment="1">
      <alignment vertical="top"/>
    </xf>
    <xf numFmtId="0" fontId="32" fillId="39" borderId="0" xfId="0" applyFont="1" applyFill="1" applyBorder="1" applyAlignment="1">
      <alignment vertical="top"/>
    </xf>
    <xf numFmtId="0" fontId="32" fillId="5" borderId="45" xfId="0" applyFont="1" applyFill="1" applyBorder="1" applyAlignment="1" applyProtection="1">
      <alignment vertical="top" wrapText="1"/>
      <protection locked="0"/>
    </xf>
    <xf numFmtId="0" fontId="32" fillId="5" borderId="3" xfId="0" applyFont="1" applyFill="1" applyBorder="1" applyAlignment="1" applyProtection="1">
      <alignment vertical="top" wrapText="1"/>
      <protection locked="0"/>
    </xf>
    <xf numFmtId="1" fontId="32" fillId="5" borderId="3" xfId="0" applyNumberFormat="1" applyFont="1" applyFill="1" applyBorder="1" applyAlignment="1" applyProtection="1">
      <alignment vertical="top" wrapText="1"/>
      <protection locked="0"/>
    </xf>
    <xf numFmtId="0" fontId="34" fillId="5" borderId="4" xfId="0" applyFont="1" applyFill="1" applyBorder="1" applyAlignment="1" applyProtection="1">
      <alignment vertical="top"/>
      <protection locked="0"/>
    </xf>
    <xf numFmtId="0" fontId="34" fillId="5" borderId="6" xfId="0" applyFont="1" applyFill="1" applyBorder="1" applyAlignment="1" applyProtection="1">
      <alignment vertical="top"/>
      <protection locked="0"/>
    </xf>
    <xf numFmtId="0" fontId="34" fillId="5" borderId="39" xfId="0" applyFont="1" applyFill="1" applyBorder="1" applyAlignment="1" applyProtection="1">
      <alignment vertical="top"/>
      <protection locked="0"/>
    </xf>
    <xf numFmtId="0" fontId="32" fillId="4" borderId="3" xfId="0" applyFont="1" applyFill="1" applyBorder="1" applyAlignment="1" applyProtection="1">
      <alignment vertical="top" wrapText="1"/>
      <protection locked="0"/>
    </xf>
    <xf numFmtId="0" fontId="32" fillId="4" borderId="3" xfId="0" applyFont="1" applyFill="1" applyBorder="1" applyAlignment="1" applyProtection="1">
      <alignment vertical="top"/>
      <protection locked="0"/>
    </xf>
    <xf numFmtId="1" fontId="34" fillId="4" borderId="4" xfId="0" applyNumberFormat="1" applyFont="1" applyFill="1" applyBorder="1" applyAlignment="1" applyProtection="1">
      <alignment vertical="top"/>
      <protection locked="0"/>
    </xf>
    <xf numFmtId="0" fontId="34" fillId="4" borderId="4" xfId="0" applyFont="1" applyFill="1" applyBorder="1" applyAlignment="1" applyProtection="1">
      <alignment vertical="top"/>
      <protection locked="0"/>
    </xf>
    <xf numFmtId="0" fontId="32" fillId="39" borderId="42" xfId="0" applyFont="1" applyFill="1" applyBorder="1" applyAlignment="1">
      <alignment vertical="top"/>
    </xf>
    <xf numFmtId="0" fontId="32" fillId="5" borderId="1" xfId="0" applyFont="1" applyFill="1" applyBorder="1" applyAlignment="1" applyProtection="1">
      <alignment vertical="top" wrapText="1"/>
      <protection locked="0"/>
    </xf>
    <xf numFmtId="1" fontId="32" fillId="5" borderId="1" xfId="0" applyNumberFormat="1" applyFont="1" applyFill="1" applyBorder="1" applyAlignment="1" applyProtection="1">
      <alignment vertical="top" wrapText="1"/>
      <protection locked="0"/>
    </xf>
    <xf numFmtId="0" fontId="34" fillId="4" borderId="29" xfId="0" applyFont="1" applyFill="1" applyBorder="1" applyAlignment="1" applyProtection="1">
      <alignment vertical="top"/>
      <protection locked="0"/>
    </xf>
    <xf numFmtId="0" fontId="32" fillId="4" borderId="1" xfId="0" applyFont="1" applyFill="1" applyBorder="1" applyAlignment="1" applyProtection="1">
      <alignment vertical="top"/>
      <protection locked="0"/>
    </xf>
    <xf numFmtId="0" fontId="34" fillId="5" borderId="40" xfId="0" applyFont="1" applyFill="1" applyBorder="1" applyAlignment="1" applyProtection="1">
      <alignment vertical="top"/>
      <protection locked="0"/>
    </xf>
    <xf numFmtId="1" fontId="34" fillId="4" borderId="6" xfId="0" applyNumberFormat="1" applyFont="1" applyFill="1" applyBorder="1" applyAlignment="1" applyProtection="1">
      <alignment vertical="top"/>
      <protection locked="0"/>
    </xf>
    <xf numFmtId="0" fontId="34" fillId="4" borderId="6" xfId="0" applyFont="1" applyFill="1" applyBorder="1" applyAlignment="1" applyProtection="1">
      <alignment vertical="top"/>
      <protection locked="0"/>
    </xf>
    <xf numFmtId="0" fontId="32" fillId="4" borderId="29" xfId="0" applyFont="1" applyFill="1" applyBorder="1" applyAlignment="1" applyProtection="1">
      <alignment vertical="top" wrapText="1"/>
      <protection locked="0"/>
    </xf>
    <xf numFmtId="0" fontId="34" fillId="4" borderId="2" xfId="0" applyFont="1" applyFill="1" applyBorder="1" applyAlignment="1" applyProtection="1">
      <alignment vertical="top"/>
      <protection locked="0"/>
    </xf>
    <xf numFmtId="0" fontId="34" fillId="0" borderId="0" xfId="0" applyFont="1" applyAlignment="1" applyProtection="1">
      <protection hidden="1"/>
    </xf>
    <xf numFmtId="0" fontId="34" fillId="0" borderId="0" xfId="0" applyFont="1" applyProtection="1">
      <protection hidden="1"/>
    </xf>
    <xf numFmtId="165" fontId="33" fillId="0" borderId="2" xfId="0" applyNumberFormat="1" applyFont="1" applyBorder="1" applyAlignment="1" applyProtection="1">
      <alignment vertical="top"/>
      <protection hidden="1"/>
    </xf>
    <xf numFmtId="165" fontId="34" fillId="0" borderId="0" xfId="0" applyNumberFormat="1" applyFont="1" applyProtection="1">
      <protection hidden="1"/>
    </xf>
    <xf numFmtId="0" fontId="34" fillId="0" borderId="5" xfId="0" applyFont="1" applyFill="1" applyBorder="1" applyAlignment="1" applyProtection="1">
      <protection hidden="1"/>
    </xf>
    <xf numFmtId="0" fontId="7" fillId="3" borderId="1" xfId="0" applyFont="1" applyFill="1" applyBorder="1" applyAlignment="1"/>
    <xf numFmtId="0" fontId="2" fillId="3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Alignment="1">
      <alignment wrapText="1"/>
    </xf>
    <xf numFmtId="0" fontId="0" fillId="0" borderId="49" xfId="0" applyFont="1" applyBorder="1" applyAlignment="1">
      <alignment wrapText="1"/>
    </xf>
    <xf numFmtId="0" fontId="7" fillId="0" borderId="0" xfId="0" applyFont="1" applyBorder="1" applyAlignment="1">
      <alignment wrapText="1"/>
    </xf>
    <xf numFmtId="0" fontId="0" fillId="0" borderId="0" xfId="0" applyFont="1" applyBorder="1" applyAlignment="1">
      <alignment wrapText="1"/>
    </xf>
    <xf numFmtId="0" fontId="7" fillId="0" borderId="50" xfId="0" applyFont="1" applyBorder="1" applyAlignment="1">
      <alignment wrapText="1"/>
    </xf>
    <xf numFmtId="0" fontId="0" fillId="0" borderId="50" xfId="0" applyFont="1" applyBorder="1" applyAlignment="1">
      <alignment wrapText="1"/>
    </xf>
    <xf numFmtId="0" fontId="7" fillId="0" borderId="49" xfId="0" applyFont="1" applyBorder="1" applyAlignment="1">
      <alignment vertical="center" wrapText="1"/>
    </xf>
    <xf numFmtId="0" fontId="0" fillId="0" borderId="49" xfId="0" applyFont="1" applyBorder="1" applyAlignment="1">
      <alignment vertical="center" wrapText="1"/>
    </xf>
    <xf numFmtId="0" fontId="7" fillId="0" borderId="51" xfId="0" applyFont="1" applyBorder="1" applyAlignment="1">
      <alignment vertical="center" wrapText="1"/>
    </xf>
    <xf numFmtId="0" fontId="0" fillId="0" borderId="26" xfId="0" applyFont="1" applyBorder="1" applyAlignment="1">
      <alignment wrapText="1"/>
    </xf>
    <xf numFmtId="0" fontId="7" fillId="0" borderId="26" xfId="0" applyFont="1" applyBorder="1" applyAlignment="1">
      <alignment wrapText="1"/>
    </xf>
    <xf numFmtId="0" fontId="7" fillId="0" borderId="22" xfId="0" applyFont="1" applyBorder="1" applyAlignment="1">
      <alignment wrapText="1"/>
    </xf>
    <xf numFmtId="0" fontId="0" fillId="0" borderId="22" xfId="0" applyFont="1" applyBorder="1" applyAlignment="1">
      <alignment wrapText="1"/>
    </xf>
    <xf numFmtId="0" fontId="32" fillId="3" borderId="2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vertical="top" wrapText="1"/>
    </xf>
    <xf numFmtId="9" fontId="1" fillId="0" borderId="0" xfId="0" applyNumberFormat="1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3" fillId="0" borderId="0" xfId="0" applyFont="1" applyAlignment="1">
      <alignment vertical="top" wrapText="1"/>
    </xf>
    <xf numFmtId="1" fontId="33" fillId="0" borderId="0" xfId="0" applyNumberFormat="1" applyFont="1" applyAlignment="1">
      <alignment vertical="top" wrapText="1"/>
    </xf>
    <xf numFmtId="1" fontId="34" fillId="0" borderId="0" xfId="0" applyNumberFormat="1" applyFont="1" applyAlignment="1" applyProtection="1">
      <protection hidden="1"/>
    </xf>
    <xf numFmtId="1" fontId="0" fillId="0" borderId="0" xfId="0" applyNumberFormat="1" applyFont="1" applyAlignment="1"/>
    <xf numFmtId="0" fontId="1" fillId="0" borderId="0" xfId="0" applyFont="1" applyAlignment="1"/>
    <xf numFmtId="166" fontId="34" fillId="0" borderId="0" xfId="0" applyNumberFormat="1" applyFont="1" applyProtection="1">
      <protection hidden="1"/>
    </xf>
    <xf numFmtId="166" fontId="1" fillId="0" borderId="0" xfId="0" applyNumberFormat="1" applyFont="1" applyAlignment="1">
      <alignment vertical="top" wrapText="1"/>
    </xf>
    <xf numFmtId="166" fontId="1" fillId="0" borderId="0" xfId="0" applyNumberFormat="1" applyFont="1" applyAlignment="1">
      <alignment vertical="top"/>
    </xf>
    <xf numFmtId="166" fontId="33" fillId="0" borderId="2" xfId="0" applyNumberFormat="1" applyFont="1" applyBorder="1" applyAlignment="1" applyProtection="1">
      <alignment vertical="top"/>
      <protection hidden="1"/>
    </xf>
    <xf numFmtId="166" fontId="0" fillId="0" borderId="0" xfId="0" applyNumberFormat="1" applyFont="1"/>
    <xf numFmtId="166" fontId="0" fillId="0" borderId="0" xfId="0" applyNumberFormat="1" applyFont="1" applyAlignment="1"/>
    <xf numFmtId="167" fontId="0" fillId="0" borderId="7" xfId="0" applyNumberFormat="1" applyFont="1" applyBorder="1" applyAlignment="1"/>
    <xf numFmtId="164" fontId="1" fillId="9" borderId="0" xfId="0" applyNumberFormat="1" applyFont="1" applyFill="1" applyBorder="1" applyAlignment="1" applyProtection="1">
      <alignment horizontal="center" vertical="center" wrapText="1"/>
    </xf>
    <xf numFmtId="164" fontId="1" fillId="11" borderId="0" xfId="0" applyNumberFormat="1" applyFont="1" applyFill="1" applyBorder="1" applyAlignment="1" applyProtection="1">
      <alignment horizontal="center" vertical="center" wrapText="1"/>
    </xf>
    <xf numFmtId="164" fontId="1" fillId="7" borderId="0" xfId="0" applyNumberFormat="1" applyFont="1" applyFill="1" applyBorder="1" applyAlignment="1" applyProtection="1">
      <alignment horizontal="center" vertical="center" wrapText="1"/>
    </xf>
    <xf numFmtId="164" fontId="1" fillId="12" borderId="0" xfId="0" applyNumberFormat="1" applyFont="1" applyFill="1" applyBorder="1" applyAlignment="1" applyProtection="1">
      <alignment horizontal="center" vertical="center" wrapText="1"/>
    </xf>
    <xf numFmtId="164" fontId="1" fillId="16" borderId="0" xfId="0" applyNumberFormat="1" applyFont="1" applyFill="1" applyBorder="1" applyAlignment="1" applyProtection="1">
      <alignment horizontal="center" vertical="center" wrapText="1"/>
    </xf>
    <xf numFmtId="0" fontId="1" fillId="19" borderId="21" xfId="1" applyFont="1" applyFill="1" applyBorder="1" applyAlignment="1" applyProtection="1">
      <alignment horizontal="center" wrapText="1"/>
    </xf>
    <xf numFmtId="0" fontId="1" fillId="19" borderId="13" xfId="1" applyFont="1" applyFill="1" applyBorder="1" applyAlignment="1" applyProtection="1">
      <alignment horizontal="center" wrapText="1"/>
    </xf>
    <xf numFmtId="0" fontId="1" fillId="6" borderId="21" xfId="1" applyFont="1" applyFill="1" applyBorder="1" applyAlignment="1" applyProtection="1">
      <alignment horizontal="center" vertical="center"/>
    </xf>
    <xf numFmtId="0" fontId="1" fillId="6" borderId="13" xfId="1" applyFont="1" applyFill="1" applyBorder="1" applyAlignment="1" applyProtection="1">
      <alignment horizontal="center" vertical="center"/>
    </xf>
    <xf numFmtId="0" fontId="1" fillId="0" borderId="0" xfId="1" applyFont="1" applyFill="1" applyBorder="1" applyAlignment="1" applyProtection="1">
      <alignment horizontal="center" vertical="center" wrapText="1"/>
    </xf>
    <xf numFmtId="0" fontId="23" fillId="6" borderId="0" xfId="0" applyFont="1" applyFill="1" applyBorder="1" applyAlignment="1" applyProtection="1">
      <alignment horizontal="center" wrapText="1"/>
    </xf>
    <xf numFmtId="0" fontId="20" fillId="32" borderId="21" xfId="1" applyFont="1" applyFill="1" applyBorder="1" applyAlignment="1" applyProtection="1">
      <alignment horizontal="center" wrapText="1"/>
    </xf>
    <xf numFmtId="0" fontId="20" fillId="32" borderId="13" xfId="1" applyFont="1" applyFill="1" applyBorder="1" applyAlignment="1" applyProtection="1">
      <alignment horizontal="center" wrapText="1"/>
    </xf>
    <xf numFmtId="0" fontId="1" fillId="7" borderId="33" xfId="1" applyFont="1" applyFill="1" applyBorder="1" applyAlignment="1" applyProtection="1">
      <alignment horizontal="center" vertical="center" wrapText="1"/>
    </xf>
    <xf numFmtId="0" fontId="1" fillId="7" borderId="34" xfId="1" applyFont="1" applyFill="1" applyBorder="1" applyAlignment="1" applyProtection="1">
      <alignment horizontal="center" vertical="center" wrapText="1"/>
    </xf>
    <xf numFmtId="0" fontId="1" fillId="0" borderId="0" xfId="1" applyFont="1" applyFill="1" applyBorder="1" applyAlignment="1" applyProtection="1">
      <alignment horizontal="center" vertical="center"/>
    </xf>
    <xf numFmtId="0" fontId="1" fillId="7" borderId="21" xfId="1" applyFont="1" applyFill="1" applyBorder="1" applyAlignment="1" applyProtection="1">
      <alignment horizontal="center" wrapText="1"/>
    </xf>
    <xf numFmtId="0" fontId="1" fillId="7" borderId="13" xfId="1" applyFont="1" applyFill="1" applyBorder="1" applyAlignment="1" applyProtection="1">
      <alignment horizontal="center" wrapText="1"/>
    </xf>
    <xf numFmtId="0" fontId="1" fillId="5" borderId="21" xfId="1" applyFont="1" applyFill="1" applyBorder="1" applyAlignment="1" applyProtection="1">
      <alignment horizontal="center" vertical="center"/>
    </xf>
    <xf numFmtId="0" fontId="1" fillId="5" borderId="13" xfId="1" applyFont="1" applyFill="1" applyBorder="1" applyAlignment="1" applyProtection="1">
      <alignment horizontal="center" vertical="center"/>
    </xf>
    <xf numFmtId="164" fontId="1" fillId="22" borderId="26" xfId="0" applyNumberFormat="1" applyFont="1" applyFill="1" applyBorder="1" applyAlignment="1" applyProtection="1">
      <alignment horizontal="center" vertical="center" wrapText="1"/>
    </xf>
    <xf numFmtId="164" fontId="1" fillId="22" borderId="0" xfId="0" applyNumberFormat="1" applyFont="1" applyFill="1" applyBorder="1" applyAlignment="1" applyProtection="1">
      <alignment horizontal="center" vertical="center" wrapText="1"/>
    </xf>
    <xf numFmtId="164" fontId="1" fillId="3" borderId="26" xfId="0" applyNumberFormat="1" applyFont="1" applyFill="1" applyBorder="1" applyAlignment="1" applyProtection="1">
      <alignment horizontal="center" vertical="center" wrapText="1"/>
    </xf>
    <xf numFmtId="164" fontId="1" fillId="3" borderId="0" xfId="0" applyNumberFormat="1" applyFont="1" applyFill="1" applyBorder="1" applyAlignment="1" applyProtection="1">
      <alignment horizontal="center" vertical="center" wrapText="1"/>
    </xf>
    <xf numFmtId="164" fontId="1" fillId="23" borderId="26" xfId="0" applyNumberFormat="1" applyFont="1" applyFill="1" applyBorder="1" applyAlignment="1" applyProtection="1">
      <alignment horizontal="center" vertical="center" wrapText="1"/>
    </xf>
    <xf numFmtId="164" fontId="1" fillId="23" borderId="0" xfId="0" applyNumberFormat="1" applyFont="1" applyFill="1" applyBorder="1" applyAlignment="1" applyProtection="1">
      <alignment horizontal="center" vertical="center" wrapText="1"/>
    </xf>
    <xf numFmtId="164" fontId="1" fillId="25" borderId="26" xfId="0" applyNumberFormat="1" applyFont="1" applyFill="1" applyBorder="1" applyAlignment="1" applyProtection="1">
      <alignment horizontal="center" vertical="center" wrapText="1"/>
    </xf>
    <xf numFmtId="164" fontId="1" fillId="25" borderId="0" xfId="0" applyNumberFormat="1" applyFont="1" applyFill="1" applyBorder="1" applyAlignment="1" applyProtection="1">
      <alignment horizontal="center" vertical="center" wrapText="1"/>
    </xf>
    <xf numFmtId="164" fontId="1" fillId="26" borderId="26" xfId="0" applyNumberFormat="1" applyFont="1" applyFill="1" applyBorder="1" applyAlignment="1" applyProtection="1">
      <alignment horizontal="center" vertical="center" wrapText="1"/>
    </xf>
    <xf numFmtId="164" fontId="1" fillId="26" borderId="0" xfId="0" applyNumberFormat="1" applyFont="1" applyFill="1" applyBorder="1" applyAlignment="1" applyProtection="1">
      <alignment horizontal="center" vertical="center" wrapText="1"/>
    </xf>
    <xf numFmtId="164" fontId="16" fillId="27" borderId="26" xfId="0" applyNumberFormat="1" applyFont="1" applyFill="1" applyBorder="1" applyAlignment="1" applyProtection="1">
      <alignment horizontal="center" vertical="center" wrapText="1"/>
    </xf>
    <xf numFmtId="164" fontId="16" fillId="27" borderId="0" xfId="0" applyNumberFormat="1" applyFont="1" applyFill="1" applyBorder="1" applyAlignment="1" applyProtection="1">
      <alignment horizontal="center" vertical="center" wrapText="1"/>
    </xf>
    <xf numFmtId="164" fontId="1" fillId="28" borderId="26" xfId="0" applyNumberFormat="1" applyFont="1" applyFill="1" applyBorder="1" applyAlignment="1" applyProtection="1">
      <alignment horizontal="center" vertical="center" wrapText="1"/>
    </xf>
    <xf numFmtId="164" fontId="1" fillId="28" borderId="0" xfId="0" applyNumberFormat="1" applyFont="1" applyFill="1" applyBorder="1" applyAlignment="1" applyProtection="1">
      <alignment horizontal="center" vertical="center" wrapText="1"/>
    </xf>
    <xf numFmtId="164" fontId="16" fillId="29" borderId="26" xfId="0" applyNumberFormat="1" applyFont="1" applyFill="1" applyBorder="1" applyAlignment="1" applyProtection="1">
      <alignment horizontal="center" vertical="center" wrapText="1"/>
    </xf>
    <xf numFmtId="164" fontId="16" fillId="29" borderId="0" xfId="0" applyNumberFormat="1" applyFont="1" applyFill="1" applyBorder="1" applyAlignment="1" applyProtection="1">
      <alignment horizontal="center" vertical="center" wrapText="1"/>
    </xf>
    <xf numFmtId="164" fontId="16" fillId="30" borderId="26" xfId="0" applyNumberFormat="1" applyFont="1" applyFill="1" applyBorder="1" applyAlignment="1" applyProtection="1">
      <alignment horizontal="center" vertical="center" wrapText="1"/>
    </xf>
    <xf numFmtId="164" fontId="16" fillId="30" borderId="0" xfId="0" applyNumberFormat="1" applyFont="1" applyFill="1" applyBorder="1" applyAlignment="1" applyProtection="1">
      <alignment horizontal="center" vertical="center" wrapText="1"/>
    </xf>
    <xf numFmtId="0" fontId="26" fillId="5" borderId="27" xfId="0" applyFont="1" applyFill="1" applyBorder="1" applyAlignment="1" applyProtection="1">
      <alignment horizontal="center"/>
    </xf>
    <xf numFmtId="0" fontId="26" fillId="5" borderId="35" xfId="0" applyFont="1" applyFill="1" applyBorder="1" applyAlignment="1" applyProtection="1">
      <alignment horizontal="center"/>
    </xf>
    <xf numFmtId="0" fontId="26" fillId="5" borderId="36" xfId="0" applyFont="1" applyFill="1" applyBorder="1" applyAlignment="1" applyProtection="1">
      <alignment horizontal="center"/>
    </xf>
    <xf numFmtId="164" fontId="1" fillId="12" borderId="26" xfId="0" applyNumberFormat="1" applyFont="1" applyFill="1" applyBorder="1" applyAlignment="1" applyProtection="1">
      <alignment horizontal="center" vertical="center" wrapText="1"/>
    </xf>
    <xf numFmtId="0" fontId="12" fillId="13" borderId="14" xfId="1" applyFont="1" applyFill="1" applyBorder="1" applyAlignment="1" applyProtection="1">
      <alignment horizontal="center" wrapText="1"/>
    </xf>
    <xf numFmtId="0" fontId="12" fillId="13" borderId="15" xfId="1" applyFont="1" applyFill="1" applyBorder="1" applyAlignment="1" applyProtection="1">
      <alignment horizontal="center" wrapText="1"/>
    </xf>
    <xf numFmtId="0" fontId="12" fillId="13" borderId="16" xfId="1" applyFont="1" applyFill="1" applyBorder="1" applyAlignment="1" applyProtection="1">
      <alignment horizontal="center" wrapText="1"/>
    </xf>
    <xf numFmtId="0" fontId="12" fillId="13" borderId="20" xfId="1" applyFont="1" applyFill="1" applyBorder="1" applyAlignment="1" applyProtection="1">
      <alignment horizontal="center" wrapText="1"/>
    </xf>
    <xf numFmtId="0" fontId="12" fillId="13" borderId="0" xfId="1" applyFont="1" applyFill="1" applyBorder="1" applyAlignment="1" applyProtection="1">
      <alignment horizontal="center" wrapText="1"/>
    </xf>
    <xf numFmtId="0" fontId="12" fillId="13" borderId="19" xfId="1" applyFont="1" applyFill="1" applyBorder="1" applyAlignment="1" applyProtection="1">
      <alignment horizontal="center" wrapText="1"/>
    </xf>
    <xf numFmtId="0" fontId="12" fillId="13" borderId="17" xfId="1" applyFont="1" applyFill="1" applyBorder="1" applyAlignment="1" applyProtection="1">
      <alignment horizontal="center" wrapText="1"/>
    </xf>
    <xf numFmtId="0" fontId="12" fillId="13" borderId="18" xfId="1" applyFont="1" applyFill="1" applyBorder="1" applyAlignment="1" applyProtection="1">
      <alignment horizontal="center" wrapText="1"/>
    </xf>
    <xf numFmtId="0" fontId="12" fillId="13" borderId="11" xfId="1" applyFont="1" applyFill="1" applyBorder="1" applyAlignment="1" applyProtection="1">
      <alignment horizontal="center" wrapText="1"/>
    </xf>
    <xf numFmtId="0" fontId="23" fillId="6" borderId="0" xfId="0" applyFont="1" applyFill="1" applyBorder="1" applyAlignment="1" applyProtection="1">
      <alignment horizontal="left" wrapText="1"/>
    </xf>
    <xf numFmtId="164" fontId="1" fillId="9" borderId="26" xfId="0" applyNumberFormat="1" applyFont="1" applyFill="1" applyBorder="1" applyAlignment="1" applyProtection="1">
      <alignment horizontal="center" vertical="center" wrapText="1"/>
    </xf>
    <xf numFmtId="164" fontId="1" fillId="11" borderId="26" xfId="0" applyNumberFormat="1" applyFont="1" applyFill="1" applyBorder="1" applyAlignment="1" applyProtection="1">
      <alignment horizontal="center" vertical="center" wrapText="1"/>
    </xf>
    <xf numFmtId="164" fontId="1" fillId="7" borderId="26" xfId="0" applyNumberFormat="1" applyFont="1" applyFill="1" applyBorder="1" applyAlignment="1" applyProtection="1">
      <alignment horizontal="center" vertical="center" wrapText="1"/>
    </xf>
    <xf numFmtId="164" fontId="16" fillId="24" borderId="26" xfId="0" applyNumberFormat="1" applyFont="1" applyFill="1" applyBorder="1" applyAlignment="1" applyProtection="1">
      <alignment horizontal="center" vertical="center" wrapText="1"/>
    </xf>
    <xf numFmtId="164" fontId="16" fillId="24" borderId="0" xfId="0" applyNumberFormat="1" applyFont="1" applyFill="1" applyBorder="1" applyAlignment="1" applyProtection="1">
      <alignment horizontal="center" vertical="center" wrapText="1"/>
    </xf>
    <xf numFmtId="164" fontId="1" fillId="16" borderId="26" xfId="0" applyNumberFormat="1" applyFont="1" applyFill="1" applyBorder="1" applyAlignment="1" applyProtection="1">
      <alignment horizontal="center" vertical="center" wrapText="1"/>
    </xf>
    <xf numFmtId="164" fontId="1" fillId="17" borderId="26" xfId="0" applyNumberFormat="1" applyFont="1" applyFill="1" applyBorder="1" applyAlignment="1" applyProtection="1">
      <alignment horizontal="center" vertical="center" wrapText="1"/>
    </xf>
    <xf numFmtId="164" fontId="1" fillId="17" borderId="0" xfId="0" applyNumberFormat="1" applyFont="1" applyFill="1" applyBorder="1" applyAlignment="1" applyProtection="1">
      <alignment horizontal="center" vertical="center" wrapText="1"/>
    </xf>
    <xf numFmtId="164" fontId="1" fillId="18" borderId="26" xfId="0" applyNumberFormat="1" applyFont="1" applyFill="1" applyBorder="1" applyAlignment="1" applyProtection="1">
      <alignment horizontal="center" vertical="center" wrapText="1"/>
    </xf>
    <xf numFmtId="164" fontId="1" fillId="18" borderId="0" xfId="0" applyNumberFormat="1" applyFont="1" applyFill="1" applyBorder="1" applyAlignment="1" applyProtection="1">
      <alignment horizontal="center" vertical="center" wrapText="1"/>
    </xf>
    <xf numFmtId="164" fontId="1" fillId="19" borderId="26" xfId="0" applyNumberFormat="1" applyFont="1" applyFill="1" applyBorder="1" applyAlignment="1" applyProtection="1">
      <alignment horizontal="center" vertical="center" wrapText="1"/>
    </xf>
    <xf numFmtId="164" fontId="1" fillId="19" borderId="0" xfId="0" applyNumberFormat="1" applyFont="1" applyFill="1" applyBorder="1" applyAlignment="1" applyProtection="1">
      <alignment horizontal="center" vertical="center" wrapText="1"/>
    </xf>
    <xf numFmtId="164" fontId="1" fillId="20" borderId="26" xfId="0" applyNumberFormat="1" applyFont="1" applyFill="1" applyBorder="1" applyAlignment="1" applyProtection="1">
      <alignment horizontal="center" vertical="center" wrapText="1"/>
    </xf>
    <xf numFmtId="164" fontId="1" fillId="20" borderId="0" xfId="0" applyNumberFormat="1" applyFont="1" applyFill="1" applyBorder="1" applyAlignment="1" applyProtection="1">
      <alignment horizontal="center" vertical="center" wrapText="1"/>
    </xf>
    <xf numFmtId="164" fontId="1" fillId="15" borderId="26" xfId="0" applyNumberFormat="1" applyFont="1" applyFill="1" applyBorder="1" applyAlignment="1" applyProtection="1">
      <alignment horizontal="center" vertical="center" wrapText="1"/>
    </xf>
    <xf numFmtId="164" fontId="1" fillId="15" borderId="0" xfId="0" applyNumberFormat="1" applyFont="1" applyFill="1" applyBorder="1" applyAlignment="1" applyProtection="1">
      <alignment horizontal="center" vertical="center" wrapText="1"/>
    </xf>
    <xf numFmtId="164" fontId="1" fillId="4" borderId="26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 applyProtection="1">
      <alignment horizontal="center" vertical="center" wrapText="1"/>
    </xf>
    <xf numFmtId="164" fontId="1" fillId="21" borderId="26" xfId="0" applyNumberFormat="1" applyFont="1" applyFill="1" applyBorder="1" applyAlignment="1" applyProtection="1">
      <alignment horizontal="center" vertical="center" wrapText="1"/>
    </xf>
    <xf numFmtId="164" fontId="1" fillId="21" borderId="0" xfId="0" applyNumberFormat="1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left" vertical="center" wrapText="1"/>
      <protection locked="0"/>
    </xf>
    <xf numFmtId="0" fontId="7" fillId="3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vertical="top"/>
    </xf>
    <xf numFmtId="0" fontId="3" fillId="0" borderId="3" xfId="0" applyFont="1" applyBorder="1"/>
    <xf numFmtId="0" fontId="3" fillId="0" borderId="2" xfId="0" applyFont="1" applyBorder="1"/>
  </cellXfs>
  <cellStyles count="4">
    <cellStyle name="Calculation" xfId="2" builtinId="22"/>
    <cellStyle name="Hyperlink" xfId="3" builtinId="8"/>
    <cellStyle name="Normal" xfId="0" builtinId="0"/>
    <cellStyle name="Normal 2" xfId="1"/>
  </cellStyles>
  <dxfs count="16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strike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3"/>
      <tableStyleElement type="headerRow" dxfId="162"/>
    </tableStyle>
  </tableStyles>
  <colors>
    <mruColors>
      <color rgb="FFFF33CC"/>
      <color rgb="FFCC6600"/>
      <color rgb="FFC0C0C0"/>
      <color rgb="FFCC9900"/>
      <color rgb="FFFEE6FE"/>
      <color rgb="FFFF99FF"/>
      <color rgb="FF996600"/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A3AC-46F9-99E6-CDE0C2935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3AC-46F9-99E6-CDE0C2935753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FAD-41AA-99A5-04F37FD6E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525117616"/>
        <c:axId val="-10331982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FAD-41AA-99A5-04F37FD6E288}"/>
                  </c:ext>
                </c:extLst>
              </c15:ser>
            </c15:filteredBarSeries>
          </c:ext>
        </c:extLst>
      </c:barChart>
      <c:catAx>
        <c:axId val="-1525117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8272"/>
        <c:crosses val="autoZero"/>
        <c:auto val="1"/>
        <c:lblAlgn val="ctr"/>
        <c:lblOffset val="100"/>
        <c:noMultiLvlLbl val="0"/>
      </c:catAx>
      <c:valAx>
        <c:axId val="-103319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251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B5FE-4681-A9A5-DBAE3961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033185760"/>
        <c:axId val="-10331933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5FE-4681-A9A5-DBAE3961BE8D}"/>
                  </c:ext>
                </c:extLst>
              </c15:ser>
            </c15:filteredBarSeries>
          </c:ext>
        </c:extLst>
      </c:barChart>
      <c:catAx>
        <c:axId val="-103318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93376"/>
        <c:crosses val="autoZero"/>
        <c:auto val="1"/>
        <c:lblAlgn val="ctr"/>
        <c:lblOffset val="100"/>
        <c:noMultiLvlLbl val="0"/>
      </c:catAx>
      <c:valAx>
        <c:axId val="-103319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318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'AHP Likelihood Calculation'!$AN$56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'AHP Likelihood Calculation'!$AL$57:$AL$79</c:f>
              <c:numCache>
                <c:formatCode>General</c:formatCode>
                <c:ptCount val="23"/>
              </c:numCache>
            </c:numRef>
          </c:cat>
          <c:val>
            <c:numRef>
              <c:f>'AHP Likelihood Calculation'!$AN$57:$AN$79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306F-4FE0-95D9-52197F8FB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1368849760"/>
        <c:axId val="-13688492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'AHP Likelihood Calculation'!$AM$56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'AHP Likelihood Calculation'!$AL$57:$AL$79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'AHP Likelihood Calculation'!$AM$57:$AM$79</c15:sqref>
                        </c15:formulaRef>
                      </c:ext>
                    </c:extLst>
                    <c:numCache>
                      <c:formatCode>General</c:formatCode>
                      <c:ptCount val="2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06F-4FE0-95D9-52197F8FB258}"/>
                  </c:ext>
                </c:extLst>
              </c15:ser>
            </c15:filteredBarSeries>
          </c:ext>
        </c:extLst>
      </c:barChart>
      <c:catAx>
        <c:axId val="-136884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216"/>
        <c:crosses val="autoZero"/>
        <c:auto val="1"/>
        <c:lblAlgn val="ctr"/>
        <c:lblOffset val="100"/>
        <c:noMultiLvlLbl val="0"/>
      </c:catAx>
      <c:valAx>
        <c:axId val="-13688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688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  <cx:data id="1">
      <cx:strDim type="cat">
        <cx:f>_xlchart.v1.0</cx:f>
      </cx:strDim>
      <cx:numDim type="size">
        <cx:f>_xlchart.v1.4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_xlchart.v1.1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_xlchart.v1.3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_xlchart.v1.7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_xlchart.v1.6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size">
        <cx:f>_xlchart.v1.21</cx:f>
      </cx:numDim>
    </cx:data>
    <cx:data id="1">
      <cx:strDim type="cat">
        <cx:f>_xlchart.v1.19</cx:f>
      </cx:strDim>
      <cx:numDim type="size">
        <cx:f>_xlchart.v1.23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_xlchart.v1.20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_xlchart.v1.22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size">
        <cx:f>_xlchart.v1.18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9B40B98F-B205-43E5-B809-CC169AADBB0B}" formatIdx="1">
          <cx:tx>
            <cx:txData>
              <cx:f>_xlchart.v1.17</cx:f>
              <cx:v>Total Cost of Precaution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_xlchart.v1.24</cx:f>
      </cx:strDim>
      <cx:numDim type="size">
        <cx:f>_xlchart.v1.26</cx:f>
      </cx:numDim>
    </cx:data>
    <cx:data id="1">
      <cx:strDim type="cat">
        <cx:f>_xlchart.v1.24</cx:f>
      </cx:strDim>
      <cx:numDim type="size">
        <cx:f>_xlchart.v1.28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_xlchart.v1.25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_xlchart.v1.27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size">
        <cx:f>_xlchart.v1.31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_xlchart.v1.30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>
      <cx:txPr>
        <a:bodyPr spcFirstLastPara="1" vertOverflow="ellipsis" wrap="square" lIns="0" tIns="0" rIns="0" bIns="0" anchor="ctr" anchorCtr="1"/>
        <a:lstStyle/>
        <a:p>
          <a:pPr>
            <a:defRPr sz="1800"/>
          </a:pPr>
          <a:endParaRPr lang="en-US" sz="1800"/>
        </a:p>
      </cx:txPr>
    </cx:legend>
  </cx:chart>
  <cx:clrMapOvr bg1="lt1" tx1="dk1" bg2="lt2" tx2="dk2" accent1="accent1" accent2="accent2" accent3="accent3" accent4="accent4" accent5="accent5" accent6="accent6" hlink="hlink" folHlink="folHlink"/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_xlchart.v1.37</cx:f>
      </cx:strDim>
      <cx:numDim type="size">
        <cx:f>_xlchart.v1.39</cx:f>
      </cx:numDim>
    </cx:data>
    <cx:data id="1">
      <cx:strDim type="cat">
        <cx:f>_xlchart.v1.37</cx:f>
      </cx:strDim>
      <cx:numDim type="size">
        <cx:f>_xlchart.v1.41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_xlchart.v1.38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_xlchart.v1.40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_xlchart.v1.32</cx:f>
      </cx:strDim>
      <cx:numDim type="size">
        <cx:f>_xlchart.v1.34</cx:f>
      </cx:numDim>
    </cx:data>
    <cx:data id="1">
      <cx:strDim type="cat">
        <cx:f>_xlchart.v1.32</cx:f>
      </cx:strDim>
      <cx:numDim type="size">
        <cx:f>_xlchart.v1.36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_xlchart.v1.33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_xlchart.v1.35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wrap="square" lIns="0" tIns="0" rIns="0" bIns="0" anchor="ctr" anchorCtr="1"/>
        <a:lstStyle/>
        <a:p>
          <a:pPr>
            <a:defRPr/>
          </a:pPr>
          <a:endParaRPr lang="en-US"/>
        </a:p>
      </cx:txPr>
    </cx:legend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_xlchart.v1.45</cx:f>
      </cx:strDim>
      <cx:numDim type="size">
        <cx:f>_xlchart.v1.47</cx:f>
      </cx:numDim>
    </cx:data>
    <cx:data id="1">
      <cx:strDim type="cat">
        <cx:f>_xlchart.v1.45</cx:f>
      </cx:strDim>
      <cx:numDim type="size">
        <cx:f>_xlchart.v1.49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C3CCE400-7605-4DED-87BF-C019623CF412}" formatIdx="0">
          <cx:tx>
            <cx:txData>
              <cx:f>_xlchart.v1.46</cx:f>
              <cx:v>Total Risk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chemeClr val="tx1"/>
                    </a:solidFill>
                  </a:defRPr>
                </a:pPr>
                <a:endParaRPr lang="en-US" sz="2000">
                  <a:solidFill>
                    <a:schemeClr val="tx1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B793508D-C266-4D1F-8CAC-7D174040F967}" formatIdx="1">
          <cx:tx>
            <cx:txData>
              <cx:f>_xlchart.v1.48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b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_xlchart.v1.42</cx:f>
      </cx:strDim>
      <cx:numDim type="size">
        <cx:f>_xlchart.v1.44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Costs to Threats Based on Fixed Budget Optimization</a:t>
            </a:r>
            <a:endParaRPr lang="en-US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B793508D-C266-4D1F-8CAC-7D174040F967}" formatIdx="1">
          <cx:tx>
            <cx:txData>
              <cx:f>_xlchart.v1.43</cx:f>
              <cx:v>Total Cost of Precaution</cx:v>
            </cx:txData>
          </cx:tx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2000">
                    <a:solidFill>
                      <a:sysClr val="windowText" lastClr="000000"/>
                    </a:solidFill>
                  </a:defRPr>
                </a:pPr>
                <a:endParaRPr lang="en-US" sz="200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clrMapOvr bg1="lt1" tx1="dk1" bg2="lt2" tx2="dk2" accent1="accent1" accent2="accent2" accent3="accent3" accent4="accent4" accent5="accent5" accent6="accent6" hlink="hlink" folHlink="folHlink"/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_xlchart.v1.50</cx:f>
      </cx:strDim>
      <cx:numDim type="size">
        <cx:f>_xlchart.v1.52</cx:f>
      </cx:numDim>
    </cx:data>
    <cx:data id="1">
      <cx:strDim type="cat">
        <cx:f>_xlchart.v1.50</cx:f>
      </cx:strDim>
      <cx:numDim type="size">
        <cx:f>_xlchart.v1.54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>
                <a:solidFill>
                  <a:sysClr val="windowText" lastClr="000000"/>
                </a:solidFill>
              </a:defRPr>
            </a:pPr>
            <a:r>
              <a:rPr lang="en-US" sz="28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Risk to Precautions Based on Fixed Budget Optimization</a:t>
            </a:r>
            <a:endParaRPr lang="en-US" sz="1400" b="0" i="0" u="none" strike="noStrike" kern="1200" spc="0" baseline="0">
              <a:solidFill>
                <a:sysClr val="windowText" lastClr="000000"/>
              </a:solidFill>
              <a:effectLst/>
              <a:latin typeface="Calibri" panose="020F0502020204030204"/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_xlchart.v1.51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_xlchart.v1.53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_xlchart.v1.55</cx:f>
      </cx:strDim>
      <cx:numDim type="size">
        <cx:f>_xlchart.v1.57</cx:f>
      </cx:numDim>
    </cx:data>
    <cx:data id="1">
      <cx:strDim type="cat">
        <cx:f>_xlchart.v1.55</cx:f>
      </cx:strDim>
      <cx:numDim type="size">
        <cx:f>_xlchart.v1.59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0" i="0" u="none" strike="noStrike" kern="1200" spc="0" baseline="0">
                <a:solidFill>
                  <a:sysClr val="windowText" lastClr="000000"/>
                </a:solidFill>
                <a:effectLst/>
                <a:latin typeface="Calibri" panose="020F0502020204030204"/>
              </a:rPr>
              <a:t>Distribution of Cost to Precautions Based on Fixed Budget Optimization</a:t>
            </a:r>
            <a:endParaRPr lang="en-US" sz="2400">
              <a:solidFill>
                <a:sysClr val="windowText" lastClr="000000"/>
              </a:solidFill>
            </a:endParaRPr>
          </a:p>
        </cx:rich>
      </cx:tx>
    </cx:title>
    <cx:plotArea>
      <cx:plotAreaRegion>
        <cx:series layoutId="treemap" uniqueId="{8AE3DDCB-8810-4072-85D2-8243371B6C1C}" formatIdx="0">
          <cx:tx>
            <cx:txData>
              <cx:f>_xlchart.v1.56</cx:f>
              <cx:v>Total Prevented Amount of Risk By Precaution</cx:v>
            </cx:txData>
          </cx:tx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sz="1050">
                    <a:solidFill>
                      <a:sysClr val="windowText" lastClr="000000"/>
                    </a:solidFill>
                  </a:defRPr>
                </a:pPr>
                <a:endParaRPr lang="en-US" sz="1050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  <cx:series layoutId="treemap" hidden="1" uniqueId="{9B40B98F-B205-43E5-B809-CC169AADBB0B}" formatIdx="1">
          <cx:tx>
            <cx:txData>
              <cx:f>_xlchart.v1.58</cx:f>
              <cx:v>Total Cost of Precaution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12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85000"/>
        </a:schemeClr>
      </a:solidFill>
      <a:ln>
        <a:solidFill>
          <a:schemeClr val="bg1">
            <a:lumMod val="75000"/>
          </a:schemeClr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6.xml"/><Relationship Id="rId1" Type="http://schemas.microsoft.com/office/2014/relationships/chartEx" Target="../charts/chartEx5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8.xml"/><Relationship Id="rId1" Type="http://schemas.microsoft.com/office/2014/relationships/chartEx" Target="../charts/chartEx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0.xml"/><Relationship Id="rId1" Type="http://schemas.microsoft.com/office/2014/relationships/chartEx" Target="../charts/chartEx9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2.xml"/><Relationship Id="rId1" Type="http://schemas.microsoft.com/office/2014/relationships/chartEx" Target="../charts/chartEx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5</xdr:row>
      <xdr:rowOff>91989</xdr:rowOff>
    </xdr:from>
    <xdr:to>
      <xdr:col>21</xdr:col>
      <xdr:colOff>601980</xdr:colOff>
      <xdr:row>51</xdr:row>
      <xdr:rowOff>137160</xdr:rowOff>
    </xdr:to>
    <xdr:grpSp>
      <xdr:nvGrpSpPr>
        <xdr:cNvPr id="2" name="Group 1"/>
        <xdr:cNvGrpSpPr/>
      </xdr:nvGrpSpPr>
      <xdr:grpSpPr>
        <a:xfrm>
          <a:off x="1371600" y="920250"/>
          <a:ext cx="12031980" cy="7665171"/>
          <a:chOff x="1371594" y="907870"/>
          <a:chExt cx="12031983" cy="75568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0553700" y="7682055"/>
                <a:ext cx="1379220" cy="7826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Risk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8587740" y="1879963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Run LP Optimization for Fixed Cost Optimization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utton 3" hidden="1">
                <a:extLst>
                  <a:ext uri="{63B3BB69-23CF-44E3-9099-C40C66FF867C}">
                    <a14:compatExt spid="_x0000_s8195"/>
                  </a:ext>
                </a:extLst>
              </xdr:cNvPr>
              <xdr:cNvSpPr/>
            </xdr:nvSpPr>
            <xdr:spPr bwMode="auto">
              <a:xfrm>
                <a:off x="1371594" y="5270863"/>
                <a:ext cx="1516380" cy="6379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Threat Model Definitions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2682240" y="2088969"/>
                <a:ext cx="9608820" cy="556695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sp>
        </mc:Choice>
        <mc:Fallback/>
      </mc:AlternateContent>
      <xdr:cxnSp macro="">
        <xdr:nvCxnSpPr>
          <xdr:cNvPr id="3" name="Curved Connector 2"/>
          <xdr:cNvCxnSpPr/>
        </xdr:nvCxnSpPr>
        <xdr:spPr>
          <a:xfrm rot="10800000" flipV="1">
            <a:off x="2848792" y="5029200"/>
            <a:ext cx="784860" cy="60415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7" name="Button 5" hidden="1">
                <a:extLst>
                  <a:ext uri="{63B3BB69-23CF-44E3-9099-C40C66FF867C}">
                    <a14:compatExt spid="_x0000_s8197"/>
                  </a:ext>
                </a:extLst>
              </xdr:cNvPr>
              <xdr:cNvSpPr/>
            </xdr:nvSpPr>
            <xdr:spPr bwMode="auto">
              <a:xfrm>
                <a:off x="3223260" y="6748054"/>
                <a:ext cx="1363980" cy="5203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Settings</a:t>
                </a:r>
              </a:p>
            </xdr:txBody>
          </xdr:sp>
        </mc:Choice>
        <mc:Fallback/>
      </mc:AlternateContent>
      <xdr:cxnSp macro="">
        <xdr:nvCxnSpPr>
          <xdr:cNvPr id="13" name="Curved Connector 12"/>
          <xdr:cNvCxnSpPr/>
        </xdr:nvCxnSpPr>
        <xdr:spPr>
          <a:xfrm rot="5400000">
            <a:off x="3293249" y="5487044"/>
            <a:ext cx="1686649" cy="82475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Button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5234940" y="6854734"/>
                <a:ext cx="1203960" cy="5312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Likelihood Calculation</a:t>
                </a:r>
              </a:p>
            </xdr:txBody>
          </xdr:sp>
        </mc:Choice>
        <mc:Fallback/>
      </mc:AlternateContent>
      <xdr:cxnSp macro="">
        <xdr:nvCxnSpPr>
          <xdr:cNvPr id="17" name="Curved Connector 16"/>
          <xdr:cNvCxnSpPr/>
        </xdr:nvCxnSpPr>
        <xdr:spPr>
          <a:xfrm rot="16200000" flipH="1">
            <a:off x="4225579" y="5657371"/>
            <a:ext cx="1740433" cy="53788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9" name="Button 7" hidden="1">
                <a:extLst>
                  <a:ext uri="{63B3BB69-23CF-44E3-9099-C40C66FF867C}">
                    <a14:compatExt spid="_x0000_s8199"/>
                  </a:ext>
                </a:extLst>
              </xdr:cNvPr>
              <xdr:cNvSpPr/>
            </xdr:nvSpPr>
            <xdr:spPr bwMode="auto">
              <a:xfrm>
                <a:off x="4067695" y="921914"/>
                <a:ext cx="1100050" cy="5488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AHP Severity Calculation</a:t>
                </a:r>
              </a:p>
            </xdr:txBody>
          </xdr:sp>
        </mc:Choice>
        <mc:Fallback/>
      </mc:AlternateContent>
      <xdr:cxnSp macro="">
        <xdr:nvCxnSpPr>
          <xdr:cNvPr id="21" name="Curved Connector 20"/>
          <xdr:cNvCxnSpPr/>
        </xdr:nvCxnSpPr>
        <xdr:spPr>
          <a:xfrm rot="16200000" flipV="1">
            <a:off x="3595136" y="2539221"/>
            <a:ext cx="2944715" cy="90313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Button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5534540" y="955586"/>
                <a:ext cx="985760" cy="5881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Precautions</a:t>
                </a:r>
              </a:p>
            </xdr:txBody>
          </xdr:sp>
        </mc:Choice>
        <mc:Fallback/>
      </mc:AlternateContent>
      <xdr:cxnSp macro="">
        <xdr:nvCxnSpPr>
          <xdr:cNvPr id="30" name="Curved Connector 29"/>
          <xdr:cNvCxnSpPr/>
        </xdr:nvCxnSpPr>
        <xdr:spPr>
          <a:xfrm rot="16200000" flipV="1">
            <a:off x="4790261" y="2834030"/>
            <a:ext cx="2823499" cy="343799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25" name="TextBox 24"/>
          <xdr:cNvSpPr txBox="1"/>
        </xdr:nvSpPr>
        <xdr:spPr>
          <a:xfrm>
            <a:off x="12170229" y="2329543"/>
            <a:ext cx="1847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1" name="Button 9" hidden="1">
                <a:extLst>
                  <a:ext uri="{63B3BB69-23CF-44E3-9099-C40C66FF867C}">
                    <a14:compatExt spid="_x0000_s8201"/>
                  </a:ext>
                </a:extLst>
              </xdr:cNvPr>
              <xdr:cNvSpPr/>
            </xdr:nvSpPr>
            <xdr:spPr bwMode="auto">
              <a:xfrm>
                <a:off x="7947660" y="945969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Budget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Button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6728460" y="907870"/>
                <a:ext cx="1051560" cy="6607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Assign Precautions to Threats with Constraints</a:t>
                </a:r>
              </a:p>
            </xdr:txBody>
          </xdr:sp>
        </mc:Choice>
        <mc:Fallback/>
      </mc:AlternateContent>
      <xdr:cxnSp macro="">
        <xdr:nvCxnSpPr>
          <xdr:cNvPr id="18" name="Curved Connector 17"/>
          <xdr:cNvCxnSpPr/>
        </xdr:nvCxnSpPr>
        <xdr:spPr>
          <a:xfrm rot="5400000" flipH="1" flipV="1">
            <a:off x="5572205" y="2773294"/>
            <a:ext cx="2822604" cy="484098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/>
        </xdr:nvCxnSpPr>
        <xdr:spPr>
          <a:xfrm rot="5400000" flipH="1" flipV="1">
            <a:off x="6449467" y="2424311"/>
            <a:ext cx="2839251" cy="119487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/>
        </xdr:nvCxnSpPr>
        <xdr:spPr>
          <a:xfrm rot="5400000" flipH="1" flipV="1">
            <a:off x="7832273" y="3020786"/>
            <a:ext cx="1926770" cy="827317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3" name="Button 11" hidden="1">
                <a:extLst>
                  <a:ext uri="{63B3BB69-23CF-44E3-9099-C40C66FF867C}">
                    <a14:compatExt spid="_x0000_s8203"/>
                  </a:ext>
                </a:extLst>
              </xdr:cNvPr>
              <xdr:cNvSpPr/>
            </xdr:nvSpPr>
            <xdr:spPr bwMode="auto">
              <a:xfrm>
                <a:off x="10165080" y="185710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1</a:t>
                </a:r>
              </a:p>
            </xdr:txBody>
          </xdr:sp>
        </mc:Choice>
        <mc:Fallback/>
      </mc:AlternateContent>
      <xdr:cxnSp macro="">
        <xdr:nvCxnSpPr>
          <xdr:cNvPr id="32" name="Curved Connector 31"/>
          <xdr:cNvCxnSpPr/>
        </xdr:nvCxnSpPr>
        <xdr:spPr>
          <a:xfrm rot="5400000" flipH="1" flipV="1">
            <a:off x="9052833" y="2591619"/>
            <a:ext cx="1875610" cy="1715041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Button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8709660" y="7781110"/>
                <a:ext cx="1363980" cy="65314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Navigate to LP Optimization for Max Risk</a:t>
                </a:r>
              </a:p>
            </xdr:txBody>
          </xdr:sp>
        </mc:Choice>
        <mc:Fallback/>
      </mc:AlternateContent>
      <xdr:cxnSp macro="">
        <xdr:nvCxnSpPr>
          <xdr:cNvPr id="37" name="Curved Connector 36"/>
          <xdr:cNvCxnSpPr/>
        </xdr:nvCxnSpPr>
        <xdr:spPr>
          <a:xfrm rot="5400000">
            <a:off x="8283215" y="6146346"/>
            <a:ext cx="2739932" cy="527416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/>
        </xdr:nvCxnSpPr>
        <xdr:spPr>
          <a:xfrm rot="16200000" flipH="1">
            <a:off x="9759046" y="6188531"/>
            <a:ext cx="2688769" cy="261254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5" name="Button 13" hidden="1">
                <a:extLst>
                  <a:ext uri="{63B3BB69-23CF-44E3-9099-C40C66FF867C}">
                    <a14:compatExt spid="_x0000_s8205"/>
                  </a:ext>
                </a:extLst>
              </xdr:cNvPr>
              <xdr:cNvSpPr/>
            </xdr:nvSpPr>
            <xdr:spPr bwMode="auto">
              <a:xfrm>
                <a:off x="12039597" y="6854734"/>
                <a:ext cx="1363980" cy="6531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Prepare Visualization Data For Optimization 2</a:t>
                </a:r>
              </a:p>
            </xdr:txBody>
          </xdr:sp>
        </mc:Choice>
        <mc:Fallback/>
      </mc:AlternateContent>
      <xdr:cxnSp macro="">
        <xdr:nvCxnSpPr>
          <xdr:cNvPr id="44" name="Curved Connector 43"/>
          <xdr:cNvCxnSpPr/>
        </xdr:nvCxnSpPr>
        <xdr:spPr>
          <a:xfrm rot="16200000" flipH="1">
            <a:off x="11347544" y="5481777"/>
            <a:ext cx="1813558" cy="930180"/>
          </a:xfrm>
          <a:prstGeom prst="curvedConnector3">
            <a:avLst>
              <a:gd name="adj1" fmla="val 50000"/>
            </a:avLst>
          </a:prstGeom>
          <a:ln w="9525" cap="flat" cmpd="sng" algn="ctr">
            <a:solidFill>
              <a:schemeClr val="accent2"/>
            </a:solidFill>
            <a:prstDash val="dash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586740</xdr:colOff>
      <xdr:row>75</xdr:row>
      <xdr:rowOff>11430</xdr:rowOff>
    </xdr:from>
    <xdr:to>
      <xdr:col>47</xdr:col>
      <xdr:colOff>403860</xdr:colOff>
      <xdr:row>84</xdr:row>
      <xdr:rowOff>213360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586740</xdr:colOff>
      <xdr:row>73</xdr:row>
      <xdr:rowOff>11430</xdr:rowOff>
    </xdr:from>
    <xdr:to>
      <xdr:col>46</xdr:col>
      <xdr:colOff>403860</xdr:colOff>
      <xdr:row>82</xdr:row>
      <xdr:rowOff>213360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266700</xdr:colOff>
      <xdr:row>77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6258</xdr:rowOff>
    </xdr:from>
    <xdr:to>
      <xdr:col>23</xdr:col>
      <xdr:colOff>571500</xdr:colOff>
      <xdr:row>28</xdr:row>
      <xdr:rowOff>141514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587829</xdr:colOff>
      <xdr:row>31</xdr:row>
      <xdr:rowOff>32657</xdr:rowOff>
    </xdr:from>
    <xdr:to>
      <xdr:col>23</xdr:col>
      <xdr:colOff>549729</xdr:colOff>
      <xdr:row>58</xdr:row>
      <xdr:rowOff>130629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54430</xdr:colOff>
      <xdr:row>0</xdr:row>
      <xdr:rowOff>0</xdr:rowOff>
    </xdr:from>
    <xdr:to>
      <xdr:col>37</xdr:col>
      <xdr:colOff>269450</xdr:colOff>
      <xdr:row>22</xdr:row>
      <xdr:rowOff>315686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25</xdr:row>
      <xdr:rowOff>0</xdr:rowOff>
    </xdr:from>
    <xdr:to>
      <xdr:col>37</xdr:col>
      <xdr:colOff>215020</xdr:colOff>
      <xdr:row>71</xdr:row>
      <xdr:rowOff>135577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6257</xdr:rowOff>
    </xdr:from>
    <xdr:to>
      <xdr:col>23</xdr:col>
      <xdr:colOff>571500</xdr:colOff>
      <xdr:row>48</xdr:row>
      <xdr:rowOff>65315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50</xdr:row>
      <xdr:rowOff>10886</xdr:rowOff>
    </xdr:from>
    <xdr:to>
      <xdr:col>23</xdr:col>
      <xdr:colOff>571500</xdr:colOff>
      <xdr:row>77</xdr:row>
      <xdr:rowOff>108858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521970</xdr:colOff>
      <xdr:row>23</xdr:row>
      <xdr:rowOff>2982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79570" cy="39090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54430</xdr:colOff>
      <xdr:row>3</xdr:row>
      <xdr:rowOff>0</xdr:rowOff>
    </xdr:from>
    <xdr:to>
      <xdr:col>34</xdr:col>
      <xdr:colOff>269450</xdr:colOff>
      <xdr:row>46</xdr:row>
      <xdr:rowOff>128996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48</xdr:row>
      <xdr:rowOff>133350</xdr:rowOff>
    </xdr:from>
    <xdr:to>
      <xdr:col>34</xdr:col>
      <xdr:colOff>215020</xdr:colOff>
      <xdr:row>92</xdr:row>
      <xdr:rowOff>108907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19</xdr:col>
      <xdr:colOff>571500</xdr:colOff>
      <xdr:row>22</xdr:row>
      <xdr:rowOff>111306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27</xdr:row>
      <xdr:rowOff>89536</xdr:rowOff>
    </xdr:from>
    <xdr:to>
      <xdr:col>19</xdr:col>
      <xdr:colOff>571500</xdr:colOff>
      <xdr:row>49</xdr:row>
      <xdr:rowOff>41367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worldscientific.com/doi/abs/10.1142/S021848850600411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opLeftCell="E8" zoomScale="115" zoomScaleNormal="115" workbookViewId="0">
      <selection activeCell="V21" sqref="V21"/>
    </sheetView>
  </sheetViews>
  <sheetFormatPr defaultRowHeight="13.2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8196" r:id="rId4">
          <objectPr defaultSize="0" autoPict="0" r:id="rId5">
            <anchor moveWithCells="1" sizeWithCells="1">
              <from>
                <xdr:col>4</xdr:col>
                <xdr:colOff>243840</xdr:colOff>
                <xdr:row>12</xdr:row>
                <xdr:rowOff>129540</xdr:rowOff>
              </from>
              <to>
                <xdr:col>20</xdr:col>
                <xdr:colOff>99060</xdr:colOff>
                <xdr:row>46</xdr:row>
                <xdr:rowOff>144780</xdr:rowOff>
              </to>
            </anchor>
          </objectPr>
        </oleObject>
      </mc:Choice>
      <mc:Fallback>
        <oleObject progId="Visio.Drawing.11" shapeId="819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autoFill="0" autoPict="0" macro="[0]!LPOptimization2">
                <anchor moveWithCells="1" sizeWithCells="1">
                  <from>
                    <xdr:col>17</xdr:col>
                    <xdr:colOff>190500</xdr:colOff>
                    <xdr:row>47</xdr:row>
                    <xdr:rowOff>7620</xdr:rowOff>
                  </from>
                  <to>
                    <xdr:col>19</xdr:col>
                    <xdr:colOff>350520</xdr:colOff>
                    <xdr:row>51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autoFill="0" autoPict="0" macro="[0]!LPOptimization1">
                <anchor moveWithCells="1" sizeWithCells="1">
                  <from>
                    <xdr:col>14</xdr:col>
                    <xdr:colOff>53340</xdr:colOff>
                    <xdr:row>11</xdr:row>
                    <xdr:rowOff>83820</xdr:rowOff>
                  </from>
                  <to>
                    <xdr:col>16</xdr:col>
                    <xdr:colOff>198120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Button 3">
              <controlPr defaultSize="0" autoFill="0" autoPict="0" macro="[0]!NavigateToThreatsAndPrecautions">
                <anchor moveWithCells="1" sizeWithCells="1">
                  <from>
                    <xdr:col>2</xdr:col>
                    <xdr:colOff>152400</xdr:colOff>
                    <xdr:row>32</xdr:row>
                    <xdr:rowOff>45720</xdr:rowOff>
                  </from>
                  <to>
                    <xdr:col>4</xdr:col>
                    <xdr:colOff>449580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autoFill="0" autoPict="0" macro="[0]!Button5_Click">
                <anchor moveWithCells="1" sizeWithCells="1">
                  <from>
                    <xdr:col>5</xdr:col>
                    <xdr:colOff>175260</xdr:colOff>
                    <xdr:row>41</xdr:row>
                    <xdr:rowOff>53340</xdr:rowOff>
                  </from>
                  <to>
                    <xdr:col>7</xdr:col>
                    <xdr:colOff>320040</xdr:colOff>
                    <xdr:row>44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autoFill="0" autoPict="0" macro="[0]!Button6_Click">
                <anchor moveWithCells="1" sizeWithCells="1">
                  <from>
                    <xdr:col>8</xdr:col>
                    <xdr:colOff>358140</xdr:colOff>
                    <xdr:row>41</xdr:row>
                    <xdr:rowOff>160020</xdr:rowOff>
                  </from>
                  <to>
                    <xdr:col>10</xdr:col>
                    <xdr:colOff>342900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autoFill="0" autoPict="0" macro="[0]!NavigateToAHPSeverityCalculation">
                <anchor moveWithCells="1" sizeWithCells="1">
                  <from>
                    <xdr:col>6</xdr:col>
                    <xdr:colOff>411480</xdr:colOff>
                    <xdr:row>5</xdr:row>
                    <xdr:rowOff>106680</xdr:rowOff>
                  </from>
                  <to>
                    <xdr:col>8</xdr:col>
                    <xdr:colOff>289560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autoFill="0" autoPict="0">
                <anchor moveWithCells="1" sizeWithCells="1">
                  <from>
                    <xdr:col>9</xdr:col>
                    <xdr:colOff>45720</xdr:colOff>
                    <xdr:row>5</xdr:row>
                    <xdr:rowOff>137160</xdr:rowOff>
                  </from>
                  <to>
                    <xdr:col>10</xdr:col>
                    <xdr:colOff>426720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autoFill="0" autoPict="0" macro="[0]!NavigatetoMaxBudgetSetting">
                <anchor moveWithCells="1" sizeWithCells="1">
                  <from>
                    <xdr:col>13</xdr:col>
                    <xdr:colOff>22860</xdr:colOff>
                    <xdr:row>5</xdr:row>
                    <xdr:rowOff>129540</xdr:rowOff>
                  </from>
                  <to>
                    <xdr:col>14</xdr:col>
                    <xdr:colOff>464820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autoFill="0" autoPict="0" macro="[0]!NavigatetoSetPrecautionConstraints">
                <anchor moveWithCells="1" sizeWithCells="1">
                  <from>
                    <xdr:col>11</xdr:col>
                    <xdr:colOff>22860</xdr:colOff>
                    <xdr:row>5</xdr:row>
                    <xdr:rowOff>91440</xdr:rowOff>
                  </from>
                  <to>
                    <xdr:col>12</xdr:col>
                    <xdr:colOff>464820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autoFill="0" autoPict="0" macro="[0]!PrepareVisualizationDataForOptimization1">
                <anchor moveWithCells="1" sizeWithCells="1">
                  <from>
                    <xdr:col>16</xdr:col>
                    <xdr:colOff>411480</xdr:colOff>
                    <xdr:row>11</xdr:row>
                    <xdr:rowOff>60960</xdr:rowOff>
                  </from>
                  <to>
                    <xdr:col>18</xdr:col>
                    <xdr:colOff>556260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Button 12">
              <controlPr defaultSize="0" autoFill="0" autoPict="0" macro="[0]!NavigatetoMaxRiskSetting">
                <anchor moveWithCells="1" sizeWithCells="1">
                  <from>
                    <xdr:col>14</xdr:col>
                    <xdr:colOff>175260</xdr:colOff>
                    <xdr:row>47</xdr:row>
                    <xdr:rowOff>106680</xdr:rowOff>
                  </from>
                  <to>
                    <xdr:col>16</xdr:col>
                    <xdr:colOff>320040</xdr:colOff>
                    <xdr:row>51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Button 13">
              <controlPr defaultSize="0" autoFill="0" autoPict="0" macro="[0]!PrepareVisualizationDataForOptimization2">
                <anchor moveWithCells="1" sizeWithCells="1">
                  <from>
                    <xdr:col>19</xdr:col>
                    <xdr:colOff>457200</xdr:colOff>
                    <xdr:row>41</xdr:row>
                    <xdr:rowOff>160020</xdr:rowOff>
                  </from>
                  <to>
                    <xdr:col>21</xdr:col>
                    <xdr:colOff>601980</xdr:colOff>
                    <xdr:row>45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topLeftCell="B1" zoomScale="62" zoomScaleNormal="62" workbookViewId="0">
      <selection activeCell="I1" sqref="I1"/>
    </sheetView>
  </sheetViews>
  <sheetFormatPr defaultRowHeight="13.2" x14ac:dyDescent="0.25"/>
  <cols>
    <col min="1" max="1" width="54.109375" customWidth="1"/>
    <col min="2" max="2" width="35.88671875" customWidth="1"/>
    <col min="3" max="3" width="11.33203125" customWidth="1"/>
    <col min="4" max="4" width="37.88671875" customWidth="1"/>
    <col min="11" max="11" width="30.33203125" customWidth="1"/>
    <col min="13" max="13" width="52.6640625" customWidth="1"/>
  </cols>
  <sheetData>
    <row r="1" spans="1:13" ht="15.6" x14ac:dyDescent="0.25">
      <c r="A1" s="39" t="s">
        <v>203</v>
      </c>
      <c r="B1" s="40" t="s">
        <v>107</v>
      </c>
      <c r="C1" s="41" t="s">
        <v>10</v>
      </c>
      <c r="D1" s="214" t="s">
        <v>107</v>
      </c>
      <c r="E1" s="215">
        <v>1</v>
      </c>
      <c r="F1" s="215">
        <v>9</v>
      </c>
      <c r="G1" s="45">
        <f t="shared" ref="G1:H5" si="0">E1+34</f>
        <v>35</v>
      </c>
      <c r="H1" s="45">
        <f t="shared" si="0"/>
        <v>43</v>
      </c>
      <c r="I1" s="46">
        <f>IF(E1&lt;&gt;0,F1-E1+1,0)</f>
        <v>9</v>
      </c>
      <c r="K1" s="213" t="s">
        <v>301</v>
      </c>
      <c r="M1" s="40" t="s">
        <v>167</v>
      </c>
    </row>
    <row r="2" spans="1:13" ht="15.6" x14ac:dyDescent="0.25">
      <c r="A2" s="39" t="s">
        <v>204</v>
      </c>
      <c r="B2" s="40" t="s">
        <v>107</v>
      </c>
      <c r="C2" s="41" t="s">
        <v>13</v>
      </c>
      <c r="D2" s="214" t="s">
        <v>44</v>
      </c>
      <c r="E2" s="215">
        <v>10</v>
      </c>
      <c r="F2" s="215">
        <v>14</v>
      </c>
      <c r="G2" s="45">
        <f t="shared" si="0"/>
        <v>44</v>
      </c>
      <c r="H2" s="45">
        <f t="shared" si="0"/>
        <v>48</v>
      </c>
      <c r="I2" s="46">
        <f>IF(E2&lt;&gt;0,F2-E2+1,0)</f>
        <v>5</v>
      </c>
      <c r="K2" s="213">
        <v>0.1</v>
      </c>
      <c r="M2" s="40" t="s">
        <v>168</v>
      </c>
    </row>
    <row r="3" spans="1:13" ht="15.6" x14ac:dyDescent="0.25">
      <c r="A3" s="39" t="s">
        <v>205</v>
      </c>
      <c r="B3" s="40" t="s">
        <v>107</v>
      </c>
      <c r="C3" s="41" t="s">
        <v>16</v>
      </c>
      <c r="D3" s="214" t="s">
        <v>58</v>
      </c>
      <c r="E3" s="215">
        <v>15</v>
      </c>
      <c r="F3" s="215">
        <v>23</v>
      </c>
      <c r="G3" s="45">
        <f t="shared" si="0"/>
        <v>49</v>
      </c>
      <c r="H3" s="45">
        <f t="shared" si="0"/>
        <v>57</v>
      </c>
      <c r="I3" s="46">
        <f>IF(E3&lt;&gt;0,F3-E3+1,0)</f>
        <v>9</v>
      </c>
      <c r="M3" s="40" t="s">
        <v>174</v>
      </c>
    </row>
    <row r="4" spans="1:13" ht="31.2" x14ac:dyDescent="0.25">
      <c r="A4" s="39" t="s">
        <v>206</v>
      </c>
      <c r="B4" s="40" t="s">
        <v>107</v>
      </c>
      <c r="C4" s="41" t="s">
        <v>19</v>
      </c>
      <c r="D4" s="214" t="s">
        <v>259</v>
      </c>
      <c r="E4" s="215">
        <v>0</v>
      </c>
      <c r="F4" s="215">
        <v>0</v>
      </c>
      <c r="G4" s="45">
        <f t="shared" si="0"/>
        <v>34</v>
      </c>
      <c r="H4" s="45">
        <f t="shared" si="0"/>
        <v>34</v>
      </c>
      <c r="I4" s="46">
        <f>IF(E4&lt;&gt;0,F4-E4+1,0)</f>
        <v>0</v>
      </c>
      <c r="M4" s="40" t="s">
        <v>170</v>
      </c>
    </row>
    <row r="5" spans="1:13" ht="15.6" x14ac:dyDescent="0.25">
      <c r="A5" s="39" t="s">
        <v>207</v>
      </c>
      <c r="B5" s="40" t="s">
        <v>107</v>
      </c>
      <c r="C5" s="41" t="s">
        <v>26</v>
      </c>
      <c r="D5" s="214" t="s">
        <v>260</v>
      </c>
      <c r="E5" s="215">
        <v>0</v>
      </c>
      <c r="F5" s="215">
        <v>0</v>
      </c>
      <c r="G5" s="45">
        <f t="shared" si="0"/>
        <v>34</v>
      </c>
      <c r="H5" s="45">
        <f t="shared" si="0"/>
        <v>34</v>
      </c>
      <c r="I5" s="46">
        <f>IF(E5&lt;&gt;0,F5-E5+1,0)</f>
        <v>0</v>
      </c>
      <c r="M5" s="40" t="s">
        <v>171</v>
      </c>
    </row>
    <row r="6" spans="1:13" ht="15.6" x14ac:dyDescent="0.25">
      <c r="A6" s="39" t="s">
        <v>208</v>
      </c>
      <c r="B6" s="40" t="s">
        <v>107</v>
      </c>
      <c r="C6" s="41" t="s">
        <v>30</v>
      </c>
      <c r="D6" s="42"/>
      <c r="E6" s="42"/>
      <c r="F6" s="42"/>
      <c r="G6" s="42"/>
      <c r="H6" s="42"/>
      <c r="I6" s="42"/>
      <c r="M6" s="40" t="s">
        <v>176</v>
      </c>
    </row>
    <row r="7" spans="1:13" ht="15.6" x14ac:dyDescent="0.25">
      <c r="A7" s="39" t="s">
        <v>209</v>
      </c>
      <c r="B7" s="40" t="s">
        <v>107</v>
      </c>
      <c r="C7" s="41" t="s">
        <v>35</v>
      </c>
      <c r="D7" s="42"/>
      <c r="E7" s="42"/>
      <c r="F7" s="42"/>
      <c r="G7" s="42"/>
      <c r="H7" s="42"/>
      <c r="I7" s="42"/>
      <c r="M7" s="40" t="s">
        <v>184</v>
      </c>
    </row>
    <row r="8" spans="1:13" ht="20.399999999999999" customHeight="1" x14ac:dyDescent="0.25">
      <c r="A8" s="39" t="s">
        <v>210</v>
      </c>
      <c r="B8" s="40" t="s">
        <v>107</v>
      </c>
      <c r="C8" s="41" t="s">
        <v>43</v>
      </c>
      <c r="D8" s="42"/>
      <c r="E8" s="42"/>
      <c r="F8" s="42"/>
      <c r="G8" s="42"/>
      <c r="H8" s="42"/>
      <c r="I8" s="42"/>
      <c r="M8" s="40" t="s">
        <v>173</v>
      </c>
    </row>
    <row r="9" spans="1:13" ht="19.2" customHeight="1" x14ac:dyDescent="0.25">
      <c r="A9" s="39" t="s">
        <v>211</v>
      </c>
      <c r="B9" s="40" t="s">
        <v>107</v>
      </c>
      <c r="C9" s="41" t="s">
        <v>46</v>
      </c>
      <c r="D9" s="42"/>
      <c r="E9" s="42"/>
      <c r="F9" s="42"/>
      <c r="G9" s="42"/>
      <c r="H9" s="42"/>
      <c r="I9" s="42"/>
      <c r="M9" s="40" t="s">
        <v>172</v>
      </c>
    </row>
    <row r="10" spans="1:13" ht="17.399999999999999" customHeight="1" x14ac:dyDescent="0.25">
      <c r="A10" s="39" t="s">
        <v>212</v>
      </c>
      <c r="B10" s="40" t="s">
        <v>44</v>
      </c>
      <c r="C10" s="41" t="s">
        <v>48</v>
      </c>
      <c r="D10" s="42"/>
      <c r="E10" s="42"/>
      <c r="F10" s="42"/>
      <c r="G10" s="42"/>
      <c r="H10" s="42"/>
      <c r="I10" s="42"/>
      <c r="M10" s="40" t="s">
        <v>190</v>
      </c>
    </row>
    <row r="11" spans="1:13" ht="16.95" customHeight="1" x14ac:dyDescent="0.25">
      <c r="A11" s="39" t="s">
        <v>213</v>
      </c>
      <c r="B11" s="40" t="s">
        <v>44</v>
      </c>
      <c r="C11" s="41" t="s">
        <v>50</v>
      </c>
      <c r="D11" s="42"/>
      <c r="E11" s="42"/>
      <c r="F11" s="42"/>
      <c r="G11" s="42"/>
      <c r="H11" s="42"/>
      <c r="I11" s="42"/>
      <c r="M11" s="40" t="s">
        <v>310</v>
      </c>
    </row>
    <row r="12" spans="1:13" ht="19.95" customHeight="1" x14ac:dyDescent="0.25">
      <c r="A12" s="39" t="s">
        <v>202</v>
      </c>
      <c r="B12" s="40" t="s">
        <v>44</v>
      </c>
      <c r="C12" s="41" t="s">
        <v>52</v>
      </c>
      <c r="D12" s="42"/>
      <c r="E12" s="42"/>
      <c r="F12" s="42"/>
      <c r="G12" s="42"/>
      <c r="H12" s="42"/>
      <c r="I12" s="42"/>
      <c r="M12" s="40" t="s">
        <v>218</v>
      </c>
    </row>
    <row r="13" spans="1:13" ht="21" customHeight="1" x14ac:dyDescent="0.25">
      <c r="A13" s="39" t="s">
        <v>201</v>
      </c>
      <c r="B13" s="40" t="s">
        <v>44</v>
      </c>
      <c r="C13" s="41" t="s">
        <v>54</v>
      </c>
      <c r="D13" s="42"/>
      <c r="E13" s="42"/>
      <c r="F13" s="42"/>
      <c r="G13" s="42"/>
      <c r="H13" s="42"/>
      <c r="I13" s="42"/>
      <c r="M13" s="40" t="s">
        <v>165</v>
      </c>
    </row>
    <row r="14" spans="1:13" ht="15.6" x14ac:dyDescent="0.25">
      <c r="A14" s="43" t="s">
        <v>200</v>
      </c>
      <c r="B14" s="40" t="s">
        <v>44</v>
      </c>
      <c r="C14" s="41" t="s">
        <v>66</v>
      </c>
      <c r="D14" s="42"/>
      <c r="E14" s="42"/>
      <c r="F14" s="42"/>
      <c r="G14" s="42"/>
      <c r="H14" s="42"/>
      <c r="I14" s="42"/>
      <c r="M14" s="40" t="s">
        <v>175</v>
      </c>
    </row>
    <row r="15" spans="1:13" ht="31.2" x14ac:dyDescent="0.25">
      <c r="A15" s="43" t="s">
        <v>199</v>
      </c>
      <c r="B15" s="40" t="s">
        <v>58</v>
      </c>
      <c r="C15" s="41" t="s">
        <v>71</v>
      </c>
      <c r="D15" s="42"/>
      <c r="E15" s="42"/>
      <c r="F15" s="42"/>
      <c r="G15" s="42"/>
      <c r="H15" s="42"/>
      <c r="I15" s="42"/>
      <c r="M15" s="40" t="s">
        <v>311</v>
      </c>
    </row>
    <row r="16" spans="1:13" ht="15.6" x14ac:dyDescent="0.25">
      <c r="A16" s="43" t="s">
        <v>198</v>
      </c>
      <c r="B16" s="40" t="s">
        <v>58</v>
      </c>
      <c r="C16" s="41" t="s">
        <v>73</v>
      </c>
      <c r="D16" s="42"/>
      <c r="E16" s="42"/>
      <c r="F16" s="42"/>
      <c r="G16" s="42"/>
      <c r="H16" s="42"/>
      <c r="I16" s="42"/>
      <c r="M16" s="40" t="s">
        <v>222</v>
      </c>
    </row>
    <row r="17" spans="1:13" ht="15.6" x14ac:dyDescent="0.25">
      <c r="A17" s="43" t="s">
        <v>197</v>
      </c>
      <c r="B17" s="40" t="s">
        <v>58</v>
      </c>
      <c r="C17" s="41" t="s">
        <v>76</v>
      </c>
      <c r="D17" s="42"/>
      <c r="E17" s="42"/>
      <c r="F17" s="42"/>
      <c r="G17" s="42"/>
      <c r="H17" s="42"/>
      <c r="I17" s="42"/>
      <c r="M17" s="40" t="s">
        <v>312</v>
      </c>
    </row>
    <row r="18" spans="1:13" ht="15.6" x14ac:dyDescent="0.25">
      <c r="A18" s="43" t="s">
        <v>196</v>
      </c>
      <c r="B18" s="40" t="s">
        <v>58</v>
      </c>
      <c r="C18" s="41" t="s">
        <v>78</v>
      </c>
      <c r="D18" s="42"/>
      <c r="E18" s="42"/>
      <c r="F18" s="42"/>
      <c r="G18" s="42"/>
      <c r="H18" s="42"/>
      <c r="I18" s="42"/>
      <c r="M18" s="40" t="s">
        <v>313</v>
      </c>
    </row>
    <row r="19" spans="1:13" ht="15.6" x14ac:dyDescent="0.25">
      <c r="A19" s="43" t="s">
        <v>194</v>
      </c>
      <c r="B19" s="40" t="s">
        <v>58</v>
      </c>
      <c r="C19" s="41" t="s">
        <v>82</v>
      </c>
      <c r="D19" s="42"/>
      <c r="E19" s="42"/>
      <c r="F19" s="42"/>
      <c r="G19" s="42"/>
      <c r="H19" s="42"/>
      <c r="I19" s="42"/>
      <c r="M19" s="40" t="s">
        <v>314</v>
      </c>
    </row>
    <row r="20" spans="1:13" ht="15.6" x14ac:dyDescent="0.25">
      <c r="A20" s="43" t="s">
        <v>193</v>
      </c>
      <c r="B20" s="40" t="s">
        <v>58</v>
      </c>
      <c r="C20" s="41" t="s">
        <v>84</v>
      </c>
      <c r="D20" s="42"/>
      <c r="E20" s="42"/>
      <c r="F20" s="42"/>
      <c r="G20" s="42"/>
      <c r="H20" s="42"/>
      <c r="I20" s="42"/>
      <c r="M20" s="40" t="s">
        <v>315</v>
      </c>
    </row>
    <row r="21" spans="1:13" ht="15.6" x14ac:dyDescent="0.25">
      <c r="A21" s="43" t="s">
        <v>192</v>
      </c>
      <c r="B21" s="40" t="s">
        <v>58</v>
      </c>
      <c r="C21" s="41" t="s">
        <v>86</v>
      </c>
      <c r="D21" s="42"/>
      <c r="E21" s="42"/>
      <c r="F21" s="42"/>
      <c r="G21" s="42"/>
      <c r="H21" s="42"/>
      <c r="I21" s="42"/>
      <c r="M21" s="40" t="s">
        <v>316</v>
      </c>
    </row>
    <row r="22" spans="1:13" ht="15.6" x14ac:dyDescent="0.25">
      <c r="A22" s="43" t="s">
        <v>191</v>
      </c>
      <c r="B22" s="40" t="s">
        <v>58</v>
      </c>
      <c r="C22" s="41" t="s">
        <v>88</v>
      </c>
      <c r="D22" s="42"/>
      <c r="E22" s="42"/>
      <c r="F22" s="42"/>
      <c r="G22" s="42"/>
      <c r="H22" s="42"/>
      <c r="I22" s="42"/>
      <c r="M22" s="40" t="s">
        <v>177</v>
      </c>
    </row>
    <row r="23" spans="1:13" ht="15.6" x14ac:dyDescent="0.25">
      <c r="M23" s="40" t="s">
        <v>325</v>
      </c>
    </row>
    <row r="24" spans="1:13" ht="15.6" x14ac:dyDescent="0.25">
      <c r="M24" s="40" t="s">
        <v>217</v>
      </c>
    </row>
    <row r="25" spans="1:13" ht="15.6" x14ac:dyDescent="0.25">
      <c r="M25" s="40" t="s">
        <v>317</v>
      </c>
    </row>
    <row r="26" spans="1:13" ht="15.6" x14ac:dyDescent="0.25">
      <c r="M26" s="40" t="s">
        <v>183</v>
      </c>
    </row>
    <row r="27" spans="1:13" ht="31.2" x14ac:dyDescent="0.25">
      <c r="M27" s="40" t="s">
        <v>318</v>
      </c>
    </row>
    <row r="28" spans="1:13" ht="15.6" x14ac:dyDescent="0.25">
      <c r="M28" s="40" t="s">
        <v>319</v>
      </c>
    </row>
    <row r="29" spans="1:13" ht="31.2" x14ac:dyDescent="0.25">
      <c r="M29" s="40" t="s">
        <v>320</v>
      </c>
    </row>
    <row r="30" spans="1:13" ht="15.6" x14ac:dyDescent="0.25">
      <c r="M30" s="40" t="s">
        <v>179</v>
      </c>
    </row>
    <row r="31" spans="1:13" ht="15.6" x14ac:dyDescent="0.25">
      <c r="M31" s="40" t="s">
        <v>221</v>
      </c>
    </row>
    <row r="32" spans="1:13" ht="15.6" x14ac:dyDescent="0.25">
      <c r="M32" s="40" t="s">
        <v>188</v>
      </c>
    </row>
    <row r="33" spans="13:13" ht="15.6" x14ac:dyDescent="0.25">
      <c r="M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"/>
  <sheetViews>
    <sheetView workbookViewId="0">
      <selection activeCell="C22" sqref="C22"/>
    </sheetView>
  </sheetViews>
  <sheetFormatPr defaultRowHeight="13.2" x14ac:dyDescent="0.25"/>
  <cols>
    <col min="1" max="1" width="12.33203125" customWidth="1"/>
    <col min="2" max="2" width="20.88671875" customWidth="1"/>
    <col min="3" max="3" width="74.88671875" customWidth="1"/>
  </cols>
  <sheetData>
    <row r="1" spans="1:3" ht="37.200000000000003" customHeight="1" x14ac:dyDescent="0.25">
      <c r="A1" s="209" t="s">
        <v>275</v>
      </c>
      <c r="B1" s="210" t="s">
        <v>274</v>
      </c>
      <c r="C1" s="36" t="s">
        <v>268</v>
      </c>
    </row>
    <row r="2" spans="1:3" x14ac:dyDescent="0.25">
      <c r="A2" s="210" t="s">
        <v>273</v>
      </c>
      <c r="B2" s="210" t="s">
        <v>272</v>
      </c>
      <c r="C2" s="34" t="s">
        <v>269</v>
      </c>
    </row>
    <row r="3" spans="1:3" x14ac:dyDescent="0.25">
      <c r="A3" s="211">
        <v>1</v>
      </c>
      <c r="B3" s="210">
        <v>1</v>
      </c>
      <c r="C3" s="35"/>
    </row>
    <row r="4" spans="1:3" x14ac:dyDescent="0.25">
      <c r="A4" s="211">
        <v>2</v>
      </c>
      <c r="B4" s="210">
        <v>1</v>
      </c>
      <c r="C4" s="33"/>
    </row>
    <row r="5" spans="1:3" x14ac:dyDescent="0.25">
      <c r="A5" s="211">
        <v>3</v>
      </c>
      <c r="B5" s="211">
        <v>0.52449999999999997</v>
      </c>
      <c r="C5" s="34" t="s">
        <v>270</v>
      </c>
    </row>
    <row r="6" spans="1:3" x14ac:dyDescent="0.25">
      <c r="A6" s="211">
        <v>4</v>
      </c>
      <c r="B6" s="211">
        <v>0.88149999999999995</v>
      </c>
      <c r="C6" s="35" t="s">
        <v>271</v>
      </c>
    </row>
    <row r="7" spans="1:3" x14ac:dyDescent="0.25">
      <c r="A7" s="211">
        <v>5</v>
      </c>
      <c r="B7" s="211">
        <v>1.1086</v>
      </c>
    </row>
    <row r="8" spans="1:3" x14ac:dyDescent="0.25">
      <c r="A8" s="211">
        <v>6</v>
      </c>
      <c r="B8" s="211">
        <v>1.2479</v>
      </c>
    </row>
    <row r="9" spans="1:3" x14ac:dyDescent="0.25">
      <c r="A9" s="211">
        <v>7</v>
      </c>
      <c r="B9" s="211">
        <v>1.3416999999999999</v>
      </c>
    </row>
    <row r="10" spans="1:3" x14ac:dyDescent="0.25">
      <c r="A10" s="211">
        <v>8</v>
      </c>
      <c r="B10" s="211">
        <v>1.4056</v>
      </c>
    </row>
    <row r="11" spans="1:3" x14ac:dyDescent="0.25">
      <c r="A11" s="211">
        <v>9</v>
      </c>
      <c r="B11" s="211">
        <v>1.4499</v>
      </c>
    </row>
    <row r="12" spans="1:3" x14ac:dyDescent="0.25">
      <c r="A12" s="211">
        <v>10</v>
      </c>
      <c r="B12" s="211">
        <v>1.4854000000000001</v>
      </c>
    </row>
    <row r="13" spans="1:3" x14ac:dyDescent="0.25">
      <c r="A13" s="211">
        <v>11</v>
      </c>
      <c r="B13" s="211">
        <v>1.5141</v>
      </c>
    </row>
    <row r="14" spans="1:3" x14ac:dyDescent="0.25">
      <c r="A14" s="211">
        <v>12</v>
      </c>
      <c r="B14" s="211">
        <v>1.5365</v>
      </c>
    </row>
    <row r="15" spans="1:3" x14ac:dyDescent="0.25">
      <c r="A15" s="211">
        <v>13</v>
      </c>
      <c r="B15" s="211">
        <v>1.5550999999999999</v>
      </c>
    </row>
    <row r="16" spans="1:3" x14ac:dyDescent="0.25">
      <c r="A16" s="211">
        <v>14</v>
      </c>
      <c r="B16" s="211">
        <v>1.5712999999999999</v>
      </c>
    </row>
    <row r="17" spans="1:2" x14ac:dyDescent="0.25">
      <c r="A17" s="211">
        <v>15</v>
      </c>
      <c r="B17" s="211">
        <v>1.5838000000000001</v>
      </c>
    </row>
    <row r="18" spans="1:2" x14ac:dyDescent="0.25">
      <c r="A18" s="211">
        <v>16</v>
      </c>
      <c r="B18" s="211">
        <v>1.5978000000000001</v>
      </c>
    </row>
    <row r="19" spans="1:2" x14ac:dyDescent="0.25">
      <c r="A19" s="211">
        <v>17</v>
      </c>
      <c r="B19" s="211">
        <v>1.6086</v>
      </c>
    </row>
    <row r="20" spans="1:2" x14ac:dyDescent="0.25">
      <c r="A20" s="211">
        <v>18</v>
      </c>
      <c r="B20" s="211">
        <v>1.6181000000000001</v>
      </c>
    </row>
    <row r="21" spans="1:2" x14ac:dyDescent="0.25">
      <c r="A21" s="211">
        <v>19</v>
      </c>
      <c r="B21" s="211">
        <v>1.6265000000000001</v>
      </c>
    </row>
    <row r="22" spans="1:2" x14ac:dyDescent="0.25">
      <c r="A22" s="211">
        <v>20</v>
      </c>
      <c r="B22" s="211">
        <v>1.6341000000000001</v>
      </c>
    </row>
    <row r="23" spans="1:2" x14ac:dyDescent="0.25">
      <c r="A23" s="211">
        <v>21</v>
      </c>
      <c r="B23" s="211">
        <v>1.6409</v>
      </c>
    </row>
    <row r="24" spans="1:2" x14ac:dyDescent="0.25">
      <c r="A24" s="211">
        <v>22</v>
      </c>
      <c r="B24" s="211">
        <v>1.647</v>
      </c>
    </row>
    <row r="25" spans="1:2" x14ac:dyDescent="0.25">
      <c r="A25" s="211">
        <v>23</v>
      </c>
      <c r="B25" s="211">
        <v>1.6526000000000001</v>
      </c>
    </row>
    <row r="26" spans="1:2" x14ac:dyDescent="0.25">
      <c r="A26" s="211">
        <v>24</v>
      </c>
      <c r="B26" s="211">
        <v>1.6577</v>
      </c>
    </row>
    <row r="27" spans="1:2" x14ac:dyDescent="0.25">
      <c r="A27" s="211">
        <v>25</v>
      </c>
      <c r="B27" s="211">
        <v>1.6624000000000001</v>
      </c>
    </row>
    <row r="28" spans="1:2" x14ac:dyDescent="0.25">
      <c r="A28" s="211">
        <v>26</v>
      </c>
      <c r="B28" s="211">
        <v>1.6667000000000001</v>
      </c>
    </row>
    <row r="29" spans="1:2" x14ac:dyDescent="0.25">
      <c r="A29" s="211">
        <v>27</v>
      </c>
      <c r="B29" s="211">
        <v>1.6706000000000001</v>
      </c>
    </row>
    <row r="30" spans="1:2" x14ac:dyDescent="0.25">
      <c r="A30" s="211">
        <v>28</v>
      </c>
      <c r="B30" s="211">
        <v>1.6742999999999999</v>
      </c>
    </row>
    <row r="31" spans="1:2" x14ac:dyDescent="0.25">
      <c r="A31" s="211">
        <v>29</v>
      </c>
      <c r="B31" s="211">
        <v>1.6777</v>
      </c>
    </row>
    <row r="32" spans="1:2" x14ac:dyDescent="0.25">
      <c r="A32" s="211">
        <v>30</v>
      </c>
      <c r="B32" s="211">
        <v>1.6809000000000001</v>
      </c>
    </row>
  </sheetData>
  <hyperlinks>
    <hyperlink ref="C2" r:id="rId1" display="http://www.worldscientific.com/doi/abs/10.1142/S0218488506004114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W1034"/>
  <sheetViews>
    <sheetView topLeftCell="AA25" zoomScale="70" zoomScaleNormal="70" workbookViewId="0">
      <selection activeCell="AD34" sqref="AD34"/>
    </sheetView>
  </sheetViews>
  <sheetFormatPr defaultColWidth="25.109375" defaultRowHeight="13.2" x14ac:dyDescent="0.25"/>
  <cols>
    <col min="1" max="27" width="25.109375" style="44"/>
    <col min="28" max="28" width="25.109375" style="49"/>
    <col min="29" max="31" width="25.109375" style="44"/>
    <col min="32" max="32" width="25.109375" style="49"/>
    <col min="33" max="16384" width="25.109375" style="44"/>
  </cols>
  <sheetData>
    <row r="1" spans="1:127" ht="12.75" customHeight="1" x14ac:dyDescent="0.25">
      <c r="B1" s="378" t="s">
        <v>254</v>
      </c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/>
      <c r="Y1" s="379"/>
      <c r="Z1" s="379"/>
      <c r="AA1" s="379"/>
      <c r="AB1" s="379"/>
      <c r="AC1" s="379"/>
      <c r="AD1" s="379"/>
      <c r="AE1" s="379"/>
      <c r="AF1" s="380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5">
      <c r="A2" s="48"/>
      <c r="B2" s="381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3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5">
      <c r="A3" s="48"/>
      <c r="B3" s="381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3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3">
      <c r="A4" s="48"/>
      <c r="B4" s="384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  <c r="AA4" s="385"/>
      <c r="AB4" s="385"/>
      <c r="AC4" s="385"/>
      <c r="AD4" s="385"/>
      <c r="AE4" s="385"/>
      <c r="AF4" s="386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87" t="s">
        <v>266</v>
      </c>
      <c r="AC6" s="387"/>
      <c r="AD6" s="387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3">
      <c r="A7" s="48"/>
      <c r="B7" s="47"/>
      <c r="C7" s="55" t="str">
        <f>Threats!A1</f>
        <v>T1-Power Loss</v>
      </c>
      <c r="D7" s="56">
        <v>1</v>
      </c>
      <c r="E7" s="37">
        <v>6</v>
      </c>
      <c r="F7" s="37">
        <v>6</v>
      </c>
      <c r="G7" s="37">
        <v>6</v>
      </c>
      <c r="H7" s="37">
        <v>9</v>
      </c>
      <c r="I7" s="37">
        <v>8</v>
      </c>
      <c r="J7" s="37">
        <v>9</v>
      </c>
      <c r="K7" s="37">
        <v>9</v>
      </c>
      <c r="L7" s="37">
        <v>9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88" t="s">
        <v>255</v>
      </c>
      <c r="AC7" s="336"/>
      <c r="AD7" s="336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3">
      <c r="A8" s="48"/>
      <c r="B8" s="47"/>
      <c r="C8" s="60" t="str">
        <f>Threats!A2</f>
        <v>T2-Hardware Failure</v>
      </c>
      <c r="D8" s="61">
        <f>IF(E$7 &lt;&gt;0, ($D$7/E$7), 0)</f>
        <v>0.16666666666666666</v>
      </c>
      <c r="E8" s="62">
        <v>1</v>
      </c>
      <c r="F8" s="38">
        <v>0.5</v>
      </c>
      <c r="G8" s="38">
        <v>0.25</v>
      </c>
      <c r="H8" s="38">
        <v>0.16666666666666666</v>
      </c>
      <c r="I8" s="38">
        <v>0.16666666666666666</v>
      </c>
      <c r="J8" s="38">
        <v>2</v>
      </c>
      <c r="K8" s="38">
        <v>2</v>
      </c>
      <c r="L8" s="38">
        <v>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89" t="s">
        <v>255</v>
      </c>
      <c r="AC8" s="337"/>
      <c r="AD8" s="33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3">
      <c r="A9" s="48"/>
      <c r="B9" s="47"/>
      <c r="C9" s="60" t="str">
        <f>Threats!A3</f>
        <v>T3-Software Crash</v>
      </c>
      <c r="D9" s="64">
        <f>IF($F7&lt;&gt;0, $D$7/F$7, 0)</f>
        <v>0.16666666666666666</v>
      </c>
      <c r="E9" s="65">
        <f>IF(F$8 &lt;&gt;0,$E$8/F$8,0)</f>
        <v>2</v>
      </c>
      <c r="F9" s="62">
        <v>1</v>
      </c>
      <c r="G9" s="190">
        <v>6</v>
      </c>
      <c r="H9" s="190">
        <v>3</v>
      </c>
      <c r="I9" s="190">
        <v>0.25</v>
      </c>
      <c r="J9" s="190">
        <v>5</v>
      </c>
      <c r="K9" s="190">
        <v>6</v>
      </c>
      <c r="L9" s="190">
        <v>6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90" t="s">
        <v>255</v>
      </c>
      <c r="AC9" s="338"/>
      <c r="AD9" s="338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3">
      <c r="A10" s="48"/>
      <c r="B10" s="47"/>
      <c r="C10" s="60" t="str">
        <f>Threats!A4</f>
        <v>T4-Operator Errors</v>
      </c>
      <c r="D10" s="64">
        <f>IF(G$7&lt;&gt;0, $D$7/G$7, 0)</f>
        <v>0.16666666666666666</v>
      </c>
      <c r="E10" s="67">
        <f>IF(G$8 &lt;&gt; 0, $E$8/G$8, 0)</f>
        <v>4</v>
      </c>
      <c r="F10" s="65">
        <f>IF(G$9 &lt;&gt; 0, ($F$9/G$9), 0)</f>
        <v>0.16666666666666666</v>
      </c>
      <c r="G10" s="62">
        <v>1</v>
      </c>
      <c r="H10" s="191">
        <v>4</v>
      </c>
      <c r="I10" s="191">
        <v>1</v>
      </c>
      <c r="J10" s="191">
        <v>6</v>
      </c>
      <c r="K10" s="191">
        <v>6</v>
      </c>
      <c r="L10" s="191">
        <v>2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77" t="s">
        <v>255</v>
      </c>
      <c r="AC10" s="339"/>
      <c r="AD10" s="339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3">
      <c r="A11" s="48"/>
      <c r="B11" s="47"/>
      <c r="C11" s="60" t="str">
        <f>Threats!A5</f>
        <v>T5-Malicious Inside Action</v>
      </c>
      <c r="D11" s="64">
        <f>IF(H$7&lt;&gt;0, ($D$7/H$7), 0)</f>
        <v>0.1111111111111111</v>
      </c>
      <c r="E11" s="67">
        <f>IF(H$8 &lt;&gt; 0, $E$8/H$8, 0)</f>
        <v>6</v>
      </c>
      <c r="F11" s="67">
        <f>IF(H9&lt;&gt;0, (F9/H9),0)</f>
        <v>0.33333333333333331</v>
      </c>
      <c r="G11" s="65">
        <f>IF(H$10&lt;&gt;0, ($G$10/H$10),0)</f>
        <v>0.25</v>
      </c>
      <c r="H11" s="62">
        <v>1</v>
      </c>
      <c r="I11" s="192">
        <v>0.33333333333333331</v>
      </c>
      <c r="J11" s="192">
        <v>3</v>
      </c>
      <c r="K11" s="192">
        <v>3</v>
      </c>
      <c r="L11" s="192">
        <v>1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93" t="s">
        <v>255</v>
      </c>
      <c r="AC11" s="340"/>
      <c r="AD11" s="340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3">
      <c r="A12" s="48"/>
      <c r="B12" s="47"/>
      <c r="C12" s="60" t="str">
        <f>Threats!A6</f>
        <v>T6-Trojan and Worms</v>
      </c>
      <c r="D12" s="64">
        <f>IF(I$7 &lt;&gt; 0, $D$7/I$7, 0)</f>
        <v>0.125</v>
      </c>
      <c r="E12" s="67">
        <f>IF(I$8 &lt;&gt;0, $E$8/I$8, 0)</f>
        <v>6</v>
      </c>
      <c r="F12" s="67">
        <f>IF(I9&lt;&gt;0, (F9/I9),0)</f>
        <v>4</v>
      </c>
      <c r="G12" s="67">
        <f>IF(I$10&lt;&gt;0, ($G$10/I$10),0)</f>
        <v>1</v>
      </c>
      <c r="H12" s="65">
        <f>IF($I$11&lt;&gt;0, $H$11/$I$11,0)</f>
        <v>3</v>
      </c>
      <c r="I12" s="62">
        <v>1</v>
      </c>
      <c r="J12" s="193">
        <v>8</v>
      </c>
      <c r="K12" s="193">
        <v>8</v>
      </c>
      <c r="L12" s="193">
        <v>5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94" t="s">
        <v>255</v>
      </c>
      <c r="AC12" s="395"/>
      <c r="AD12" s="395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3">
      <c r="A13" s="48"/>
      <c r="B13" s="47"/>
      <c r="C13" s="60" t="str">
        <f>Threats!A7</f>
        <v>T7-Fire</v>
      </c>
      <c r="D13" s="64">
        <f>IF(J$7 &lt;&gt; 0, $D$7/J$7,0)</f>
        <v>0.1111111111111111</v>
      </c>
      <c r="E13" s="67">
        <f>IF(J$8 &lt;&gt;0, $E$8/J$8, 0)</f>
        <v>0.5</v>
      </c>
      <c r="F13" s="67">
        <f>(IF(J$9&lt;&gt;0, $F$9/J$9, 0))</f>
        <v>0.2</v>
      </c>
      <c r="G13" s="67">
        <f>IF(J$10&lt;&gt;0, ($G$10/J$10),0)</f>
        <v>0.16666666666666666</v>
      </c>
      <c r="H13" s="67">
        <f>IF($J$11&lt;&gt;0,$H$11/$J$11,0)</f>
        <v>0.33333333333333331</v>
      </c>
      <c r="I13" s="65">
        <f>IF($J$12&lt;&gt;0,$I$12/$J$12,0)</f>
        <v>0.125</v>
      </c>
      <c r="J13" s="62">
        <v>1</v>
      </c>
      <c r="K13" s="194">
        <v>2</v>
      </c>
      <c r="L13" s="194">
        <v>1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96" t="s">
        <v>255</v>
      </c>
      <c r="AC13" s="397"/>
      <c r="AD13" s="39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3">
      <c r="A14" s="48"/>
      <c r="B14" s="47"/>
      <c r="C14" s="60" t="str">
        <f>Threats!A8</f>
        <v>T8-Other Enviromental Disasters</v>
      </c>
      <c r="D14" s="64">
        <f>IF(K$7 &lt;&gt;0,$D$7/K$7,0)</f>
        <v>0.1111111111111111</v>
      </c>
      <c r="E14" s="67">
        <f>IF(K$8 &lt;&gt;0, $E$8/K$8, 0)</f>
        <v>0.5</v>
      </c>
      <c r="F14" s="67">
        <f>IF(K$9&lt;&gt;0, $F$9/K$9, 0)</f>
        <v>0.16666666666666666</v>
      </c>
      <c r="G14" s="67">
        <f>IF(K$10&lt;&gt;0, ($G$10/K$10),0)</f>
        <v>0.16666666666666666</v>
      </c>
      <c r="H14" s="67">
        <f>IF($K$11&lt;&gt;0,$H$11/$K$11,0)</f>
        <v>0.33333333333333331</v>
      </c>
      <c r="I14" s="67">
        <f>IF($K$12&lt;&gt;0,$I$12/$K$12,0)</f>
        <v>0.125</v>
      </c>
      <c r="J14" s="65">
        <f>IF($K$13&lt;&gt;0,$J$13/$K$13,0)</f>
        <v>0.5</v>
      </c>
      <c r="K14" s="62">
        <v>1</v>
      </c>
      <c r="L14" s="195">
        <v>0.33333333333333331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98" t="s">
        <v>255</v>
      </c>
      <c r="AC14" s="399"/>
      <c r="AD14" s="399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3">
      <c r="A15" s="48"/>
      <c r="B15" s="47"/>
      <c r="C15" s="60" t="str">
        <f>Threats!A9</f>
        <v>T9-Availability Threats(DDOS)</v>
      </c>
      <c r="D15" s="64">
        <f>IF(L$7 &lt;&gt; 0, $D$7/L$7, 0)</f>
        <v>0.1111111111111111</v>
      </c>
      <c r="E15" s="67">
        <f>IF(L$8 &lt;&gt;0, $E$8/L$8,0)</f>
        <v>1</v>
      </c>
      <c r="F15" s="67">
        <f>IF(L$9&lt;&gt;0, $F$9/L$9, 0)</f>
        <v>0.16666666666666666</v>
      </c>
      <c r="G15" s="67">
        <f>IF(L$10&lt;&gt;0,($G$10/L$10),0)</f>
        <v>0.5</v>
      </c>
      <c r="H15" s="67">
        <f>IF($L$11&lt;&gt;0, $H$11/$L$11,0)</f>
        <v>1</v>
      </c>
      <c r="I15" s="67">
        <f>IF($L$12&lt;&gt;0, $I$12/$L$12,0)</f>
        <v>0.2</v>
      </c>
      <c r="J15" s="67">
        <f>IF($L$13&lt;&gt;0,$J$13/$L$13,0)</f>
        <v>1</v>
      </c>
      <c r="K15" s="65">
        <f>IF($L$14&lt;&gt;0,$K$14/$L$14,0)</f>
        <v>3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400" t="s">
        <v>255</v>
      </c>
      <c r="AC15" s="401"/>
      <c r="AD15" s="401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3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0.5</v>
      </c>
      <c r="O16" s="197">
        <v>1</v>
      </c>
      <c r="P16" s="197">
        <v>0.25</v>
      </c>
      <c r="Q16" s="197">
        <v>0.16666666666666666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402" t="s">
        <v>255</v>
      </c>
      <c r="AC16" s="403"/>
      <c r="AD16" s="403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3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2</v>
      </c>
      <c r="N17" s="62">
        <v>1</v>
      </c>
      <c r="O17" s="198">
        <v>1</v>
      </c>
      <c r="P17" s="198">
        <v>0.2</v>
      </c>
      <c r="Q17" s="198">
        <v>0.14285714285714285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404" t="s">
        <v>255</v>
      </c>
      <c r="AC17" s="405"/>
      <c r="AD17" s="405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3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1</v>
      </c>
      <c r="N18" s="65">
        <f>IF($O$17&lt;&gt;0,$N$17/$O$17,0)</f>
        <v>1</v>
      </c>
      <c r="O18" s="62">
        <v>1</v>
      </c>
      <c r="P18" s="199">
        <v>0.2</v>
      </c>
      <c r="Q18" s="199">
        <v>0.125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406" t="s">
        <v>255</v>
      </c>
      <c r="AC18" s="407"/>
      <c r="AD18" s="40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3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5</v>
      </c>
      <c r="O19" s="65">
        <f>IF($P$18&lt;&gt;0,$O$18/$P$18,0)</f>
        <v>5</v>
      </c>
      <c r="P19" s="62">
        <v>1</v>
      </c>
      <c r="Q19" s="200">
        <v>0.1111111111111111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56" t="s">
        <v>255</v>
      </c>
      <c r="AC19" s="357"/>
      <c r="AD19" s="35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3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6</v>
      </c>
      <c r="N20" s="67">
        <f>IF($Q$17&lt;&gt;0,$N$17/$Q$17,0)</f>
        <v>7</v>
      </c>
      <c r="O20" s="67">
        <f>IF($Q$18&lt;&gt;0,$O$18/$Q$18,0)</f>
        <v>8</v>
      </c>
      <c r="P20" s="65">
        <f>IF($Q$19&lt;&gt;0,$P$19/$Q$19,0)</f>
        <v>9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58" t="s">
        <v>255</v>
      </c>
      <c r="AC20" s="359"/>
      <c r="AD20" s="359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3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2</v>
      </c>
      <c r="T21" s="202">
        <v>0.33333333333333331</v>
      </c>
      <c r="U21" s="202">
        <v>0.2</v>
      </c>
      <c r="V21" s="202">
        <v>0.2</v>
      </c>
      <c r="W21" s="202">
        <v>0.33333333333333331</v>
      </c>
      <c r="X21" s="202">
        <v>0.33333333333333331</v>
      </c>
      <c r="Y21" s="202">
        <v>0.25</v>
      </c>
      <c r="Z21" s="79" t="str">
        <f>Threats!B15</f>
        <v>Threats to Information Leakage</v>
      </c>
      <c r="AA21" s="47"/>
      <c r="AB21" s="360" t="s">
        <v>255</v>
      </c>
      <c r="AC21" s="361"/>
      <c r="AD21" s="361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3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0.5</v>
      </c>
      <c r="S22" s="62">
        <v>1</v>
      </c>
      <c r="T22" s="203">
        <v>0.2</v>
      </c>
      <c r="U22" s="203">
        <v>0.16666666666666666</v>
      </c>
      <c r="V22" s="203">
        <v>0.16666666666666666</v>
      </c>
      <c r="W22" s="203">
        <v>0.16666666666666666</v>
      </c>
      <c r="X22" s="203">
        <v>0.16666666666666666</v>
      </c>
      <c r="Y22" s="203">
        <v>0.2</v>
      </c>
      <c r="Z22" s="80" t="str">
        <f>Threats!B16</f>
        <v>Threats to Information Leakage</v>
      </c>
      <c r="AA22" s="47"/>
      <c r="AB22" s="391" t="s">
        <v>255</v>
      </c>
      <c r="AC22" s="392"/>
      <c r="AD22" s="392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3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3</v>
      </c>
      <c r="S23" s="65">
        <f>IF($T$22&lt;&gt;0,$S$22/$T$22,0)</f>
        <v>5</v>
      </c>
      <c r="T23" s="62">
        <v>1</v>
      </c>
      <c r="U23" s="204">
        <v>0.5</v>
      </c>
      <c r="V23" s="204">
        <v>1</v>
      </c>
      <c r="W23" s="204">
        <v>1</v>
      </c>
      <c r="X23" s="204">
        <v>0.5</v>
      </c>
      <c r="Y23" s="204">
        <v>1</v>
      </c>
      <c r="Z23" s="81" t="str">
        <f>Threats!B17</f>
        <v>Threats to Information Leakage</v>
      </c>
      <c r="AA23" s="47"/>
      <c r="AB23" s="362" t="s">
        <v>255</v>
      </c>
      <c r="AC23" s="363"/>
      <c r="AD23" s="363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3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5</v>
      </c>
      <c r="S24" s="67">
        <f>IF($U$22&lt;&gt;0,$S$22/$U$22,0)</f>
        <v>6</v>
      </c>
      <c r="T24" s="65">
        <f>IF($U$23&lt;&gt;0,$T$23/$U$23,0)</f>
        <v>2</v>
      </c>
      <c r="U24" s="62">
        <v>1</v>
      </c>
      <c r="V24" s="205">
        <v>2</v>
      </c>
      <c r="W24" s="205">
        <v>2</v>
      </c>
      <c r="X24" s="205">
        <v>3</v>
      </c>
      <c r="Y24" s="205">
        <v>2</v>
      </c>
      <c r="Z24" s="82" t="str">
        <f>Threats!B18</f>
        <v>Threats to Information Leakage</v>
      </c>
      <c r="AA24" s="47"/>
      <c r="AB24" s="364" t="s">
        <v>255</v>
      </c>
      <c r="AC24" s="365"/>
      <c r="AD24" s="365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3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5</v>
      </c>
      <c r="S25" s="67">
        <f>IF($V$22&lt;&gt;0,$S$22/$V$22,0)</f>
        <v>6</v>
      </c>
      <c r="T25" s="67">
        <f>IF($V$23&lt;&gt;0,$T$23/$V$23,0)</f>
        <v>1</v>
      </c>
      <c r="U25" s="65">
        <f>IF($V$24&lt;&gt;0,$U$24/$V$24,0)</f>
        <v>0.5</v>
      </c>
      <c r="V25" s="62">
        <v>1</v>
      </c>
      <c r="W25" s="206">
        <v>1</v>
      </c>
      <c r="X25" s="206">
        <v>0.5</v>
      </c>
      <c r="Y25" s="206">
        <v>0.5</v>
      </c>
      <c r="Z25" s="83" t="str">
        <f>Threats!B19</f>
        <v>Threats to Information Leakage</v>
      </c>
      <c r="AA25" s="47"/>
      <c r="AB25" s="366" t="s">
        <v>255</v>
      </c>
      <c r="AC25" s="367"/>
      <c r="AD25" s="36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3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3</v>
      </c>
      <c r="S26" s="67">
        <f>IF($W$22&lt;&gt;0,$S$22/$W$22)</f>
        <v>6</v>
      </c>
      <c r="T26" s="67">
        <f>IF($W$23&lt;&gt;0,$T$23/$W$23,0)</f>
        <v>1</v>
      </c>
      <c r="U26" s="67">
        <f>IF($W$24&lt;&gt;0,$U$24/$W$24,0)</f>
        <v>0.5</v>
      </c>
      <c r="V26" s="65">
        <f>IF($W$25&lt;&gt;0,$V$25/$W$25,0)</f>
        <v>1</v>
      </c>
      <c r="W26" s="62">
        <v>1</v>
      </c>
      <c r="X26" s="207">
        <v>1</v>
      </c>
      <c r="Y26" s="207">
        <v>2</v>
      </c>
      <c r="Z26" s="84" t="str">
        <f>Threats!B20</f>
        <v>Threats to Information Leakage</v>
      </c>
      <c r="AA26" s="47"/>
      <c r="AB26" s="368" t="s">
        <v>255</v>
      </c>
      <c r="AC26" s="369"/>
      <c r="AD26" s="369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3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3</v>
      </c>
      <c r="S27" s="67">
        <f>IF($X$22&lt;&gt;0,$S$22/$X$22,0)</f>
        <v>6</v>
      </c>
      <c r="T27" s="67">
        <f>IF($X$23&lt;&gt;0,$T$23/$X$23,0)</f>
        <v>2</v>
      </c>
      <c r="U27" s="67">
        <f>IF($X$24&lt;&gt;0,$U$24/$X$24,0)</f>
        <v>0.33333333333333331</v>
      </c>
      <c r="V27" s="67">
        <f>IF($X$25&lt;&gt;0,$V$25/$X$25,0)</f>
        <v>2</v>
      </c>
      <c r="W27" s="65">
        <f>IF($X$26&lt;&gt;0,$W$26/$X$26,0)</f>
        <v>1</v>
      </c>
      <c r="X27" s="62">
        <v>1</v>
      </c>
      <c r="Y27" s="208">
        <v>2</v>
      </c>
      <c r="Z27" s="85" t="str">
        <f>Threats!B21</f>
        <v>Threats to Information Leakage</v>
      </c>
      <c r="AA27" s="47"/>
      <c r="AB27" s="370" t="s">
        <v>255</v>
      </c>
      <c r="AC27" s="371"/>
      <c r="AD27" s="371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3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4</v>
      </c>
      <c r="S28" s="67">
        <f>IF($Y$22&lt;&gt;0,$S$22/$Y$22,0)</f>
        <v>5</v>
      </c>
      <c r="T28" s="67">
        <f>IF($Y$23&lt;&gt;0,$T$23/$Y$23,0)</f>
        <v>1</v>
      </c>
      <c r="U28" s="67">
        <f>IF($Y$24&lt;&gt;0,$U$24/$Y$24,0)</f>
        <v>0.5</v>
      </c>
      <c r="V28" s="67">
        <f>IF($Y$25&lt;&gt;0,$V$25/$Y$25,0)</f>
        <v>2</v>
      </c>
      <c r="W28" s="67">
        <f>IF($Y$26&lt;&gt;0,$W$26/$Y$26,0)</f>
        <v>0.5</v>
      </c>
      <c r="X28" s="65">
        <f>IF($Y$27&lt;&gt;0,$X$27/$Y$27,0)</f>
        <v>0.5</v>
      </c>
      <c r="Y28" s="62">
        <v>1</v>
      </c>
      <c r="Z28" s="86" t="str">
        <f>Threats!B22</f>
        <v>Threats to Information Leakage</v>
      </c>
      <c r="AA28" s="47"/>
      <c r="AB28" s="372" t="s">
        <v>255</v>
      </c>
      <c r="AC28" s="373"/>
      <c r="AD28" s="373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5">
      <c r="A29" s="48"/>
      <c r="B29" s="47"/>
      <c r="C29" s="87" t="s">
        <v>251</v>
      </c>
      <c r="D29" s="88">
        <f t="shared" ref="D29:Y29" si="0">SUM(D7:D28)</f>
        <v>2.0694444444444446</v>
      </c>
      <c r="E29" s="89">
        <f t="shared" si="0"/>
        <v>27</v>
      </c>
      <c r="F29" s="89">
        <f t="shared" si="0"/>
        <v>12.533333333333331</v>
      </c>
      <c r="G29" s="89">
        <f t="shared" si="0"/>
        <v>15.333333333333332</v>
      </c>
      <c r="H29" s="89">
        <f t="shared" si="0"/>
        <v>21.833333333333329</v>
      </c>
      <c r="I29" s="89">
        <f t="shared" si="0"/>
        <v>11.2</v>
      </c>
      <c r="J29" s="89">
        <f t="shared" si="0"/>
        <v>35.5</v>
      </c>
      <c r="K29" s="89">
        <f t="shared" si="0"/>
        <v>40</v>
      </c>
      <c r="L29" s="89">
        <f t="shared" si="0"/>
        <v>26.333333333333332</v>
      </c>
      <c r="M29" s="89">
        <f t="shared" si="0"/>
        <v>14</v>
      </c>
      <c r="N29" s="89">
        <f t="shared" si="0"/>
        <v>14.5</v>
      </c>
      <c r="O29" s="89">
        <f t="shared" si="0"/>
        <v>16</v>
      </c>
      <c r="P29" s="89">
        <f t="shared" si="0"/>
        <v>10.65</v>
      </c>
      <c r="Q29" s="89">
        <f t="shared" si="0"/>
        <v>1.5456349206349207</v>
      </c>
      <c r="R29" s="89">
        <f t="shared" si="0"/>
        <v>24.5</v>
      </c>
      <c r="S29" s="89">
        <f t="shared" si="0"/>
        <v>37</v>
      </c>
      <c r="T29" s="89">
        <f t="shared" si="0"/>
        <v>8.5333333333333332</v>
      </c>
      <c r="U29" s="89">
        <f t="shared" si="0"/>
        <v>3.7</v>
      </c>
      <c r="V29" s="89">
        <f t="shared" si="0"/>
        <v>9.3666666666666671</v>
      </c>
      <c r="W29" s="89">
        <f t="shared" si="0"/>
        <v>7</v>
      </c>
      <c r="X29" s="89">
        <f t="shared" si="0"/>
        <v>7</v>
      </c>
      <c r="Y29" s="89">
        <f t="shared" si="0"/>
        <v>8.9499999999999993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5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3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3">
      <c r="A32" s="48"/>
      <c r="B32" s="47"/>
      <c r="C32" s="354" t="s">
        <v>277</v>
      </c>
      <c r="D32" s="352" t="str">
        <f>"Normalized Score "&amp;Threats!A1</f>
        <v>Normalized Score T1-Power Loss</v>
      </c>
      <c r="E32" s="352" t="str">
        <f>"Normalized Score "&amp;Threats!A2</f>
        <v>Normalized Score T2-Hardware Failure</v>
      </c>
      <c r="F32" s="352" t="str">
        <f>"Normalized Score "&amp;Threats!A3</f>
        <v>Normalized Score T3-Software Crash</v>
      </c>
      <c r="G32" s="352" t="str">
        <f>"Normalized Score "&amp;Threats!A4</f>
        <v>Normalized Score T4-Operator Errors</v>
      </c>
      <c r="H32" s="352" t="str">
        <f>"Normalized Score "&amp;Threats!A5</f>
        <v>Normalized Score T5-Malicious Inside Action</v>
      </c>
      <c r="I32" s="352" t="str">
        <f>"Normalized Score "&amp;Threats!A6</f>
        <v>Normalized Score T6-Trojan and Worms</v>
      </c>
      <c r="J32" s="352" t="str">
        <f>"Normalized Score "&amp;Threats!A7</f>
        <v>Normalized Score T7-Fire</v>
      </c>
      <c r="K32" s="352" t="str">
        <f>"Normalized Score "&amp;Threats!A8</f>
        <v>Normalized Score T8-Other Enviromental Disasters</v>
      </c>
      <c r="L32" s="352" t="str">
        <f>"Normalized Score"&amp;Threats!A9</f>
        <v>Normalized ScoreT9-Availability Threats(DDOS)</v>
      </c>
      <c r="M32" s="352" t="str">
        <f>"Normalized Score "&amp;Threats!A10</f>
        <v>Normalized Score T10-Disk Failure</v>
      </c>
      <c r="N32" s="352" t="str">
        <f>"Normalized Score "&amp;Threats!A11</f>
        <v>Normalized Score T11-Data Corruption</v>
      </c>
      <c r="O32" s="352" t="str">
        <f>"Normalized Score "&amp;Threats!A12</f>
        <v>Normalized Score T12-Inaccurrate Data</v>
      </c>
      <c r="P32" s="352" t="str">
        <f>"Normalized Score "&amp;Threats!A13</f>
        <v>Normalized Score T13-Un-authorized Access</v>
      </c>
      <c r="Q32" s="352" t="str">
        <f>"Normalized Score "&amp;Threats!A14</f>
        <v>Normalized Score T14-Virus and Spyware</v>
      </c>
      <c r="R32" s="352" t="str">
        <f>"Normalized Score "&amp;Threats!A15</f>
        <v>Normalized Score T15-Hacking</v>
      </c>
      <c r="S32" s="352" t="str">
        <f>"Normalized Score "&amp;Threats!A16</f>
        <v>Normalized Score T16-Media Leakage</v>
      </c>
      <c r="T32" s="352" t="str">
        <f>"Normalized Score "&amp;Threats!A17</f>
        <v>Normalized Score T17-Communication Preventers(Botnet, Dialer)</v>
      </c>
      <c r="U32" s="352" t="str">
        <f>"Normalized Score "&amp;Threats!A18</f>
        <v>Normalized Score T18-Authentication Threats</v>
      </c>
      <c r="V32" s="352" t="str">
        <f>"Normalized Score "&amp;Threats!A19</f>
        <v>Normalized Score T19-Non Repudiation Threats</v>
      </c>
      <c r="W32" s="352" t="str">
        <f>"Normalized Score "&amp;Threats!A20</f>
        <v>Normalized Score T20-Separation of Duties</v>
      </c>
      <c r="X32" s="352" t="str">
        <f>"Normalized Score"&amp;Threats!A21</f>
        <v>Normalized ScoreT21-Configuration Threats</v>
      </c>
      <c r="Y32" s="352" t="str">
        <f>"Normalized Score"&amp;Threats!A22</f>
        <v>Normalized ScoreT22- Communications Threats</v>
      </c>
      <c r="Z32" s="347" t="s">
        <v>252</v>
      </c>
      <c r="AA32" s="96"/>
      <c r="AB32" s="96"/>
      <c r="AC32" s="97"/>
      <c r="AD32" s="98"/>
      <c r="AE32" s="349" t="s">
        <v>264</v>
      </c>
      <c r="AF32" s="354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351"/>
      <c r="DP32" s="345"/>
      <c r="DQ32" s="345"/>
      <c r="DR32" s="345"/>
      <c r="DS32" s="345"/>
      <c r="DT32" s="345"/>
      <c r="DU32" s="345"/>
      <c r="DV32" s="345"/>
    </row>
    <row r="33" spans="1:126" ht="115.5" customHeight="1" x14ac:dyDescent="0.25">
      <c r="A33" s="48"/>
      <c r="B33" s="47"/>
      <c r="C33" s="355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  <c r="O33" s="353"/>
      <c r="P33" s="353"/>
      <c r="Q33" s="353"/>
      <c r="R33" s="353"/>
      <c r="S33" s="353"/>
      <c r="T33" s="353"/>
      <c r="U33" s="353"/>
      <c r="V33" s="353"/>
      <c r="W33" s="353"/>
      <c r="X33" s="353"/>
      <c r="Y33" s="353"/>
      <c r="Z33" s="348"/>
      <c r="AA33" s="99" t="s">
        <v>253</v>
      </c>
      <c r="AB33" s="100" t="s">
        <v>256</v>
      </c>
      <c r="AC33" s="101" t="s">
        <v>257</v>
      </c>
      <c r="AD33" s="102" t="s">
        <v>258</v>
      </c>
      <c r="AE33" s="350"/>
      <c r="AF33" s="355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351"/>
      <c r="DP33" s="345"/>
      <c r="DQ33" s="345"/>
      <c r="DR33" s="345"/>
      <c r="DS33" s="345"/>
      <c r="DT33" s="345"/>
      <c r="DU33" s="345"/>
      <c r="DV33" s="345"/>
    </row>
    <row r="34" spans="1:126" ht="12.75" customHeight="1" x14ac:dyDescent="0.3">
      <c r="A34" s="48"/>
      <c r="B34" s="47"/>
      <c r="C34" s="104" t="str">
        <f xml:space="preserve"> Threats!A1</f>
        <v>T1-Power Loss</v>
      </c>
      <c r="D34" s="105">
        <f t="shared" ref="D34:Y34" si="1">(D$7/D$29)</f>
        <v>0.48322147651006708</v>
      </c>
      <c r="E34" s="106">
        <f t="shared" si="1"/>
        <v>0.22222222222222221</v>
      </c>
      <c r="F34" s="105">
        <f t="shared" si="1"/>
        <v>0.47872340425531923</v>
      </c>
      <c r="G34" s="105">
        <f t="shared" si="1"/>
        <v>0.39130434782608697</v>
      </c>
      <c r="H34" s="105">
        <f t="shared" si="1"/>
        <v>0.41221374045801534</v>
      </c>
      <c r="I34" s="105">
        <f t="shared" si="1"/>
        <v>0.7142857142857143</v>
      </c>
      <c r="J34" s="105">
        <f t="shared" si="1"/>
        <v>0.25352112676056338</v>
      </c>
      <c r="K34" s="105">
        <f t="shared" si="1"/>
        <v>0.22500000000000001</v>
      </c>
      <c r="L34" s="105">
        <f t="shared" si="1"/>
        <v>0.34177215189873417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3.522264184216723</v>
      </c>
      <c r="AA34" s="105">
        <f t="shared" ref="AA34:AA55" si="3">(Z34/$Z$56)</f>
        <v>0.15971675509714034</v>
      </c>
      <c r="AB34" s="105" t="str">
        <f>Threats!B1</f>
        <v>Threats to The Level of Service</v>
      </c>
      <c r="AC34" s="107">
        <f>INDEX(I69:I73,MATCH(AB34,B59:B63,0))</f>
        <v>6.8975468975468981E-2</v>
      </c>
      <c r="AD34" s="108">
        <f t="shared" ref="AD34:AD55" si="4">Z34*AC34</f>
        <v>0.24294982396184614</v>
      </c>
      <c r="AE34" s="109">
        <f>MMULT(D7:Y7, AA34:AA55)/AA34</f>
        <v>12.473105660141156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3">
      <c r="A35" s="48"/>
      <c r="B35" s="48"/>
      <c r="C35" s="104" t="str">
        <f>Threats!A2</f>
        <v>T2-Hardware Failure</v>
      </c>
      <c r="D35" s="63">
        <f t="shared" ref="D35:Y35" si="5">(D$8/D$29)</f>
        <v>8.0536912751677847E-2</v>
      </c>
      <c r="E35" s="110">
        <f t="shared" si="5"/>
        <v>3.7037037037037035E-2</v>
      </c>
      <c r="F35" s="63">
        <f t="shared" si="5"/>
        <v>3.9893617021276605E-2</v>
      </c>
      <c r="G35" s="63">
        <f t="shared" si="5"/>
        <v>1.6304347826086956E-2</v>
      </c>
      <c r="H35" s="63">
        <f t="shared" si="5"/>
        <v>7.6335877862595434E-3</v>
      </c>
      <c r="I35" s="63">
        <f t="shared" si="5"/>
        <v>1.4880952380952382E-2</v>
      </c>
      <c r="J35" s="63">
        <f t="shared" si="5"/>
        <v>5.6338028169014086E-2</v>
      </c>
      <c r="K35" s="63">
        <f t="shared" si="5"/>
        <v>0.05</v>
      </c>
      <c r="L35" s="63">
        <f t="shared" si="5"/>
        <v>3.7974683544303799E-2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0.34059916651660821</v>
      </c>
      <c r="AA35" s="63">
        <f t="shared" si="3"/>
        <v>1.5444438809725599E-2</v>
      </c>
      <c r="AB35" s="63" t="str">
        <f>Threats!B2</f>
        <v>Threats to The Level of Service</v>
      </c>
      <c r="AC35" s="63">
        <f>INDEX(I69:I73,MATCH(AB35,B59:B63,0))</f>
        <v>6.8975468975468981E-2</v>
      </c>
      <c r="AD35" s="111">
        <f t="shared" si="4"/>
        <v>2.3492987243136903E-2</v>
      </c>
      <c r="AE35" s="109">
        <f>MMULT(D8:Y8, AA34:AA55)/AA35</f>
        <v>9.8535490671069361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3">
      <c r="A36" s="48"/>
      <c r="B36" s="48"/>
      <c r="C36" s="104" t="str">
        <f>Threats!A3</f>
        <v>T3-Software Crash</v>
      </c>
      <c r="D36" s="66">
        <f t="shared" ref="D36:Y36" si="6">(D$9/D$29)</f>
        <v>8.0536912751677847E-2</v>
      </c>
      <c r="E36" s="112">
        <f t="shared" si="6"/>
        <v>7.407407407407407E-2</v>
      </c>
      <c r="F36" s="66">
        <f t="shared" si="6"/>
        <v>7.978723404255321E-2</v>
      </c>
      <c r="G36" s="66">
        <f t="shared" si="6"/>
        <v>0.39130434782608697</v>
      </c>
      <c r="H36" s="66">
        <f t="shared" si="6"/>
        <v>0.13740458015267179</v>
      </c>
      <c r="I36" s="66">
        <f t="shared" si="6"/>
        <v>2.2321428571428572E-2</v>
      </c>
      <c r="J36" s="66">
        <f t="shared" si="6"/>
        <v>0.14084507042253522</v>
      </c>
      <c r="K36" s="66">
        <f t="shared" si="6"/>
        <v>0.15</v>
      </c>
      <c r="L36" s="66">
        <f t="shared" si="6"/>
        <v>0.22784810126582281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1.3041217491068506</v>
      </c>
      <c r="AA36" s="66">
        <f t="shared" si="3"/>
        <v>5.9135284329977784E-2</v>
      </c>
      <c r="AB36" s="66" t="str">
        <f>Threats!B3</f>
        <v>Threats to The Level of Service</v>
      </c>
      <c r="AC36" s="66">
        <f>INDEX(I69:I73,MATCH(AB36,B59:B63,0))</f>
        <v>6.8975468975468981E-2</v>
      </c>
      <c r="AD36" s="113">
        <f t="shared" si="4"/>
        <v>8.9952409245753914E-2</v>
      </c>
      <c r="AE36" s="109">
        <f>MMULT(D9:Y9, AA34:AA55)/AA36</f>
        <v>11.530079739608757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3">
      <c r="A37" s="48"/>
      <c r="B37" s="48"/>
      <c r="C37" s="104" t="str">
        <f>Threats!A4</f>
        <v>T4-Operator Errors</v>
      </c>
      <c r="D37" s="68">
        <f t="shared" ref="D37:Y37" si="7">(D$10/D$29)</f>
        <v>8.0536912751677847E-2</v>
      </c>
      <c r="E37" s="114">
        <f t="shared" si="7"/>
        <v>0.14814814814814814</v>
      </c>
      <c r="F37" s="68">
        <f t="shared" si="7"/>
        <v>1.3297872340425534E-2</v>
      </c>
      <c r="G37" s="68">
        <f t="shared" si="7"/>
        <v>6.5217391304347824E-2</v>
      </c>
      <c r="H37" s="68">
        <f t="shared" si="7"/>
        <v>0.18320610687022904</v>
      </c>
      <c r="I37" s="68">
        <f t="shared" si="7"/>
        <v>8.9285714285714288E-2</v>
      </c>
      <c r="J37" s="68">
        <f t="shared" si="7"/>
        <v>0.16901408450704225</v>
      </c>
      <c r="K37" s="68">
        <f t="shared" si="7"/>
        <v>0.15</v>
      </c>
      <c r="L37" s="68">
        <f t="shared" si="7"/>
        <v>7.5949367088607597E-2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0.97465559729619244</v>
      </c>
      <c r="AA37" s="68">
        <f t="shared" si="3"/>
        <v>4.4195671078553822E-2</v>
      </c>
      <c r="AB37" s="68" t="str">
        <f>Threats!B4</f>
        <v>Threats to The Level of Service</v>
      </c>
      <c r="AC37" s="68">
        <f>INDEX(I69:I73,MATCH(AB37,B59:B63,0))</f>
        <v>6.8975468975468981E-2</v>
      </c>
      <c r="AD37" s="115">
        <f t="shared" si="4"/>
        <v>6.7227326913070706E-2</v>
      </c>
      <c r="AE37" s="109">
        <f>MMULT(D10:Y10, AA34:AA55)/AA37</f>
        <v>10.681075390107011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3">
      <c r="A38" s="48"/>
      <c r="B38" s="48"/>
      <c r="C38" s="104" t="str">
        <f>Threats!A5</f>
        <v>T5-Malicious Inside Action</v>
      </c>
      <c r="D38" s="69">
        <f>($D11/$D$29)</f>
        <v>5.3691275167785227E-2</v>
      </c>
      <c r="E38" s="116">
        <f>($E11/$E$29)</f>
        <v>0.22222222222222221</v>
      </c>
      <c r="F38" s="69">
        <f>($F9/$F$29)</f>
        <v>7.978723404255321E-2</v>
      </c>
      <c r="G38" s="69">
        <f>($G11/$G$29)</f>
        <v>1.6304347826086956E-2</v>
      </c>
      <c r="H38" s="69">
        <f>($H11/$H$29)</f>
        <v>4.5801526717557259E-2</v>
      </c>
      <c r="I38" s="69">
        <f>($I11/$I$29)</f>
        <v>2.9761904761904764E-2</v>
      </c>
      <c r="J38" s="69">
        <f>($J11/$J$29)</f>
        <v>8.4507042253521125E-2</v>
      </c>
      <c r="K38" s="69">
        <f>($K11/$K$29)</f>
        <v>7.4999999999999997E-2</v>
      </c>
      <c r="L38" s="69">
        <f>($L11/$L$29)</f>
        <v>3.7974683544303799E-2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0.64505023653593452</v>
      </c>
      <c r="AA38" s="69">
        <f t="shared" si="3"/>
        <v>2.924974540973364E-2</v>
      </c>
      <c r="AB38" s="69" t="str">
        <f>Threats!B5</f>
        <v>Threats to The Level of Service</v>
      </c>
      <c r="AC38" s="69">
        <f>INDEX(I69:I73,MATCH(AB38,B59:B63,0))</f>
        <v>6.8975468975468981E-2</v>
      </c>
      <c r="AD38" s="117">
        <f t="shared" si="4"/>
        <v>4.4492642577803276E-2</v>
      </c>
      <c r="AE38" s="109">
        <f>MMULT(D11:Y11, AA34:AA55)/AA38</f>
        <v>9.0710052567305528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3">
      <c r="A39" s="48"/>
      <c r="B39" s="48"/>
      <c r="C39" s="104" t="str">
        <f>Threats!A6</f>
        <v>T6-Trojan and Worms</v>
      </c>
      <c r="D39" s="70">
        <f t="shared" ref="D39:Y39" si="8">(D$12/D$29)</f>
        <v>6.0402684563758385E-2</v>
      </c>
      <c r="E39" s="118">
        <f t="shared" si="8"/>
        <v>0.22222222222222221</v>
      </c>
      <c r="F39" s="70">
        <f t="shared" si="8"/>
        <v>0.31914893617021284</v>
      </c>
      <c r="G39" s="70">
        <f t="shared" si="8"/>
        <v>6.5217391304347824E-2</v>
      </c>
      <c r="H39" s="70">
        <f t="shared" si="8"/>
        <v>0.13740458015267179</v>
      </c>
      <c r="I39" s="70">
        <f t="shared" si="8"/>
        <v>8.9285714285714288E-2</v>
      </c>
      <c r="J39" s="70">
        <f t="shared" si="8"/>
        <v>0.22535211267605634</v>
      </c>
      <c r="K39" s="70">
        <f t="shared" si="8"/>
        <v>0.2</v>
      </c>
      <c r="L39" s="70">
        <f t="shared" si="8"/>
        <v>0.189873417721519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1.5089070590965026</v>
      </c>
      <c r="AA39" s="70">
        <f t="shared" si="3"/>
        <v>6.8421255935876127E-2</v>
      </c>
      <c r="AB39" s="70" t="str">
        <f>Threats!B6</f>
        <v>Threats to The Level of Service</v>
      </c>
      <c r="AC39" s="70">
        <f>INDEX(I69:I73,MATCH(AB39,B59:B63,0))</f>
        <v>6.8975468975468981E-2</v>
      </c>
      <c r="AD39" s="119">
        <f t="shared" si="4"/>
        <v>0.10407757204157696</v>
      </c>
      <c r="AE39" s="109">
        <f>MMULT(D12:Y12, AA34:AA55)/AA39</f>
        <v>11.369497220966867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3">
      <c r="A40" s="48"/>
      <c r="B40" s="48"/>
      <c r="C40" s="104" t="str">
        <f>Threats!A7</f>
        <v>T7-Fire</v>
      </c>
      <c r="D40" s="71">
        <f t="shared" ref="D40:Y40" si="9">(D$13/D$29)</f>
        <v>5.3691275167785227E-2</v>
      </c>
      <c r="E40" s="120">
        <f t="shared" si="9"/>
        <v>1.8518518518518517E-2</v>
      </c>
      <c r="F40" s="71">
        <f t="shared" si="9"/>
        <v>1.5957446808510641E-2</v>
      </c>
      <c r="G40" s="71">
        <f t="shared" si="9"/>
        <v>1.0869565217391304E-2</v>
      </c>
      <c r="H40" s="71">
        <f t="shared" si="9"/>
        <v>1.5267175572519087E-2</v>
      </c>
      <c r="I40" s="71">
        <f t="shared" si="9"/>
        <v>1.1160714285714286E-2</v>
      </c>
      <c r="J40" s="71">
        <f t="shared" si="9"/>
        <v>2.8169014084507043E-2</v>
      </c>
      <c r="K40" s="71">
        <f t="shared" si="9"/>
        <v>0.05</v>
      </c>
      <c r="L40" s="71">
        <f t="shared" si="9"/>
        <v>3.7974683544303799E-2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0.2416083931992499</v>
      </c>
      <c r="AA40" s="71">
        <f t="shared" si="3"/>
        <v>1.0955711027848281E-2</v>
      </c>
      <c r="AB40" s="71" t="str">
        <f>Threats!B7</f>
        <v>Threats to The Level of Service</v>
      </c>
      <c r="AC40" s="71">
        <f>INDEX(I69:I73,MATCH(AB40,B59:B63,0))</f>
        <v>6.8975468975468981E-2</v>
      </c>
      <c r="AD40" s="121">
        <f t="shared" si="4"/>
        <v>1.6665052229327772E-2</v>
      </c>
      <c r="AE40" s="109">
        <f>MMULT(D13:Y13, AA34:AA55)/AA40</f>
        <v>9.6052155702017945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3">
      <c r="A41" s="48"/>
      <c r="B41" s="48"/>
      <c r="C41" s="104" t="str">
        <f>Threats!A8</f>
        <v>T8-Other Enviromental Disasters</v>
      </c>
      <c r="D41" s="72">
        <f t="shared" ref="D41:Y41" si="10">(D$14/D$29)</f>
        <v>5.3691275167785227E-2</v>
      </c>
      <c r="E41" s="122">
        <f t="shared" si="10"/>
        <v>1.8518518518518517E-2</v>
      </c>
      <c r="F41" s="72">
        <f t="shared" si="10"/>
        <v>1.3297872340425534E-2</v>
      </c>
      <c r="G41" s="72">
        <f t="shared" si="10"/>
        <v>1.0869565217391304E-2</v>
      </c>
      <c r="H41" s="72">
        <f t="shared" si="10"/>
        <v>1.5267175572519087E-2</v>
      </c>
      <c r="I41" s="72">
        <f t="shared" si="10"/>
        <v>1.1160714285714286E-2</v>
      </c>
      <c r="J41" s="72">
        <f t="shared" si="10"/>
        <v>1.4084507042253521E-2</v>
      </c>
      <c r="K41" s="72">
        <f t="shared" si="10"/>
        <v>2.5000000000000001E-2</v>
      </c>
      <c r="L41" s="72">
        <f t="shared" si="10"/>
        <v>1.2658227848101266E-2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0.17454785599270875</v>
      </c>
      <c r="AA41" s="72">
        <f t="shared" si="3"/>
        <v>7.9148569528772889E-3</v>
      </c>
      <c r="AB41" s="72" t="str">
        <f>Threats!B8</f>
        <v>Threats to The Level of Service</v>
      </c>
      <c r="AC41" s="72">
        <f>INDEX(I69:I73,MATCH(AB41,B59:B63,0))</f>
        <v>6.8975468975468981E-2</v>
      </c>
      <c r="AD41" s="123">
        <f t="shared" si="4"/>
        <v>1.2039520225759709E-2</v>
      </c>
      <c r="AE41" s="109">
        <f>MMULT(D14:Y14, AA34:AA55)/AA41</f>
        <v>10.050270059799342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3">
      <c r="A42" s="48"/>
      <c r="B42" s="48"/>
      <c r="C42" s="104" t="str">
        <f>Threats!A9</f>
        <v>T9-Availability Threats(DDOS)</v>
      </c>
      <c r="D42" s="73">
        <f t="shared" ref="D42:Y42" si="11">(D$15/D$29)</f>
        <v>5.3691275167785227E-2</v>
      </c>
      <c r="E42" s="124">
        <f t="shared" si="11"/>
        <v>3.7037037037037035E-2</v>
      </c>
      <c r="F42" s="73">
        <f t="shared" si="11"/>
        <v>1.3297872340425534E-2</v>
      </c>
      <c r="G42" s="73">
        <f t="shared" si="11"/>
        <v>3.2608695652173912E-2</v>
      </c>
      <c r="H42" s="73">
        <f t="shared" si="11"/>
        <v>4.5801526717557259E-2</v>
      </c>
      <c r="I42" s="73">
        <f t="shared" si="11"/>
        <v>1.785714285714286E-2</v>
      </c>
      <c r="J42" s="73">
        <f t="shared" si="11"/>
        <v>2.8169014084507043E-2</v>
      </c>
      <c r="K42" s="73">
        <f t="shared" si="11"/>
        <v>7.4999999999999997E-2</v>
      </c>
      <c r="L42" s="73">
        <f t="shared" si="11"/>
        <v>3.7974683544303799E-2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0.34143724740093262</v>
      </c>
      <c r="AA42" s="73">
        <f t="shared" si="3"/>
        <v>1.5482441512632736E-2</v>
      </c>
      <c r="AB42" s="73" t="str">
        <f>Threats!B9</f>
        <v>Threats to The Level of Service</v>
      </c>
      <c r="AC42" s="73">
        <f>INDEX(I69:I73,MATCH(AB42,B59:B63,0))</f>
        <v>6.8975468975468981E-2</v>
      </c>
      <c r="AD42" s="125">
        <f t="shared" si="4"/>
        <v>2.3550794265172554E-2</v>
      </c>
      <c r="AE42" s="109">
        <f>MMULT(D15:Y15, AA34:AA55)/AA42</f>
        <v>10.221978300997304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3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7.1428571428571425E-2</v>
      </c>
      <c r="N43" s="74">
        <f t="shared" si="12"/>
        <v>3.4482758620689655E-2</v>
      </c>
      <c r="O43" s="74">
        <f t="shared" si="12"/>
        <v>6.25E-2</v>
      </c>
      <c r="P43" s="74">
        <f t="shared" si="12"/>
        <v>2.3474178403755867E-2</v>
      </c>
      <c r="Q43" s="74">
        <f t="shared" si="12"/>
        <v>0.10783055198973042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0.29971606044274735</v>
      </c>
      <c r="AA43" s="74">
        <f t="shared" si="3"/>
        <v>1.359059801332284E-2</v>
      </c>
      <c r="AB43" s="74" t="str">
        <f>Threats!B10</f>
        <v>Threats to the Information Base</v>
      </c>
      <c r="AC43" s="74">
        <f>INDEX(I69:I73,MATCH(AB43,B59:B63,0))</f>
        <v>0.24329004329004328</v>
      </c>
      <c r="AD43" s="127">
        <f t="shared" si="4"/>
        <v>7.291793331983723E-2</v>
      </c>
      <c r="AE43" s="109">
        <f>MMULT(D16:Y16, AA34:AA55)/AA43</f>
        <v>5.1920147388432136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3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0.14285714285714285</v>
      </c>
      <c r="N44" s="75">
        <f t="shared" si="13"/>
        <v>6.8965517241379309E-2</v>
      </c>
      <c r="O44" s="75">
        <f t="shared" si="13"/>
        <v>6.25E-2</v>
      </c>
      <c r="P44" s="75">
        <f t="shared" si="13"/>
        <v>1.8779342723004695E-2</v>
      </c>
      <c r="Q44" s="75">
        <f t="shared" si="13"/>
        <v>9.2426187419768921E-2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0.38552819024129575</v>
      </c>
      <c r="AA44" s="75">
        <f t="shared" si="3"/>
        <v>1.7481741380936708E-2</v>
      </c>
      <c r="AB44" s="75" t="str">
        <f>Threats!B11</f>
        <v>Threats to the Information Base</v>
      </c>
      <c r="AC44" s="75">
        <f>INDEX(I69:I73,MATCH(AB44,B59:B63,0))</f>
        <v>0.24329004329004328</v>
      </c>
      <c r="AD44" s="129">
        <f t="shared" si="4"/>
        <v>9.3795170093336891E-2</v>
      </c>
      <c r="AE44" s="109">
        <f>MMULT(D17:Y17, AA34:AA55)/AA44</f>
        <v>4.9906620092012473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3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7.1428571428571425E-2</v>
      </c>
      <c r="N45" s="76">
        <f t="shared" si="14"/>
        <v>6.8965517241379309E-2</v>
      </c>
      <c r="O45" s="76">
        <f t="shared" si="14"/>
        <v>6.25E-2</v>
      </c>
      <c r="P45" s="76">
        <f t="shared" si="14"/>
        <v>1.8779342723004695E-2</v>
      </c>
      <c r="Q45" s="76">
        <f t="shared" si="14"/>
        <v>8.0872913992297818E-2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0.30254634538525327</v>
      </c>
      <c r="AA45" s="76">
        <f t="shared" si="3"/>
        <v>1.3718937031458661E-2</v>
      </c>
      <c r="AB45" s="76" t="str">
        <f>Threats!B12</f>
        <v>Threats to the Information Base</v>
      </c>
      <c r="AC45" s="76">
        <f>INDEX(I69:I73,MATCH(AB45,B59:B63,0))</f>
        <v>0.24329004329004328</v>
      </c>
      <c r="AD45" s="131">
        <f t="shared" si="4"/>
        <v>7.3606513466022649E-2</v>
      </c>
      <c r="AE45" s="109">
        <f>MMULT(D18:Y18, AA34:AA55)/AA45</f>
        <v>5.1974803763469355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3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0.2857142857142857</v>
      </c>
      <c r="N46" s="77">
        <f t="shared" si="15"/>
        <v>0.34482758620689657</v>
      </c>
      <c r="O46" s="77">
        <f t="shared" si="15"/>
        <v>0.3125</v>
      </c>
      <c r="P46" s="77">
        <f t="shared" si="15"/>
        <v>9.3896713615023469E-2</v>
      </c>
      <c r="Q46" s="77">
        <f t="shared" si="15"/>
        <v>7.188703465982027E-2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1.108825620196026</v>
      </c>
      <c r="AA46" s="77">
        <f t="shared" si="3"/>
        <v>5.0279598793259252E-2</v>
      </c>
      <c r="AB46" s="77" t="str">
        <f>Threats!B13</f>
        <v>Threats to the Information Base</v>
      </c>
      <c r="AC46" s="77">
        <f>INDEX(I69:I73,MATCH(AB46,B59:B63,0))</f>
        <v>0.24329004329004328</v>
      </c>
      <c r="AD46" s="133">
        <f t="shared" si="4"/>
        <v>0.26976623313860026</v>
      </c>
      <c r="AE46" s="109">
        <f>MMULT(D19:Y19, AA34:AA55)/AA46</f>
        <v>5.4748561250048393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3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0.42857142857142855</v>
      </c>
      <c r="N47" s="78">
        <f t="shared" si="16"/>
        <v>0.48275862068965519</v>
      </c>
      <c r="O47" s="78">
        <f t="shared" si="16"/>
        <v>0.5</v>
      </c>
      <c r="P47" s="78">
        <f t="shared" si="16"/>
        <v>0.84507042253521125</v>
      </c>
      <c r="Q47" s="78">
        <f t="shared" si="16"/>
        <v>0.64698331193838254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2.903383783734677</v>
      </c>
      <c r="AA47" s="78">
        <f t="shared" si="3"/>
        <v>0.13165367856780491</v>
      </c>
      <c r="AB47" s="78" t="str">
        <f>Threats!B14</f>
        <v>Threats to the Information Base</v>
      </c>
      <c r="AC47" s="78">
        <f>INDEX(I69:I73,MATCH(AB47,B59:B63,0))</f>
        <v>0.24329004329004328</v>
      </c>
      <c r="AD47" s="135">
        <f t="shared" si="4"/>
        <v>0.70636436643241918</v>
      </c>
      <c r="AE47" s="109">
        <f>MMULT(D20:Y20, AA34:AA55)/AA47</f>
        <v>6.8196905052135923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3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4.0816326530612242E-2</v>
      </c>
      <c r="S48" s="79">
        <f t="shared" si="17"/>
        <v>5.4054054054054057E-2</v>
      </c>
      <c r="T48" s="79">
        <f t="shared" si="17"/>
        <v>3.90625E-2</v>
      </c>
      <c r="U48" s="79">
        <f t="shared" si="17"/>
        <v>5.4054054054054057E-2</v>
      </c>
      <c r="V48" s="79">
        <f t="shared" si="17"/>
        <v>2.1352313167259787E-2</v>
      </c>
      <c r="W48" s="79">
        <f t="shared" si="17"/>
        <v>4.7619047619047616E-2</v>
      </c>
      <c r="X48" s="79">
        <f t="shared" si="17"/>
        <v>4.7619047619047616E-2</v>
      </c>
      <c r="Y48" s="79">
        <f t="shared" si="17"/>
        <v>2.793296089385475E-2</v>
      </c>
      <c r="Z48" s="79">
        <f t="shared" si="2"/>
        <v>0.33251030393793013</v>
      </c>
      <c r="AA48" s="79">
        <f t="shared" si="3"/>
        <v>1.5077650057966921E-2</v>
      </c>
      <c r="AB48" s="79" t="str">
        <f>Threats!B15</f>
        <v>Threats to Information Leakage</v>
      </c>
      <c r="AC48" s="79">
        <f>INDEX(I69:I73,MATCH(AB48,B59:B63,0))</f>
        <v>0.28773448773448773</v>
      </c>
      <c r="AD48" s="137">
        <f t="shared" si="4"/>
        <v>9.5674681970019146E-2</v>
      </c>
      <c r="AE48" s="109">
        <f>MMULT(D21:Y21, AA34:AA55)/AA48</f>
        <v>8.2419892453939649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3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2.0408163265306121E-2</v>
      </c>
      <c r="S49" s="80">
        <f t="shared" si="18"/>
        <v>2.7027027027027029E-2</v>
      </c>
      <c r="T49" s="80">
        <f t="shared" si="18"/>
        <v>2.34375E-2</v>
      </c>
      <c r="U49" s="80">
        <f t="shared" si="18"/>
        <v>4.5045045045045043E-2</v>
      </c>
      <c r="V49" s="80">
        <f t="shared" si="18"/>
        <v>1.779359430604982E-2</v>
      </c>
      <c r="W49" s="80">
        <f t="shared" si="18"/>
        <v>2.3809523809523808E-2</v>
      </c>
      <c r="X49" s="80">
        <f t="shared" si="18"/>
        <v>2.3809523809523808E-2</v>
      </c>
      <c r="Y49" s="80">
        <f t="shared" si="18"/>
        <v>2.2346368715083803E-2</v>
      </c>
      <c r="Z49" s="80">
        <f t="shared" si="2"/>
        <v>0.20367674597755944</v>
      </c>
      <c r="AA49" s="80">
        <f t="shared" si="3"/>
        <v>9.2357038697011996E-3</v>
      </c>
      <c r="AB49" s="80" t="str">
        <f>Threats!B16</f>
        <v>Threats to Information Leakage</v>
      </c>
      <c r="AC49" s="80">
        <f>INDEX(I69:I73,MATCH(AB49,B59:B63,0))</f>
        <v>0.28773448773448773</v>
      </c>
      <c r="AD49" s="139">
        <f t="shared" si="4"/>
        <v>5.8604824167280453E-2</v>
      </c>
      <c r="AE49" s="109">
        <f>MMULT(D22:Y22, AA34:AA55)/AA49</f>
        <v>8.2448526487532465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3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0.12244897959183673</v>
      </c>
      <c r="S50" s="81">
        <f t="shared" si="19"/>
        <v>0.13513513513513514</v>
      </c>
      <c r="T50" s="81">
        <f t="shared" si="19"/>
        <v>0.1171875</v>
      </c>
      <c r="U50" s="81">
        <f t="shared" si="19"/>
        <v>0.13513513513513511</v>
      </c>
      <c r="V50" s="81">
        <f t="shared" si="19"/>
        <v>0.10676156583629892</v>
      </c>
      <c r="W50" s="81">
        <f t="shared" si="19"/>
        <v>0.14285714285714285</v>
      </c>
      <c r="X50" s="81">
        <f t="shared" si="19"/>
        <v>7.1428571428571425E-2</v>
      </c>
      <c r="Y50" s="81">
        <f t="shared" si="19"/>
        <v>0.111731843575419</v>
      </c>
      <c r="Z50" s="81">
        <f t="shared" si="2"/>
        <v>0.94268587355953903</v>
      </c>
      <c r="AA50" s="81">
        <f t="shared" si="3"/>
        <v>4.2746006808777937E-2</v>
      </c>
      <c r="AB50" s="81" t="str">
        <f>Threats!B17</f>
        <v>Threats to Information Leakage</v>
      </c>
      <c r="AC50" s="81">
        <f>INDEX(I69:I73,MATCH(AB50,B59:B63,0))</f>
        <v>0.28773448773448773</v>
      </c>
      <c r="AD50" s="141">
        <f t="shared" si="4"/>
        <v>0.27124323692319202</v>
      </c>
      <c r="AE50" s="109">
        <f>MMULT(D23:Y23, AA34:AA55)/AA50</f>
        <v>8.277156095524175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3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0.20408163265306123</v>
      </c>
      <c r="S51" s="82">
        <f t="shared" si="20"/>
        <v>0.16216216216216217</v>
      </c>
      <c r="T51" s="82">
        <f t="shared" si="20"/>
        <v>0.234375</v>
      </c>
      <c r="U51" s="82">
        <f t="shared" si="20"/>
        <v>0.27027027027027023</v>
      </c>
      <c r="V51" s="82">
        <f t="shared" si="20"/>
        <v>0.21352313167259784</v>
      </c>
      <c r="W51" s="82">
        <f t="shared" si="20"/>
        <v>0.2857142857142857</v>
      </c>
      <c r="X51" s="82">
        <f t="shared" si="20"/>
        <v>0.42857142857142855</v>
      </c>
      <c r="Y51" s="82">
        <f t="shared" si="20"/>
        <v>0.223463687150838</v>
      </c>
      <c r="Z51" s="82">
        <f t="shared" si="2"/>
        <v>2.0221615981946437</v>
      </c>
      <c r="AA51" s="82">
        <f t="shared" si="3"/>
        <v>9.1694737207089469E-2</v>
      </c>
      <c r="AB51" s="82" t="str">
        <f>Threats!B18</f>
        <v>Threats to Information Leakage</v>
      </c>
      <c r="AC51" s="82">
        <f>INDEX(I69:I73,MATCH(AB51,B59:B63,0))</f>
        <v>0.28773448773448773</v>
      </c>
      <c r="AD51" s="143">
        <f t="shared" si="4"/>
        <v>0.58184563157288882</v>
      </c>
      <c r="AE51" s="109">
        <f>MMULT(D24:Y24, AA34:AA55)/AA51</f>
        <v>8.4671045326928045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3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0.20408163265306123</v>
      </c>
      <c r="S52" s="83">
        <f t="shared" si="21"/>
        <v>0.16216216216216217</v>
      </c>
      <c r="T52" s="83">
        <f t="shared" si="21"/>
        <v>0.1171875</v>
      </c>
      <c r="U52" s="83">
        <f t="shared" si="21"/>
        <v>0.13513513513513511</v>
      </c>
      <c r="V52" s="83">
        <f t="shared" si="21"/>
        <v>0.10676156583629892</v>
      </c>
      <c r="W52" s="83">
        <f t="shared" si="21"/>
        <v>0.14285714285714285</v>
      </c>
      <c r="X52" s="83">
        <f t="shared" si="21"/>
        <v>7.1428571428571425E-2</v>
      </c>
      <c r="Y52" s="83">
        <f t="shared" si="21"/>
        <v>5.5865921787709501E-2</v>
      </c>
      <c r="Z52" s="83">
        <f t="shared" si="2"/>
        <v>0.99547963186008115</v>
      </c>
      <c r="AA52" s="83">
        <f t="shared" si="3"/>
        <v>4.5139935067461466E-2</v>
      </c>
      <c r="AB52" s="83" t="str">
        <f>Threats!B19</f>
        <v>Threats to Information Leakage</v>
      </c>
      <c r="AC52" s="83">
        <f>INDEX(I69:I73,MATCH(AB52,B59:B63,0))</f>
        <v>0.28773448773448773</v>
      </c>
      <c r="AD52" s="145">
        <f t="shared" si="4"/>
        <v>0.28643382192337691</v>
      </c>
      <c r="AE52" s="109">
        <f>MMULT(D25:Y25, AA34:AA55)/AA52</f>
        <v>8.1991008352941979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3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0.12244897959183673</v>
      </c>
      <c r="S53" s="84">
        <f t="shared" si="22"/>
        <v>0.16216216216216217</v>
      </c>
      <c r="T53" s="84">
        <f t="shared" si="22"/>
        <v>0.1171875</v>
      </c>
      <c r="U53" s="84">
        <f t="shared" si="22"/>
        <v>0.13513513513513511</v>
      </c>
      <c r="V53" s="84">
        <f t="shared" si="22"/>
        <v>0.10676156583629892</v>
      </c>
      <c r="W53" s="84">
        <f t="shared" si="22"/>
        <v>0.14285714285714285</v>
      </c>
      <c r="X53" s="84">
        <f t="shared" si="22"/>
        <v>0.14285714285714285</v>
      </c>
      <c r="Y53" s="84">
        <f t="shared" si="22"/>
        <v>0.223463687150838</v>
      </c>
      <c r="Z53" s="84">
        <f t="shared" si="2"/>
        <v>1.1528733155905566</v>
      </c>
      <c r="AA53" s="84">
        <f t="shared" si="3"/>
        <v>5.2276937609991463E-2</v>
      </c>
      <c r="AB53" s="84" t="str">
        <f>Threats!B20</f>
        <v>Threats to Information Leakage</v>
      </c>
      <c r="AC53" s="84">
        <f>INDEX(I70:I74,MATCH(AB53,B60:B64,0))</f>
        <v>0.28773448773448773</v>
      </c>
      <c r="AD53" s="147">
        <f t="shared" si="4"/>
        <v>0.3317214128842092</v>
      </c>
      <c r="AE53" s="109">
        <f>MMULT(D26:Y26, AA34:AA55)/AA53</f>
        <v>8.4060916339276535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3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0.12244897959183673</v>
      </c>
      <c r="S54" s="85">
        <f t="shared" si="23"/>
        <v>0.16216216216216217</v>
      </c>
      <c r="T54" s="85">
        <f t="shared" si="23"/>
        <v>0.234375</v>
      </c>
      <c r="U54" s="85">
        <f t="shared" si="23"/>
        <v>9.0090090090090086E-2</v>
      </c>
      <c r="V54" s="85">
        <f t="shared" si="23"/>
        <v>0.21352313167259784</v>
      </c>
      <c r="W54" s="85">
        <f t="shared" si="23"/>
        <v>0.14285714285714285</v>
      </c>
      <c r="X54" s="85">
        <f t="shared" si="23"/>
        <v>0.14285714285714285</v>
      </c>
      <c r="Y54" s="85">
        <f t="shared" si="23"/>
        <v>0.223463687150838</v>
      </c>
      <c r="Z54" s="85">
        <f t="shared" si="2"/>
        <v>1.3317773363818104</v>
      </c>
      <c r="AA54" s="85">
        <f t="shared" si="3"/>
        <v>6.0389324466903115E-2</v>
      </c>
      <c r="AB54" s="85" t="str">
        <f>Threats!B21</f>
        <v>Threats to Information Leakage</v>
      </c>
      <c r="AC54" s="85">
        <f>INDEX(I69:I73,MATCH(AB54,B59:B63,0))</f>
        <v>0.28773448773448773</v>
      </c>
      <c r="AD54" s="148">
        <f t="shared" si="4"/>
        <v>0.38319826966022075</v>
      </c>
      <c r="AE54" s="109">
        <f>MMULT(D27:Y27, AA34:AA55)/AA54</f>
        <v>8.4791180905889654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3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0.16326530612244897</v>
      </c>
      <c r="S55" s="86">
        <f t="shared" si="24"/>
        <v>0.13513513513513514</v>
      </c>
      <c r="T55" s="86">
        <f t="shared" si="24"/>
        <v>0.1171875</v>
      </c>
      <c r="U55" s="86">
        <f t="shared" si="24"/>
        <v>0.13513513513513511</v>
      </c>
      <c r="V55" s="86">
        <f t="shared" si="24"/>
        <v>0.21352313167259784</v>
      </c>
      <c r="W55" s="86">
        <f t="shared" si="24"/>
        <v>7.1428571428571425E-2</v>
      </c>
      <c r="X55" s="86">
        <f t="shared" si="24"/>
        <v>7.1428571428571425E-2</v>
      </c>
      <c r="Y55" s="86">
        <f t="shared" si="24"/>
        <v>0.111731843575419</v>
      </c>
      <c r="Z55" s="86">
        <f t="shared" si="2"/>
        <v>1.0188351944978788</v>
      </c>
      <c r="AA55" s="86">
        <f t="shared" si="3"/>
        <v>4.6198990970960252E-2</v>
      </c>
      <c r="AB55" s="86" t="str">
        <f>Threats!B22</f>
        <v>Threats to Information Leakage</v>
      </c>
      <c r="AC55" s="86">
        <f>INDEX(I69:I73,MATCH(AB55,B59:B63,0))</f>
        <v>0.28773448773448773</v>
      </c>
      <c r="AD55" s="150">
        <f t="shared" si="4"/>
        <v>0.29315402277471436</v>
      </c>
      <c r="AE55" s="109">
        <f>MMULT(D28:Y28, AA34:AA55)/AA55</f>
        <v>8.3961679461971244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3">
      <c r="A56" s="48"/>
      <c r="B56" s="48"/>
      <c r="C56" s="151" t="s">
        <v>251</v>
      </c>
      <c r="D56" s="152">
        <f t="shared" ref="D56:Z56" si="25">SUM(D34:D55)</f>
        <v>1</v>
      </c>
      <c r="E56" s="152">
        <f t="shared" si="25"/>
        <v>1</v>
      </c>
      <c r="F56" s="152">
        <f t="shared" si="25"/>
        <v>1.0531914893617023</v>
      </c>
      <c r="G56" s="152">
        <f t="shared" si="25"/>
        <v>1</v>
      </c>
      <c r="H56" s="152">
        <f t="shared" si="25"/>
        <v>1.0000000000000002</v>
      </c>
      <c r="I56" s="152">
        <f t="shared" si="25"/>
        <v>1</v>
      </c>
      <c r="J56" s="152">
        <f t="shared" si="25"/>
        <v>0.99999999999999989</v>
      </c>
      <c r="K56" s="152">
        <f t="shared" si="25"/>
        <v>1.0000000000000002</v>
      </c>
      <c r="L56" s="152">
        <f t="shared" si="25"/>
        <v>0.99999999999999989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1</v>
      </c>
      <c r="T56" s="152">
        <f t="shared" si="25"/>
        <v>1</v>
      </c>
      <c r="U56" s="152">
        <f t="shared" si="25"/>
        <v>0.99999999999999978</v>
      </c>
      <c r="V56" s="152">
        <f t="shared" si="25"/>
        <v>0.99999999999999989</v>
      </c>
      <c r="W56" s="152">
        <f t="shared" si="25"/>
        <v>0.99999999999999978</v>
      </c>
      <c r="X56" s="152">
        <f t="shared" si="25"/>
        <v>0.99999999999999978</v>
      </c>
      <c r="Y56" s="152">
        <f t="shared" si="25"/>
        <v>1</v>
      </c>
      <c r="Z56" s="152">
        <f t="shared" si="25"/>
        <v>22.053191489361705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5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5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346" t="s">
        <v>266</v>
      </c>
      <c r="J58" s="346"/>
      <c r="K58" s="346"/>
      <c r="L58" s="346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5">
      <c r="A59" s="47"/>
      <c r="B59" s="216" t="str">
        <f>Threats!D1</f>
        <v>Threats to The Level of Service</v>
      </c>
      <c r="C59" s="168">
        <v>1</v>
      </c>
      <c r="D59" s="37">
        <v>0.33333333333333331</v>
      </c>
      <c r="E59" s="37">
        <v>0.2</v>
      </c>
      <c r="F59" s="37">
        <v>0</v>
      </c>
      <c r="G59" s="37">
        <v>0</v>
      </c>
      <c r="H59" s="169"/>
      <c r="I59" s="336" t="s">
        <v>255</v>
      </c>
      <c r="J59" s="336"/>
      <c r="K59" s="336"/>
      <c r="L59" s="336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5">
      <c r="A60" s="47"/>
      <c r="B60" s="216" t="str">
        <f>Threats!D2</f>
        <v>Threats to the Information Base</v>
      </c>
      <c r="C60" s="67">
        <f>IF(D59&lt;&gt;0,(C59/D59),0)</f>
        <v>3</v>
      </c>
      <c r="D60" s="168">
        <v>1</v>
      </c>
      <c r="E60" s="38">
        <v>1</v>
      </c>
      <c r="F60" s="38">
        <v>0</v>
      </c>
      <c r="G60" s="38">
        <v>0</v>
      </c>
      <c r="H60" s="169"/>
      <c r="I60" s="337" t="s">
        <v>255</v>
      </c>
      <c r="J60" s="337"/>
      <c r="K60" s="337"/>
      <c r="L60" s="337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5">
      <c r="A61" s="47"/>
      <c r="B61" s="216" t="str">
        <f>Threats!D3</f>
        <v>Threats to Information Leakage</v>
      </c>
      <c r="C61" s="67">
        <f>IF(E59&lt;&gt;0, (C59/E59),0)</f>
        <v>5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38" t="s">
        <v>255</v>
      </c>
      <c r="J61" s="338"/>
      <c r="K61" s="338"/>
      <c r="L61" s="338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" customHeight="1" x14ac:dyDescent="0.25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39" t="s">
        <v>255</v>
      </c>
      <c r="J62" s="339"/>
      <c r="K62" s="339"/>
      <c r="L62" s="339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5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40" t="s">
        <v>255</v>
      </c>
      <c r="J63" s="340"/>
      <c r="K63" s="340"/>
      <c r="L63" s="340"/>
      <c r="M63" s="47"/>
      <c r="N63" s="47"/>
      <c r="AB63" s="44"/>
      <c r="AF63" s="44"/>
      <c r="AL63" s="47"/>
      <c r="AM63" s="47"/>
      <c r="AN63" s="47"/>
    </row>
    <row r="64" spans="1:126" x14ac:dyDescent="0.25">
      <c r="A64" s="47"/>
      <c r="B64" s="87" t="s">
        <v>251</v>
      </c>
      <c r="C64" s="88">
        <f>SUM(C59:C63)</f>
        <v>9</v>
      </c>
      <c r="D64" s="88">
        <f>SUM(D59:D63)</f>
        <v>2.333333333333333</v>
      </c>
      <c r="E64" s="88">
        <f>SUM(E59:E63)</f>
        <v>2.2000000000000002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2" customHeight="1" x14ac:dyDescent="0.3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3">
      <c r="B67" s="343" t="s">
        <v>250</v>
      </c>
      <c r="C67" s="341" t="s">
        <v>362</v>
      </c>
      <c r="D67" s="341" t="s">
        <v>363</v>
      </c>
      <c r="E67" s="341" t="s">
        <v>364</v>
      </c>
      <c r="F67" s="341" t="s">
        <v>259</v>
      </c>
      <c r="G67" s="341" t="s">
        <v>260</v>
      </c>
      <c r="H67" s="341" t="s">
        <v>252</v>
      </c>
      <c r="I67" s="171"/>
      <c r="J67" s="341" t="s">
        <v>326</v>
      </c>
      <c r="K67" s="341" t="s">
        <v>267</v>
      </c>
      <c r="AB67" s="44"/>
      <c r="AF67" s="44"/>
      <c r="AL67" s="47"/>
      <c r="AM67" s="47"/>
      <c r="AN67" s="47"/>
    </row>
    <row r="68" spans="1:93" ht="155.25" customHeight="1" x14ac:dyDescent="0.25">
      <c r="B68" s="344"/>
      <c r="C68" s="342" t="e">
        <v>#REF!</v>
      </c>
      <c r="D68" s="342" t="e">
        <v>#REF!</v>
      </c>
      <c r="E68" s="342" t="e">
        <v>#REF!</v>
      </c>
      <c r="F68" s="342" t="e">
        <v>#REF!</v>
      </c>
      <c r="G68" s="342" t="e">
        <v>#REF!</v>
      </c>
      <c r="H68" s="342"/>
      <c r="I68" s="172" t="s">
        <v>253</v>
      </c>
      <c r="J68" s="342"/>
      <c r="K68" s="342"/>
      <c r="AB68" s="44"/>
      <c r="AF68" s="44"/>
      <c r="AL68" s="47"/>
      <c r="AM68" s="47"/>
      <c r="AN68" s="47"/>
    </row>
    <row r="69" spans="1:93" ht="12.75" customHeight="1" x14ac:dyDescent="0.3">
      <c r="B69" s="167" t="s">
        <v>362</v>
      </c>
      <c r="C69" s="173">
        <f>(C59/C64)</f>
        <v>0.1111111111111111</v>
      </c>
      <c r="D69" s="173">
        <f>(D59/D64)</f>
        <v>0.14285714285714288</v>
      </c>
      <c r="E69" s="173">
        <f>(E59/E64)</f>
        <v>9.0909090909090912E-2</v>
      </c>
      <c r="F69" s="173">
        <f>(F59/F64)</f>
        <v>0</v>
      </c>
      <c r="G69" s="173">
        <f>(G59/G64)</f>
        <v>0</v>
      </c>
      <c r="H69" s="174">
        <f>SUM(C69:G69)</f>
        <v>0.34487734487734489</v>
      </c>
      <c r="I69" s="174">
        <f>(H69/H74)</f>
        <v>6.8975468975468981E-2</v>
      </c>
      <c r="J69" s="175">
        <f>MMULT(C59:G59,I69:I73)/I69</f>
        <v>3.0100418410041838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3">
      <c r="B70" s="167" t="s">
        <v>363</v>
      </c>
      <c r="C70" s="176">
        <f>(C60/C64)</f>
        <v>0.33333333333333331</v>
      </c>
      <c r="D70" s="176">
        <f>(D60/D64)</f>
        <v>0.4285714285714286</v>
      </c>
      <c r="E70" s="176">
        <f>(E60/E64)</f>
        <v>0.45454545454545453</v>
      </c>
      <c r="F70" s="176">
        <f>(F60/F64)</f>
        <v>0</v>
      </c>
      <c r="G70" s="176">
        <f>(G60/G64)</f>
        <v>0</v>
      </c>
      <c r="H70" s="177">
        <f>SUM(C70:G70)</f>
        <v>1.2164502164502164</v>
      </c>
      <c r="I70" s="174">
        <f>(H70/H74)</f>
        <v>0.24329004329004328</v>
      </c>
      <c r="J70" s="175">
        <f>MMULT(C60:G60,I69:I73)/I70</f>
        <v>3.0332147093712929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3">
      <c r="B71" s="167" t="s">
        <v>364</v>
      </c>
      <c r="C71" s="178">
        <f>(C61/C64)</f>
        <v>0.55555555555555558</v>
      </c>
      <c r="D71" s="178">
        <f>(D61/D64)</f>
        <v>0.4285714285714286</v>
      </c>
      <c r="E71" s="178">
        <f>(E61/E64)</f>
        <v>0.45454545454545453</v>
      </c>
      <c r="F71" s="178">
        <f>(F61/F64)</f>
        <v>0</v>
      </c>
      <c r="G71" s="178">
        <f>(G61/G64)</f>
        <v>0</v>
      </c>
      <c r="H71" s="179">
        <f>SUM(C71:G71)</f>
        <v>1.4386724386724388</v>
      </c>
      <c r="I71" s="174">
        <f>(H71/H74)</f>
        <v>0.28773448773448773</v>
      </c>
      <c r="J71" s="175">
        <f>MMULT(C61:G61,I69:I73)/I71</f>
        <v>3.0441323971915746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3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3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5" customHeight="1" x14ac:dyDescent="0.3">
      <c r="B74" s="151" t="s">
        <v>251</v>
      </c>
      <c r="C74" s="152">
        <f>SUM(C69:C73)</f>
        <v>1</v>
      </c>
      <c r="D74" s="152">
        <f>SUM(D69:D73)</f>
        <v>1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-0.69563055262164741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3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3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-1.3262736942262106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5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6" x14ac:dyDescent="0.3">
      <c r="A78" s="48"/>
      <c r="B78" s="48"/>
      <c r="C78" s="48"/>
      <c r="D78" s="374" t="s">
        <v>290</v>
      </c>
      <c r="E78" s="375"/>
      <c r="F78" s="375"/>
      <c r="G78" s="376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2.8" x14ac:dyDescent="0.4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2.8" x14ac:dyDescent="0.4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2.8" x14ac:dyDescent="0.4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2.8" x14ac:dyDescent="0.4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4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2.8" x14ac:dyDescent="0.4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2.8" x14ac:dyDescent="0.4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2.8" x14ac:dyDescent="0.4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2.8" x14ac:dyDescent="0.4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2.8" x14ac:dyDescent="0.4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5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5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5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5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5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5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5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5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5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5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5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5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5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5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5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5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5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5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5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5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5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5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5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5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5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5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5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5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5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5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5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5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5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5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5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5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5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5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5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5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5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5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5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5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5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5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5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5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5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5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5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5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5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5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5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5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5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5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5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5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5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5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5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5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5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5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5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5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5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5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5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5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5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5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5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5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5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5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5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5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5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5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5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5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5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5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5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5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5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5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5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5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5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5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5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5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5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5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5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5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5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5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5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5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5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5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5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5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5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5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5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5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5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5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5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5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5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5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5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5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5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5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5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5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5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5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5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5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5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5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5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5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5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5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5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5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5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5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5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5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5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5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5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5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5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5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5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5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5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5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5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5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5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5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5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5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5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5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5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5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5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5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5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5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5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5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5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5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5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5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5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5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5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5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5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5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5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5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5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5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5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5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5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5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5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5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5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5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5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5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5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5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5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5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5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5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5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5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5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5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5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5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5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5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5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5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5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5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5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5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5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5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5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5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5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5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5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5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5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5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5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5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5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5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5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5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5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5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5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5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5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5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5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5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5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5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5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5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5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5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5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5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5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5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5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5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5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5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5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5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5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5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5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5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5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5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5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5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5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5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5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5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5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5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5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5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5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5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5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5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5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5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5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5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5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5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5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5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5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5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5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5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5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5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5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5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5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5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5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5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5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5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5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5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5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5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5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5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5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5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5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5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5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5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5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5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5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5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5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5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5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5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5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5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5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5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5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5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5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5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5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5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5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5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5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5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5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5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5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5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5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5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5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5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5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5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5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5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5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5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5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5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5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5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5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5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5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5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5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5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5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5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5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5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5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5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5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5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5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5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5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5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5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5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5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5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5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5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5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5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5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5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5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5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5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5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5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5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5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5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5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5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5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5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5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5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5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5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5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5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5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5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5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5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5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5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5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5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5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5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5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5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5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5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5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5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5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5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5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5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5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5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5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5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5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5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5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5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5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5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5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5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5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5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5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5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5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5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5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5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5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5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5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5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5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5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5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5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5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5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5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5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5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5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5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5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5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5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5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5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5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5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5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5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5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5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5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5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5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5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5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5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5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5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5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5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5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5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5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5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5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5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5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5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5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5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5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5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5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5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5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5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5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5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5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5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5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5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5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5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5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5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5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5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5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5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5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5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5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5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5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5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5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5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5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5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5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5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5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5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5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5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5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5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5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5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5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5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5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5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5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5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5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5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5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5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5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5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5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5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5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5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5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5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5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5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5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5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5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5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5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5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5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5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5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5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5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5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5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5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5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5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5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5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5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5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5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5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5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5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5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5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5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5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5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5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5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5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5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5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5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5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5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5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5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5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5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5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5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5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5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5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5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5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5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5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5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5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5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5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5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5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5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5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5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5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5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5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5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5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5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5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5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5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5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5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5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5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5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5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5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5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5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5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5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5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5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5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5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5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5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5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5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5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5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5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5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5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5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5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5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5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5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5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5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5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5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5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5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5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5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5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5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5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5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5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5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5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5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5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5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5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5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5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5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5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5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5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5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5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5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5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5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5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5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5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5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5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5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5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5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5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5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5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5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5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5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5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5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5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5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5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5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5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5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5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5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5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5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5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5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5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5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5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5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5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5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5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5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5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5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5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5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5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5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5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5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5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5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5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5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5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5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5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5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5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5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5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5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5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5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5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5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5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5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5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5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5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5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5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5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5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5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5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5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5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5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5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5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5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5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5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5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5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5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5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5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5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5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5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5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5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5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5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5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5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5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5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5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5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5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5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5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5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5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5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5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5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5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5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5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5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5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5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5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5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5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5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5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5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5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5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5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5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5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5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5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5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5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5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5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5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5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5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5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5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5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5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5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5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5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5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5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5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5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5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5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5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5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5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5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5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5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5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5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5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5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5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5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5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5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5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5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5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5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5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5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5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5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5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5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5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5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5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5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5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5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5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5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5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5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5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5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5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5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5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5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5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5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5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5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5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5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5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5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5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5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5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5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5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5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5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5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5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5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5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5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5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5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5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5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5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5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5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5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5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5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5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5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5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5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5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5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5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5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5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5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5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5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5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5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5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5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5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5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sortState ref="AL35:AM57">
    <sortCondition descending="1" ref="AM35:AM57"/>
  </sortState>
  <mergeCells count="74">
    <mergeCell ref="D78:G78"/>
    <mergeCell ref="AB10:AD10"/>
    <mergeCell ref="B1:AF4"/>
    <mergeCell ref="AB6:AD6"/>
    <mergeCell ref="AB7:AD7"/>
    <mergeCell ref="AB8:AD8"/>
    <mergeCell ref="AB9:AD9"/>
    <mergeCell ref="AB22:AD22"/>
    <mergeCell ref="AB11:AD11"/>
    <mergeCell ref="AB12:AD12"/>
    <mergeCell ref="AB13:AD13"/>
    <mergeCell ref="AB14:AD14"/>
    <mergeCell ref="AB15:AD15"/>
    <mergeCell ref="AB16:AD16"/>
    <mergeCell ref="AB17:AD17"/>
    <mergeCell ref="AB18:AD18"/>
    <mergeCell ref="AB19:AD19"/>
    <mergeCell ref="AB20:AD20"/>
    <mergeCell ref="AB21:AD21"/>
    <mergeCell ref="H32:H33"/>
    <mergeCell ref="AB23:AD23"/>
    <mergeCell ref="AB24:AD24"/>
    <mergeCell ref="AB25:AD25"/>
    <mergeCell ref="AB26:AD26"/>
    <mergeCell ref="AB27:AD27"/>
    <mergeCell ref="AB28:AD28"/>
    <mergeCell ref="C32:C33"/>
    <mergeCell ref="D32:D33"/>
    <mergeCell ref="E32:E33"/>
    <mergeCell ref="F32:F33"/>
    <mergeCell ref="G32:G33"/>
    <mergeCell ref="DP32:DP33"/>
    <mergeCell ref="U32:U33"/>
    <mergeCell ref="V32:V33"/>
    <mergeCell ref="W32:W33"/>
    <mergeCell ref="X32:X33"/>
    <mergeCell ref="Y32:Y33"/>
    <mergeCell ref="AF32:AF33"/>
    <mergeCell ref="I58:L58"/>
    <mergeCell ref="Z32:Z33"/>
    <mergeCell ref="AE32:AE33"/>
    <mergeCell ref="DO32:DO33"/>
    <mergeCell ref="O32:O33"/>
    <mergeCell ref="P32:P33"/>
    <mergeCell ref="Q32:Q33"/>
    <mergeCell ref="R32:R33"/>
    <mergeCell ref="S32:S33"/>
    <mergeCell ref="T32:T33"/>
    <mergeCell ref="I32:I33"/>
    <mergeCell ref="J32:J33"/>
    <mergeCell ref="K32:K33"/>
    <mergeCell ref="L32:L33"/>
    <mergeCell ref="M32:M33"/>
    <mergeCell ref="N32:N33"/>
    <mergeCell ref="DS32:DS33"/>
    <mergeCell ref="DT32:DT33"/>
    <mergeCell ref="DU32:DU33"/>
    <mergeCell ref="DV32:DV33"/>
    <mergeCell ref="DQ32:DQ33"/>
    <mergeCell ref="DR32:DR33"/>
    <mergeCell ref="H67:H68"/>
    <mergeCell ref="J67:J68"/>
    <mergeCell ref="K67:K68"/>
    <mergeCell ref="G67:G68"/>
    <mergeCell ref="B67:B68"/>
    <mergeCell ref="C67:C68"/>
    <mergeCell ref="D67:D68"/>
    <mergeCell ref="E67:E68"/>
    <mergeCell ref="F67:F68"/>
    <mergeCell ref="I59:L59"/>
    <mergeCell ref="I60:L60"/>
    <mergeCell ref="I61:L61"/>
    <mergeCell ref="I62:L62"/>
    <mergeCell ref="I63:L63"/>
  </mergeCells>
  <conditionalFormatting sqref="D7:I7">
    <cfRule type="expression" dxfId="161" priority="93">
      <formula>"&lt;0"</formula>
    </cfRule>
  </conditionalFormatting>
  <conditionalFormatting sqref="E7:H7">
    <cfRule type="expression" dxfId="160" priority="92">
      <formula>"&lt;0"</formula>
    </cfRule>
  </conditionalFormatting>
  <conditionalFormatting sqref="L7:L14">
    <cfRule type="cellIs" dxfId="159" priority="18" operator="equal">
      <formula>0</formula>
    </cfRule>
    <cfRule type="cellIs" dxfId="158" priority="39" operator="lessThan">
      <formula>1</formula>
    </cfRule>
    <cfRule type="cellIs" dxfId="157" priority="90" operator="lessThan">
      <formula>0</formula>
    </cfRule>
    <cfRule type="expression" dxfId="156" priority="91">
      <formula>"&lt;0"</formula>
    </cfRule>
  </conditionalFormatting>
  <conditionalFormatting sqref="I7:I11">
    <cfRule type="cellIs" dxfId="155" priority="15" operator="equal">
      <formula>0</formula>
    </cfRule>
    <cfRule type="cellIs" dxfId="154" priority="36" operator="lessThan">
      <formula>1</formula>
    </cfRule>
    <cfRule type="cellIs" dxfId="153" priority="89" operator="lessThan">
      <formula>0</formula>
    </cfRule>
  </conditionalFormatting>
  <conditionalFormatting sqref="X7:X26">
    <cfRule type="cellIs" dxfId="152" priority="30" operator="equal">
      <formula>0</formula>
    </cfRule>
    <cfRule type="cellIs" dxfId="151" priority="54" operator="lessThan">
      <formula>1</formula>
    </cfRule>
    <cfRule type="cellIs" dxfId="150" priority="86" operator="lessThan">
      <formula>0</formula>
    </cfRule>
  </conditionalFormatting>
  <conditionalFormatting sqref="W7:W25">
    <cfRule type="cellIs" dxfId="149" priority="29" operator="equal">
      <formula>0</formula>
    </cfRule>
    <cfRule type="cellIs" dxfId="148" priority="85" operator="lessThan">
      <formula>0</formula>
    </cfRule>
  </conditionalFormatting>
  <conditionalFormatting sqref="V7:V24">
    <cfRule type="cellIs" dxfId="147" priority="28" operator="equal">
      <formula>0</formula>
    </cfRule>
    <cfRule type="cellIs" dxfId="146" priority="52" operator="lessThan">
      <formula>1</formula>
    </cfRule>
    <cfRule type="cellIs" dxfId="145" priority="84" operator="lessThan">
      <formula>0</formula>
    </cfRule>
  </conditionalFormatting>
  <conditionalFormatting sqref="E7">
    <cfRule type="cellIs" dxfId="144" priority="11" operator="equal">
      <formula>0</formula>
    </cfRule>
    <cfRule type="cellIs" dxfId="143" priority="32" operator="lessThan">
      <formula>1</formula>
    </cfRule>
    <cfRule type="cellIs" dxfId="142" priority="82" operator="lessThan">
      <formula>0</formula>
    </cfRule>
  </conditionalFormatting>
  <conditionalFormatting sqref="F7:F8">
    <cfRule type="cellIs" dxfId="141" priority="12" operator="equal">
      <formula>0</formula>
    </cfRule>
    <cfRule type="cellIs" dxfId="140" priority="33" operator="lessThan">
      <formula>1</formula>
    </cfRule>
    <cfRule type="cellIs" dxfId="139" priority="81" operator="lessThan">
      <formula>0</formula>
    </cfRule>
  </conditionalFormatting>
  <conditionalFormatting sqref="G7:G9">
    <cfRule type="cellIs" dxfId="138" priority="13" operator="equal">
      <formula>0</formula>
    </cfRule>
    <cfRule type="cellIs" dxfId="137" priority="34" operator="lessThan">
      <formula>1</formula>
    </cfRule>
    <cfRule type="cellIs" dxfId="136" priority="80" operator="lessThan">
      <formula>0</formula>
    </cfRule>
  </conditionalFormatting>
  <conditionalFormatting sqref="H7:H10">
    <cfRule type="cellIs" dxfId="135" priority="14" operator="equal">
      <formula>0</formula>
    </cfRule>
    <cfRule type="cellIs" dxfId="134" priority="35" operator="lessThan">
      <formula>1</formula>
    </cfRule>
    <cfRule type="cellIs" dxfId="133" priority="79" operator="lessThan">
      <formula>0</formula>
    </cfRule>
  </conditionalFormatting>
  <conditionalFormatting sqref="J7:J12">
    <cfRule type="cellIs" dxfId="132" priority="16" operator="equal">
      <formula>0</formula>
    </cfRule>
    <cfRule type="cellIs" dxfId="131" priority="37" operator="lessThan">
      <formula>1</formula>
    </cfRule>
    <cfRule type="cellIs" dxfId="130" priority="78" operator="lessThan">
      <formula>0</formula>
    </cfRule>
  </conditionalFormatting>
  <conditionalFormatting sqref="K7:K13">
    <cfRule type="cellIs" dxfId="129" priority="17" operator="equal">
      <formula>0</formula>
    </cfRule>
    <cfRule type="cellIs" dxfId="128" priority="38" operator="lessThan">
      <formula>1</formula>
    </cfRule>
    <cfRule type="cellIs" dxfId="127" priority="77" operator="lessThan">
      <formula>0</formula>
    </cfRule>
  </conditionalFormatting>
  <conditionalFormatting sqref="M7:M15">
    <cfRule type="cellIs" dxfId="126" priority="19" operator="equal">
      <formula>0</formula>
    </cfRule>
    <cfRule type="cellIs" dxfId="125" priority="41" operator="lessThan">
      <formula>1</formula>
    </cfRule>
    <cfRule type="cellIs" dxfId="124" priority="76" operator="lessThan">
      <formula>0</formula>
    </cfRule>
  </conditionalFormatting>
  <conditionalFormatting sqref="N7:N16">
    <cfRule type="cellIs" dxfId="123" priority="20" operator="equal">
      <formula>0</formula>
    </cfRule>
    <cfRule type="cellIs" dxfId="122" priority="42" operator="lessThan">
      <formula>1</formula>
    </cfRule>
    <cfRule type="cellIs" dxfId="121" priority="75" operator="lessThan">
      <formula>0</formula>
    </cfRule>
  </conditionalFormatting>
  <conditionalFormatting sqref="O7:O17">
    <cfRule type="cellIs" dxfId="120" priority="21" operator="equal">
      <formula>0</formula>
    </cfRule>
    <cfRule type="cellIs" dxfId="119" priority="40" operator="lessThan">
      <formula>1</formula>
    </cfRule>
    <cfRule type="cellIs" dxfId="118" priority="74" operator="lessThan">
      <formula>0</formula>
    </cfRule>
  </conditionalFormatting>
  <conditionalFormatting sqref="P7:P18">
    <cfRule type="cellIs" dxfId="117" priority="22" operator="equal">
      <formula>0</formula>
    </cfRule>
    <cfRule type="cellIs" dxfId="116" priority="43" operator="lessThan">
      <formula>1</formula>
    </cfRule>
    <cfRule type="cellIs" dxfId="115" priority="73" operator="lessThan">
      <formula>0</formula>
    </cfRule>
  </conditionalFormatting>
  <conditionalFormatting sqref="Q7:Q19">
    <cfRule type="cellIs" dxfId="114" priority="23" operator="equal">
      <formula>0</formula>
    </cfRule>
    <cfRule type="cellIs" dxfId="113" priority="44" operator="lessThan">
      <formula>1</formula>
    </cfRule>
    <cfRule type="cellIs" dxfId="112" priority="72" operator="lessThan">
      <formula>0</formula>
    </cfRule>
  </conditionalFormatting>
  <conditionalFormatting sqref="R7:R20">
    <cfRule type="cellIs" dxfId="111" priority="24" operator="equal">
      <formula>0</formula>
    </cfRule>
    <cfRule type="cellIs" dxfId="110" priority="45" operator="lessThan">
      <formula>1</formula>
    </cfRule>
    <cfRule type="cellIs" dxfId="109" priority="47" operator="lessThan">
      <formula>0</formula>
    </cfRule>
    <cfRule type="cellIs" dxfId="108" priority="48" operator="lessThan">
      <formula>0</formula>
    </cfRule>
    <cfRule type="cellIs" dxfId="107" priority="71" operator="lessThan">
      <formula>0</formula>
    </cfRule>
  </conditionalFormatting>
  <conditionalFormatting sqref="S7:S21">
    <cfRule type="cellIs" dxfId="106" priority="25" operator="equal">
      <formula>0</formula>
    </cfRule>
    <cfRule type="cellIs" dxfId="105" priority="49" operator="lessThan">
      <formula>1</formula>
    </cfRule>
    <cfRule type="cellIs" dxfId="104" priority="70" operator="lessThan">
      <formula>0</formula>
    </cfRule>
  </conditionalFormatting>
  <conditionalFormatting sqref="T7:T22">
    <cfRule type="cellIs" dxfId="103" priority="26" operator="equal">
      <formula>0</formula>
    </cfRule>
    <cfRule type="cellIs" dxfId="102" priority="50" operator="lessThan">
      <formula>1</formula>
    </cfRule>
    <cfRule type="cellIs" dxfId="101" priority="69" operator="lessThan">
      <formula>0</formula>
    </cfRule>
  </conditionalFormatting>
  <conditionalFormatting sqref="D59:G59">
    <cfRule type="cellIs" dxfId="100" priority="67" operator="lessThan">
      <formula>0</formula>
    </cfRule>
  </conditionalFormatting>
  <conditionalFormatting sqref="E60:G60">
    <cfRule type="cellIs" dxfId="99" priority="66" operator="lessThan">
      <formula>0</formula>
    </cfRule>
  </conditionalFormatting>
  <conditionalFormatting sqref="F61:G61">
    <cfRule type="cellIs" dxfId="98" priority="65" operator="lessThan">
      <formula>0</formula>
    </cfRule>
  </conditionalFormatting>
  <conditionalFormatting sqref="G62">
    <cfRule type="cellIs" dxfId="97" priority="64" operator="lessThan">
      <formula>0</formula>
    </cfRule>
  </conditionalFormatting>
  <conditionalFormatting sqref="Y7:Y27">
    <cfRule type="cellIs" dxfId="96" priority="31" operator="equal">
      <formula>0</formula>
    </cfRule>
    <cfRule type="cellIs" dxfId="95" priority="56" operator="lessThan">
      <formula>1</formula>
    </cfRule>
  </conditionalFormatting>
  <conditionalFormatting sqref="W7:W24">
    <cfRule type="cellIs" dxfId="94" priority="53" operator="lessThan">
      <formula>1</formula>
    </cfRule>
  </conditionalFormatting>
  <conditionalFormatting sqref="U7:U23">
    <cfRule type="cellIs" dxfId="93" priority="27" operator="equal">
      <formula>0</formula>
    </cfRule>
    <cfRule type="cellIs" dxfId="92" priority="51" operator="lessThan">
      <formula>1</formula>
    </cfRule>
  </conditionalFormatting>
  <conditionalFormatting sqref="S21">
    <cfRule type="cellIs" dxfId="91" priority="46" operator="lessThan">
      <formula>1</formula>
    </cfRule>
  </conditionalFormatting>
  <conditionalFormatting sqref="D59">
    <cfRule type="cellIs" dxfId="90" priority="3" operator="equal">
      <formula>0</formula>
    </cfRule>
    <cfRule type="cellIs" dxfId="89" priority="10" operator="lessThan">
      <formula>1</formula>
    </cfRule>
  </conditionalFormatting>
  <conditionalFormatting sqref="E59:E60">
    <cfRule type="cellIs" dxfId="88" priority="4" operator="equal">
      <formula>0</formula>
    </cfRule>
    <cfRule type="cellIs" dxfId="87" priority="9" operator="lessThan">
      <formula>1</formula>
    </cfRule>
  </conditionalFormatting>
  <conditionalFormatting sqref="F59:F61">
    <cfRule type="cellIs" dxfId="86" priority="5" operator="equal">
      <formula>0</formula>
    </cfRule>
    <cfRule type="cellIs" dxfId="85" priority="8" operator="lessThan">
      <formula>1</formula>
    </cfRule>
  </conditionalFormatting>
  <conditionalFormatting sqref="G59:G62">
    <cfRule type="cellIs" dxfId="84" priority="6" operator="equal">
      <formula>0</formula>
    </cfRule>
    <cfRule type="cellIs" dxfId="83" priority="7" operator="lessThan">
      <formula>1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79BF2F08-7DB0-473C-BD13-1F017C5A269B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10E59AD-0B16-4B72-A7FF-198B3F803CAC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W1034"/>
  <sheetViews>
    <sheetView topLeftCell="O13" zoomScale="55" zoomScaleNormal="55" workbookViewId="0">
      <selection activeCell="C34" sqref="C34"/>
    </sheetView>
  </sheetViews>
  <sheetFormatPr defaultColWidth="17.33203125" defaultRowHeight="13.2" x14ac:dyDescent="0.25"/>
  <cols>
    <col min="1" max="1" width="8.6640625" style="44" customWidth="1"/>
    <col min="2" max="2" width="16.6640625" style="44" customWidth="1"/>
    <col min="3" max="3" width="52.5546875" style="44" customWidth="1"/>
    <col min="4" max="4" width="14.88671875" style="44" customWidth="1"/>
    <col min="5" max="6" width="14.6640625" style="44" customWidth="1"/>
    <col min="7" max="7" width="17.33203125" style="44" customWidth="1"/>
    <col min="8" max="8" width="20.5546875" style="44" customWidth="1"/>
    <col min="9" max="9" width="15.33203125" style="44" customWidth="1"/>
    <col min="10" max="10" width="16" style="44" customWidth="1"/>
    <col min="11" max="11" width="14.88671875" style="44" customWidth="1"/>
    <col min="12" max="12" width="18.88671875" style="44" customWidth="1"/>
    <col min="13" max="13" width="15.33203125" style="44" customWidth="1"/>
    <col min="14" max="14" width="13" style="44" customWidth="1"/>
    <col min="15" max="15" width="13.6640625" style="44" customWidth="1"/>
    <col min="16" max="16" width="13" style="44" customWidth="1"/>
    <col min="17" max="17" width="13.88671875" style="44" customWidth="1"/>
    <col min="18" max="18" width="13.44140625" style="44" customWidth="1"/>
    <col min="19" max="19" width="12.33203125" style="44" customWidth="1"/>
    <col min="20" max="20" width="11.109375" style="44" customWidth="1"/>
    <col min="21" max="21" width="12.33203125" style="44" customWidth="1"/>
    <col min="22" max="22" width="10.5546875" style="44" customWidth="1"/>
    <col min="23" max="25" width="10.33203125" style="44" customWidth="1"/>
    <col min="26" max="27" width="19.5546875" style="44" customWidth="1"/>
    <col min="28" max="28" width="33.6640625" style="49" customWidth="1"/>
    <col min="29" max="29" width="35" style="44" customWidth="1"/>
    <col min="30" max="30" width="20.33203125" style="44" customWidth="1"/>
    <col min="31" max="31" width="24.109375" style="44" customWidth="1"/>
    <col min="32" max="32" width="46.109375" style="49" customWidth="1"/>
    <col min="33" max="33" width="25.33203125" style="44" customWidth="1"/>
    <col min="34" max="34" width="15.44140625" style="44" customWidth="1"/>
    <col min="35" max="35" width="22.44140625" style="44" customWidth="1"/>
    <col min="36" max="36" width="15.33203125" style="44" customWidth="1"/>
    <col min="37" max="37" width="8.6640625" style="44" customWidth="1"/>
    <col min="38" max="38" width="27.109375" style="44" customWidth="1"/>
    <col min="39" max="39" width="20" style="44" customWidth="1"/>
    <col min="40" max="44" width="8.6640625" style="44" customWidth="1"/>
    <col min="45" max="16384" width="17.33203125" style="44"/>
  </cols>
  <sheetData>
    <row r="1" spans="1:127" ht="12.75" customHeight="1" x14ac:dyDescent="0.25">
      <c r="B1" s="378" t="s">
        <v>322</v>
      </c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/>
      <c r="Y1" s="379"/>
      <c r="Z1" s="379"/>
      <c r="AA1" s="379"/>
      <c r="AB1" s="379"/>
      <c r="AC1" s="379"/>
      <c r="AD1" s="379"/>
      <c r="AE1" s="379"/>
      <c r="AF1" s="380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</row>
    <row r="2" spans="1:127" ht="12.75" customHeight="1" x14ac:dyDescent="0.25">
      <c r="A2" s="48"/>
      <c r="B2" s="381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3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</row>
    <row r="3" spans="1:127" ht="12.75" customHeight="1" x14ac:dyDescent="0.25">
      <c r="A3" s="48"/>
      <c r="B3" s="381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3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</row>
    <row r="4" spans="1:127" ht="12.75" customHeight="1" thickBot="1" x14ac:dyDescent="0.3">
      <c r="A4" s="48"/>
      <c r="B4" s="384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  <c r="AA4" s="385"/>
      <c r="AB4" s="385"/>
      <c r="AC4" s="385"/>
      <c r="AD4" s="385"/>
      <c r="AE4" s="385"/>
      <c r="AF4" s="386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</row>
    <row r="5" spans="1:127" ht="24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C5" s="50"/>
      <c r="AD5" s="50"/>
      <c r="AE5" s="50"/>
      <c r="AG5" s="50"/>
      <c r="AH5" s="50"/>
    </row>
    <row r="6" spans="1:127" ht="107.25" customHeight="1" x14ac:dyDescent="0.3">
      <c r="A6" s="48"/>
      <c r="B6" s="47"/>
      <c r="C6" s="51" t="s">
        <v>277</v>
      </c>
      <c r="D6" s="52" t="str">
        <f>Threats!A1</f>
        <v>T1-Power Loss</v>
      </c>
      <c r="E6" s="52" t="str">
        <f>Threats!A2</f>
        <v>T2-Hardware Failure</v>
      </c>
      <c r="F6" s="52" t="str">
        <f>Threats!A3</f>
        <v>T3-Software Crash</v>
      </c>
      <c r="G6" s="52" t="str">
        <f>Threats!A4</f>
        <v>T4-Operator Errors</v>
      </c>
      <c r="H6" s="52" t="str">
        <f>Threats!A5</f>
        <v>T5-Malicious Inside Action</v>
      </c>
      <c r="I6" s="52" t="str">
        <f>Threats!A6</f>
        <v>T6-Trojan and Worms</v>
      </c>
      <c r="J6" s="52" t="str">
        <f>Threats!A7</f>
        <v>T7-Fire</v>
      </c>
      <c r="K6" s="52" t="str">
        <f>Threats!A8</f>
        <v>T8-Other Enviromental Disasters</v>
      </c>
      <c r="L6" s="52" t="str">
        <f>Threats!A9</f>
        <v>T9-Availability Threats(DDOS)</v>
      </c>
      <c r="M6" s="52" t="str">
        <f>Threats!A10</f>
        <v>T10-Disk Failure</v>
      </c>
      <c r="N6" s="52" t="str">
        <f>Threats!A11</f>
        <v>T11-Data Corruption</v>
      </c>
      <c r="O6" s="52" t="str">
        <f>Threats!A12</f>
        <v>T12-Inaccurrate Data</v>
      </c>
      <c r="P6" s="52" t="str">
        <f>Threats!A13</f>
        <v>T13-Un-authorized Access</v>
      </c>
      <c r="Q6" s="52" t="str">
        <f>Threats!A14</f>
        <v>T14-Virus and Spyware</v>
      </c>
      <c r="R6" s="52" t="str">
        <f>Threats!A15</f>
        <v>T15-Hacking</v>
      </c>
      <c r="S6" s="52" t="str">
        <f>Threats!A16</f>
        <v>T16-Media Leakage</v>
      </c>
      <c r="T6" s="52" t="str">
        <f>Threats!A17</f>
        <v>T17-Communication Preventers(Botnet, Dialer)</v>
      </c>
      <c r="U6" s="52" t="str">
        <f>Threats!A18</f>
        <v>T18-Authentication Threats</v>
      </c>
      <c r="V6" s="52" t="str">
        <f>Threats!A19</f>
        <v>T19-Non Repudiation Threats</v>
      </c>
      <c r="W6" s="52" t="str">
        <f>Threats!A20</f>
        <v>T20-Separation of Duties</v>
      </c>
      <c r="X6" s="52" t="str">
        <f>Threats!A21</f>
        <v>T21-Configuration Threats</v>
      </c>
      <c r="Y6" s="52" t="str">
        <f>Threats!A22</f>
        <v>T22- Communications Threats</v>
      </c>
      <c r="Z6" s="52" t="s">
        <v>256</v>
      </c>
      <c r="AA6" s="53"/>
      <c r="AB6" s="387" t="s">
        <v>266</v>
      </c>
      <c r="AC6" s="387"/>
      <c r="AD6" s="387"/>
      <c r="AE6" s="54"/>
      <c r="AF6" s="54"/>
      <c r="AG6" s="54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</row>
    <row r="7" spans="1:127" ht="12.75" customHeight="1" thickBot="1" x14ac:dyDescent="0.3">
      <c r="A7" s="48"/>
      <c r="B7" s="47"/>
      <c r="C7" s="55" t="str">
        <f>Threats!A1</f>
        <v>T1-Power Loss</v>
      </c>
      <c r="D7" s="56">
        <v>1</v>
      </c>
      <c r="E7" s="37">
        <v>0.1111111111111111</v>
      </c>
      <c r="F7" s="37">
        <v>0.1111111111111111</v>
      </c>
      <c r="G7" s="37">
        <v>0.1111111111111111</v>
      </c>
      <c r="H7" s="37">
        <v>0.1111111111111111</v>
      </c>
      <c r="I7" s="37">
        <v>0.1111111111111111</v>
      </c>
      <c r="J7" s="37">
        <v>0.1111111111111111</v>
      </c>
      <c r="K7" s="37">
        <v>0.1111111111111111</v>
      </c>
      <c r="L7" s="37">
        <v>0.1111111111111111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57" t="str">
        <f>Threats!B1</f>
        <v>Threats to The Level of Service</v>
      </c>
      <c r="AA7" s="47"/>
      <c r="AB7" s="388" t="s">
        <v>255</v>
      </c>
      <c r="AC7" s="336"/>
      <c r="AD7" s="336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58"/>
      <c r="DP7" s="58"/>
      <c r="DQ7" s="58"/>
      <c r="DR7" s="58"/>
      <c r="DS7" s="58"/>
      <c r="DT7" s="58"/>
      <c r="DU7" s="59"/>
      <c r="DV7" s="59"/>
    </row>
    <row r="8" spans="1:127" ht="12.75" customHeight="1" thickBot="1" x14ac:dyDescent="0.3">
      <c r="A8" s="48"/>
      <c r="B8" s="47"/>
      <c r="C8" s="60" t="str">
        <f>Threats!A2</f>
        <v>T2-Hardware Failure</v>
      </c>
      <c r="D8" s="61">
        <f>IF(E$7 &lt;&gt;0, ($D$7/E$7), 0)</f>
        <v>9</v>
      </c>
      <c r="E8" s="62">
        <v>1</v>
      </c>
      <c r="F8" s="38">
        <v>4</v>
      </c>
      <c r="G8" s="38">
        <v>3</v>
      </c>
      <c r="H8" s="38">
        <v>1</v>
      </c>
      <c r="I8" s="38">
        <v>3</v>
      </c>
      <c r="J8" s="38">
        <v>0.14285714285714285</v>
      </c>
      <c r="K8" s="38">
        <v>0.14285714285714285</v>
      </c>
      <c r="L8" s="38">
        <v>0.33333333333333331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63" t="str">
        <f>Threats!B2</f>
        <v>Threats to The Level of Service</v>
      </c>
      <c r="AA8" s="47"/>
      <c r="AB8" s="389" t="s">
        <v>255</v>
      </c>
      <c r="AC8" s="337"/>
      <c r="AD8" s="33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58"/>
      <c r="DP8" s="58"/>
      <c r="DQ8" s="58"/>
      <c r="DR8" s="58"/>
      <c r="DS8" s="58"/>
      <c r="DT8" s="58"/>
      <c r="DU8" s="59"/>
      <c r="DV8" s="59"/>
    </row>
    <row r="9" spans="1:127" ht="12.75" customHeight="1" thickBot="1" x14ac:dyDescent="0.3">
      <c r="A9" s="48"/>
      <c r="B9" s="47"/>
      <c r="C9" s="60" t="str">
        <f>Threats!A3</f>
        <v>T3-Software Crash</v>
      </c>
      <c r="D9" s="64">
        <f>IF($F7&lt;&gt;0, $D$7/F$7, 0)</f>
        <v>9</v>
      </c>
      <c r="E9" s="65">
        <f>IF(F$8 &lt;&gt;0,$E$8/F$8,0)</f>
        <v>0.25</v>
      </c>
      <c r="F9" s="62">
        <v>1</v>
      </c>
      <c r="G9" s="190">
        <v>0.33333333333333331</v>
      </c>
      <c r="H9" s="190">
        <v>0.25</v>
      </c>
      <c r="I9" s="190">
        <v>0.16666666666666666</v>
      </c>
      <c r="J9" s="190">
        <v>0.1111111111111111</v>
      </c>
      <c r="K9" s="190">
        <v>0.1111111111111111</v>
      </c>
      <c r="L9" s="190">
        <v>0.2</v>
      </c>
      <c r="M9" s="190">
        <v>0</v>
      </c>
      <c r="N9" s="190">
        <v>0</v>
      </c>
      <c r="O9" s="190">
        <v>0</v>
      </c>
      <c r="P9" s="190">
        <v>0</v>
      </c>
      <c r="Q9" s="190">
        <v>0</v>
      </c>
      <c r="R9" s="190">
        <v>0</v>
      </c>
      <c r="S9" s="190">
        <v>0</v>
      </c>
      <c r="T9" s="190">
        <v>0</v>
      </c>
      <c r="U9" s="190">
        <v>0</v>
      </c>
      <c r="V9" s="190">
        <v>0</v>
      </c>
      <c r="W9" s="190">
        <v>0</v>
      </c>
      <c r="X9" s="190">
        <v>0</v>
      </c>
      <c r="Y9" s="190">
        <v>0</v>
      </c>
      <c r="Z9" s="66" t="str">
        <f>Threats!B3</f>
        <v>Threats to The Level of Service</v>
      </c>
      <c r="AA9" s="47"/>
      <c r="AB9" s="390" t="s">
        <v>255</v>
      </c>
      <c r="AC9" s="338"/>
      <c r="AD9" s="338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58"/>
      <c r="DP9" s="58"/>
      <c r="DQ9" s="58"/>
      <c r="DR9" s="58"/>
      <c r="DS9" s="58"/>
      <c r="DT9" s="58"/>
      <c r="DU9" s="59"/>
      <c r="DV9" s="59"/>
    </row>
    <row r="10" spans="1:127" ht="12.75" customHeight="1" thickBot="1" x14ac:dyDescent="0.3">
      <c r="A10" s="48"/>
      <c r="B10" s="47"/>
      <c r="C10" s="60" t="str">
        <f>Threats!A4</f>
        <v>T4-Operator Errors</v>
      </c>
      <c r="D10" s="64">
        <f>IF(G$7&lt;&gt;0, $D$7/G$7, 0)</f>
        <v>9</v>
      </c>
      <c r="E10" s="67">
        <f>IF(G$8 &lt;&gt; 0, $E$8/G$8, 0)</f>
        <v>0.33333333333333331</v>
      </c>
      <c r="F10" s="65">
        <f>IF(G$9 &lt;&gt; 0, ($F$9/G$9), 0)</f>
        <v>3</v>
      </c>
      <c r="G10" s="62">
        <v>1</v>
      </c>
      <c r="H10" s="191">
        <v>0.33333333333333331</v>
      </c>
      <c r="I10" s="191">
        <v>0.5</v>
      </c>
      <c r="J10" s="191">
        <v>0.125</v>
      </c>
      <c r="K10" s="191">
        <v>0.125</v>
      </c>
      <c r="L10" s="191">
        <v>0.25</v>
      </c>
      <c r="M10" s="191">
        <v>0</v>
      </c>
      <c r="N10" s="191">
        <v>0</v>
      </c>
      <c r="O10" s="191">
        <v>0</v>
      </c>
      <c r="P10" s="191">
        <v>0</v>
      </c>
      <c r="Q10" s="191">
        <v>0</v>
      </c>
      <c r="R10" s="191">
        <v>0</v>
      </c>
      <c r="S10" s="191">
        <v>0</v>
      </c>
      <c r="T10" s="191">
        <v>0</v>
      </c>
      <c r="U10" s="191">
        <v>0</v>
      </c>
      <c r="V10" s="191">
        <v>0</v>
      </c>
      <c r="W10" s="191">
        <v>0</v>
      </c>
      <c r="X10" s="191">
        <v>0</v>
      </c>
      <c r="Y10" s="191">
        <v>0</v>
      </c>
      <c r="Z10" s="68" t="str">
        <f>Threats!B4</f>
        <v>Threats to The Level of Service</v>
      </c>
      <c r="AA10" s="47"/>
      <c r="AB10" s="377" t="s">
        <v>255</v>
      </c>
      <c r="AC10" s="339"/>
      <c r="AD10" s="339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58"/>
      <c r="DP10" s="58"/>
      <c r="DQ10" s="58"/>
      <c r="DR10" s="58"/>
      <c r="DS10" s="58"/>
      <c r="DT10" s="58"/>
      <c r="DU10" s="59"/>
      <c r="DV10" s="59"/>
    </row>
    <row r="11" spans="1:127" ht="12.75" customHeight="1" thickBot="1" x14ac:dyDescent="0.3">
      <c r="A11" s="48"/>
      <c r="B11" s="47"/>
      <c r="C11" s="60" t="str">
        <f>Threats!A5</f>
        <v>T5-Malicious Inside Action</v>
      </c>
      <c r="D11" s="64">
        <f>IF(H$7&lt;&gt;0, ($D$7/H$7), 0)</f>
        <v>9</v>
      </c>
      <c r="E11" s="67">
        <f>IF(H$8 &lt;&gt; 0, $E$8/H$8, 0)</f>
        <v>1</v>
      </c>
      <c r="F11" s="67">
        <f>IF(H9&lt;&gt;0, (F9/H9),0)</f>
        <v>4</v>
      </c>
      <c r="G11" s="65">
        <f>IF(H$10&lt;&gt;0, ($G$10/H$10),0)</f>
        <v>3</v>
      </c>
      <c r="H11" s="62">
        <v>1</v>
      </c>
      <c r="I11" s="192">
        <v>6</v>
      </c>
      <c r="J11" s="192">
        <v>1</v>
      </c>
      <c r="K11" s="192">
        <v>1</v>
      </c>
      <c r="L11" s="192">
        <v>4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69" t="str">
        <f>Threats!B5</f>
        <v>Threats to The Level of Service</v>
      </c>
      <c r="AA11" s="47"/>
      <c r="AB11" s="393" t="s">
        <v>255</v>
      </c>
      <c r="AC11" s="340"/>
      <c r="AD11" s="340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58"/>
      <c r="DP11" s="58"/>
      <c r="DQ11" s="58"/>
      <c r="DR11" s="58"/>
      <c r="DS11" s="58"/>
      <c r="DT11" s="58"/>
      <c r="DU11" s="59"/>
      <c r="DV11" s="59"/>
    </row>
    <row r="12" spans="1:127" ht="12.75" customHeight="1" thickBot="1" x14ac:dyDescent="0.3">
      <c r="A12" s="48"/>
      <c r="B12" s="47"/>
      <c r="C12" s="60" t="str">
        <f>Threats!A6</f>
        <v>T6-Trojan and Worms</v>
      </c>
      <c r="D12" s="64">
        <f>IF(I$7 &lt;&gt; 0, $D$7/I$7, 0)</f>
        <v>9</v>
      </c>
      <c r="E12" s="67">
        <f>IF(I$8 &lt;&gt;0, $E$8/I$8, 0)</f>
        <v>0.33333333333333331</v>
      </c>
      <c r="F12" s="67">
        <f>IF(I9&lt;&gt;0, (F9/I9),0)</f>
        <v>6</v>
      </c>
      <c r="G12" s="67">
        <f>IF(I$10&lt;&gt;0, ($G$10/I$10),0)</f>
        <v>2</v>
      </c>
      <c r="H12" s="65">
        <f>IF($I$11&lt;&gt;0, $H$11/$I$11,0)</f>
        <v>0.16666666666666666</v>
      </c>
      <c r="I12" s="62">
        <v>1</v>
      </c>
      <c r="J12" s="193">
        <v>0.125</v>
      </c>
      <c r="K12" s="193">
        <v>0.1111111111111111</v>
      </c>
      <c r="L12" s="193">
        <v>0.33333333333333331</v>
      </c>
      <c r="M12" s="193">
        <v>0</v>
      </c>
      <c r="N12" s="193">
        <v>0</v>
      </c>
      <c r="O12" s="193">
        <v>0</v>
      </c>
      <c r="P12" s="193">
        <v>0</v>
      </c>
      <c r="Q12" s="193">
        <v>0</v>
      </c>
      <c r="R12" s="193">
        <v>0</v>
      </c>
      <c r="S12" s="193">
        <v>0</v>
      </c>
      <c r="T12" s="193">
        <v>0</v>
      </c>
      <c r="U12" s="193">
        <v>0</v>
      </c>
      <c r="V12" s="193">
        <v>0</v>
      </c>
      <c r="W12" s="193">
        <v>0</v>
      </c>
      <c r="X12" s="193">
        <v>0</v>
      </c>
      <c r="Y12" s="193">
        <v>0</v>
      </c>
      <c r="Z12" s="70" t="str">
        <f>Threats!B6</f>
        <v>Threats to The Level of Service</v>
      </c>
      <c r="AA12" s="47"/>
      <c r="AB12" s="394" t="s">
        <v>255</v>
      </c>
      <c r="AC12" s="395"/>
      <c r="AD12" s="395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58"/>
      <c r="DP12" s="58"/>
      <c r="DQ12" s="58"/>
      <c r="DR12" s="58"/>
      <c r="DS12" s="58"/>
      <c r="DT12" s="58"/>
      <c r="DU12" s="59"/>
      <c r="DV12" s="59"/>
    </row>
    <row r="13" spans="1:127" ht="12.75" customHeight="1" thickBot="1" x14ac:dyDescent="0.3">
      <c r="A13" s="48"/>
      <c r="B13" s="47"/>
      <c r="C13" s="60" t="str">
        <f>Threats!A7</f>
        <v>T7-Fire</v>
      </c>
      <c r="D13" s="64">
        <f>IF(J$7 &lt;&gt; 0, $D$7/J$7,0)</f>
        <v>9</v>
      </c>
      <c r="E13" s="67">
        <f>IF(J$8 &lt;&gt;0, $E$8/J$8, 0)</f>
        <v>7</v>
      </c>
      <c r="F13" s="67">
        <f>($F$9/J$9)</f>
        <v>9</v>
      </c>
      <c r="G13" s="67">
        <f>IF(J$10&lt;&gt;0, ($G$10/J$10),0)</f>
        <v>8</v>
      </c>
      <c r="H13" s="67">
        <f>IF($J$11&lt;&gt;0,$H$11/$J$11,0)</f>
        <v>1</v>
      </c>
      <c r="I13" s="65">
        <f>IF($J$12&lt;&gt;0,$I$12/$J$12,0)</f>
        <v>8</v>
      </c>
      <c r="J13" s="62">
        <v>1</v>
      </c>
      <c r="K13" s="194">
        <v>1</v>
      </c>
      <c r="L13" s="194">
        <v>7</v>
      </c>
      <c r="M13" s="194">
        <v>0</v>
      </c>
      <c r="N13" s="194">
        <v>0</v>
      </c>
      <c r="O13" s="194">
        <v>0</v>
      </c>
      <c r="P13" s="194">
        <v>0</v>
      </c>
      <c r="Q13" s="194">
        <v>0</v>
      </c>
      <c r="R13" s="194">
        <v>0</v>
      </c>
      <c r="S13" s="194">
        <v>0</v>
      </c>
      <c r="T13" s="194">
        <v>0</v>
      </c>
      <c r="U13" s="194">
        <v>0</v>
      </c>
      <c r="V13" s="194">
        <v>0</v>
      </c>
      <c r="W13" s="194">
        <v>0</v>
      </c>
      <c r="X13" s="194">
        <v>0</v>
      </c>
      <c r="Y13" s="194">
        <v>0</v>
      </c>
      <c r="Z13" s="71" t="str">
        <f>Threats!B7</f>
        <v>Threats to The Level of Service</v>
      </c>
      <c r="AA13" s="47"/>
      <c r="AB13" s="396" t="s">
        <v>255</v>
      </c>
      <c r="AC13" s="397"/>
      <c r="AD13" s="39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58"/>
      <c r="DP13" s="58"/>
      <c r="DQ13" s="58"/>
      <c r="DR13" s="58"/>
      <c r="DS13" s="58"/>
      <c r="DT13" s="58"/>
      <c r="DU13" s="59"/>
      <c r="DV13" s="59"/>
    </row>
    <row r="14" spans="1:127" ht="12.75" customHeight="1" thickBot="1" x14ac:dyDescent="0.3">
      <c r="A14" s="48"/>
      <c r="B14" s="47"/>
      <c r="C14" s="60" t="str">
        <f>Threats!A8</f>
        <v>T8-Other Enviromental Disasters</v>
      </c>
      <c r="D14" s="64">
        <f>IF(K$7 &lt;&gt;0,$D$7/K$7,0)</f>
        <v>9</v>
      </c>
      <c r="E14" s="67">
        <f>IF(K$8 &lt;&gt;0, $E$8/K$8, 0)</f>
        <v>7</v>
      </c>
      <c r="F14" s="67">
        <f>($F$9/K$9)</f>
        <v>9</v>
      </c>
      <c r="G14" s="67">
        <f>IF(K$10&lt;&gt;0, ($G$10/K$10),0)</f>
        <v>8</v>
      </c>
      <c r="H14" s="67">
        <f>IF($K$11&lt;&gt;0,$H$11/$K$11,0)</f>
        <v>1</v>
      </c>
      <c r="I14" s="67">
        <f>IF($K$12&lt;&gt;0,$I$12/$K$12,0)</f>
        <v>9</v>
      </c>
      <c r="J14" s="65">
        <f>IF($K$13&lt;&gt;0,$J$13/$K$13,0)</f>
        <v>1</v>
      </c>
      <c r="K14" s="62">
        <v>1</v>
      </c>
      <c r="L14" s="195">
        <v>7</v>
      </c>
      <c r="M14" s="195">
        <v>0</v>
      </c>
      <c r="N14" s="195">
        <v>0</v>
      </c>
      <c r="O14" s="195">
        <v>0</v>
      </c>
      <c r="P14" s="195">
        <v>0</v>
      </c>
      <c r="Q14" s="195">
        <v>0</v>
      </c>
      <c r="R14" s="195">
        <v>0</v>
      </c>
      <c r="S14" s="195">
        <v>0</v>
      </c>
      <c r="T14" s="195">
        <v>0</v>
      </c>
      <c r="U14" s="195">
        <v>0</v>
      </c>
      <c r="V14" s="195">
        <v>0</v>
      </c>
      <c r="W14" s="195">
        <v>0</v>
      </c>
      <c r="X14" s="195">
        <v>0</v>
      </c>
      <c r="Y14" s="195">
        <v>0</v>
      </c>
      <c r="Z14" s="72" t="str">
        <f>Threats!B8</f>
        <v>Threats to The Level of Service</v>
      </c>
      <c r="AA14" s="47"/>
      <c r="AB14" s="398" t="s">
        <v>255</v>
      </c>
      <c r="AC14" s="399"/>
      <c r="AD14" s="399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58"/>
      <c r="DP14" s="58"/>
      <c r="DQ14" s="58"/>
      <c r="DR14" s="58"/>
      <c r="DS14" s="58"/>
      <c r="DT14" s="58"/>
      <c r="DU14" s="59"/>
      <c r="DV14" s="59"/>
    </row>
    <row r="15" spans="1:127" ht="12.75" customHeight="1" thickBot="1" x14ac:dyDescent="0.3">
      <c r="A15" s="48"/>
      <c r="B15" s="47"/>
      <c r="C15" s="60" t="str">
        <f>Threats!A9</f>
        <v>T9-Availability Threats(DDOS)</v>
      </c>
      <c r="D15" s="64">
        <f>IF(L$7 &lt;&gt; 0, $D$7/L$7, 0)</f>
        <v>9</v>
      </c>
      <c r="E15" s="67">
        <f>IF(L$8 &lt;&gt;0, $E$8/L$8,0)</f>
        <v>3</v>
      </c>
      <c r="F15" s="67">
        <f>($F$9/L$9)</f>
        <v>5</v>
      </c>
      <c r="G15" s="67">
        <f>IF(L$10&lt;&gt;0,($G$10/L$10),0)</f>
        <v>4</v>
      </c>
      <c r="H15" s="67">
        <f>IF($L$11&lt;&gt;0, $H$11/$L$11,0)</f>
        <v>0.25</v>
      </c>
      <c r="I15" s="67">
        <f>IF($L$12&lt;&gt;0, $I$12/$L$12,0)</f>
        <v>3</v>
      </c>
      <c r="J15" s="67">
        <f>IF($L$13&lt;&gt;0,$J$13/$L$13,0)</f>
        <v>0.14285714285714285</v>
      </c>
      <c r="K15" s="65">
        <f>IF($L$14&lt;&gt;0,$K$14/$L$14,0)</f>
        <v>0.14285714285714285</v>
      </c>
      <c r="L15" s="62">
        <v>1</v>
      </c>
      <c r="M15" s="196">
        <v>0</v>
      </c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73" t="str">
        <f>Threats!B9</f>
        <v>Threats to The Level of Service</v>
      </c>
      <c r="AA15" s="47"/>
      <c r="AB15" s="400" t="s">
        <v>255</v>
      </c>
      <c r="AC15" s="401"/>
      <c r="AD15" s="401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58"/>
      <c r="DP15" s="58"/>
      <c r="DQ15" s="58"/>
      <c r="DR15" s="58"/>
      <c r="DS15" s="58"/>
      <c r="DT15" s="58"/>
      <c r="DU15" s="59"/>
      <c r="DV15" s="59"/>
    </row>
    <row r="16" spans="1:127" ht="12.75" customHeight="1" thickBot="1" x14ac:dyDescent="0.3">
      <c r="A16" s="48"/>
      <c r="B16" s="47"/>
      <c r="C16" s="60" t="str">
        <f>Threats!A10</f>
        <v>T10-Disk Failure</v>
      </c>
      <c r="D16" s="64">
        <f>IF(M$7 &lt;&gt;0, $D$7/M$7,0)</f>
        <v>0</v>
      </c>
      <c r="E16" s="67">
        <f>IF(M$8 &lt;&gt; 0, $E$8/M$8, 0)</f>
        <v>0</v>
      </c>
      <c r="F16" s="67">
        <f>IF(M$9&lt;&gt;0, ($F$9/M$9),0)</f>
        <v>0</v>
      </c>
      <c r="G16" s="67">
        <f>IF(M$10&lt;&gt;0, ($G$10/M$10),0)</f>
        <v>0</v>
      </c>
      <c r="H16" s="67">
        <f>IF($M$11&lt;&gt;0,$H$11/$M$11,0)</f>
        <v>0</v>
      </c>
      <c r="I16" s="67">
        <f>IF($M$12&lt;&gt;0,$I$12/$M$12,0)</f>
        <v>0</v>
      </c>
      <c r="J16" s="67">
        <f>IF(M$13&lt;&gt;0, $J$13/M$13,0)</f>
        <v>0</v>
      </c>
      <c r="K16" s="67">
        <f>IF($M$14&lt;&gt;0,$K$14/$M$14,0)</f>
        <v>0</v>
      </c>
      <c r="L16" s="65">
        <f>IF($M$15&lt;&gt;0,$L$15/$M$15,0)</f>
        <v>0</v>
      </c>
      <c r="M16" s="62">
        <v>1</v>
      </c>
      <c r="N16" s="197">
        <v>0.33333333333333331</v>
      </c>
      <c r="O16" s="197">
        <v>5</v>
      </c>
      <c r="P16" s="197">
        <v>0.25</v>
      </c>
      <c r="Q16" s="197">
        <v>3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197">
        <v>0</v>
      </c>
      <c r="Y16" s="197">
        <v>0</v>
      </c>
      <c r="Z16" s="74" t="str">
        <f>Threats!B10</f>
        <v>Threats to the Information Base</v>
      </c>
      <c r="AA16" s="47"/>
      <c r="AB16" s="402" t="s">
        <v>255</v>
      </c>
      <c r="AC16" s="403"/>
      <c r="AD16" s="403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58"/>
      <c r="DP16" s="58"/>
      <c r="DQ16" s="58"/>
      <c r="DR16" s="58"/>
      <c r="DS16" s="58"/>
      <c r="DT16" s="58"/>
      <c r="DU16" s="59"/>
      <c r="DV16" s="59"/>
    </row>
    <row r="17" spans="1:126" ht="12.75" customHeight="1" thickBot="1" x14ac:dyDescent="0.3">
      <c r="A17" s="48"/>
      <c r="B17" s="47"/>
      <c r="C17" s="60" t="str">
        <f>Threats!A11</f>
        <v>T11-Data Corruption</v>
      </c>
      <c r="D17" s="64">
        <f>IF(N$7 &lt;&gt;0, $D$7/N$7, 0)</f>
        <v>0</v>
      </c>
      <c r="E17" s="67">
        <f>IF(N$8&lt;&gt;0, E$8/N$8,0)</f>
        <v>0</v>
      </c>
      <c r="F17" s="67">
        <f>IF(N$9&lt;&gt;0,($F$9/N$9),0)</f>
        <v>0</v>
      </c>
      <c r="G17" s="67">
        <f>IF(N$10&lt;&gt;0, ($G$10/N$10),0)</f>
        <v>0</v>
      </c>
      <c r="H17" s="67">
        <f>IF($N$11&lt;&gt;0,$H$11/$N$11,0)</f>
        <v>0</v>
      </c>
      <c r="I17" s="67">
        <f>IF($N$12&lt;&gt;0,$I$12/$N$12,0)</f>
        <v>0</v>
      </c>
      <c r="J17" s="67">
        <f>IF($N$13&lt;&gt;0,$J$13/$N$13,0)</f>
        <v>0</v>
      </c>
      <c r="K17" s="67">
        <f>IF($N$14&lt;&gt;0,$K$14/$N$14,0)</f>
        <v>0</v>
      </c>
      <c r="L17" s="67">
        <f>IF($N$15&lt;&gt;0,$L$15/$N$15,0)</f>
        <v>0</v>
      </c>
      <c r="M17" s="65">
        <f>IF($N$16&lt;&gt;0,$M$16/$N$16,0)</f>
        <v>3</v>
      </c>
      <c r="N17" s="62">
        <v>1</v>
      </c>
      <c r="O17" s="198">
        <v>1</v>
      </c>
      <c r="P17" s="198">
        <v>0.33333333333333331</v>
      </c>
      <c r="Q17" s="198">
        <v>1</v>
      </c>
      <c r="R17" s="198">
        <v>0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Z17" s="75" t="str">
        <f>Threats!B11</f>
        <v>Threats to the Information Base</v>
      </c>
      <c r="AA17" s="47"/>
      <c r="AB17" s="404" t="s">
        <v>255</v>
      </c>
      <c r="AC17" s="405"/>
      <c r="AD17" s="405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58"/>
      <c r="DP17" s="58"/>
      <c r="DQ17" s="58"/>
      <c r="DR17" s="58"/>
      <c r="DS17" s="58"/>
      <c r="DT17" s="58"/>
      <c r="DU17" s="59"/>
      <c r="DV17" s="59"/>
    </row>
    <row r="18" spans="1:126" ht="12.75" customHeight="1" thickBot="1" x14ac:dyDescent="0.3">
      <c r="A18" s="48"/>
      <c r="B18" s="47"/>
      <c r="C18" s="60" t="str">
        <f>Threats!A12</f>
        <v>T12-Inaccurrate Data</v>
      </c>
      <c r="D18" s="64">
        <f>IF(O$7 &lt;&gt; 0, $D$7/O$7, 0)</f>
        <v>0</v>
      </c>
      <c r="E18" s="67">
        <f>IF(O$8&lt;&gt;0, $E$8/O$8,0)</f>
        <v>0</v>
      </c>
      <c r="F18" s="67">
        <f>IF(O$9&lt;&gt;0, ($F$9/O$9),0)</f>
        <v>0</v>
      </c>
      <c r="G18" s="67">
        <f>IF(O$10&lt;&gt;0,($G$10/O$10),0)</f>
        <v>0</v>
      </c>
      <c r="H18" s="67">
        <f>IF($O$11&lt;&gt;0,$H$11/$O$11,0)</f>
        <v>0</v>
      </c>
      <c r="I18" s="67">
        <f>IF($O$12&lt;&gt;0,$I$12/$O$12,0)</f>
        <v>0</v>
      </c>
      <c r="J18" s="67">
        <f>IF($O$13&lt;&gt;0,$J$13/$O$13,0)</f>
        <v>0</v>
      </c>
      <c r="K18" s="67">
        <f>IF($O$14&lt;&gt;0,$K$14/$O$14,0)</f>
        <v>0</v>
      </c>
      <c r="L18" s="67">
        <f>IF($O$15&lt;&gt;0,$L$15/$O$15,0)</f>
        <v>0</v>
      </c>
      <c r="M18" s="67">
        <f>IF($O$16&lt;&gt;0,$M$16/$O$16,0)</f>
        <v>0.2</v>
      </c>
      <c r="N18" s="65">
        <f>IF($O$17&lt;&gt;0,$N$17/$O$17,0)</f>
        <v>1</v>
      </c>
      <c r="O18" s="62">
        <v>1</v>
      </c>
      <c r="P18" s="199">
        <v>0.25</v>
      </c>
      <c r="Q18" s="199">
        <v>0.33333333333333331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76" t="str">
        <f>Threats!B12</f>
        <v>Threats to the Information Base</v>
      </c>
      <c r="AA18" s="47"/>
      <c r="AB18" s="406" t="s">
        <v>255</v>
      </c>
      <c r="AC18" s="407"/>
      <c r="AD18" s="40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58"/>
      <c r="DP18" s="58"/>
      <c r="DQ18" s="58"/>
      <c r="DR18" s="58"/>
      <c r="DS18" s="58"/>
      <c r="DT18" s="58"/>
      <c r="DU18" s="59"/>
      <c r="DV18" s="59"/>
    </row>
    <row r="19" spans="1:126" ht="12.75" customHeight="1" thickBot="1" x14ac:dyDescent="0.3">
      <c r="A19" s="48"/>
      <c r="B19" s="47"/>
      <c r="C19" s="60" t="str">
        <f>Threats!A13</f>
        <v>T13-Un-authorized Access</v>
      </c>
      <c r="D19" s="64">
        <f>IF(P$7 &lt;&gt;0, $D$7/P$7, 0)</f>
        <v>0</v>
      </c>
      <c r="E19" s="67">
        <f>IF(P$8&lt;&gt;0, $E$8/P$8,0)</f>
        <v>0</v>
      </c>
      <c r="F19" s="67">
        <f>IF(P$9&lt;&gt;0, ($F$9/P$9),0)</f>
        <v>0</v>
      </c>
      <c r="G19" s="67">
        <f>IF(P$10&lt;&gt;0, ($G$10/P$10),0)</f>
        <v>0</v>
      </c>
      <c r="H19" s="67">
        <f>IF($P$11&lt;&gt;0, $H$11/$P$11,0)</f>
        <v>0</v>
      </c>
      <c r="I19" s="67">
        <f>IF($P$12&lt;&gt;0,$I$12/$P$12,0)</f>
        <v>0</v>
      </c>
      <c r="J19" s="67">
        <f>IF($P$13&lt;&gt;0,$J$13/$P$13,0)</f>
        <v>0</v>
      </c>
      <c r="K19" s="67">
        <f>IF($P$14&lt;&gt;0,$K$14/$P$14,0)</f>
        <v>0</v>
      </c>
      <c r="L19" s="67">
        <f>IF($P$15&lt;&gt;0,$L$15/$P$15,0)</f>
        <v>0</v>
      </c>
      <c r="M19" s="67">
        <f>IF($P$16&lt;&gt;0,$M$16/$P$16,0)</f>
        <v>4</v>
      </c>
      <c r="N19" s="67">
        <f>IF($P$17&lt;&gt;0,$N$17/$P$17,0)</f>
        <v>3</v>
      </c>
      <c r="O19" s="65">
        <f>IF($P$18&lt;&gt;0,$O$18/$P$18,0)</f>
        <v>4</v>
      </c>
      <c r="P19" s="62">
        <v>1</v>
      </c>
      <c r="Q19" s="200">
        <v>0.33333333333333331</v>
      </c>
      <c r="R19" s="200">
        <v>0</v>
      </c>
      <c r="S19" s="200">
        <v>0</v>
      </c>
      <c r="T19" s="200">
        <v>0</v>
      </c>
      <c r="U19" s="200">
        <v>0</v>
      </c>
      <c r="V19" s="200">
        <v>0</v>
      </c>
      <c r="W19" s="200">
        <v>0</v>
      </c>
      <c r="X19" s="200">
        <v>0</v>
      </c>
      <c r="Y19" s="200">
        <v>0</v>
      </c>
      <c r="Z19" s="77" t="str">
        <f>Threats!B13</f>
        <v>Threats to the Information Base</v>
      </c>
      <c r="AA19" s="47"/>
      <c r="AB19" s="356" t="s">
        <v>255</v>
      </c>
      <c r="AC19" s="357"/>
      <c r="AD19" s="35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58"/>
      <c r="DP19" s="58"/>
      <c r="DQ19" s="58"/>
      <c r="DR19" s="58"/>
      <c r="DS19" s="58"/>
      <c r="DT19" s="58"/>
      <c r="DU19" s="59"/>
      <c r="DV19" s="59"/>
    </row>
    <row r="20" spans="1:126" ht="12.75" customHeight="1" thickBot="1" x14ac:dyDescent="0.3">
      <c r="A20" s="48"/>
      <c r="B20" s="47"/>
      <c r="C20" s="60" t="str">
        <f>Threats!A14</f>
        <v>T14-Virus and Spyware</v>
      </c>
      <c r="D20" s="64">
        <f>IF(O$7 &lt;&gt; 0, $D$7/Q$7, 0)</f>
        <v>0</v>
      </c>
      <c r="E20" s="67">
        <f>IF(Q$8&lt;&gt;0, $E$8/Q$8, 0)</f>
        <v>0</v>
      </c>
      <c r="F20" s="67">
        <f>IF(Q$9&lt;&gt;0,($F$9/Q$9),0)</f>
        <v>0</v>
      </c>
      <c r="G20" s="67">
        <f>IF(Q$10&lt;&gt;0, ($G$10/Q$10),0)</f>
        <v>0</v>
      </c>
      <c r="H20" s="67">
        <f>IF($Q$11&lt;&gt;0,$H$11/$Q$11,0)</f>
        <v>0</v>
      </c>
      <c r="I20" s="67">
        <f>IF($Q$12&lt;&gt;0,$I$12/$Q$12,0)</f>
        <v>0</v>
      </c>
      <c r="J20" s="67">
        <f>IF($Q$13&lt;&gt;0,$J$13/$Q$13,0)</f>
        <v>0</v>
      </c>
      <c r="K20" s="67">
        <f>IF($Q$14&lt;&gt;0,$K$14/$Q$14,0)</f>
        <v>0</v>
      </c>
      <c r="L20" s="67">
        <f>IF($Q$15&lt;&gt;0,$L$15/$Q$15,0)</f>
        <v>0</v>
      </c>
      <c r="M20" s="67">
        <f>IF($Q$16&lt;&gt;0,$M$16/$Q$16,0)</f>
        <v>0.33333333333333331</v>
      </c>
      <c r="N20" s="67">
        <f>IF($Q$17&lt;&gt;0,$N$17/$Q$17,0)</f>
        <v>1</v>
      </c>
      <c r="O20" s="67">
        <f>IF($Q$18&lt;&gt;0,$O$18/$Q$18,0)</f>
        <v>3</v>
      </c>
      <c r="P20" s="65">
        <f>IF($Q$19&lt;&gt;0,$P$19/$Q$19,0)</f>
        <v>3</v>
      </c>
      <c r="Q20" s="62">
        <v>1</v>
      </c>
      <c r="R20" s="201">
        <v>0</v>
      </c>
      <c r="S20" s="201">
        <v>0</v>
      </c>
      <c r="T20" s="201">
        <v>0</v>
      </c>
      <c r="U20" s="201">
        <v>0</v>
      </c>
      <c r="V20" s="201">
        <v>0</v>
      </c>
      <c r="W20" s="201">
        <v>0</v>
      </c>
      <c r="X20" s="201">
        <v>0</v>
      </c>
      <c r="Y20" s="201">
        <v>0</v>
      </c>
      <c r="Z20" s="78" t="str">
        <f>Threats!B14</f>
        <v>Threats to the Information Base</v>
      </c>
      <c r="AA20" s="47"/>
      <c r="AB20" s="358" t="s">
        <v>255</v>
      </c>
      <c r="AC20" s="359"/>
      <c r="AD20" s="359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58"/>
      <c r="DP20" s="58"/>
      <c r="DQ20" s="58"/>
      <c r="DR20" s="58"/>
      <c r="DS20" s="58"/>
      <c r="DT20" s="58"/>
      <c r="DU20" s="59"/>
      <c r="DV20" s="59"/>
    </row>
    <row r="21" spans="1:126" ht="12.75" customHeight="1" thickBot="1" x14ac:dyDescent="0.3">
      <c r="A21" s="48"/>
      <c r="B21" s="47"/>
      <c r="C21" s="60" t="str">
        <f>Threats!A15</f>
        <v>T15-Hacking</v>
      </c>
      <c r="D21" s="64">
        <f>IF(R$7 &lt;&gt; 0, $D$7/R$7, 0)</f>
        <v>0</v>
      </c>
      <c r="E21" s="67">
        <f>IF(R$8&lt;&gt;0, $E$8/R$8, 0)</f>
        <v>0</v>
      </c>
      <c r="F21" s="67">
        <f>IF(R$9 &lt;&gt;0, ($F$9/R$9),0)</f>
        <v>0</v>
      </c>
      <c r="G21" s="67">
        <f>IF(R$10&lt;&gt;0, ($G$10/R$10),0)</f>
        <v>0</v>
      </c>
      <c r="H21" s="67">
        <f>IF($R$11&lt;&gt;0,$H$11/$R$11,0)</f>
        <v>0</v>
      </c>
      <c r="I21" s="67">
        <f>IF($R$12&lt;&gt;0, $I$12/$R$12,0)</f>
        <v>0</v>
      </c>
      <c r="J21" s="67">
        <f>IF($R$13&lt;&gt;0,$J$13/$R$13,0)</f>
        <v>0</v>
      </c>
      <c r="K21" s="67">
        <f>IF($R$14&lt;&gt;0,$K$14/$R$14,0)</f>
        <v>0</v>
      </c>
      <c r="L21" s="67">
        <f>IF($R$15&lt;&gt;0,$L$15/$R$15,0)</f>
        <v>0</v>
      </c>
      <c r="M21" s="67">
        <f>IF($R$16&lt;&gt;0,$M$16/$R$16,0)</f>
        <v>0</v>
      </c>
      <c r="N21" s="67">
        <f>IF($R$17&lt;&gt;0,$N$17/$R$17,0)</f>
        <v>0</v>
      </c>
      <c r="O21" s="67">
        <f>IF($R$18&lt;&gt;0,$O$18/$R$18,0)</f>
        <v>0</v>
      </c>
      <c r="P21" s="67">
        <f>IF($R$19&lt;&gt;0,$P$19/$R$19,0)</f>
        <v>0</v>
      </c>
      <c r="Q21" s="65">
        <f>IF($R$20&lt;&gt;0,$Q$20/$R$20,0)</f>
        <v>0</v>
      </c>
      <c r="R21" s="62">
        <v>1</v>
      </c>
      <c r="S21" s="202">
        <v>8</v>
      </c>
      <c r="T21" s="202">
        <v>4</v>
      </c>
      <c r="U21" s="202">
        <v>4</v>
      </c>
      <c r="V21" s="202">
        <v>4</v>
      </c>
      <c r="W21" s="202">
        <v>6</v>
      </c>
      <c r="X21" s="202">
        <v>6</v>
      </c>
      <c r="Y21" s="202">
        <v>3</v>
      </c>
      <c r="Z21" s="79" t="str">
        <f>Threats!B15</f>
        <v>Threats to Information Leakage</v>
      </c>
      <c r="AA21" s="47"/>
      <c r="AB21" s="360" t="s">
        <v>255</v>
      </c>
      <c r="AC21" s="361"/>
      <c r="AD21" s="361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58"/>
      <c r="DP21" s="58"/>
      <c r="DQ21" s="58"/>
      <c r="DR21" s="58"/>
      <c r="DS21" s="58"/>
      <c r="DT21" s="58"/>
      <c r="DU21" s="59"/>
      <c r="DV21" s="59"/>
    </row>
    <row r="22" spans="1:126" ht="12.75" customHeight="1" thickBot="1" x14ac:dyDescent="0.3">
      <c r="A22" s="48"/>
      <c r="B22" s="47"/>
      <c r="C22" s="60" t="str">
        <f>Threats!A16</f>
        <v>T16-Media Leakage</v>
      </c>
      <c r="D22" s="64">
        <f>IF(S$7 &lt;&gt; 0, $D$7/S$7, 0)</f>
        <v>0</v>
      </c>
      <c r="E22" s="67">
        <f>IF(S$8&lt;&gt;0, ($E$8/S$8), 0)</f>
        <v>0</v>
      </c>
      <c r="F22" s="67">
        <f>IF(S$9&lt;&gt;0, ($F$9/S$9),0)</f>
        <v>0</v>
      </c>
      <c r="G22" s="67">
        <f>IF(S$10&lt;&gt;0,($G$10/S$10),0)</f>
        <v>0</v>
      </c>
      <c r="H22" s="67">
        <f>IF($S$11&lt;&gt;0,$H$11/$S$11,0)</f>
        <v>0</v>
      </c>
      <c r="I22" s="67">
        <f>IF($S$12&lt;&gt;0,$I$12/$S$12,0)</f>
        <v>0</v>
      </c>
      <c r="J22" s="67">
        <f>IF($S$13&lt;&gt;0,$J$13/$S$13,0)</f>
        <v>0</v>
      </c>
      <c r="K22" s="67">
        <f>IF($S$14&lt;&gt;0,$K$14/$S$14,0)</f>
        <v>0</v>
      </c>
      <c r="L22" s="67">
        <f>IF($S$15&lt;&gt;0,$L$15/$S$15,0)</f>
        <v>0</v>
      </c>
      <c r="M22" s="67">
        <f>IF($S$16&lt;&gt;0,$M$16/$S$16,0)</f>
        <v>0</v>
      </c>
      <c r="N22" s="67">
        <f>IF($S$17&lt;&gt;0,$N$17/$S$17,0)</f>
        <v>0</v>
      </c>
      <c r="O22" s="67">
        <f>IF($S$18&lt;&gt;0,$O$18/$S$18,0)</f>
        <v>0</v>
      </c>
      <c r="P22" s="67">
        <f>IF($S$19&lt;&gt;0,$P$19/$S$19,0)</f>
        <v>0</v>
      </c>
      <c r="Q22" s="67">
        <f>IF($S$20&lt;&gt;0,$Q$20/$S$20,0)</f>
        <v>0</v>
      </c>
      <c r="R22" s="65">
        <f>IF($S$21&lt;&gt;0,$R$21/$S$21,0)</f>
        <v>0.125</v>
      </c>
      <c r="S22" s="62">
        <v>1</v>
      </c>
      <c r="T22" s="203">
        <v>0.33333333333333331</v>
      </c>
      <c r="U22" s="203">
        <v>0.25</v>
      </c>
      <c r="V22" s="203">
        <v>0.25</v>
      </c>
      <c r="W22" s="203">
        <v>0.33333333333333331</v>
      </c>
      <c r="X22" s="203">
        <v>0.33333333333333331</v>
      </c>
      <c r="Y22" s="203">
        <v>0.25</v>
      </c>
      <c r="Z22" s="80" t="str">
        <f>Threats!B16</f>
        <v>Threats to Information Leakage</v>
      </c>
      <c r="AA22" s="47"/>
      <c r="AB22" s="391" t="s">
        <v>255</v>
      </c>
      <c r="AC22" s="392"/>
      <c r="AD22" s="392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58"/>
      <c r="DP22" s="58"/>
      <c r="DQ22" s="58"/>
      <c r="DR22" s="58"/>
      <c r="DS22" s="58"/>
      <c r="DT22" s="58"/>
      <c r="DU22" s="59"/>
      <c r="DV22" s="59"/>
    </row>
    <row r="23" spans="1:126" ht="12.75" customHeight="1" thickBot="1" x14ac:dyDescent="0.3">
      <c r="A23" s="48"/>
      <c r="B23" s="47"/>
      <c r="C23" s="60" t="str">
        <f>Threats!A17</f>
        <v>T17-Communication Preventers(Botnet, Dialer)</v>
      </c>
      <c r="D23" s="64">
        <f>IF(T$7 &lt;&gt;0, $D$7/T$7, 0)</f>
        <v>0</v>
      </c>
      <c r="E23" s="67">
        <f>IF(T$8&lt;&gt;0, ($E$8/T$8), 0)</f>
        <v>0</v>
      </c>
      <c r="F23" s="67">
        <f>IF(T$9, ($F$9/T$9),0)</f>
        <v>0</v>
      </c>
      <c r="G23" s="67">
        <f>IF(T$10&lt;&gt;0, ($G$10/T$10),0)</f>
        <v>0</v>
      </c>
      <c r="H23" s="67">
        <f>IF($T$11&lt;&gt;0,$H$11/$T$11,0)</f>
        <v>0</v>
      </c>
      <c r="I23" s="67">
        <f>IF($T$12&lt;&gt;0,$I$12/$T$12,0)</f>
        <v>0</v>
      </c>
      <c r="J23" s="67">
        <f>IF($T$13&lt;&gt;0, $J$13/$T$13,0)</f>
        <v>0</v>
      </c>
      <c r="K23" s="67">
        <f>IF($T$14&lt;&gt;0,$K$14/$T$14,0)</f>
        <v>0</v>
      </c>
      <c r="L23" s="67">
        <f>IF($T$15&lt;&gt;0,$L$15/$T$15,0)</f>
        <v>0</v>
      </c>
      <c r="M23" s="67">
        <f>IF($T$16&lt;&gt;0,$M$16/$T$16,0)</f>
        <v>0</v>
      </c>
      <c r="N23" s="67">
        <f>IF($T$17&lt;&gt;0,$N$17/$T$17,0)</f>
        <v>0</v>
      </c>
      <c r="O23" s="67">
        <f>IF($T$18&lt;&gt;0,$O$18/$T$18,0)</f>
        <v>0</v>
      </c>
      <c r="P23" s="67">
        <f>IF($T$19&lt;&gt;0,$P$19/$T$19,0)</f>
        <v>0</v>
      </c>
      <c r="Q23" s="67">
        <f>IF($T$20&lt;&gt;0,$Q$20/$T$20,0)</f>
        <v>0</v>
      </c>
      <c r="R23" s="67">
        <f>IF($T$21&lt;&gt;0,$R$21/$T$21,0)</f>
        <v>0.25</v>
      </c>
      <c r="S23" s="65">
        <f>IF($T$22&lt;&gt;0,$S$22/$T$22,0)</f>
        <v>3</v>
      </c>
      <c r="T23" s="62">
        <v>1</v>
      </c>
      <c r="U23" s="204">
        <v>1</v>
      </c>
      <c r="V23" s="204">
        <v>1</v>
      </c>
      <c r="W23" s="204">
        <v>3</v>
      </c>
      <c r="X23" s="204">
        <v>1</v>
      </c>
      <c r="Y23" s="204">
        <v>1</v>
      </c>
      <c r="Z23" s="81" t="str">
        <f>Threats!B17</f>
        <v>Threats to Information Leakage</v>
      </c>
      <c r="AA23" s="47"/>
      <c r="AB23" s="362" t="s">
        <v>255</v>
      </c>
      <c r="AC23" s="363"/>
      <c r="AD23" s="363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58"/>
      <c r="DP23" s="58"/>
      <c r="DQ23" s="58"/>
      <c r="DR23" s="58"/>
      <c r="DS23" s="58"/>
      <c r="DT23" s="58"/>
      <c r="DU23" s="59"/>
      <c r="DV23" s="59"/>
    </row>
    <row r="24" spans="1:126" ht="12.75" customHeight="1" thickBot="1" x14ac:dyDescent="0.3">
      <c r="A24" s="48"/>
      <c r="B24" s="47"/>
      <c r="C24" s="60" t="str">
        <f>Threats!A18</f>
        <v>T18-Authentication Threats</v>
      </c>
      <c r="D24" s="64">
        <f>IF(U$7 &lt;&gt; 0, $D$7/U$7, 0)</f>
        <v>0</v>
      </c>
      <c r="E24" s="67">
        <f>IF(U$8 &lt;&gt;0, ($E$8/U$8), 0)</f>
        <v>0</v>
      </c>
      <c r="F24" s="67">
        <f>IF(U$9 &lt;&gt;0, ($F$9/U$9),0)</f>
        <v>0</v>
      </c>
      <c r="G24" s="67">
        <f>IF(U$10&lt;&gt;0,($G$10/U$10),0)</f>
        <v>0</v>
      </c>
      <c r="H24" s="67">
        <f>IF($U$11&lt;&gt;0,$H$11/$U$11,0)</f>
        <v>0</v>
      </c>
      <c r="I24" s="67">
        <f>IF($U$12&lt;&gt;0,$I$12/$U$12,0)</f>
        <v>0</v>
      </c>
      <c r="J24" s="67">
        <f>IF($U$13&lt;&gt;0,$J$13/$U$13,0)</f>
        <v>0</v>
      </c>
      <c r="K24" s="67">
        <f>IF($U$14&lt;&gt;0,$K$14/$U$14,0)</f>
        <v>0</v>
      </c>
      <c r="L24" s="67">
        <f>IF($U$15&lt;&gt;0,$L$15/$U$15,0)</f>
        <v>0</v>
      </c>
      <c r="M24" s="67">
        <f>IF($U$16&lt;&gt;0,$M$16/$U$16,0)</f>
        <v>0</v>
      </c>
      <c r="N24" s="67">
        <f>IF($U$17&lt;&gt;0,$N$17/$U$17,0)</f>
        <v>0</v>
      </c>
      <c r="O24" s="67">
        <f>IF($U$18&lt;&gt;0,$O$18/$U$18,0)</f>
        <v>0</v>
      </c>
      <c r="P24" s="67">
        <f>IF($U$19&lt;&gt;0,$P$19/$U$19,0)</f>
        <v>0</v>
      </c>
      <c r="Q24" s="67">
        <f>IF($U$20&lt;&gt;0,$Q$20/$U$20,0)</f>
        <v>0</v>
      </c>
      <c r="R24" s="67">
        <f>IF($U$21&lt;&gt;0,$R$21/$U$21,0)</f>
        <v>0.25</v>
      </c>
      <c r="S24" s="67">
        <f>IF($U$22&lt;&gt;0,$S$22/$U$22,0)</f>
        <v>4</v>
      </c>
      <c r="T24" s="65">
        <f>IF($U$23&lt;&gt;0,$T$23/$U$23,0)</f>
        <v>1</v>
      </c>
      <c r="U24" s="62">
        <v>1</v>
      </c>
      <c r="V24" s="205">
        <v>1</v>
      </c>
      <c r="W24" s="205">
        <v>2</v>
      </c>
      <c r="X24" s="205">
        <v>2</v>
      </c>
      <c r="Y24" s="205">
        <v>1</v>
      </c>
      <c r="Z24" s="82" t="str">
        <f>Threats!B18</f>
        <v>Threats to Information Leakage</v>
      </c>
      <c r="AA24" s="47"/>
      <c r="AB24" s="364" t="s">
        <v>255</v>
      </c>
      <c r="AC24" s="365"/>
      <c r="AD24" s="365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58"/>
      <c r="DP24" s="58"/>
      <c r="DQ24" s="58"/>
      <c r="DR24" s="58"/>
      <c r="DS24" s="58"/>
      <c r="DT24" s="58"/>
      <c r="DU24" s="59"/>
      <c r="DV24" s="59"/>
    </row>
    <row r="25" spans="1:126" ht="12.75" customHeight="1" thickBot="1" x14ac:dyDescent="0.3">
      <c r="A25" s="48"/>
      <c r="B25" s="47"/>
      <c r="C25" s="60" t="str">
        <f>Threats!A19</f>
        <v>T19-Non Repudiation Threats</v>
      </c>
      <c r="D25" s="64">
        <f>IF(V$7 &lt;&gt; 0, $D$7/V$7, 0)</f>
        <v>0</v>
      </c>
      <c r="E25" s="67">
        <f>IF(V$8 &lt;&gt; 0, ($E$8/V$8), 0)</f>
        <v>0</v>
      </c>
      <c r="F25" s="67">
        <f>IF(V$9&lt;&gt;0,($F$9/V$9),0)</f>
        <v>0</v>
      </c>
      <c r="G25" s="67">
        <f>IF(V$10&lt;&gt;0,($G$10/V$10),0)</f>
        <v>0</v>
      </c>
      <c r="H25" s="67">
        <f>IF($V$11&lt;&gt;0,$H$11/$V$11,0)</f>
        <v>0</v>
      </c>
      <c r="I25" s="67">
        <f>IF($V$12&lt;&gt;0,$I$12/$V$12,0)</f>
        <v>0</v>
      </c>
      <c r="J25" s="67">
        <f>IF($V$13&lt;&gt;0,$J$13/$V$13,0)</f>
        <v>0</v>
      </c>
      <c r="K25" s="67">
        <f>IF($V$14&lt;&gt;0,$K$14/$V$14,0)</f>
        <v>0</v>
      </c>
      <c r="L25" s="67">
        <f>IF($V$15&lt;&gt;0,$L$15/$V$15,0)</f>
        <v>0</v>
      </c>
      <c r="M25" s="67">
        <f>IF($V$16&lt;&gt;0,$M$16/$V$16,0)</f>
        <v>0</v>
      </c>
      <c r="N25" s="67">
        <f>IF($V$17&lt;&gt;0,$N$17/$V$17,0)</f>
        <v>0</v>
      </c>
      <c r="O25" s="67">
        <f>IF($V$18&lt;&gt;0,$O$18/$V$18,0)</f>
        <v>0</v>
      </c>
      <c r="P25" s="67">
        <f>IF($V$19&lt;&gt;0,$P$19/$V$19,0)</f>
        <v>0</v>
      </c>
      <c r="Q25" s="67">
        <f>IF($V$20&lt;&gt;0,$Q$20/$V$20,0)</f>
        <v>0</v>
      </c>
      <c r="R25" s="67">
        <f>IF($V$21&lt;&gt;0,$R$21/$V$21)</f>
        <v>0.25</v>
      </c>
      <c r="S25" s="67">
        <f>IF($V$22&lt;&gt;0,$S$22/$V$22,0)</f>
        <v>4</v>
      </c>
      <c r="T25" s="67">
        <f>IF($V$23&lt;&gt;0,$T$23/$V$23,0)</f>
        <v>1</v>
      </c>
      <c r="U25" s="65">
        <f>IF($V$24&lt;&gt;0,$U$24/$V$24,0)</f>
        <v>1</v>
      </c>
      <c r="V25" s="62">
        <v>1</v>
      </c>
      <c r="W25" s="206">
        <v>2</v>
      </c>
      <c r="X25" s="206">
        <v>1</v>
      </c>
      <c r="Y25" s="206">
        <v>1</v>
      </c>
      <c r="Z25" s="83" t="str">
        <f>Threats!B19</f>
        <v>Threats to Information Leakage</v>
      </c>
      <c r="AA25" s="47"/>
      <c r="AB25" s="366" t="s">
        <v>255</v>
      </c>
      <c r="AC25" s="367"/>
      <c r="AD25" s="36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58"/>
      <c r="DP25" s="58"/>
      <c r="DQ25" s="58"/>
      <c r="DR25" s="58"/>
      <c r="DS25" s="58"/>
      <c r="DT25" s="58"/>
      <c r="DU25" s="59"/>
      <c r="DV25" s="59"/>
    </row>
    <row r="26" spans="1:126" ht="12.75" customHeight="1" thickBot="1" x14ac:dyDescent="0.3">
      <c r="A26" s="48"/>
      <c r="B26" s="47"/>
      <c r="C26" s="60" t="str">
        <f>Threats!A20</f>
        <v>T20-Separation of Duties</v>
      </c>
      <c r="D26" s="64">
        <f>IF(W$7 &lt;&gt; 0, $D$7/W$7, 0)</f>
        <v>0</v>
      </c>
      <c r="E26" s="67">
        <f>IF(W$8 &lt;&gt; 0, ($E$8/W$8), 0)</f>
        <v>0</v>
      </c>
      <c r="F26" s="67">
        <f>IF(W$9&lt;&gt;0, ($F$9/W$9),0)</f>
        <v>0</v>
      </c>
      <c r="G26" s="67">
        <f>IF(W$10&lt;&gt;0,($G$10/W$10),0)</f>
        <v>0</v>
      </c>
      <c r="H26" s="67">
        <f>IF($W$11&lt;&gt;0,$H$11/$W$11,0)</f>
        <v>0</v>
      </c>
      <c r="I26" s="67">
        <f>IF($W$12&lt;&gt;0,$I$12/$W$12,0)</f>
        <v>0</v>
      </c>
      <c r="J26" s="67">
        <f>IF($W$13&lt;&gt;0,$J$13/$W$13,0)</f>
        <v>0</v>
      </c>
      <c r="K26" s="67">
        <f>IF($W$14&lt;&gt;0,$K$14/$W$14,0)</f>
        <v>0</v>
      </c>
      <c r="L26" s="67">
        <f>IF(W$15&lt;&gt;0,$L$15/W$15,0)</f>
        <v>0</v>
      </c>
      <c r="M26" s="67">
        <f>IF($W$16&lt;&gt;0,$M$16/$W$16,0)</f>
        <v>0</v>
      </c>
      <c r="N26" s="67">
        <f>IF($W$17&lt;&gt;0,$N$17/$W$17,0)</f>
        <v>0</v>
      </c>
      <c r="O26" s="67">
        <f>IF($W$18&lt;&gt;0,$O$18/$W$18,0)</f>
        <v>0</v>
      </c>
      <c r="P26" s="67">
        <f>IF($W$19&lt;&gt;0,$P$19/$W$19,0)</f>
        <v>0</v>
      </c>
      <c r="Q26" s="67">
        <f>IF($W$20&lt;&gt;0,$Q$20/$W$20,0)</f>
        <v>0</v>
      </c>
      <c r="R26" s="67">
        <f>IF($W$21&lt;&gt;0,$R$21/$W$21,0)</f>
        <v>0.16666666666666666</v>
      </c>
      <c r="S26" s="67">
        <f>IF($W$22&lt;&gt;0,$S$22/$W$22)</f>
        <v>3</v>
      </c>
      <c r="T26" s="67">
        <f>IF($W$23&lt;&gt;0,$T$23/$W$23,0)</f>
        <v>0.33333333333333331</v>
      </c>
      <c r="U26" s="67">
        <f>IF($W$24&lt;&gt;0,$U$24/$W$24,0)</f>
        <v>0.5</v>
      </c>
      <c r="V26" s="65">
        <f>IF($W$25&lt;&gt;0,$V$25/$W$25,0)</f>
        <v>0.5</v>
      </c>
      <c r="W26" s="62">
        <v>1</v>
      </c>
      <c r="X26" s="207">
        <v>0.25</v>
      </c>
      <c r="Y26" s="207">
        <v>0.16666666666666666</v>
      </c>
      <c r="Z26" s="84" t="str">
        <f>Threats!B20</f>
        <v>Threats to Information Leakage</v>
      </c>
      <c r="AA26" s="47"/>
      <c r="AB26" s="368" t="s">
        <v>255</v>
      </c>
      <c r="AC26" s="369"/>
      <c r="AD26" s="369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58"/>
      <c r="DP26" s="58"/>
      <c r="DQ26" s="58"/>
      <c r="DR26" s="58"/>
      <c r="DS26" s="58"/>
      <c r="DT26" s="58"/>
      <c r="DU26" s="59"/>
      <c r="DV26" s="59"/>
    </row>
    <row r="27" spans="1:126" ht="12.75" customHeight="1" thickBot="1" x14ac:dyDescent="0.3">
      <c r="A27" s="48"/>
      <c r="B27" s="47"/>
      <c r="C27" s="60" t="str">
        <f>Threats!A21</f>
        <v>T21-Configuration Threats</v>
      </c>
      <c r="D27" s="64">
        <f>IF(X$7 &lt;&gt; 0, $D$7/X$7, 0)</f>
        <v>0</v>
      </c>
      <c r="E27" s="67">
        <f>IF(X$8 &lt;&gt;0, ($E$8/X$8), 0)</f>
        <v>0</v>
      </c>
      <c r="F27" s="67">
        <f>IF(X$9&lt;&gt;0, ($F$9/X$9),0)</f>
        <v>0</v>
      </c>
      <c r="G27" s="67">
        <f>IF(X$10&lt;&gt;0, ($G$10/X$10), 0)</f>
        <v>0</v>
      </c>
      <c r="H27" s="67">
        <f>IF($X$11&lt;&gt;0,$H$11/$X$11,0)</f>
        <v>0</v>
      </c>
      <c r="I27" s="67">
        <f>IF($X$12&lt;&gt;0,$I$12/$X$12,0)</f>
        <v>0</v>
      </c>
      <c r="J27" s="67">
        <f>IF($X$13&lt;&gt;0,$J$13/$X$13,0)</f>
        <v>0</v>
      </c>
      <c r="K27" s="67">
        <f>IF($X$14&lt;&gt;0,$K$14/$X$14,0)</f>
        <v>0</v>
      </c>
      <c r="L27" s="67">
        <f>IF($X$15&lt;&gt;0,$L$15/$X$15,0)</f>
        <v>0</v>
      </c>
      <c r="M27" s="67">
        <f>IF($X$16&lt;&gt;0,$M$16/$X$16,0)</f>
        <v>0</v>
      </c>
      <c r="N27" s="67">
        <f>IF($X$17&lt;&gt;0,$N$17/$X$17,0)</f>
        <v>0</v>
      </c>
      <c r="O27" s="67">
        <f>IF($X$18&lt;&gt;0,$O$18/$X$18,0)</f>
        <v>0</v>
      </c>
      <c r="P27" s="67">
        <f>IF($X$19&lt;&gt;0,$P$19/$X$19,0)</f>
        <v>0</v>
      </c>
      <c r="Q27" s="67">
        <f>IF($X$20&lt;&gt;0,$Q$20/$X$20,0)</f>
        <v>0</v>
      </c>
      <c r="R27" s="67">
        <f>IF($X$21&lt;&gt;0,$R$21/$X$21,0)</f>
        <v>0.16666666666666666</v>
      </c>
      <c r="S27" s="67">
        <f>IF($X$22&lt;&gt;0,$S$22/$X$22,0)</f>
        <v>3</v>
      </c>
      <c r="T27" s="67">
        <f>IF($X$23&lt;&gt;0,$T$23/$X$23,0)</f>
        <v>1</v>
      </c>
      <c r="U27" s="67">
        <f>IF($X$24&lt;&gt;0,$U$24/$X$24,0)</f>
        <v>0.5</v>
      </c>
      <c r="V27" s="67">
        <f>IF($X$25&lt;&gt;0,$V$25/$X$25,0)</f>
        <v>1</v>
      </c>
      <c r="W27" s="65">
        <f>IF($X$26&lt;&gt;0,$W$26/$X$26,0)</f>
        <v>4</v>
      </c>
      <c r="X27" s="62">
        <v>1</v>
      </c>
      <c r="Y27" s="208">
        <v>1</v>
      </c>
      <c r="Z27" s="85" t="str">
        <f>Threats!B21</f>
        <v>Threats to Information Leakage</v>
      </c>
      <c r="AA27" s="47"/>
      <c r="AB27" s="370" t="s">
        <v>255</v>
      </c>
      <c r="AC27" s="371"/>
      <c r="AD27" s="371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58"/>
      <c r="DP27" s="58"/>
      <c r="DQ27" s="58"/>
      <c r="DR27" s="58"/>
      <c r="DS27" s="58"/>
      <c r="DT27" s="58"/>
      <c r="DU27" s="59"/>
      <c r="DV27" s="59"/>
    </row>
    <row r="28" spans="1:126" ht="12.75" customHeight="1" thickBot="1" x14ac:dyDescent="0.3">
      <c r="A28" s="48"/>
      <c r="B28" s="47"/>
      <c r="C28" s="60" t="str">
        <f>Threats!A22</f>
        <v>T22- Communications Threats</v>
      </c>
      <c r="D28" s="64">
        <f>IF(Y$7 &lt;&gt; 0, $D$7/Y$7, 0)</f>
        <v>0</v>
      </c>
      <c r="E28" s="67">
        <f>IF(Y$8 &lt;&gt;0, ($E$8/Y$8),0)</f>
        <v>0</v>
      </c>
      <c r="F28" s="67">
        <f>IF(Y$9&lt;&gt;0, ($F$9/Y$9),0)</f>
        <v>0</v>
      </c>
      <c r="G28" s="67">
        <f>IF(Y$10&lt;&gt;0, ($G$10/Y$10),0)</f>
        <v>0</v>
      </c>
      <c r="H28" s="67">
        <f>IF($Y$11&lt;&gt;0,$H$11/$Y$11,0)</f>
        <v>0</v>
      </c>
      <c r="I28" s="67">
        <f>IF($Y$12&lt;&gt;0,$I$12/$Y$12,0)</f>
        <v>0</v>
      </c>
      <c r="J28" s="67">
        <f>IF($Y$13&lt;&gt;0,$J$13/$Y$13,0)</f>
        <v>0</v>
      </c>
      <c r="K28" s="67">
        <f>IF($Y$14&lt;&gt;0,$K$14/$Y$14,0)</f>
        <v>0</v>
      </c>
      <c r="L28" s="67">
        <f>IF($Y$15&lt;&gt;0,$L$15/$Y$15,0)</f>
        <v>0</v>
      </c>
      <c r="M28" s="67">
        <f>IF($Y$16&lt;&gt;0,$M$16/$Y$16,0)</f>
        <v>0</v>
      </c>
      <c r="N28" s="67">
        <f>IF($Y$17&lt;&gt;0,$N$17/$Y$17,0)</f>
        <v>0</v>
      </c>
      <c r="O28" s="67">
        <f>IF($Y$18&lt;&gt;0,$O$18/$Y$18,0)</f>
        <v>0</v>
      </c>
      <c r="P28" s="67">
        <f>IF($Y$19&lt;&gt;0,$P$19/$Y$19,0)</f>
        <v>0</v>
      </c>
      <c r="Q28" s="67">
        <f>IF($Y$20&lt;&gt;0,$Q$20/$Y$20,0)</f>
        <v>0</v>
      </c>
      <c r="R28" s="67">
        <f>IF($Y$21&lt;&gt;0,$R$21/$Y$21,0)</f>
        <v>0.33333333333333331</v>
      </c>
      <c r="S28" s="67">
        <f>IF($Y$22&lt;&gt;0,$S$22/$Y$22,0)</f>
        <v>4</v>
      </c>
      <c r="T28" s="67">
        <f>IF($Y$23&lt;&gt;0,$T$23/$Y$23,0)</f>
        <v>1</v>
      </c>
      <c r="U28" s="67">
        <f>IF($Y$24&lt;&gt;0,$U$24/$Y$24,0)</f>
        <v>1</v>
      </c>
      <c r="V28" s="67">
        <f>IF($Y$25&lt;&gt;0,$V$25/$Y$25,0)</f>
        <v>1</v>
      </c>
      <c r="W28" s="67">
        <f>IF($Y$26&lt;&gt;0,$W$26/$Y$26,0)</f>
        <v>6</v>
      </c>
      <c r="X28" s="65">
        <f>IF($Y$27&lt;&gt;0,$X$27/$Y$27,0)</f>
        <v>1</v>
      </c>
      <c r="Y28" s="62">
        <v>1</v>
      </c>
      <c r="Z28" s="86" t="str">
        <f>Threats!B22</f>
        <v>Threats to Information Leakage</v>
      </c>
      <c r="AA28" s="47"/>
      <c r="AB28" s="372" t="s">
        <v>255</v>
      </c>
      <c r="AC28" s="373"/>
      <c r="AD28" s="373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47"/>
      <c r="BJ28" s="47"/>
      <c r="BK28" s="47"/>
      <c r="BL28" s="47"/>
      <c r="BM28" s="47"/>
      <c r="BN28" s="47"/>
      <c r="BO28" s="47"/>
      <c r="BP28" s="47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47"/>
      <c r="CL28" s="47"/>
      <c r="CM28" s="47"/>
      <c r="CN28" s="47"/>
      <c r="CO28" s="47"/>
      <c r="CP28" s="47"/>
      <c r="CQ28" s="47"/>
      <c r="CR28" s="47"/>
      <c r="CS28" s="47"/>
      <c r="CT28" s="47"/>
      <c r="CU28" s="47"/>
      <c r="CV28" s="47"/>
      <c r="CW28" s="47"/>
      <c r="CX28" s="47"/>
      <c r="CY28" s="47"/>
      <c r="CZ28" s="47"/>
      <c r="DA28" s="47"/>
      <c r="DB28" s="47"/>
      <c r="DC28" s="47"/>
      <c r="DD28" s="47"/>
      <c r="DE28" s="47"/>
      <c r="DF28" s="47"/>
      <c r="DG28" s="47"/>
      <c r="DH28" s="47"/>
      <c r="DI28" s="47"/>
      <c r="DJ28" s="47"/>
      <c r="DK28" s="47"/>
      <c r="DL28" s="47"/>
      <c r="DM28" s="47"/>
      <c r="DN28" s="47"/>
      <c r="DO28" s="58"/>
      <c r="DP28" s="58"/>
      <c r="DQ28" s="58"/>
      <c r="DR28" s="58"/>
      <c r="DS28" s="58"/>
      <c r="DT28" s="58"/>
      <c r="DU28" s="59"/>
      <c r="DV28" s="59"/>
    </row>
    <row r="29" spans="1:126" ht="12.75" customHeight="1" x14ac:dyDescent="0.25">
      <c r="A29" s="48"/>
      <c r="B29" s="47"/>
      <c r="C29" s="87" t="s">
        <v>251</v>
      </c>
      <c r="D29" s="88">
        <f t="shared" ref="D29:Y29" si="0">SUM(D7:D28)</f>
        <v>73</v>
      </c>
      <c r="E29" s="89">
        <f t="shared" si="0"/>
        <v>20.027777777777779</v>
      </c>
      <c r="F29" s="89">
        <f t="shared" si="0"/>
        <v>41.111111111111114</v>
      </c>
      <c r="G29" s="89">
        <f t="shared" si="0"/>
        <v>29.444444444444443</v>
      </c>
      <c r="H29" s="89">
        <f t="shared" si="0"/>
        <v>5.1111111111111107</v>
      </c>
      <c r="I29" s="89">
        <f t="shared" si="0"/>
        <v>30.777777777777779</v>
      </c>
      <c r="J29" s="89">
        <f t="shared" si="0"/>
        <v>3.7579365079365079</v>
      </c>
      <c r="K29" s="89">
        <f t="shared" si="0"/>
        <v>3.7440476190476191</v>
      </c>
      <c r="L29" s="89">
        <f t="shared" si="0"/>
        <v>20.227777777777778</v>
      </c>
      <c r="M29" s="89">
        <f t="shared" si="0"/>
        <v>8.5333333333333332</v>
      </c>
      <c r="N29" s="89">
        <f t="shared" si="0"/>
        <v>6.333333333333333</v>
      </c>
      <c r="O29" s="89">
        <f t="shared" si="0"/>
        <v>14</v>
      </c>
      <c r="P29" s="89">
        <f t="shared" si="0"/>
        <v>4.833333333333333</v>
      </c>
      <c r="Q29" s="89">
        <f t="shared" si="0"/>
        <v>5.6666666666666661</v>
      </c>
      <c r="R29" s="89">
        <f t="shared" si="0"/>
        <v>2.5416666666666665</v>
      </c>
      <c r="S29" s="89">
        <f t="shared" si="0"/>
        <v>30</v>
      </c>
      <c r="T29" s="89">
        <f t="shared" si="0"/>
        <v>9.6666666666666661</v>
      </c>
      <c r="U29" s="89">
        <f t="shared" si="0"/>
        <v>9.25</v>
      </c>
      <c r="V29" s="89">
        <f t="shared" si="0"/>
        <v>9.75</v>
      </c>
      <c r="W29" s="89">
        <f t="shared" si="0"/>
        <v>24.333333333333332</v>
      </c>
      <c r="X29" s="89">
        <f t="shared" si="0"/>
        <v>12.583333333333332</v>
      </c>
      <c r="Y29" s="89">
        <f t="shared" si="0"/>
        <v>8.4166666666666679</v>
      </c>
      <c r="Z29" s="47"/>
      <c r="AA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58"/>
      <c r="DP29" s="58"/>
      <c r="DQ29" s="58"/>
      <c r="DR29" s="58"/>
      <c r="DS29" s="58"/>
      <c r="DT29" s="58"/>
      <c r="DU29" s="59"/>
      <c r="DV29" s="59"/>
    </row>
    <row r="30" spans="1:126" s="50" customFormat="1" ht="12.75" customHeight="1" x14ac:dyDescent="0.25">
      <c r="A30" s="90"/>
      <c r="B30" s="54"/>
      <c r="C30" s="91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54"/>
      <c r="AA30" s="54"/>
      <c r="AB30" s="93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54"/>
      <c r="CT30" s="54"/>
      <c r="CU30" s="54"/>
      <c r="CV30" s="54"/>
      <c r="CW30" s="54"/>
      <c r="CX30" s="54"/>
      <c r="CY30" s="54"/>
      <c r="CZ30" s="54"/>
      <c r="DA30" s="54"/>
      <c r="DB30" s="54"/>
      <c r="DC30" s="54"/>
      <c r="DD30" s="54"/>
      <c r="DE30" s="54"/>
      <c r="DF30" s="54"/>
      <c r="DG30" s="54"/>
      <c r="DH30" s="54"/>
      <c r="DI30" s="54"/>
      <c r="DJ30" s="54"/>
      <c r="DK30" s="54"/>
      <c r="DL30" s="54"/>
      <c r="DM30" s="54"/>
      <c r="DN30" s="54"/>
      <c r="DO30" s="94"/>
      <c r="DP30" s="94"/>
      <c r="DQ30" s="94"/>
      <c r="DR30" s="94"/>
      <c r="DS30" s="94"/>
      <c r="DT30" s="94"/>
      <c r="DU30" s="95"/>
      <c r="DV30" s="95"/>
    </row>
    <row r="31" spans="1:126" s="50" customFormat="1" ht="12.75" customHeight="1" thickBot="1" x14ac:dyDescent="0.3">
      <c r="A31" s="90"/>
      <c r="B31" s="54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54"/>
      <c r="AB31" s="93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54"/>
      <c r="CT31" s="54"/>
      <c r="CU31" s="54"/>
      <c r="CV31" s="54"/>
      <c r="CW31" s="54"/>
      <c r="CX31" s="54"/>
      <c r="CY31" s="54"/>
      <c r="CZ31" s="54"/>
      <c r="DA31" s="54"/>
      <c r="DB31" s="54"/>
      <c r="DC31" s="54"/>
      <c r="DD31" s="54"/>
      <c r="DE31" s="54"/>
      <c r="DF31" s="54"/>
      <c r="DG31" s="54"/>
      <c r="DH31" s="54"/>
      <c r="DI31" s="54"/>
      <c r="DJ31" s="54"/>
      <c r="DK31" s="54"/>
      <c r="DL31" s="54"/>
      <c r="DM31" s="54"/>
      <c r="DN31" s="54"/>
      <c r="DO31" s="94"/>
      <c r="DP31" s="94"/>
      <c r="DQ31" s="94"/>
      <c r="DR31" s="94"/>
      <c r="DS31" s="94"/>
      <c r="DT31" s="94"/>
      <c r="DU31" s="95"/>
      <c r="DV31" s="95"/>
    </row>
    <row r="32" spans="1:126" ht="12.75" customHeight="1" thickTop="1" x14ac:dyDescent="0.3">
      <c r="A32" s="48"/>
      <c r="B32" s="47"/>
      <c r="C32" s="354" t="s">
        <v>277</v>
      </c>
      <c r="D32" s="352" t="str">
        <f>"Normalized Score "&amp;Threats!A1</f>
        <v>Normalized Score T1-Power Loss</v>
      </c>
      <c r="E32" s="352" t="str">
        <f>"Normalized Score "&amp;Threats!A2</f>
        <v>Normalized Score T2-Hardware Failure</v>
      </c>
      <c r="F32" s="352" t="str">
        <f>"Normalized Score "&amp;Threats!A3</f>
        <v>Normalized Score T3-Software Crash</v>
      </c>
      <c r="G32" s="352" t="str">
        <f>"Normalized Score "&amp;Threats!A4</f>
        <v>Normalized Score T4-Operator Errors</v>
      </c>
      <c r="H32" s="352" t="str">
        <f>"Normalized Score "&amp;Threats!A5</f>
        <v>Normalized Score T5-Malicious Inside Action</v>
      </c>
      <c r="I32" s="352" t="str">
        <f>"Normalized Score "&amp;Threats!A6</f>
        <v>Normalized Score T6-Trojan and Worms</v>
      </c>
      <c r="J32" s="352" t="str">
        <f>"Normalized Score "&amp;Threats!A7</f>
        <v>Normalized Score T7-Fire</v>
      </c>
      <c r="K32" s="352" t="str">
        <f>"Normalized Score "&amp;Threats!A8</f>
        <v>Normalized Score T8-Other Enviromental Disasters</v>
      </c>
      <c r="L32" s="352" t="str">
        <f>"Normalized Score"&amp;Threats!A9</f>
        <v>Normalized ScoreT9-Availability Threats(DDOS)</v>
      </c>
      <c r="M32" s="352" t="str">
        <f>"Normalized Score "&amp;Threats!A10</f>
        <v>Normalized Score T10-Disk Failure</v>
      </c>
      <c r="N32" s="352" t="str">
        <f>"Normalized Score "&amp;Threats!A11</f>
        <v>Normalized Score T11-Data Corruption</v>
      </c>
      <c r="O32" s="352" t="str">
        <f>"Normalized Score "&amp;Threats!A12</f>
        <v>Normalized Score T12-Inaccurrate Data</v>
      </c>
      <c r="P32" s="352" t="str">
        <f>"Normalized Score "&amp;Threats!A13</f>
        <v>Normalized Score T13-Un-authorized Access</v>
      </c>
      <c r="Q32" s="352" t="str">
        <f>"Normalized Score "&amp;Threats!A14</f>
        <v>Normalized Score T14-Virus and Spyware</v>
      </c>
      <c r="R32" s="352" t="str">
        <f>"Normalized Score "&amp;Threats!A15</f>
        <v>Normalized Score T15-Hacking</v>
      </c>
      <c r="S32" s="352" t="str">
        <f>"Normalized Score "&amp;Threats!A16</f>
        <v>Normalized Score T16-Media Leakage</v>
      </c>
      <c r="T32" s="352" t="str">
        <f>"Normalized Score "&amp;Threats!A17</f>
        <v>Normalized Score T17-Communication Preventers(Botnet, Dialer)</v>
      </c>
      <c r="U32" s="352" t="str">
        <f>"Normalized Score "&amp;Threats!A18</f>
        <v>Normalized Score T18-Authentication Threats</v>
      </c>
      <c r="V32" s="352" t="str">
        <f>"Normalized Score "&amp;Threats!A19</f>
        <v>Normalized Score T19-Non Repudiation Threats</v>
      </c>
      <c r="W32" s="352" t="str">
        <f>"Normalized Score "&amp;Threats!A20</f>
        <v>Normalized Score T20-Separation of Duties</v>
      </c>
      <c r="X32" s="352" t="str">
        <f>"Normalized Score"&amp;Threats!A21</f>
        <v>Normalized ScoreT21-Configuration Threats</v>
      </c>
      <c r="Y32" s="352" t="str">
        <f>"Normalized Score"&amp;Threats!A22</f>
        <v>Normalized ScoreT22- Communications Threats</v>
      </c>
      <c r="Z32" s="347" t="s">
        <v>252</v>
      </c>
      <c r="AA32" s="96"/>
      <c r="AB32" s="96"/>
      <c r="AC32" s="97"/>
      <c r="AD32" s="98"/>
      <c r="AE32" s="349" t="s">
        <v>264</v>
      </c>
      <c r="AF32" s="354" t="s">
        <v>277</v>
      </c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351"/>
      <c r="DP32" s="345"/>
      <c r="DQ32" s="345"/>
      <c r="DR32" s="345"/>
      <c r="DS32" s="345"/>
      <c r="DT32" s="345"/>
      <c r="DU32" s="345"/>
      <c r="DV32" s="345"/>
    </row>
    <row r="33" spans="1:126" ht="115.5" customHeight="1" x14ac:dyDescent="0.25">
      <c r="A33" s="48"/>
      <c r="B33" s="47"/>
      <c r="C33" s="355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  <c r="O33" s="353"/>
      <c r="P33" s="353"/>
      <c r="Q33" s="353"/>
      <c r="R33" s="353"/>
      <c r="S33" s="353"/>
      <c r="T33" s="353"/>
      <c r="U33" s="353"/>
      <c r="V33" s="353"/>
      <c r="W33" s="353"/>
      <c r="X33" s="353"/>
      <c r="Y33" s="353"/>
      <c r="Z33" s="348"/>
      <c r="AA33" s="99" t="s">
        <v>253</v>
      </c>
      <c r="AB33" s="100" t="s">
        <v>256</v>
      </c>
      <c r="AC33" s="101" t="s">
        <v>323</v>
      </c>
      <c r="AD33" s="102" t="s">
        <v>324</v>
      </c>
      <c r="AE33" s="350"/>
      <c r="AF33" s="355"/>
      <c r="AG33" s="47"/>
      <c r="AH33" s="47"/>
      <c r="AI33" s="47"/>
      <c r="AJ33" s="47"/>
      <c r="AK33" s="47"/>
      <c r="AL33" s="103"/>
      <c r="AM33" s="103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351"/>
      <c r="DP33" s="345"/>
      <c r="DQ33" s="345"/>
      <c r="DR33" s="345"/>
      <c r="DS33" s="345"/>
      <c r="DT33" s="345"/>
      <c r="DU33" s="345"/>
      <c r="DV33" s="345"/>
    </row>
    <row r="34" spans="1:126" ht="12.75" customHeight="1" x14ac:dyDescent="0.3">
      <c r="A34" s="48"/>
      <c r="B34" s="47"/>
      <c r="C34" s="104" t="str">
        <f xml:space="preserve"> Threats!A1</f>
        <v>T1-Power Loss</v>
      </c>
      <c r="D34" s="105">
        <f t="shared" ref="D34:Y34" si="1">(D$7/D$29)</f>
        <v>1.3698630136986301E-2</v>
      </c>
      <c r="E34" s="106">
        <f t="shared" si="1"/>
        <v>5.5478502080443821E-3</v>
      </c>
      <c r="F34" s="105">
        <f t="shared" si="1"/>
        <v>2.7027027027027024E-3</v>
      </c>
      <c r="G34" s="105">
        <f t="shared" si="1"/>
        <v>3.7735849056603774E-3</v>
      </c>
      <c r="H34" s="105">
        <f t="shared" si="1"/>
        <v>2.1739130434782608E-2</v>
      </c>
      <c r="I34" s="105">
        <f t="shared" si="1"/>
        <v>3.6101083032490972E-3</v>
      </c>
      <c r="J34" s="105">
        <f t="shared" si="1"/>
        <v>2.9567053854276663E-2</v>
      </c>
      <c r="K34" s="105">
        <f t="shared" si="1"/>
        <v>2.9676735559088497E-2</v>
      </c>
      <c r="L34" s="105">
        <f t="shared" si="1"/>
        <v>5.4929964295523208E-3</v>
      </c>
      <c r="M34" s="105">
        <f t="shared" si="1"/>
        <v>0</v>
      </c>
      <c r="N34" s="105">
        <f t="shared" si="1"/>
        <v>0</v>
      </c>
      <c r="O34" s="105">
        <f t="shared" si="1"/>
        <v>0</v>
      </c>
      <c r="P34" s="105">
        <f t="shared" si="1"/>
        <v>0</v>
      </c>
      <c r="Q34" s="105">
        <f t="shared" si="1"/>
        <v>0</v>
      </c>
      <c r="R34" s="105">
        <f t="shared" si="1"/>
        <v>0</v>
      </c>
      <c r="S34" s="105">
        <f t="shared" si="1"/>
        <v>0</v>
      </c>
      <c r="T34" s="105">
        <f t="shared" si="1"/>
        <v>0</v>
      </c>
      <c r="U34" s="105">
        <f t="shared" si="1"/>
        <v>0</v>
      </c>
      <c r="V34" s="105">
        <f t="shared" si="1"/>
        <v>0</v>
      </c>
      <c r="W34" s="105">
        <f t="shared" si="1"/>
        <v>0</v>
      </c>
      <c r="X34" s="105">
        <f t="shared" si="1"/>
        <v>0</v>
      </c>
      <c r="Y34" s="105">
        <f t="shared" si="1"/>
        <v>0</v>
      </c>
      <c r="Z34" s="105">
        <f t="shared" ref="Z34:Z55" si="2">SUM(D34:Y34)</f>
        <v>0.11580879253434295</v>
      </c>
      <c r="AA34" s="105">
        <f t="shared" ref="AA34:AA55" si="3">(Z34/$Z$56)</f>
        <v>5.2815546946514092E-3</v>
      </c>
      <c r="AB34" s="105" t="str">
        <f>Threats!B1</f>
        <v>Threats to The Level of Service</v>
      </c>
      <c r="AC34" s="107">
        <f>INDEX(I69:I73,MATCH(AB34,B59:B63,0))</f>
        <v>0.37964912280701757</v>
      </c>
      <c r="AD34" s="108">
        <f t="shared" ref="AD34:AD55" si="4">Z34*AC34</f>
        <v>4.3966706499003187E-2</v>
      </c>
      <c r="AE34" s="109">
        <f>MMULT(D7:Y7, AA34:AA55)/AA34</f>
        <v>9.453798946108833</v>
      </c>
      <c r="AF34" s="104" t="str">
        <f xml:space="preserve"> Threats!A1</f>
        <v>T1-Power Loss</v>
      </c>
      <c r="AG34" s="47"/>
      <c r="AH34" s="47"/>
      <c r="AI34" s="47"/>
      <c r="AK34" s="47"/>
      <c r="AL34" s="47"/>
      <c r="AM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7"/>
      <c r="BQ34" s="47"/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7"/>
      <c r="CK34" s="47"/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7"/>
      <c r="DA34" s="47"/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58"/>
      <c r="DP34" s="58"/>
      <c r="DQ34" s="58"/>
      <c r="DR34" s="58"/>
      <c r="DS34" s="58"/>
      <c r="DT34" s="58"/>
      <c r="DU34" s="58"/>
      <c r="DV34" s="58"/>
    </row>
    <row r="35" spans="1:126" ht="12.75" customHeight="1" x14ac:dyDescent="0.3">
      <c r="A35" s="48"/>
      <c r="B35" s="48"/>
      <c r="C35" s="104" t="str">
        <f>Threats!A2</f>
        <v>T2-Hardware Failure</v>
      </c>
      <c r="D35" s="63">
        <f t="shared" ref="D35:Y35" si="5">(D$8/D$29)</f>
        <v>0.12328767123287671</v>
      </c>
      <c r="E35" s="110">
        <f t="shared" si="5"/>
        <v>4.9930651872399444E-2</v>
      </c>
      <c r="F35" s="63">
        <f t="shared" si="5"/>
        <v>9.7297297297297289E-2</v>
      </c>
      <c r="G35" s="63">
        <f t="shared" si="5"/>
        <v>0.10188679245283019</v>
      </c>
      <c r="H35" s="63">
        <f t="shared" si="5"/>
        <v>0.19565217391304349</v>
      </c>
      <c r="I35" s="63">
        <f t="shared" si="5"/>
        <v>9.7472924187725629E-2</v>
      </c>
      <c r="J35" s="63">
        <f t="shared" si="5"/>
        <v>3.8014783526927137E-2</v>
      </c>
      <c r="K35" s="63">
        <f t="shared" si="5"/>
        <v>3.8155802861685212E-2</v>
      </c>
      <c r="L35" s="63">
        <f t="shared" si="5"/>
        <v>1.6478989288656962E-2</v>
      </c>
      <c r="M35" s="63">
        <f t="shared" si="5"/>
        <v>0</v>
      </c>
      <c r="N35" s="63">
        <f t="shared" si="5"/>
        <v>0</v>
      </c>
      <c r="O35" s="63">
        <f t="shared" si="5"/>
        <v>0</v>
      </c>
      <c r="P35" s="63">
        <f t="shared" si="5"/>
        <v>0</v>
      </c>
      <c r="Q35" s="63">
        <f t="shared" si="5"/>
        <v>0</v>
      </c>
      <c r="R35" s="63">
        <f t="shared" si="5"/>
        <v>0</v>
      </c>
      <c r="S35" s="63">
        <f t="shared" si="5"/>
        <v>0</v>
      </c>
      <c r="T35" s="63">
        <f t="shared" si="5"/>
        <v>0</v>
      </c>
      <c r="U35" s="63">
        <f t="shared" si="5"/>
        <v>0</v>
      </c>
      <c r="V35" s="63">
        <f t="shared" si="5"/>
        <v>0</v>
      </c>
      <c r="W35" s="63">
        <f t="shared" si="5"/>
        <v>0</v>
      </c>
      <c r="X35" s="63">
        <f t="shared" si="5"/>
        <v>0</v>
      </c>
      <c r="Y35" s="63">
        <f t="shared" si="5"/>
        <v>0</v>
      </c>
      <c r="Z35" s="63">
        <f t="shared" si="2"/>
        <v>0.75817708663344197</v>
      </c>
      <c r="AA35" s="63">
        <f t="shared" si="3"/>
        <v>3.4577286090764638E-2</v>
      </c>
      <c r="AB35" s="63" t="str">
        <f>Threats!B2</f>
        <v>Threats to The Level of Service</v>
      </c>
      <c r="AC35" s="63">
        <f>INDEX(I69:I73,MATCH(AB35,B59:B63,0))</f>
        <v>0.37964912280701757</v>
      </c>
      <c r="AD35" s="111">
        <f t="shared" si="4"/>
        <v>0.28784126587276643</v>
      </c>
      <c r="AE35" s="109">
        <f>MMULT(D8:Y8, AA34:AA55)/AA35</f>
        <v>10.613217223638992</v>
      </c>
      <c r="AF35" s="104" t="str">
        <f>Threats!A2</f>
        <v>T2-Hardware Failure</v>
      </c>
      <c r="AG35" s="47"/>
      <c r="AH35" s="47"/>
      <c r="AI35" s="47"/>
      <c r="AK35" s="47"/>
      <c r="AL35" s="47"/>
      <c r="AM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58"/>
      <c r="DP35" s="58"/>
      <c r="DQ35" s="58"/>
      <c r="DR35" s="58"/>
      <c r="DS35" s="58"/>
      <c r="DT35" s="58"/>
      <c r="DU35" s="58"/>
      <c r="DV35" s="58"/>
    </row>
    <row r="36" spans="1:126" ht="12.75" customHeight="1" x14ac:dyDescent="0.3">
      <c r="A36" s="48"/>
      <c r="B36" s="48"/>
      <c r="C36" s="104" t="str">
        <f>Threats!A3</f>
        <v>T3-Software Crash</v>
      </c>
      <c r="D36" s="66">
        <f t="shared" ref="D36:Y36" si="6">(D$9/D$29)</f>
        <v>0.12328767123287671</v>
      </c>
      <c r="E36" s="112">
        <f t="shared" si="6"/>
        <v>1.2482662968099861E-2</v>
      </c>
      <c r="F36" s="66">
        <f t="shared" si="6"/>
        <v>2.4324324324324322E-2</v>
      </c>
      <c r="G36" s="66">
        <f t="shared" si="6"/>
        <v>1.1320754716981131E-2</v>
      </c>
      <c r="H36" s="66">
        <f t="shared" si="6"/>
        <v>4.8913043478260872E-2</v>
      </c>
      <c r="I36" s="66">
        <f t="shared" si="6"/>
        <v>5.415162454873646E-3</v>
      </c>
      <c r="J36" s="66">
        <f t="shared" si="6"/>
        <v>2.9567053854276663E-2</v>
      </c>
      <c r="K36" s="66">
        <f t="shared" si="6"/>
        <v>2.9676735559088497E-2</v>
      </c>
      <c r="L36" s="66">
        <f t="shared" si="6"/>
        <v>9.8873935731941774E-3</v>
      </c>
      <c r="M36" s="66">
        <f t="shared" si="6"/>
        <v>0</v>
      </c>
      <c r="N36" s="66">
        <f t="shared" si="6"/>
        <v>0</v>
      </c>
      <c r="O36" s="66">
        <f t="shared" si="6"/>
        <v>0</v>
      </c>
      <c r="P36" s="66">
        <f t="shared" si="6"/>
        <v>0</v>
      </c>
      <c r="Q36" s="66">
        <f t="shared" si="6"/>
        <v>0</v>
      </c>
      <c r="R36" s="66">
        <f t="shared" si="6"/>
        <v>0</v>
      </c>
      <c r="S36" s="66">
        <f t="shared" si="6"/>
        <v>0</v>
      </c>
      <c r="T36" s="66">
        <f t="shared" si="6"/>
        <v>0</v>
      </c>
      <c r="U36" s="66">
        <f t="shared" si="6"/>
        <v>0</v>
      </c>
      <c r="V36" s="66">
        <f t="shared" si="6"/>
        <v>0</v>
      </c>
      <c r="W36" s="66">
        <f t="shared" si="6"/>
        <v>0</v>
      </c>
      <c r="X36" s="66">
        <f t="shared" si="6"/>
        <v>0</v>
      </c>
      <c r="Y36" s="66">
        <f t="shared" si="6"/>
        <v>0</v>
      </c>
      <c r="Z36" s="66">
        <f t="shared" si="2"/>
        <v>0.29487480216197587</v>
      </c>
      <c r="AA36" s="66">
        <f t="shared" si="3"/>
        <v>1.3448006508064964E-2</v>
      </c>
      <c r="AB36" s="66" t="str">
        <f>Threats!B3</f>
        <v>Threats to The Level of Service</v>
      </c>
      <c r="AC36" s="66">
        <f>INDEX(I69:I73,MATCH(AB36,B59:B63,0))</f>
        <v>0.37964912280701757</v>
      </c>
      <c r="AD36" s="113">
        <f t="shared" si="4"/>
        <v>0.11194895997868699</v>
      </c>
      <c r="AE36" s="109">
        <f>MMULT(D9:Y9, AA34:AA55)/AA36</f>
        <v>9.4128583764372404</v>
      </c>
      <c r="AF36" s="104" t="str">
        <f xml:space="preserve"> Threats!A3</f>
        <v>T3-Software Crash</v>
      </c>
      <c r="AG36" s="47"/>
      <c r="AH36" s="47"/>
      <c r="AI36" s="47"/>
      <c r="AK36" s="47"/>
      <c r="AL36" s="47"/>
      <c r="AM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  <c r="DA36" s="47"/>
      <c r="DB36" s="47"/>
      <c r="DC36" s="47"/>
      <c r="DD36" s="47"/>
      <c r="DE36" s="47"/>
      <c r="DF36" s="47"/>
      <c r="DG36" s="47"/>
      <c r="DH36" s="47"/>
      <c r="DI36" s="47"/>
      <c r="DJ36" s="47"/>
      <c r="DK36" s="47"/>
      <c r="DL36" s="47"/>
      <c r="DM36" s="47"/>
      <c r="DN36" s="47"/>
      <c r="DO36" s="58"/>
      <c r="DP36" s="58"/>
      <c r="DQ36" s="58"/>
      <c r="DR36" s="58"/>
      <c r="DS36" s="58"/>
      <c r="DT36" s="58"/>
      <c r="DU36" s="58"/>
      <c r="DV36" s="58"/>
    </row>
    <row r="37" spans="1:126" ht="12.75" customHeight="1" x14ac:dyDescent="0.3">
      <c r="A37" s="48"/>
      <c r="B37" s="48"/>
      <c r="C37" s="104" t="str">
        <f>Threats!A4</f>
        <v>T4-Operator Errors</v>
      </c>
      <c r="D37" s="68">
        <f t="shared" ref="D37:Y37" si="7">(D$10/D$29)</f>
        <v>0.12328767123287671</v>
      </c>
      <c r="E37" s="114">
        <f t="shared" si="7"/>
        <v>1.6643550624133148E-2</v>
      </c>
      <c r="F37" s="68">
        <f t="shared" si="7"/>
        <v>7.2972972972972963E-2</v>
      </c>
      <c r="G37" s="68">
        <f t="shared" si="7"/>
        <v>3.3962264150943396E-2</v>
      </c>
      <c r="H37" s="68">
        <f t="shared" si="7"/>
        <v>6.5217391304347824E-2</v>
      </c>
      <c r="I37" s="68">
        <f t="shared" si="7"/>
        <v>1.6245487364620937E-2</v>
      </c>
      <c r="J37" s="68">
        <f t="shared" si="7"/>
        <v>3.3262935586061249E-2</v>
      </c>
      <c r="K37" s="68">
        <f t="shared" si="7"/>
        <v>3.3386327503974564E-2</v>
      </c>
      <c r="L37" s="68">
        <f t="shared" si="7"/>
        <v>1.2359241966492721E-2</v>
      </c>
      <c r="M37" s="68">
        <f t="shared" si="7"/>
        <v>0</v>
      </c>
      <c r="N37" s="68">
        <f t="shared" si="7"/>
        <v>0</v>
      </c>
      <c r="O37" s="68">
        <f t="shared" si="7"/>
        <v>0</v>
      </c>
      <c r="P37" s="68">
        <f t="shared" si="7"/>
        <v>0</v>
      </c>
      <c r="Q37" s="68">
        <f t="shared" si="7"/>
        <v>0</v>
      </c>
      <c r="R37" s="68">
        <f t="shared" si="7"/>
        <v>0</v>
      </c>
      <c r="S37" s="68">
        <f t="shared" si="7"/>
        <v>0</v>
      </c>
      <c r="T37" s="68">
        <f t="shared" si="7"/>
        <v>0</v>
      </c>
      <c r="U37" s="68">
        <f t="shared" si="7"/>
        <v>0</v>
      </c>
      <c r="V37" s="68">
        <f t="shared" si="7"/>
        <v>0</v>
      </c>
      <c r="W37" s="68">
        <f t="shared" si="7"/>
        <v>0</v>
      </c>
      <c r="X37" s="68">
        <f t="shared" si="7"/>
        <v>0</v>
      </c>
      <c r="Y37" s="68">
        <f t="shared" si="7"/>
        <v>0</v>
      </c>
      <c r="Z37" s="68">
        <f t="shared" si="2"/>
        <v>0.40733784270642354</v>
      </c>
      <c r="AA37" s="68">
        <f t="shared" si="3"/>
        <v>1.8576975446983446E-2</v>
      </c>
      <c r="AB37" s="68" t="str">
        <f>Threats!B4</f>
        <v>Threats to The Level of Service</v>
      </c>
      <c r="AC37" s="68">
        <f>INDEX(I69:I73,MATCH(AB37,B59:B63,0))</f>
        <v>0.37964912280701757</v>
      </c>
      <c r="AD37" s="115">
        <f t="shared" si="4"/>
        <v>0.15464545466959659</v>
      </c>
      <c r="AE37" s="109">
        <f>MMULT(D10:Y10, AA34:AA55)/AA37</f>
        <v>10.038458252192566</v>
      </c>
      <c r="AF37" s="104" t="str">
        <f>Threats!A4</f>
        <v>T4-Operator Errors</v>
      </c>
      <c r="AG37" s="47"/>
      <c r="AH37" s="47"/>
      <c r="AI37" s="47"/>
      <c r="AK37" s="47"/>
      <c r="AL37" s="47"/>
      <c r="AM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58"/>
      <c r="DP37" s="58"/>
      <c r="DQ37" s="58"/>
      <c r="DR37" s="58"/>
      <c r="DS37" s="58"/>
      <c r="DT37" s="58"/>
      <c r="DU37" s="58"/>
      <c r="DV37" s="58"/>
    </row>
    <row r="38" spans="1:126" ht="12.75" customHeight="1" x14ac:dyDescent="0.3">
      <c r="A38" s="48"/>
      <c r="B38" s="48"/>
      <c r="C38" s="104" t="str">
        <f>Threats!A5</f>
        <v>T5-Malicious Inside Action</v>
      </c>
      <c r="D38" s="69">
        <f>($D11/$D$29)</f>
        <v>0.12328767123287671</v>
      </c>
      <c r="E38" s="116">
        <f>($E11/$E$29)</f>
        <v>4.9930651872399444E-2</v>
      </c>
      <c r="F38" s="69">
        <f>($F9/$F$29)</f>
        <v>2.4324324324324322E-2</v>
      </c>
      <c r="G38" s="69">
        <f>($G11/$G$29)</f>
        <v>0.10188679245283019</v>
      </c>
      <c r="H38" s="69">
        <f>($H11/$H$29)</f>
        <v>0.19565217391304349</v>
      </c>
      <c r="I38" s="69">
        <f>($I11/$I$29)</f>
        <v>0.19494584837545126</v>
      </c>
      <c r="J38" s="69">
        <f>($J11/$J$29)</f>
        <v>0.26610348468848999</v>
      </c>
      <c r="K38" s="69">
        <f>($K11/$K$29)</f>
        <v>0.26709062003179651</v>
      </c>
      <c r="L38" s="69">
        <f>($L11/$L$29)</f>
        <v>0.19774787146388353</v>
      </c>
      <c r="M38" s="69">
        <f>($M11/$M$29)</f>
        <v>0</v>
      </c>
      <c r="N38" s="69">
        <f>($N11/$N$29)</f>
        <v>0</v>
      </c>
      <c r="O38" s="69">
        <f>($O11/$O$29)</f>
        <v>0</v>
      </c>
      <c r="P38" s="69">
        <f>($P11/$P$29)</f>
        <v>0</v>
      </c>
      <c r="Q38" s="69">
        <f>($Q11/$Q$29)</f>
        <v>0</v>
      </c>
      <c r="R38" s="69">
        <f>($R11/$R$29)</f>
        <v>0</v>
      </c>
      <c r="S38" s="69">
        <f>($S11/$S$29)</f>
        <v>0</v>
      </c>
      <c r="T38" s="69">
        <f>($T11/$T$29)</f>
        <v>0</v>
      </c>
      <c r="U38" s="69">
        <f>($U11/$U$29)</f>
        <v>0</v>
      </c>
      <c r="V38" s="69">
        <f>($V11/$V$29)</f>
        <v>0</v>
      </c>
      <c r="W38" s="69">
        <f>($W11/$W$29)</f>
        <v>0</v>
      </c>
      <c r="X38" s="69">
        <f>($X11/$X$29)</f>
        <v>0</v>
      </c>
      <c r="Y38" s="69">
        <f>($Y11/$Y$29)</f>
        <v>0</v>
      </c>
      <c r="Z38" s="69">
        <f t="shared" si="2"/>
        <v>1.4209694383550955</v>
      </c>
      <c r="AA38" s="69">
        <f t="shared" si="3"/>
        <v>6.4804473338023569E-2</v>
      </c>
      <c r="AB38" s="69" t="str">
        <f>Threats!B5</f>
        <v>Threats to The Level of Service</v>
      </c>
      <c r="AC38" s="69">
        <f>INDEX(I69:I73,MATCH(AB38,B59:B63,0))</f>
        <v>0.37964912280701757</v>
      </c>
      <c r="AD38" s="117">
        <f t="shared" si="4"/>
        <v>0.53946980080709239</v>
      </c>
      <c r="AE38" s="109">
        <f>MMULT(D11:Y11, AA34:AA55)/AA38</f>
        <v>11.578031610471333</v>
      </c>
      <c r="AF38" s="104" t="str">
        <f xml:space="preserve"> Threats!A5</f>
        <v>T5-Malicious Inside Action</v>
      </c>
      <c r="AG38" s="47"/>
      <c r="AH38" s="47"/>
      <c r="AI38" s="47"/>
      <c r="AK38" s="47"/>
      <c r="AL38" s="47"/>
      <c r="AM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58"/>
      <c r="DP38" s="58"/>
      <c r="DQ38" s="58"/>
      <c r="DR38" s="58"/>
      <c r="DS38" s="58"/>
      <c r="DT38" s="58"/>
      <c r="DU38" s="58"/>
      <c r="DV38" s="58"/>
    </row>
    <row r="39" spans="1:126" ht="12.75" customHeight="1" x14ac:dyDescent="0.3">
      <c r="A39" s="48"/>
      <c r="B39" s="48"/>
      <c r="C39" s="104" t="str">
        <f>Threats!A6</f>
        <v>T6-Trojan and Worms</v>
      </c>
      <c r="D39" s="70">
        <f t="shared" ref="D39:Y39" si="8">(D$12/D$29)</f>
        <v>0.12328767123287671</v>
      </c>
      <c r="E39" s="118">
        <f t="shared" si="8"/>
        <v>1.6643550624133148E-2</v>
      </c>
      <c r="F39" s="70">
        <f t="shared" si="8"/>
        <v>0.14594594594594593</v>
      </c>
      <c r="G39" s="70">
        <f t="shared" si="8"/>
        <v>6.7924528301886791E-2</v>
      </c>
      <c r="H39" s="70">
        <f t="shared" si="8"/>
        <v>3.2608695652173912E-2</v>
      </c>
      <c r="I39" s="70">
        <f t="shared" si="8"/>
        <v>3.2490974729241874E-2</v>
      </c>
      <c r="J39" s="70">
        <f t="shared" si="8"/>
        <v>3.3262935586061249E-2</v>
      </c>
      <c r="K39" s="70">
        <f t="shared" si="8"/>
        <v>2.9676735559088497E-2</v>
      </c>
      <c r="L39" s="70">
        <f t="shared" si="8"/>
        <v>1.6478989288656962E-2</v>
      </c>
      <c r="M39" s="70">
        <f t="shared" si="8"/>
        <v>0</v>
      </c>
      <c r="N39" s="70">
        <f t="shared" si="8"/>
        <v>0</v>
      </c>
      <c r="O39" s="70">
        <f t="shared" si="8"/>
        <v>0</v>
      </c>
      <c r="P39" s="70">
        <f t="shared" si="8"/>
        <v>0</v>
      </c>
      <c r="Q39" s="70">
        <f t="shared" si="8"/>
        <v>0</v>
      </c>
      <c r="R39" s="70">
        <f t="shared" si="8"/>
        <v>0</v>
      </c>
      <c r="S39" s="70">
        <f t="shared" si="8"/>
        <v>0</v>
      </c>
      <c r="T39" s="70">
        <f t="shared" si="8"/>
        <v>0</v>
      </c>
      <c r="U39" s="70">
        <f t="shared" si="8"/>
        <v>0</v>
      </c>
      <c r="V39" s="70">
        <f t="shared" si="8"/>
        <v>0</v>
      </c>
      <c r="W39" s="70">
        <f t="shared" si="8"/>
        <v>0</v>
      </c>
      <c r="X39" s="70">
        <f t="shared" si="8"/>
        <v>0</v>
      </c>
      <c r="Y39" s="70">
        <f t="shared" si="8"/>
        <v>0</v>
      </c>
      <c r="Z39" s="70">
        <f t="shared" si="2"/>
        <v>0.49832002692006511</v>
      </c>
      <c r="AA39" s="70">
        <f t="shared" si="3"/>
        <v>2.2726292365391847E-2</v>
      </c>
      <c r="AB39" s="70" t="str">
        <f>Threats!B6</f>
        <v>Threats to The Level of Service</v>
      </c>
      <c r="AC39" s="70">
        <f>INDEX(I69:I73,MATCH(AB39,B59:B63,0))</f>
        <v>0.37964912280701757</v>
      </c>
      <c r="AD39" s="119">
        <f t="shared" si="4"/>
        <v>0.18918676109737209</v>
      </c>
      <c r="AE39" s="109">
        <f>MMULT(D12:Y12, AA34:AA55)/AA39</f>
        <v>10.892287844474085</v>
      </c>
      <c r="AF39" s="104" t="str">
        <f>Threats!A6</f>
        <v>T6-Trojan and Worms</v>
      </c>
      <c r="AG39" s="47"/>
      <c r="AH39" s="47"/>
      <c r="AI39" s="47"/>
      <c r="AK39" s="47"/>
      <c r="AL39" s="47"/>
      <c r="AM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58"/>
      <c r="DP39" s="58"/>
      <c r="DQ39" s="58"/>
      <c r="DR39" s="58"/>
      <c r="DS39" s="58"/>
      <c r="DT39" s="58"/>
      <c r="DU39" s="58"/>
      <c r="DV39" s="58"/>
    </row>
    <row r="40" spans="1:126" ht="12.75" customHeight="1" x14ac:dyDescent="0.3">
      <c r="A40" s="48"/>
      <c r="B40" s="48"/>
      <c r="C40" s="104" t="str">
        <f>Threats!A7</f>
        <v>T7-Fire</v>
      </c>
      <c r="D40" s="71">
        <f t="shared" ref="D40:Y40" si="9">(D$13/D$29)</f>
        <v>0.12328767123287671</v>
      </c>
      <c r="E40" s="120">
        <f t="shared" si="9"/>
        <v>0.34951456310679613</v>
      </c>
      <c r="F40" s="71">
        <f t="shared" si="9"/>
        <v>0.2189189189189189</v>
      </c>
      <c r="G40" s="71">
        <f t="shared" si="9"/>
        <v>0.27169811320754716</v>
      </c>
      <c r="H40" s="71">
        <f t="shared" si="9"/>
        <v>0.19565217391304349</v>
      </c>
      <c r="I40" s="71">
        <f t="shared" si="9"/>
        <v>0.25992779783393499</v>
      </c>
      <c r="J40" s="71">
        <f t="shared" si="9"/>
        <v>0.26610348468848999</v>
      </c>
      <c r="K40" s="71">
        <f t="shared" si="9"/>
        <v>0.26709062003179651</v>
      </c>
      <c r="L40" s="71">
        <f t="shared" si="9"/>
        <v>0.34605877506179622</v>
      </c>
      <c r="M40" s="71">
        <f t="shared" si="9"/>
        <v>0</v>
      </c>
      <c r="N40" s="71">
        <f t="shared" si="9"/>
        <v>0</v>
      </c>
      <c r="O40" s="71">
        <f t="shared" si="9"/>
        <v>0</v>
      </c>
      <c r="P40" s="71">
        <f t="shared" si="9"/>
        <v>0</v>
      </c>
      <c r="Q40" s="71">
        <f t="shared" si="9"/>
        <v>0</v>
      </c>
      <c r="R40" s="71">
        <f t="shared" si="9"/>
        <v>0</v>
      </c>
      <c r="S40" s="71">
        <f t="shared" si="9"/>
        <v>0</v>
      </c>
      <c r="T40" s="71">
        <f t="shared" si="9"/>
        <v>0</v>
      </c>
      <c r="U40" s="71">
        <f t="shared" si="9"/>
        <v>0</v>
      </c>
      <c r="V40" s="71">
        <f t="shared" si="9"/>
        <v>0</v>
      </c>
      <c r="W40" s="71">
        <f t="shared" si="9"/>
        <v>0</v>
      </c>
      <c r="X40" s="71">
        <f t="shared" si="9"/>
        <v>0</v>
      </c>
      <c r="Y40" s="71">
        <f t="shared" si="9"/>
        <v>0</v>
      </c>
      <c r="Z40" s="71">
        <f t="shared" si="2"/>
        <v>2.2982521179952</v>
      </c>
      <c r="AA40" s="71">
        <f t="shared" si="3"/>
        <v>0.10481366740517982</v>
      </c>
      <c r="AB40" s="71" t="str">
        <f>Threats!B7</f>
        <v>Threats to The Level of Service</v>
      </c>
      <c r="AC40" s="71">
        <f>INDEX(I69:I73,MATCH(AB40,B59:B63,0))</f>
        <v>0.37964912280701757</v>
      </c>
      <c r="AD40" s="121">
        <f t="shared" si="4"/>
        <v>0.87252940058624795</v>
      </c>
      <c r="AE40" s="109">
        <f>MMULT(D13:Y13, AA34:AA55)/AA40</f>
        <v>12.146807626184986</v>
      </c>
      <c r="AF40" s="104" t="str">
        <f xml:space="preserve"> Threats!A7</f>
        <v>T7-Fire</v>
      </c>
      <c r="AG40" s="47"/>
      <c r="AH40" s="47"/>
      <c r="AI40" s="47"/>
      <c r="AK40" s="47"/>
      <c r="AL40" s="47"/>
      <c r="AM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58"/>
      <c r="DP40" s="58"/>
      <c r="DQ40" s="58"/>
      <c r="DR40" s="58"/>
      <c r="DS40" s="58"/>
      <c r="DT40" s="58"/>
      <c r="DU40" s="58"/>
      <c r="DV40" s="58"/>
    </row>
    <row r="41" spans="1:126" ht="12.75" customHeight="1" x14ac:dyDescent="0.3">
      <c r="A41" s="48"/>
      <c r="B41" s="48"/>
      <c r="C41" s="104" t="str">
        <f>Threats!A8</f>
        <v>T8-Other Enviromental Disasters</v>
      </c>
      <c r="D41" s="72">
        <f t="shared" ref="D41:Y41" si="10">(D$14/D$29)</f>
        <v>0.12328767123287671</v>
      </c>
      <c r="E41" s="122">
        <f t="shared" si="10"/>
        <v>0.34951456310679613</v>
      </c>
      <c r="F41" s="72">
        <f t="shared" si="10"/>
        <v>0.2189189189189189</v>
      </c>
      <c r="G41" s="72">
        <f t="shared" si="10"/>
        <v>0.27169811320754716</v>
      </c>
      <c r="H41" s="72">
        <f t="shared" si="10"/>
        <v>0.19565217391304349</v>
      </c>
      <c r="I41" s="72">
        <f t="shared" si="10"/>
        <v>0.29241877256317689</v>
      </c>
      <c r="J41" s="72">
        <f t="shared" si="10"/>
        <v>0.26610348468848999</v>
      </c>
      <c r="K41" s="72">
        <f t="shared" si="10"/>
        <v>0.26709062003179651</v>
      </c>
      <c r="L41" s="72">
        <f t="shared" si="10"/>
        <v>0.34605877506179622</v>
      </c>
      <c r="M41" s="72">
        <f t="shared" si="10"/>
        <v>0</v>
      </c>
      <c r="N41" s="72">
        <f t="shared" si="10"/>
        <v>0</v>
      </c>
      <c r="O41" s="72">
        <f t="shared" si="10"/>
        <v>0</v>
      </c>
      <c r="P41" s="72">
        <f t="shared" si="10"/>
        <v>0</v>
      </c>
      <c r="Q41" s="72">
        <f t="shared" si="10"/>
        <v>0</v>
      </c>
      <c r="R41" s="72">
        <f t="shared" si="10"/>
        <v>0</v>
      </c>
      <c r="S41" s="72">
        <f t="shared" si="10"/>
        <v>0</v>
      </c>
      <c r="T41" s="72">
        <f t="shared" si="10"/>
        <v>0</v>
      </c>
      <c r="U41" s="72">
        <f t="shared" si="10"/>
        <v>0</v>
      </c>
      <c r="V41" s="72">
        <f t="shared" si="10"/>
        <v>0</v>
      </c>
      <c r="W41" s="72">
        <f t="shared" si="10"/>
        <v>0</v>
      </c>
      <c r="X41" s="72">
        <f t="shared" si="10"/>
        <v>0</v>
      </c>
      <c r="Y41" s="72">
        <f t="shared" si="10"/>
        <v>0</v>
      </c>
      <c r="Z41" s="72">
        <f t="shared" si="2"/>
        <v>2.3307430927244419</v>
      </c>
      <c r="AA41" s="72">
        <f t="shared" si="3"/>
        <v>0.10629544487958134</v>
      </c>
      <c r="AB41" s="72" t="str">
        <f>Threats!B8</f>
        <v>Threats to The Level of Service</v>
      </c>
      <c r="AC41" s="72">
        <f>INDEX(I69:I73,MATCH(AB41,B59:B63,0))</f>
        <v>0.37964912280701757</v>
      </c>
      <c r="AD41" s="123">
        <f t="shared" si="4"/>
        <v>0.8848645706413496</v>
      </c>
      <c r="AE41" s="109">
        <f>MMULT(D14:Y14, AA34:AA55)/AA41</f>
        <v>12.191282029056886</v>
      </c>
      <c r="AF41" s="104" t="str">
        <f>Threats!A8</f>
        <v>T8-Other Enviromental Disasters</v>
      </c>
      <c r="AG41" s="47"/>
      <c r="AH41" s="47"/>
      <c r="AI41" s="47"/>
      <c r="AK41" s="47"/>
      <c r="AL41" s="47"/>
      <c r="AM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58"/>
      <c r="DP41" s="58"/>
      <c r="DQ41" s="58"/>
      <c r="DR41" s="58"/>
      <c r="DS41" s="58"/>
      <c r="DT41" s="58"/>
      <c r="DU41" s="58"/>
      <c r="DV41" s="58"/>
    </row>
    <row r="42" spans="1:126" ht="12.75" customHeight="1" x14ac:dyDescent="0.3">
      <c r="A42" s="48"/>
      <c r="B42" s="48"/>
      <c r="C42" s="104" t="str">
        <f>Threats!A9</f>
        <v>T9-Availability Threats(DDOS)</v>
      </c>
      <c r="D42" s="73">
        <f t="shared" ref="D42:Y42" si="11">(D$15/D$29)</f>
        <v>0.12328767123287671</v>
      </c>
      <c r="E42" s="124">
        <f t="shared" si="11"/>
        <v>0.14979195561719832</v>
      </c>
      <c r="F42" s="73">
        <f t="shared" si="11"/>
        <v>0.12162162162162161</v>
      </c>
      <c r="G42" s="73">
        <f t="shared" si="11"/>
        <v>0.13584905660377358</v>
      </c>
      <c r="H42" s="73">
        <f t="shared" si="11"/>
        <v>4.8913043478260872E-2</v>
      </c>
      <c r="I42" s="73">
        <f t="shared" si="11"/>
        <v>9.7472924187725629E-2</v>
      </c>
      <c r="J42" s="73">
        <f t="shared" si="11"/>
        <v>3.8014783526927137E-2</v>
      </c>
      <c r="K42" s="73">
        <f t="shared" si="11"/>
        <v>3.8155802861685212E-2</v>
      </c>
      <c r="L42" s="73">
        <f t="shared" si="11"/>
        <v>4.9436967865970884E-2</v>
      </c>
      <c r="M42" s="73">
        <f t="shared" si="11"/>
        <v>0</v>
      </c>
      <c r="N42" s="73">
        <f t="shared" si="11"/>
        <v>0</v>
      </c>
      <c r="O42" s="73">
        <f t="shared" si="11"/>
        <v>0</v>
      </c>
      <c r="P42" s="73">
        <f t="shared" si="11"/>
        <v>0</v>
      </c>
      <c r="Q42" s="73">
        <f t="shared" si="11"/>
        <v>0</v>
      </c>
      <c r="R42" s="73">
        <f t="shared" si="11"/>
        <v>0</v>
      </c>
      <c r="S42" s="73">
        <f t="shared" si="11"/>
        <v>0</v>
      </c>
      <c r="T42" s="73">
        <f t="shared" si="11"/>
        <v>0</v>
      </c>
      <c r="U42" s="73">
        <f t="shared" si="11"/>
        <v>0</v>
      </c>
      <c r="V42" s="73">
        <f t="shared" si="11"/>
        <v>0</v>
      </c>
      <c r="W42" s="73">
        <f t="shared" si="11"/>
        <v>0</v>
      </c>
      <c r="X42" s="73">
        <f t="shared" si="11"/>
        <v>0</v>
      </c>
      <c r="Y42" s="73">
        <f t="shared" si="11"/>
        <v>0</v>
      </c>
      <c r="Z42" s="73">
        <f t="shared" si="2"/>
        <v>0.80254382699603988</v>
      </c>
      <c r="AA42" s="73">
        <f t="shared" si="3"/>
        <v>3.6600667569152562E-2</v>
      </c>
      <c r="AB42" s="73" t="str">
        <f>Threats!B9</f>
        <v>Threats to The Level of Service</v>
      </c>
      <c r="AC42" s="73">
        <f>INDEX(I69:I73,MATCH(AB42,B59:B63,0))</f>
        <v>0.37964912280701757</v>
      </c>
      <c r="AD42" s="125">
        <f t="shared" si="4"/>
        <v>0.30468505993323342</v>
      </c>
      <c r="AE42" s="109">
        <f>MMULT(D15:Y15, AA34:AA55)/AA42</f>
        <v>12.129639210147253</v>
      </c>
      <c r="AF42" s="104" t="str">
        <f xml:space="preserve"> Threats!A9</f>
        <v>T9-Availability Threats(DDOS)</v>
      </c>
      <c r="AG42" s="47"/>
      <c r="AH42" s="47"/>
      <c r="AI42" s="47"/>
      <c r="AK42" s="47"/>
      <c r="AL42" s="47"/>
      <c r="AM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58"/>
      <c r="DP42" s="58"/>
      <c r="DQ42" s="58"/>
      <c r="DR42" s="58"/>
      <c r="DS42" s="58"/>
      <c r="DT42" s="58"/>
      <c r="DU42" s="58"/>
      <c r="DV42" s="58"/>
    </row>
    <row r="43" spans="1:126" ht="12.75" customHeight="1" x14ac:dyDescent="0.3">
      <c r="A43" s="48"/>
      <c r="B43" s="48"/>
      <c r="C43" s="104" t="str">
        <f>Threats!A10</f>
        <v>T10-Disk Failure</v>
      </c>
      <c r="D43" s="74">
        <f t="shared" ref="D43:Y43" si="12">(D$16/D$29)</f>
        <v>0</v>
      </c>
      <c r="E43" s="126">
        <f t="shared" si="12"/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0.1171875</v>
      </c>
      <c r="N43" s="74">
        <f t="shared" si="12"/>
        <v>5.2631578947368418E-2</v>
      </c>
      <c r="O43" s="74">
        <f t="shared" si="12"/>
        <v>0.35714285714285715</v>
      </c>
      <c r="P43" s="74">
        <f t="shared" si="12"/>
        <v>5.1724137931034489E-2</v>
      </c>
      <c r="Q43" s="74">
        <f t="shared" si="12"/>
        <v>0.52941176470588236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>
        <f t="shared" si="12"/>
        <v>0</v>
      </c>
      <c r="X43" s="74">
        <f t="shared" si="12"/>
        <v>0</v>
      </c>
      <c r="Y43" s="74">
        <f t="shared" si="12"/>
        <v>0</v>
      </c>
      <c r="Z43" s="74">
        <f t="shared" si="2"/>
        <v>1.1080978387271423</v>
      </c>
      <c r="AA43" s="74">
        <f t="shared" si="3"/>
        <v>5.0535708163323381E-2</v>
      </c>
      <c r="AB43" s="74" t="str">
        <f>Threats!B10</f>
        <v>Threats to the Information Base</v>
      </c>
      <c r="AC43" s="74">
        <f>INDEX(I69:I73,MATCH(AB43,B59:B63,0))</f>
        <v>0.1049122807017544</v>
      </c>
      <c r="AD43" s="127">
        <f t="shared" si="4"/>
        <v>0.11625307150154933</v>
      </c>
      <c r="AE43" s="109">
        <f>MMULT(D16:Y16, AA34:AA55)/AA43</f>
        <v>6.4964999759679465</v>
      </c>
      <c r="AF43" s="104" t="str">
        <f>Threats!A10</f>
        <v>T10-Disk Failure</v>
      </c>
      <c r="AG43" s="47"/>
      <c r="AH43" s="47"/>
      <c r="AI43" s="47"/>
      <c r="AK43" s="47"/>
      <c r="AL43" s="47"/>
      <c r="AM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58"/>
      <c r="DP43" s="58"/>
      <c r="DQ43" s="58"/>
      <c r="DR43" s="58"/>
      <c r="DS43" s="58"/>
      <c r="DT43" s="58"/>
      <c r="DU43" s="58"/>
      <c r="DV43" s="58"/>
    </row>
    <row r="44" spans="1:126" ht="12.75" customHeight="1" x14ac:dyDescent="0.3">
      <c r="A44" s="48"/>
      <c r="B44" s="48"/>
      <c r="C44" s="104" t="str">
        <f>Threats!A11</f>
        <v>T11-Data Corruption</v>
      </c>
      <c r="D44" s="75">
        <f t="shared" ref="D44:Y44" si="13">(D$17/D$29)</f>
        <v>0</v>
      </c>
      <c r="E44" s="128">
        <f t="shared" si="13"/>
        <v>0</v>
      </c>
      <c r="F44" s="75">
        <f t="shared" si="13"/>
        <v>0</v>
      </c>
      <c r="G44" s="75">
        <f t="shared" si="13"/>
        <v>0</v>
      </c>
      <c r="H44" s="75">
        <f t="shared" si="13"/>
        <v>0</v>
      </c>
      <c r="I44" s="75">
        <f t="shared" si="13"/>
        <v>0</v>
      </c>
      <c r="J44" s="75">
        <f t="shared" si="13"/>
        <v>0</v>
      </c>
      <c r="K44" s="75">
        <f t="shared" si="13"/>
        <v>0</v>
      </c>
      <c r="L44" s="75">
        <f t="shared" si="13"/>
        <v>0</v>
      </c>
      <c r="M44" s="75">
        <f t="shared" si="13"/>
        <v>0.3515625</v>
      </c>
      <c r="N44" s="75">
        <f t="shared" si="13"/>
        <v>0.15789473684210528</v>
      </c>
      <c r="O44" s="75">
        <f t="shared" si="13"/>
        <v>7.1428571428571425E-2</v>
      </c>
      <c r="P44" s="75">
        <f t="shared" si="13"/>
        <v>6.8965517241379309E-2</v>
      </c>
      <c r="Q44" s="75">
        <f t="shared" si="13"/>
        <v>0.17647058823529413</v>
      </c>
      <c r="R44" s="75">
        <f t="shared" si="13"/>
        <v>0</v>
      </c>
      <c r="S44" s="75">
        <f t="shared" si="13"/>
        <v>0</v>
      </c>
      <c r="T44" s="75">
        <f t="shared" si="13"/>
        <v>0</v>
      </c>
      <c r="U44" s="75">
        <f t="shared" si="13"/>
        <v>0</v>
      </c>
      <c r="V44" s="75">
        <f t="shared" si="13"/>
        <v>0</v>
      </c>
      <c r="W44" s="75">
        <f t="shared" si="13"/>
        <v>0</v>
      </c>
      <c r="X44" s="75">
        <f t="shared" si="13"/>
        <v>0</v>
      </c>
      <c r="Y44" s="75">
        <f t="shared" si="13"/>
        <v>0</v>
      </c>
      <c r="Z44" s="75">
        <f t="shared" si="2"/>
        <v>0.8263219137473502</v>
      </c>
      <c r="AA44" s="75">
        <f t="shared" si="3"/>
        <v>3.7685086661718173E-2</v>
      </c>
      <c r="AB44" s="75" t="str">
        <f>Threats!B11</f>
        <v>Threats to the Information Base</v>
      </c>
      <c r="AC44" s="75">
        <f>INDEX(I69:I73,MATCH(AB44,B59:B63,0))</f>
        <v>0.1049122807017544</v>
      </c>
      <c r="AD44" s="129">
        <f t="shared" si="4"/>
        <v>8.6691316565072896E-2</v>
      </c>
      <c r="AE44" s="109">
        <f>MMULT(D17:Y17, AA34:AA55)/AA44</f>
        <v>7.5276755814544218</v>
      </c>
      <c r="AF44" s="104" t="str">
        <f xml:space="preserve"> Threats!A11</f>
        <v>T11-Data Corruption</v>
      </c>
      <c r="AG44" s="47"/>
      <c r="AH44" s="47"/>
      <c r="AI44" s="47"/>
      <c r="AK44" s="47"/>
      <c r="AL44" s="47"/>
      <c r="AM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58"/>
      <c r="DP44" s="58"/>
      <c r="DQ44" s="58"/>
      <c r="DR44" s="58"/>
      <c r="DS44" s="58"/>
      <c r="DT44" s="58"/>
      <c r="DU44" s="58"/>
      <c r="DV44" s="58"/>
    </row>
    <row r="45" spans="1:126" ht="12.75" customHeight="1" x14ac:dyDescent="0.3">
      <c r="A45" s="48"/>
      <c r="B45" s="48"/>
      <c r="C45" s="104" t="str">
        <f>Threats!A12</f>
        <v>T12-Inaccurrate Data</v>
      </c>
      <c r="D45" s="76">
        <f t="shared" ref="D45:Y45" si="14">(D$18/D$29)</f>
        <v>0</v>
      </c>
      <c r="E45" s="130">
        <f t="shared" si="14"/>
        <v>0</v>
      </c>
      <c r="F45" s="76">
        <f t="shared" si="14"/>
        <v>0</v>
      </c>
      <c r="G45" s="76">
        <f t="shared" si="14"/>
        <v>0</v>
      </c>
      <c r="H45" s="76">
        <f t="shared" si="14"/>
        <v>0</v>
      </c>
      <c r="I45" s="76">
        <f t="shared" si="14"/>
        <v>0</v>
      </c>
      <c r="J45" s="76">
        <f t="shared" si="14"/>
        <v>0</v>
      </c>
      <c r="K45" s="76">
        <f t="shared" si="14"/>
        <v>0</v>
      </c>
      <c r="L45" s="76">
        <f t="shared" si="14"/>
        <v>0</v>
      </c>
      <c r="M45" s="76">
        <f t="shared" si="14"/>
        <v>2.34375E-2</v>
      </c>
      <c r="N45" s="76">
        <f t="shared" si="14"/>
        <v>0.15789473684210528</v>
      </c>
      <c r="O45" s="76">
        <f t="shared" si="14"/>
        <v>7.1428571428571425E-2</v>
      </c>
      <c r="P45" s="76">
        <f t="shared" si="14"/>
        <v>5.1724137931034489E-2</v>
      </c>
      <c r="Q45" s="76">
        <f t="shared" si="14"/>
        <v>5.8823529411764712E-2</v>
      </c>
      <c r="R45" s="76">
        <f t="shared" si="14"/>
        <v>0</v>
      </c>
      <c r="S45" s="76">
        <f t="shared" si="14"/>
        <v>0</v>
      </c>
      <c r="T45" s="76">
        <f t="shared" si="14"/>
        <v>0</v>
      </c>
      <c r="U45" s="76">
        <f t="shared" si="14"/>
        <v>0</v>
      </c>
      <c r="V45" s="76">
        <f t="shared" si="14"/>
        <v>0</v>
      </c>
      <c r="W45" s="76">
        <f t="shared" si="14"/>
        <v>0</v>
      </c>
      <c r="X45" s="76">
        <f t="shared" si="14"/>
        <v>0</v>
      </c>
      <c r="Y45" s="76">
        <f t="shared" si="14"/>
        <v>0</v>
      </c>
      <c r="Z45" s="76">
        <f t="shared" si="2"/>
        <v>0.3633084756134759</v>
      </c>
      <c r="AA45" s="76">
        <f t="shared" si="3"/>
        <v>1.6568980152469624E-2</v>
      </c>
      <c r="AB45" s="76" t="str">
        <f>Threats!B12</f>
        <v>Threats to the Information Base</v>
      </c>
      <c r="AC45" s="76">
        <f>INDEX(I69:I73,MATCH(AB45,B59:B63,0))</f>
        <v>0.1049122807017544</v>
      </c>
      <c r="AD45" s="131">
        <f t="shared" si="4"/>
        <v>3.8115520774887481E-2</v>
      </c>
      <c r="AE45" s="109">
        <f>MMULT(D18:Y18, AA34:AA55)/AA45</f>
        <v>6.0211041391251729</v>
      </c>
      <c r="AF45" s="104" t="str">
        <f>Threats!A12</f>
        <v>T12-Inaccurrate Data</v>
      </c>
      <c r="AG45" s="47"/>
      <c r="AH45" s="47"/>
      <c r="AI45" s="47"/>
      <c r="AK45" s="47"/>
      <c r="AL45" s="47"/>
      <c r="AM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58"/>
      <c r="DP45" s="58"/>
      <c r="DQ45" s="58"/>
      <c r="DR45" s="58"/>
      <c r="DS45" s="58"/>
      <c r="DT45" s="58"/>
      <c r="DU45" s="58"/>
      <c r="DV45" s="58"/>
    </row>
    <row r="46" spans="1:126" ht="12.75" customHeight="1" x14ac:dyDescent="0.3">
      <c r="A46" s="48"/>
      <c r="B46" s="48"/>
      <c r="C46" s="104" t="str">
        <f>Threats!A13</f>
        <v>T13-Un-authorized Access</v>
      </c>
      <c r="D46" s="77">
        <f t="shared" ref="D46:Y46" si="15">(D$19/D$29)</f>
        <v>0</v>
      </c>
      <c r="E46" s="132">
        <f t="shared" si="15"/>
        <v>0</v>
      </c>
      <c r="F46" s="77">
        <f t="shared" si="15"/>
        <v>0</v>
      </c>
      <c r="G46" s="77">
        <f t="shared" si="15"/>
        <v>0</v>
      </c>
      <c r="H46" s="77">
        <f t="shared" si="15"/>
        <v>0</v>
      </c>
      <c r="I46" s="77">
        <f t="shared" si="15"/>
        <v>0</v>
      </c>
      <c r="J46" s="77">
        <f t="shared" si="15"/>
        <v>0</v>
      </c>
      <c r="K46" s="77">
        <f t="shared" si="15"/>
        <v>0</v>
      </c>
      <c r="L46" s="77">
        <f t="shared" si="15"/>
        <v>0</v>
      </c>
      <c r="M46" s="77">
        <f t="shared" si="15"/>
        <v>0.46875</v>
      </c>
      <c r="N46" s="77">
        <f t="shared" si="15"/>
        <v>0.47368421052631582</v>
      </c>
      <c r="O46" s="77">
        <f t="shared" si="15"/>
        <v>0.2857142857142857</v>
      </c>
      <c r="P46" s="77">
        <f t="shared" si="15"/>
        <v>0.20689655172413796</v>
      </c>
      <c r="Q46" s="77">
        <f t="shared" si="15"/>
        <v>5.8823529411764712E-2</v>
      </c>
      <c r="R46" s="77">
        <f t="shared" si="15"/>
        <v>0</v>
      </c>
      <c r="S46" s="77">
        <f t="shared" si="15"/>
        <v>0</v>
      </c>
      <c r="T46" s="77">
        <f t="shared" si="15"/>
        <v>0</v>
      </c>
      <c r="U46" s="77">
        <f t="shared" si="15"/>
        <v>0</v>
      </c>
      <c r="V46" s="77">
        <f t="shared" si="15"/>
        <v>0</v>
      </c>
      <c r="W46" s="77">
        <f t="shared" si="15"/>
        <v>0</v>
      </c>
      <c r="X46" s="77">
        <f t="shared" si="15"/>
        <v>0</v>
      </c>
      <c r="Y46" s="77">
        <f t="shared" si="15"/>
        <v>0</v>
      </c>
      <c r="Z46" s="77">
        <f t="shared" si="2"/>
        <v>1.4938685773765041</v>
      </c>
      <c r="AA46" s="77">
        <f t="shared" si="3"/>
        <v>6.812909819170547E-2</v>
      </c>
      <c r="AB46" s="77" t="str">
        <f>Threats!B13</f>
        <v>Threats to the Information Base</v>
      </c>
      <c r="AC46" s="77">
        <f>INDEX(I69:I73,MATCH(AB46,B59:B63,0))</f>
        <v>0.1049122807017544</v>
      </c>
      <c r="AD46" s="133">
        <f t="shared" si="4"/>
        <v>0.15672515952125432</v>
      </c>
      <c r="AE46" s="109">
        <f>MMULT(D19:Y19, AA34:AA55)/AA46</f>
        <v>6.8689179197053472</v>
      </c>
      <c r="AF46" s="104" t="str">
        <f xml:space="preserve"> Threats!A13</f>
        <v>T13-Un-authorized Access</v>
      </c>
      <c r="AG46" s="47"/>
      <c r="AH46" s="47"/>
      <c r="AI46" s="47"/>
      <c r="AK46" s="47"/>
      <c r="AL46" s="47"/>
      <c r="AM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58"/>
      <c r="DP46" s="58"/>
      <c r="DQ46" s="58"/>
      <c r="DR46" s="58"/>
      <c r="DS46" s="58"/>
      <c r="DT46" s="58"/>
      <c r="DU46" s="58"/>
      <c r="DV46" s="58"/>
    </row>
    <row r="47" spans="1:126" ht="12.75" customHeight="1" x14ac:dyDescent="0.3">
      <c r="A47" s="48"/>
      <c r="B47" s="48"/>
      <c r="C47" s="104" t="str">
        <f>Threats!A14</f>
        <v>T14-Virus and Spyware</v>
      </c>
      <c r="D47" s="78">
        <f t="shared" ref="D47:Y47" si="16">(D$20/D$29)</f>
        <v>0</v>
      </c>
      <c r="E47" s="134">
        <f t="shared" si="16"/>
        <v>0</v>
      </c>
      <c r="F47" s="78">
        <f t="shared" si="16"/>
        <v>0</v>
      </c>
      <c r="G47" s="78">
        <f t="shared" si="16"/>
        <v>0</v>
      </c>
      <c r="H47" s="78">
        <f t="shared" si="16"/>
        <v>0</v>
      </c>
      <c r="I47" s="78">
        <f t="shared" si="16"/>
        <v>0</v>
      </c>
      <c r="J47" s="78">
        <f t="shared" si="16"/>
        <v>0</v>
      </c>
      <c r="K47" s="78">
        <f t="shared" si="16"/>
        <v>0</v>
      </c>
      <c r="L47" s="78">
        <f t="shared" si="16"/>
        <v>0</v>
      </c>
      <c r="M47" s="78">
        <f t="shared" si="16"/>
        <v>3.90625E-2</v>
      </c>
      <c r="N47" s="78">
        <f t="shared" si="16"/>
        <v>0.15789473684210528</v>
      </c>
      <c r="O47" s="78">
        <f t="shared" si="16"/>
        <v>0.21428571428571427</v>
      </c>
      <c r="P47" s="78">
        <f t="shared" si="16"/>
        <v>0.62068965517241381</v>
      </c>
      <c r="Q47" s="78">
        <f t="shared" si="16"/>
        <v>0.17647058823529413</v>
      </c>
      <c r="R47" s="78">
        <f t="shared" si="16"/>
        <v>0</v>
      </c>
      <c r="S47" s="78">
        <f t="shared" si="16"/>
        <v>0</v>
      </c>
      <c r="T47" s="78">
        <f t="shared" si="16"/>
        <v>0</v>
      </c>
      <c r="U47" s="78">
        <f t="shared" si="16"/>
        <v>0</v>
      </c>
      <c r="V47" s="78">
        <f t="shared" si="16"/>
        <v>0</v>
      </c>
      <c r="W47" s="78">
        <f t="shared" si="16"/>
        <v>0</v>
      </c>
      <c r="X47" s="78">
        <f t="shared" si="16"/>
        <v>0</v>
      </c>
      <c r="Y47" s="78">
        <f t="shared" si="16"/>
        <v>0</v>
      </c>
      <c r="Z47" s="78">
        <f t="shared" si="2"/>
        <v>1.2084031945355276</v>
      </c>
      <c r="AA47" s="78">
        <f t="shared" si="3"/>
        <v>5.5110215947016532E-2</v>
      </c>
      <c r="AB47" s="78" t="str">
        <f>Threats!B14</f>
        <v>Threats to the Information Base</v>
      </c>
      <c r="AC47" s="78">
        <f>INDEX(I69:I73,MATCH(AB47,B59:B63,0))</f>
        <v>0.1049122807017544</v>
      </c>
      <c r="AD47" s="135">
        <f t="shared" si="4"/>
        <v>0.126776335146008</v>
      </c>
      <c r="AE47" s="109">
        <f>MMULT(D20:Y20, AA34:AA55)/AA47</f>
        <v>6.6001333408927136</v>
      </c>
      <c r="AF47" s="104" t="str">
        <f>Threats!A14</f>
        <v>T14-Virus and Spyware</v>
      </c>
      <c r="AG47" s="47"/>
      <c r="AH47" s="47"/>
      <c r="AI47" s="47"/>
      <c r="AK47" s="47"/>
      <c r="AL47" s="47"/>
      <c r="AM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58"/>
      <c r="DP47" s="58"/>
      <c r="DQ47" s="58"/>
      <c r="DR47" s="58"/>
      <c r="DS47" s="58"/>
      <c r="DT47" s="58"/>
      <c r="DU47" s="58"/>
      <c r="DV47" s="58"/>
    </row>
    <row r="48" spans="1:126" ht="12.75" customHeight="1" x14ac:dyDescent="0.3">
      <c r="A48" s="48"/>
      <c r="B48" s="48"/>
      <c r="C48" s="104" t="str">
        <f>Threats!A15</f>
        <v>T15-Hacking</v>
      </c>
      <c r="D48" s="79">
        <f t="shared" ref="D48:Y48" si="17">(D$21/D$29)</f>
        <v>0</v>
      </c>
      <c r="E48" s="136">
        <f t="shared" si="17"/>
        <v>0</v>
      </c>
      <c r="F48" s="79">
        <f t="shared" si="17"/>
        <v>0</v>
      </c>
      <c r="G48" s="79">
        <f t="shared" si="17"/>
        <v>0</v>
      </c>
      <c r="H48" s="79">
        <f t="shared" si="17"/>
        <v>0</v>
      </c>
      <c r="I48" s="79">
        <f t="shared" si="17"/>
        <v>0</v>
      </c>
      <c r="J48" s="79">
        <f t="shared" si="17"/>
        <v>0</v>
      </c>
      <c r="K48" s="79">
        <f t="shared" si="17"/>
        <v>0</v>
      </c>
      <c r="L48" s="79">
        <f t="shared" si="17"/>
        <v>0</v>
      </c>
      <c r="M48" s="79">
        <f t="shared" si="17"/>
        <v>0</v>
      </c>
      <c r="N48" s="79">
        <f t="shared" si="17"/>
        <v>0</v>
      </c>
      <c r="O48" s="79">
        <f t="shared" si="17"/>
        <v>0</v>
      </c>
      <c r="P48" s="79">
        <f t="shared" si="17"/>
        <v>0</v>
      </c>
      <c r="Q48" s="79">
        <f t="shared" si="17"/>
        <v>0</v>
      </c>
      <c r="R48" s="79">
        <f t="shared" si="17"/>
        <v>0.39344262295081972</v>
      </c>
      <c r="S48" s="79">
        <f t="shared" si="17"/>
        <v>0.26666666666666666</v>
      </c>
      <c r="T48" s="79">
        <f t="shared" si="17"/>
        <v>0.41379310344827591</v>
      </c>
      <c r="U48" s="79">
        <f t="shared" si="17"/>
        <v>0.43243243243243246</v>
      </c>
      <c r="V48" s="79">
        <f t="shared" si="17"/>
        <v>0.41025641025641024</v>
      </c>
      <c r="W48" s="79">
        <f t="shared" si="17"/>
        <v>0.24657534246575344</v>
      </c>
      <c r="X48" s="79">
        <f t="shared" si="17"/>
        <v>0.47682119205298018</v>
      </c>
      <c r="Y48" s="79">
        <f t="shared" si="17"/>
        <v>0.35643564356435636</v>
      </c>
      <c r="Z48" s="79">
        <f t="shared" si="2"/>
        <v>2.9964234138376953</v>
      </c>
      <c r="AA48" s="79">
        <f t="shared" si="3"/>
        <v>0.1366543403327927</v>
      </c>
      <c r="AB48" s="79" t="str">
        <f>Threats!B15</f>
        <v>Threats to Information Leakage</v>
      </c>
      <c r="AC48" s="79">
        <f>INDEX(I69:I73,MATCH(AB48,B59:B63,0))</f>
        <v>0.11543859649122808</v>
      </c>
      <c r="AD48" s="137">
        <f t="shared" si="4"/>
        <v>0.34590291338687784</v>
      </c>
      <c r="AE48" s="109">
        <f>MMULT(D21:Y21, AA34:AA55)/AA48</f>
        <v>8.441538406590734</v>
      </c>
      <c r="AF48" s="104" t="str">
        <f xml:space="preserve"> Threats!A15</f>
        <v>T15-Hacking</v>
      </c>
      <c r="AG48" s="47"/>
      <c r="AH48" s="47"/>
      <c r="AI48" s="47"/>
      <c r="AK48" s="47"/>
      <c r="AL48" s="47"/>
      <c r="AM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58"/>
      <c r="DP48" s="58"/>
      <c r="DQ48" s="58"/>
      <c r="DR48" s="58"/>
      <c r="DS48" s="58"/>
      <c r="DT48" s="58"/>
      <c r="DU48" s="58"/>
      <c r="DV48" s="58"/>
    </row>
    <row r="49" spans="1:126" ht="12.75" customHeight="1" x14ac:dyDescent="0.3">
      <c r="A49" s="48"/>
      <c r="B49" s="48"/>
      <c r="C49" s="104" t="str">
        <f>Threats!A16</f>
        <v>T16-Media Leakage</v>
      </c>
      <c r="D49" s="80">
        <f t="shared" ref="D49:Y49" si="18">(D$22/D$29)</f>
        <v>0</v>
      </c>
      <c r="E49" s="138">
        <f t="shared" si="18"/>
        <v>0</v>
      </c>
      <c r="F49" s="80">
        <f t="shared" si="18"/>
        <v>0</v>
      </c>
      <c r="G49" s="80">
        <f t="shared" si="18"/>
        <v>0</v>
      </c>
      <c r="H49" s="80">
        <f t="shared" si="18"/>
        <v>0</v>
      </c>
      <c r="I49" s="80">
        <f t="shared" si="18"/>
        <v>0</v>
      </c>
      <c r="J49" s="80">
        <f t="shared" si="18"/>
        <v>0</v>
      </c>
      <c r="K49" s="80">
        <f t="shared" si="18"/>
        <v>0</v>
      </c>
      <c r="L49" s="80">
        <f t="shared" si="18"/>
        <v>0</v>
      </c>
      <c r="M49" s="80">
        <f t="shared" si="18"/>
        <v>0</v>
      </c>
      <c r="N49" s="80">
        <f t="shared" si="18"/>
        <v>0</v>
      </c>
      <c r="O49" s="80">
        <f t="shared" si="18"/>
        <v>0</v>
      </c>
      <c r="P49" s="80">
        <f t="shared" si="18"/>
        <v>0</v>
      </c>
      <c r="Q49" s="80">
        <f t="shared" si="18"/>
        <v>0</v>
      </c>
      <c r="R49" s="80">
        <f t="shared" si="18"/>
        <v>4.9180327868852465E-2</v>
      </c>
      <c r="S49" s="80">
        <f t="shared" si="18"/>
        <v>3.3333333333333333E-2</v>
      </c>
      <c r="T49" s="80">
        <f t="shared" si="18"/>
        <v>3.4482758620689655E-2</v>
      </c>
      <c r="U49" s="80">
        <f t="shared" si="18"/>
        <v>2.7027027027027029E-2</v>
      </c>
      <c r="V49" s="80">
        <f t="shared" si="18"/>
        <v>2.564102564102564E-2</v>
      </c>
      <c r="W49" s="80">
        <f t="shared" si="18"/>
        <v>1.3698630136986301E-2</v>
      </c>
      <c r="X49" s="80">
        <f t="shared" si="18"/>
        <v>2.6490066225165563E-2</v>
      </c>
      <c r="Y49" s="80">
        <f t="shared" si="18"/>
        <v>2.9702970297029698E-2</v>
      </c>
      <c r="Z49" s="80">
        <f t="shared" si="2"/>
        <v>0.23955613915010968</v>
      </c>
      <c r="AA49" s="80">
        <f t="shared" si="3"/>
        <v>1.0925153640520224E-2</v>
      </c>
      <c r="AB49" s="80" t="str">
        <f>Threats!B16</f>
        <v>Threats to Information Leakage</v>
      </c>
      <c r="AC49" s="80">
        <f>INDEX(I69:I73,MATCH(AB49,B59:B63,0))</f>
        <v>0.11543859649122808</v>
      </c>
      <c r="AD49" s="139">
        <f t="shared" si="4"/>
        <v>2.7654024484345997E-2</v>
      </c>
      <c r="AE49" s="109">
        <f>MMULT(D22:Y22, AA34:AA55)/AA49</f>
        <v>8.2339380545426568</v>
      </c>
      <c r="AF49" s="104" t="str">
        <f>Threats!A16</f>
        <v>T16-Media Leakage</v>
      </c>
      <c r="AG49" s="47"/>
      <c r="AH49" s="47"/>
      <c r="AI49" s="47"/>
      <c r="AK49" s="47"/>
      <c r="AL49" s="47"/>
      <c r="AM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58"/>
      <c r="DP49" s="58"/>
      <c r="DQ49" s="58"/>
      <c r="DR49" s="58"/>
      <c r="DS49" s="58"/>
      <c r="DT49" s="58"/>
      <c r="DU49" s="58"/>
      <c r="DV49" s="58"/>
    </row>
    <row r="50" spans="1:126" ht="13.5" customHeight="1" x14ac:dyDescent="0.3">
      <c r="A50" s="48"/>
      <c r="B50" s="48"/>
      <c r="C50" s="104" t="str">
        <f>Threats!A17</f>
        <v>T17-Communication Preventers(Botnet, Dialer)</v>
      </c>
      <c r="D50" s="81">
        <f t="shared" ref="D50:Y50" si="19">(D$23/D$29)</f>
        <v>0</v>
      </c>
      <c r="E50" s="140">
        <f t="shared" si="19"/>
        <v>0</v>
      </c>
      <c r="F50" s="81">
        <f t="shared" si="19"/>
        <v>0</v>
      </c>
      <c r="G50" s="81">
        <f t="shared" si="19"/>
        <v>0</v>
      </c>
      <c r="H50" s="81">
        <f t="shared" si="19"/>
        <v>0</v>
      </c>
      <c r="I50" s="81">
        <f t="shared" si="19"/>
        <v>0</v>
      </c>
      <c r="J50" s="81">
        <f t="shared" si="19"/>
        <v>0</v>
      </c>
      <c r="K50" s="81">
        <f t="shared" si="19"/>
        <v>0</v>
      </c>
      <c r="L50" s="81">
        <f t="shared" si="19"/>
        <v>0</v>
      </c>
      <c r="M50" s="81">
        <f t="shared" si="19"/>
        <v>0</v>
      </c>
      <c r="N50" s="81">
        <f t="shared" si="19"/>
        <v>0</v>
      </c>
      <c r="O50" s="81">
        <f t="shared" si="19"/>
        <v>0</v>
      </c>
      <c r="P50" s="81">
        <f t="shared" si="19"/>
        <v>0</v>
      </c>
      <c r="Q50" s="81">
        <f t="shared" si="19"/>
        <v>0</v>
      </c>
      <c r="R50" s="81">
        <f t="shared" si="19"/>
        <v>9.836065573770493E-2</v>
      </c>
      <c r="S50" s="81">
        <f t="shared" si="19"/>
        <v>0.1</v>
      </c>
      <c r="T50" s="81">
        <f t="shared" si="19"/>
        <v>0.10344827586206898</v>
      </c>
      <c r="U50" s="81">
        <f t="shared" si="19"/>
        <v>0.10810810810810811</v>
      </c>
      <c r="V50" s="81">
        <f t="shared" si="19"/>
        <v>0.10256410256410256</v>
      </c>
      <c r="W50" s="81">
        <f t="shared" si="19"/>
        <v>0.12328767123287672</v>
      </c>
      <c r="X50" s="81">
        <f t="shared" si="19"/>
        <v>7.9470198675496692E-2</v>
      </c>
      <c r="Y50" s="81">
        <f t="shared" si="19"/>
        <v>0.11881188118811879</v>
      </c>
      <c r="Z50" s="81">
        <f t="shared" si="2"/>
        <v>0.83405089336847682</v>
      </c>
      <c r="AA50" s="81">
        <f t="shared" si="3"/>
        <v>3.8037573098278855E-2</v>
      </c>
      <c r="AB50" s="81" t="str">
        <f>Threats!B17</f>
        <v>Threats to Information Leakage</v>
      </c>
      <c r="AC50" s="81">
        <f>INDEX(I69:I73,MATCH(AB50,B59:B63,0))</f>
        <v>0.11543859649122808</v>
      </c>
      <c r="AD50" s="141">
        <f t="shared" si="4"/>
        <v>9.6281664532711891E-2</v>
      </c>
      <c r="AE50" s="109">
        <f>MMULT(D23:Y23, AA34:AA55)/AA50</f>
        <v>8.3977019664680004</v>
      </c>
      <c r="AF50" s="104" t="str">
        <f xml:space="preserve"> Threats!A17</f>
        <v>T17-Communication Preventers(Botnet, Dialer)</v>
      </c>
      <c r="AG50" s="47"/>
      <c r="AH50" s="47"/>
      <c r="AI50" s="47"/>
      <c r="AK50" s="47"/>
      <c r="AL50" s="47"/>
      <c r="AM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58"/>
      <c r="DP50" s="58"/>
      <c r="DQ50" s="58"/>
      <c r="DR50" s="58"/>
      <c r="DS50" s="58"/>
      <c r="DT50" s="58"/>
      <c r="DU50" s="58"/>
      <c r="DV50" s="58"/>
    </row>
    <row r="51" spans="1:126" ht="12.75" customHeight="1" x14ac:dyDescent="0.3">
      <c r="A51" s="48"/>
      <c r="B51" s="48"/>
      <c r="C51" s="104" t="str">
        <f>Threats!A18</f>
        <v>T18-Authentication Threats</v>
      </c>
      <c r="D51" s="82">
        <f t="shared" ref="D51:Y51" si="20">(D$24/D$29)</f>
        <v>0</v>
      </c>
      <c r="E51" s="142">
        <f t="shared" si="20"/>
        <v>0</v>
      </c>
      <c r="F51" s="82">
        <f t="shared" si="20"/>
        <v>0</v>
      </c>
      <c r="G51" s="82">
        <f t="shared" si="20"/>
        <v>0</v>
      </c>
      <c r="H51" s="82">
        <f t="shared" si="20"/>
        <v>0</v>
      </c>
      <c r="I51" s="82">
        <f t="shared" si="20"/>
        <v>0</v>
      </c>
      <c r="J51" s="82">
        <f t="shared" si="20"/>
        <v>0</v>
      </c>
      <c r="K51" s="82">
        <f t="shared" si="20"/>
        <v>0</v>
      </c>
      <c r="L51" s="82">
        <f t="shared" si="20"/>
        <v>0</v>
      </c>
      <c r="M51" s="82">
        <f t="shared" si="20"/>
        <v>0</v>
      </c>
      <c r="N51" s="82">
        <f t="shared" si="20"/>
        <v>0</v>
      </c>
      <c r="O51" s="82">
        <f t="shared" si="20"/>
        <v>0</v>
      </c>
      <c r="P51" s="82">
        <f t="shared" si="20"/>
        <v>0</v>
      </c>
      <c r="Q51" s="82">
        <f t="shared" si="20"/>
        <v>0</v>
      </c>
      <c r="R51" s="82">
        <f t="shared" si="20"/>
        <v>9.836065573770493E-2</v>
      </c>
      <c r="S51" s="82">
        <f t="shared" si="20"/>
        <v>0.13333333333333333</v>
      </c>
      <c r="T51" s="82">
        <f t="shared" si="20"/>
        <v>0.10344827586206898</v>
      </c>
      <c r="U51" s="82">
        <f t="shared" si="20"/>
        <v>0.10810810810810811</v>
      </c>
      <c r="V51" s="82">
        <f t="shared" si="20"/>
        <v>0.10256410256410256</v>
      </c>
      <c r="W51" s="82">
        <f t="shared" si="20"/>
        <v>8.2191780821917818E-2</v>
      </c>
      <c r="X51" s="82">
        <f t="shared" si="20"/>
        <v>0.15894039735099338</v>
      </c>
      <c r="Y51" s="82">
        <f t="shared" si="20"/>
        <v>0.11881188118811879</v>
      </c>
      <c r="Z51" s="82">
        <f t="shared" si="2"/>
        <v>0.90575853496634795</v>
      </c>
      <c r="AA51" s="82">
        <f t="shared" si="3"/>
        <v>4.1307858737526029E-2</v>
      </c>
      <c r="AB51" s="82" t="str">
        <f>Threats!B18</f>
        <v>Threats to Information Leakage</v>
      </c>
      <c r="AC51" s="82">
        <f>INDEX(I69:I73,MATCH(AB51,B59:B63,0))</f>
        <v>0.11543859649122808</v>
      </c>
      <c r="AD51" s="143">
        <f t="shared" si="4"/>
        <v>0.10455949403646614</v>
      </c>
      <c r="AE51" s="109">
        <f>MMULT(D24:Y24, AA34:AA55)/AA51</f>
        <v>8.4413389011697877</v>
      </c>
      <c r="AF51" s="104" t="str">
        <f>Threats!A18</f>
        <v>T18-Authentication Threats</v>
      </c>
      <c r="AG51" s="47"/>
      <c r="AH51" s="47"/>
      <c r="AI51" s="47"/>
      <c r="AK51" s="47"/>
      <c r="AL51" s="47"/>
      <c r="AM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58"/>
      <c r="DP51" s="58"/>
      <c r="DQ51" s="58"/>
      <c r="DR51" s="58"/>
      <c r="DS51" s="58"/>
      <c r="DT51" s="58"/>
      <c r="DU51" s="58"/>
      <c r="DV51" s="58"/>
    </row>
    <row r="52" spans="1:126" ht="13.5" customHeight="1" x14ac:dyDescent="0.3">
      <c r="A52" s="48"/>
      <c r="B52" s="48"/>
      <c r="C52" s="104" t="str">
        <f>Threats!A19</f>
        <v>T19-Non Repudiation Threats</v>
      </c>
      <c r="D52" s="83">
        <f t="shared" ref="D52:Y52" si="21">(D$25/D$29)</f>
        <v>0</v>
      </c>
      <c r="E52" s="144">
        <f t="shared" si="21"/>
        <v>0</v>
      </c>
      <c r="F52" s="83">
        <f t="shared" si="21"/>
        <v>0</v>
      </c>
      <c r="G52" s="83">
        <f t="shared" si="21"/>
        <v>0</v>
      </c>
      <c r="H52" s="83">
        <f t="shared" si="21"/>
        <v>0</v>
      </c>
      <c r="I52" s="83">
        <f t="shared" si="21"/>
        <v>0</v>
      </c>
      <c r="J52" s="83">
        <f t="shared" si="21"/>
        <v>0</v>
      </c>
      <c r="K52" s="83">
        <f t="shared" si="21"/>
        <v>0</v>
      </c>
      <c r="L52" s="83">
        <f t="shared" si="21"/>
        <v>0</v>
      </c>
      <c r="M52" s="83">
        <f t="shared" si="21"/>
        <v>0</v>
      </c>
      <c r="N52" s="83">
        <f t="shared" si="21"/>
        <v>0</v>
      </c>
      <c r="O52" s="83">
        <f t="shared" si="21"/>
        <v>0</v>
      </c>
      <c r="P52" s="83">
        <f t="shared" si="21"/>
        <v>0</v>
      </c>
      <c r="Q52" s="83">
        <f t="shared" si="21"/>
        <v>0</v>
      </c>
      <c r="R52" s="83">
        <f t="shared" si="21"/>
        <v>9.836065573770493E-2</v>
      </c>
      <c r="S52" s="83">
        <f t="shared" si="21"/>
        <v>0.13333333333333333</v>
      </c>
      <c r="T52" s="83">
        <f t="shared" si="21"/>
        <v>0.10344827586206898</v>
      </c>
      <c r="U52" s="83">
        <f t="shared" si="21"/>
        <v>0.10810810810810811</v>
      </c>
      <c r="V52" s="83">
        <f t="shared" si="21"/>
        <v>0.10256410256410256</v>
      </c>
      <c r="W52" s="83">
        <f t="shared" si="21"/>
        <v>8.2191780821917818E-2</v>
      </c>
      <c r="X52" s="83">
        <f t="shared" si="21"/>
        <v>7.9470198675496692E-2</v>
      </c>
      <c r="Y52" s="83">
        <f t="shared" si="21"/>
        <v>0.11881188118811879</v>
      </c>
      <c r="Z52" s="83">
        <f t="shared" si="2"/>
        <v>0.82628833629085119</v>
      </c>
      <c r="AA52" s="83">
        <f t="shared" si="3"/>
        <v>3.7683555334354107E-2</v>
      </c>
      <c r="AB52" s="83" t="str">
        <f>Threats!B19</f>
        <v>Threats to Information Leakage</v>
      </c>
      <c r="AC52" s="83">
        <f>INDEX(I69:I73,MATCH(AB52,B59:B63,0))</f>
        <v>0.11543859649122808</v>
      </c>
      <c r="AD52" s="145">
        <f t="shared" si="4"/>
        <v>9.5385565838487743E-2</v>
      </c>
      <c r="AE52" s="109">
        <f>MMULT(D25:Y25, AA34:AA55)/AA52</f>
        <v>8.2991718636394793</v>
      </c>
      <c r="AF52" s="104" t="str">
        <f xml:space="preserve"> Threats!A19</f>
        <v>T19-Non Repudiation Threats</v>
      </c>
      <c r="AG52" s="47"/>
      <c r="AH52" s="47"/>
      <c r="AI52" s="47"/>
      <c r="AK52" s="47"/>
      <c r="AL52" s="47"/>
      <c r="AM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58"/>
      <c r="DP52" s="58"/>
      <c r="DQ52" s="58"/>
      <c r="DR52" s="58"/>
      <c r="DS52" s="58"/>
      <c r="DT52" s="58"/>
      <c r="DU52" s="58"/>
      <c r="DV52" s="58"/>
    </row>
    <row r="53" spans="1:126" ht="12.75" customHeight="1" x14ac:dyDescent="0.3">
      <c r="A53" s="48"/>
      <c r="B53" s="48"/>
      <c r="C53" s="104" t="str">
        <f>Threats!A20</f>
        <v>T20-Separation of Duties</v>
      </c>
      <c r="D53" s="84">
        <f t="shared" ref="D53:Y53" si="22">(D$26/D$29)</f>
        <v>0</v>
      </c>
      <c r="E53" s="146">
        <f t="shared" si="22"/>
        <v>0</v>
      </c>
      <c r="F53" s="84">
        <f t="shared" si="22"/>
        <v>0</v>
      </c>
      <c r="G53" s="84">
        <f t="shared" si="22"/>
        <v>0</v>
      </c>
      <c r="H53" s="84">
        <f t="shared" si="22"/>
        <v>0</v>
      </c>
      <c r="I53" s="84">
        <f t="shared" si="22"/>
        <v>0</v>
      </c>
      <c r="J53" s="84">
        <f t="shared" si="22"/>
        <v>0</v>
      </c>
      <c r="K53" s="84">
        <f t="shared" si="22"/>
        <v>0</v>
      </c>
      <c r="L53" s="84">
        <f t="shared" si="22"/>
        <v>0</v>
      </c>
      <c r="M53" s="84">
        <f t="shared" si="22"/>
        <v>0</v>
      </c>
      <c r="N53" s="84">
        <f t="shared" si="22"/>
        <v>0</v>
      </c>
      <c r="O53" s="84">
        <f t="shared" si="22"/>
        <v>0</v>
      </c>
      <c r="P53" s="84">
        <f t="shared" si="22"/>
        <v>0</v>
      </c>
      <c r="Q53" s="84">
        <f t="shared" si="22"/>
        <v>0</v>
      </c>
      <c r="R53" s="84">
        <f t="shared" si="22"/>
        <v>6.5573770491803282E-2</v>
      </c>
      <c r="S53" s="84">
        <f t="shared" si="22"/>
        <v>0.1</v>
      </c>
      <c r="T53" s="84">
        <f t="shared" si="22"/>
        <v>3.4482758620689655E-2</v>
      </c>
      <c r="U53" s="84">
        <f t="shared" si="22"/>
        <v>5.4054054054054057E-2</v>
      </c>
      <c r="V53" s="84">
        <f t="shared" si="22"/>
        <v>5.128205128205128E-2</v>
      </c>
      <c r="W53" s="84">
        <f t="shared" si="22"/>
        <v>4.1095890410958909E-2</v>
      </c>
      <c r="X53" s="84">
        <f t="shared" si="22"/>
        <v>1.9867549668874173E-2</v>
      </c>
      <c r="Y53" s="84">
        <f t="shared" si="22"/>
        <v>1.9801980198019799E-2</v>
      </c>
      <c r="Z53" s="84">
        <f t="shared" si="2"/>
        <v>0.38615805472645115</v>
      </c>
      <c r="AA53" s="84">
        <f t="shared" si="3"/>
        <v>1.7611053894833834E-2</v>
      </c>
      <c r="AB53" s="84" t="str">
        <f>Threats!B20</f>
        <v>Threats to Information Leakage</v>
      </c>
      <c r="AC53" s="84">
        <f>INDEX(I70:I74,MATCH(AB53,B60:B64,0))</f>
        <v>0.11543859649122808</v>
      </c>
      <c r="AD53" s="147">
        <f t="shared" si="4"/>
        <v>4.4577543861404362E-2</v>
      </c>
      <c r="AE53" s="109">
        <f>MMULT(D26:Y26, AA34:AA55)/AA53</f>
        <v>8.0690371763924471</v>
      </c>
      <c r="AF53" s="104" t="str">
        <f>Threats!A20</f>
        <v>T20-Separation of Duties</v>
      </c>
      <c r="AG53" s="47"/>
      <c r="AH53" s="47"/>
      <c r="AI53" s="47"/>
      <c r="AK53" s="47"/>
      <c r="AL53" s="47"/>
      <c r="AM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58"/>
      <c r="DP53" s="58"/>
      <c r="DQ53" s="58"/>
      <c r="DR53" s="58"/>
      <c r="DS53" s="58"/>
      <c r="DT53" s="58"/>
      <c r="DU53" s="58"/>
      <c r="DV53" s="58"/>
    </row>
    <row r="54" spans="1:126" ht="12.75" customHeight="1" x14ac:dyDescent="0.3">
      <c r="A54" s="48"/>
      <c r="B54" s="48"/>
      <c r="C54" s="104" t="str">
        <f>Threats!A21</f>
        <v>T21-Configuration Threats</v>
      </c>
      <c r="D54" s="85">
        <f t="shared" ref="D54:Y54" si="23">(D$27/D$29)</f>
        <v>0</v>
      </c>
      <c r="E54" s="146">
        <f t="shared" si="23"/>
        <v>0</v>
      </c>
      <c r="F54" s="85">
        <f t="shared" si="23"/>
        <v>0</v>
      </c>
      <c r="G54" s="85">
        <f t="shared" si="23"/>
        <v>0</v>
      </c>
      <c r="H54" s="85">
        <f t="shared" si="23"/>
        <v>0</v>
      </c>
      <c r="I54" s="85">
        <f t="shared" si="23"/>
        <v>0</v>
      </c>
      <c r="J54" s="85">
        <f t="shared" si="23"/>
        <v>0</v>
      </c>
      <c r="K54" s="85">
        <f t="shared" si="23"/>
        <v>0</v>
      </c>
      <c r="L54" s="85">
        <f t="shared" si="23"/>
        <v>0</v>
      </c>
      <c r="M54" s="85">
        <f t="shared" si="23"/>
        <v>0</v>
      </c>
      <c r="N54" s="85">
        <f t="shared" si="23"/>
        <v>0</v>
      </c>
      <c r="O54" s="85">
        <f t="shared" si="23"/>
        <v>0</v>
      </c>
      <c r="P54" s="85">
        <f t="shared" si="23"/>
        <v>0</v>
      </c>
      <c r="Q54" s="85">
        <f t="shared" si="23"/>
        <v>0</v>
      </c>
      <c r="R54" s="85">
        <f t="shared" si="23"/>
        <v>6.5573770491803282E-2</v>
      </c>
      <c r="S54" s="85">
        <f t="shared" si="23"/>
        <v>0.1</v>
      </c>
      <c r="T54" s="85">
        <f t="shared" si="23"/>
        <v>0.10344827586206898</v>
      </c>
      <c r="U54" s="85">
        <f t="shared" si="23"/>
        <v>5.4054054054054057E-2</v>
      </c>
      <c r="V54" s="85">
        <f t="shared" si="23"/>
        <v>0.10256410256410256</v>
      </c>
      <c r="W54" s="85">
        <f t="shared" si="23"/>
        <v>0.16438356164383564</v>
      </c>
      <c r="X54" s="85">
        <f t="shared" si="23"/>
        <v>7.9470198675496692E-2</v>
      </c>
      <c r="Y54" s="85">
        <f t="shared" si="23"/>
        <v>0.11881188118811879</v>
      </c>
      <c r="Z54" s="85">
        <f t="shared" si="2"/>
        <v>0.78830584447947993</v>
      </c>
      <c r="AA54" s="85">
        <f t="shared" si="3"/>
        <v>3.5951332732331753E-2</v>
      </c>
      <c r="AB54" s="85" t="str">
        <f>Threats!B21</f>
        <v>Threats to Information Leakage</v>
      </c>
      <c r="AC54" s="85">
        <f>INDEX(I69:I73,MATCH(AB54,B59:B63,0))</f>
        <v>0.11543859649122808</v>
      </c>
      <c r="AD54" s="148">
        <f t="shared" si="4"/>
        <v>9.1000920292543475E-2</v>
      </c>
      <c r="AE54" s="109">
        <f>MMULT(D27:Y27, AA34:AA55)/AA54</f>
        <v>8.4836205519710202</v>
      </c>
      <c r="AF54" s="104" t="str">
        <f xml:space="preserve"> Threats!A21</f>
        <v>T21-Configuration Threats</v>
      </c>
      <c r="AG54" s="47"/>
      <c r="AH54" s="47"/>
      <c r="AI54" s="47"/>
      <c r="AK54" s="47"/>
      <c r="AL54" s="47"/>
      <c r="AM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58"/>
      <c r="DP54" s="58"/>
      <c r="DQ54" s="58"/>
      <c r="DR54" s="58"/>
      <c r="DS54" s="58"/>
      <c r="DT54" s="58"/>
      <c r="DU54" s="58"/>
      <c r="DV54" s="58"/>
    </row>
    <row r="55" spans="1:126" ht="12.75" customHeight="1" x14ac:dyDescent="0.3">
      <c r="A55" s="48"/>
      <c r="B55" s="48"/>
      <c r="C55" s="104" t="str">
        <f>Threats!A22</f>
        <v>T22- Communications Threats</v>
      </c>
      <c r="D55" s="86">
        <f t="shared" ref="D55:Y55" si="24">(D$28/D$29)</f>
        <v>0</v>
      </c>
      <c r="E55" s="149">
        <f t="shared" si="24"/>
        <v>0</v>
      </c>
      <c r="F55" s="86">
        <f t="shared" si="24"/>
        <v>0</v>
      </c>
      <c r="G55" s="86">
        <f t="shared" si="24"/>
        <v>0</v>
      </c>
      <c r="H55" s="86">
        <f t="shared" si="24"/>
        <v>0</v>
      </c>
      <c r="I55" s="86">
        <f t="shared" si="24"/>
        <v>0</v>
      </c>
      <c r="J55" s="86">
        <f t="shared" si="24"/>
        <v>0</v>
      </c>
      <c r="K55" s="86">
        <f t="shared" si="24"/>
        <v>0</v>
      </c>
      <c r="L55" s="86">
        <f t="shared" si="24"/>
        <v>0</v>
      </c>
      <c r="M55" s="86">
        <f t="shared" si="24"/>
        <v>0</v>
      </c>
      <c r="N55" s="86">
        <f t="shared" si="24"/>
        <v>0</v>
      </c>
      <c r="O55" s="86">
        <f t="shared" si="24"/>
        <v>0</v>
      </c>
      <c r="P55" s="86">
        <f t="shared" si="24"/>
        <v>0</v>
      </c>
      <c r="Q55" s="86">
        <f t="shared" si="24"/>
        <v>0</v>
      </c>
      <c r="R55" s="86">
        <f t="shared" si="24"/>
        <v>0.13114754098360656</v>
      </c>
      <c r="S55" s="86">
        <f t="shared" si="24"/>
        <v>0.13333333333333333</v>
      </c>
      <c r="T55" s="86">
        <f t="shared" si="24"/>
        <v>0.10344827586206898</v>
      </c>
      <c r="U55" s="86">
        <f t="shared" si="24"/>
        <v>0.10810810810810811</v>
      </c>
      <c r="V55" s="86">
        <f t="shared" si="24"/>
        <v>0.10256410256410256</v>
      </c>
      <c r="W55" s="86">
        <f t="shared" si="24"/>
        <v>0.24657534246575344</v>
      </c>
      <c r="X55" s="86">
        <f t="shared" si="24"/>
        <v>7.9470198675496692E-2</v>
      </c>
      <c r="Y55" s="86">
        <f t="shared" si="24"/>
        <v>0.11881188118811879</v>
      </c>
      <c r="Z55" s="86">
        <f t="shared" si="2"/>
        <v>1.0234587831805884</v>
      </c>
      <c r="AA55" s="86">
        <f t="shared" si="3"/>
        <v>4.6675674815335591E-2</v>
      </c>
      <c r="AB55" s="86" t="str">
        <f>Threats!B22</f>
        <v>Threats to Information Leakage</v>
      </c>
      <c r="AC55" s="86">
        <f>INDEX(I69:I73,MATCH(AB55,B59:B63,0))</f>
        <v>0.11543859649122808</v>
      </c>
      <c r="AD55" s="150">
        <f t="shared" si="4"/>
        <v>0.11814664549698722</v>
      </c>
      <c r="AE55" s="109">
        <f>MMULT(D28:Y28, AA34:AA55)/AA55</f>
        <v>8.4535334730043985</v>
      </c>
      <c r="AF55" s="104" t="str">
        <f>Threats!A22</f>
        <v>T22- Communications Threats</v>
      </c>
      <c r="AG55" s="47"/>
      <c r="AH55" s="47"/>
      <c r="AI55" s="47"/>
      <c r="AK55" s="47"/>
      <c r="AL55" s="47"/>
      <c r="AM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58"/>
      <c r="DP55" s="58"/>
      <c r="DQ55" s="58"/>
      <c r="DR55" s="58"/>
      <c r="DS55" s="58"/>
      <c r="DT55" s="58"/>
      <c r="DU55" s="58"/>
      <c r="DV55" s="58"/>
    </row>
    <row r="56" spans="1:126" ht="32.25" customHeight="1" x14ac:dyDescent="0.3">
      <c r="A56" s="48"/>
      <c r="B56" s="48"/>
      <c r="C56" s="151" t="s">
        <v>251</v>
      </c>
      <c r="D56" s="152">
        <f t="shared" ref="D56:Z56" si="25">SUM(D34:D55)</f>
        <v>1.0000000000000002</v>
      </c>
      <c r="E56" s="152">
        <f t="shared" si="25"/>
        <v>1</v>
      </c>
      <c r="F56" s="152">
        <f t="shared" si="25"/>
        <v>0.927027027027027</v>
      </c>
      <c r="G56" s="152">
        <f t="shared" si="25"/>
        <v>1</v>
      </c>
      <c r="H56" s="152">
        <f t="shared" si="25"/>
        <v>1</v>
      </c>
      <c r="I56" s="152">
        <f t="shared" si="25"/>
        <v>1</v>
      </c>
      <c r="J56" s="152">
        <f t="shared" si="25"/>
        <v>1</v>
      </c>
      <c r="K56" s="152">
        <f t="shared" si="25"/>
        <v>1</v>
      </c>
      <c r="L56" s="152">
        <f t="shared" si="25"/>
        <v>1.0000000000000002</v>
      </c>
      <c r="M56" s="152">
        <f t="shared" si="25"/>
        <v>1</v>
      </c>
      <c r="N56" s="152">
        <f t="shared" si="25"/>
        <v>1</v>
      </c>
      <c r="O56" s="152">
        <f t="shared" si="25"/>
        <v>1</v>
      </c>
      <c r="P56" s="152">
        <f t="shared" si="25"/>
        <v>1</v>
      </c>
      <c r="Q56" s="152">
        <f t="shared" si="25"/>
        <v>1</v>
      </c>
      <c r="R56" s="152">
        <f t="shared" si="25"/>
        <v>1</v>
      </c>
      <c r="S56" s="152">
        <f t="shared" si="25"/>
        <v>0.99999999999999989</v>
      </c>
      <c r="T56" s="152">
        <f t="shared" si="25"/>
        <v>1</v>
      </c>
      <c r="U56" s="152">
        <f t="shared" si="25"/>
        <v>1</v>
      </c>
      <c r="V56" s="152">
        <f t="shared" si="25"/>
        <v>0.99999999999999989</v>
      </c>
      <c r="W56" s="152">
        <f t="shared" si="25"/>
        <v>1.0000000000000002</v>
      </c>
      <c r="X56" s="152">
        <f t="shared" si="25"/>
        <v>0.99999999999999989</v>
      </c>
      <c r="Y56" s="152">
        <f t="shared" si="25"/>
        <v>0.99999999999999989</v>
      </c>
      <c r="Z56" s="152">
        <f t="shared" si="25"/>
        <v>21.92702702702703</v>
      </c>
      <c r="AA56" s="151"/>
      <c r="AB56" s="151"/>
      <c r="AC56" s="153"/>
      <c r="AD56" s="154"/>
      <c r="AE56" s="109"/>
      <c r="AF56" s="47"/>
      <c r="AG56" s="47"/>
      <c r="AH56" s="47"/>
      <c r="AI56" s="47"/>
      <c r="AJ56" s="47"/>
      <c r="AK56" s="47"/>
      <c r="AL56" s="155"/>
      <c r="AM56" s="155"/>
      <c r="AN56" s="155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58"/>
      <c r="CY56" s="58"/>
      <c r="CZ56" s="58"/>
      <c r="DA56" s="58"/>
      <c r="DB56" s="58"/>
      <c r="DC56" s="58"/>
      <c r="DD56" s="58"/>
      <c r="DE56" s="58"/>
    </row>
    <row r="57" spans="1:126" ht="51" customHeight="1" x14ac:dyDescent="0.25">
      <c r="A57" s="48"/>
      <c r="B57" s="48"/>
      <c r="C57" s="47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56"/>
      <c r="AC57" s="103"/>
      <c r="AD57" s="157"/>
      <c r="AF57" s="158"/>
      <c r="AG57" s="159" t="s">
        <v>294</v>
      </c>
      <c r="AH57" s="159" t="s">
        <v>295</v>
      </c>
      <c r="AI57" s="159" t="s">
        <v>293</v>
      </c>
      <c r="AJ57" s="159" t="s">
        <v>263</v>
      </c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</row>
    <row r="58" spans="1:126" ht="97.5" customHeight="1" x14ac:dyDescent="0.35">
      <c r="A58" s="47"/>
      <c r="B58" s="160" t="s">
        <v>291</v>
      </c>
      <c r="C58" s="161" t="str">
        <f>B59</f>
        <v>Threats to The Level of Service</v>
      </c>
      <c r="D58" s="162" t="str">
        <f>B60</f>
        <v>Threats to the Information Base</v>
      </c>
      <c r="E58" s="162" t="str">
        <f>B61</f>
        <v>Threats to Information Leakage</v>
      </c>
      <c r="F58" s="162" t="str">
        <f>B62</f>
        <v>Threat_Group4</v>
      </c>
      <c r="G58" s="162" t="str">
        <f>B63</f>
        <v>Threat_Group5</v>
      </c>
      <c r="H58" s="163"/>
      <c r="I58" s="346" t="s">
        <v>266</v>
      </c>
      <c r="J58" s="346"/>
      <c r="K58" s="346"/>
      <c r="L58" s="346"/>
      <c r="M58" s="164"/>
      <c r="N58" s="16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F58" s="166" t="s">
        <v>296</v>
      </c>
      <c r="AG58" s="212">
        <f ca="1">IF(Threats!I1&lt;&gt;0,AVERAGE(INDIRECT("AF"&amp;Threats!G1&amp;":AF"&amp;Threats!H1),0))</f>
        <v>0</v>
      </c>
      <c r="AH58" s="212">
        <f ca="1">(AG58-Threats!I1)/(Threats!I1-1)</f>
        <v>-1.125</v>
      </c>
      <c r="AI58" s="212">
        <f>INDEX('AHP Settings'!B3:B32,MATCH(Threats!I1,'AHP Settings'!A3:A32,0))</f>
        <v>1.4499</v>
      </c>
      <c r="AJ58" s="212">
        <f ca="1">AH58/AI58</f>
        <v>-0.7759155803848542</v>
      </c>
      <c r="AL58" s="47"/>
      <c r="AM58" s="47"/>
      <c r="AN58" s="47"/>
    </row>
    <row r="59" spans="1:126" ht="27.6" customHeight="1" x14ac:dyDescent="0.25">
      <c r="A59" s="47"/>
      <c r="B59" s="216" t="str">
        <f>Threats!D1</f>
        <v>Threats to The Level of Service</v>
      </c>
      <c r="C59" s="168">
        <v>1</v>
      </c>
      <c r="D59" s="37">
        <v>4</v>
      </c>
      <c r="E59" s="37">
        <v>3</v>
      </c>
      <c r="F59" s="37">
        <v>0</v>
      </c>
      <c r="G59" s="37">
        <v>0</v>
      </c>
      <c r="H59" s="169"/>
      <c r="I59" s="336" t="s">
        <v>255</v>
      </c>
      <c r="J59" s="336"/>
      <c r="K59" s="336"/>
      <c r="L59" s="336"/>
      <c r="M59" s="47"/>
      <c r="N59" s="47"/>
      <c r="AB59" s="44"/>
      <c r="AF59" s="166" t="s">
        <v>297</v>
      </c>
      <c r="AG59" s="212">
        <f ca="1">IF(Threats!I2&lt;&gt;0,AVERAGE(INDIRECT("AF"&amp;Threats!G2&amp;":AF"&amp;Threats!H2),0))</f>
        <v>0</v>
      </c>
      <c r="AH59" s="212">
        <f ca="1">(AG59-Threats!I2)/(Threats!I2-1)</f>
        <v>-1.25</v>
      </c>
      <c r="AI59" s="212">
        <f>INDEX('AHP Settings'!B4:B33,MATCH(Threats!I2,'AHP Settings'!A4:A33,0))</f>
        <v>1.1086</v>
      </c>
      <c r="AJ59" s="212">
        <f ca="1">AH59/AI59</f>
        <v>-1.1275482590654879</v>
      </c>
      <c r="AL59" s="47"/>
      <c r="AM59" s="47"/>
      <c r="AN59" s="47"/>
    </row>
    <row r="60" spans="1:126" ht="36.6" customHeight="1" x14ac:dyDescent="0.25">
      <c r="A60" s="47"/>
      <c r="B60" s="216" t="str">
        <f>Threats!D2</f>
        <v>Threats to the Information Base</v>
      </c>
      <c r="C60" s="67">
        <f>IF(D59&lt;&gt;0,(C59/D59),0)</f>
        <v>0.25</v>
      </c>
      <c r="D60" s="168">
        <v>1</v>
      </c>
      <c r="E60" s="38">
        <v>1</v>
      </c>
      <c r="F60" s="38">
        <v>0</v>
      </c>
      <c r="G60" s="38">
        <v>0</v>
      </c>
      <c r="H60" s="169"/>
      <c r="I60" s="337" t="s">
        <v>255</v>
      </c>
      <c r="J60" s="337"/>
      <c r="K60" s="337"/>
      <c r="L60" s="337"/>
      <c r="M60" s="47"/>
      <c r="N60" s="47"/>
      <c r="AB60" s="44"/>
      <c r="AD60" s="165"/>
      <c r="AF60" s="166" t="s">
        <v>298</v>
      </c>
      <c r="AG60" s="212">
        <f ca="1">IF(Threats!I3&lt;&gt;0,AVERAGE(INDIRECT("AF"&amp;Threats!G3&amp;":AF"&amp;Threats!H3),0))</f>
        <v>0</v>
      </c>
      <c r="AH60" s="212">
        <f ca="1">(AG60-Threats!I3)/(Threats!I3-1)</f>
        <v>-1.125</v>
      </c>
      <c r="AI60" s="212">
        <f>INDEX('AHP Settings'!B5:B34,MATCH(Threats!I3,'AHP Settings'!A5:A34,0))</f>
        <v>1.4499</v>
      </c>
      <c r="AJ60" s="212">
        <f ca="1">AH60/AI60</f>
        <v>-0.7759155803848542</v>
      </c>
      <c r="AL60" s="47"/>
      <c r="AM60" s="47"/>
      <c r="AN60" s="47"/>
    </row>
    <row r="61" spans="1:126" ht="39" customHeight="1" x14ac:dyDescent="0.25">
      <c r="A61" s="47"/>
      <c r="B61" s="216" t="str">
        <f>Threats!D3</f>
        <v>Threats to Information Leakage</v>
      </c>
      <c r="C61" s="67">
        <f>IF(E59&lt;&gt;0, (C59/E59),0)</f>
        <v>0.33333333333333331</v>
      </c>
      <c r="D61" s="67">
        <f>IF(E60 &lt;&gt; 0, (D60/E60),0)</f>
        <v>1</v>
      </c>
      <c r="E61" s="168">
        <v>1</v>
      </c>
      <c r="F61" s="190">
        <v>0</v>
      </c>
      <c r="G61" s="190">
        <v>0</v>
      </c>
      <c r="H61" s="169"/>
      <c r="I61" s="338" t="s">
        <v>255</v>
      </c>
      <c r="J61" s="338"/>
      <c r="K61" s="338"/>
      <c r="L61" s="338"/>
      <c r="M61" s="47"/>
      <c r="N61" s="47"/>
      <c r="AB61" s="44"/>
      <c r="AF61" s="166" t="s">
        <v>299</v>
      </c>
      <c r="AG61" s="212" t="b">
        <f ca="1">IF(Threats!I4&lt;&gt;0,AVERAGE(INDIRECT("AF"&amp;Threats!G4&amp;":AF"&amp;Threats!H4),0))</f>
        <v>0</v>
      </c>
      <c r="AH61" s="212">
        <f ca="1">(AG61-Threats!I4)/(Threats!I4-1)</f>
        <v>0</v>
      </c>
      <c r="AI61" s="212" t="e">
        <f>INDEX('AHP Settings'!B6:B35,MATCH(Threats!I4,'AHP Settings'!A6:A35,0))</f>
        <v>#N/A</v>
      </c>
      <c r="AJ61" s="212" t="e">
        <f ca="1">AH61/AI61</f>
        <v>#N/A</v>
      </c>
      <c r="AL61" s="47"/>
      <c r="AM61" s="47"/>
      <c r="AN61" s="47"/>
    </row>
    <row r="62" spans="1:126" ht="26.4" customHeight="1" x14ac:dyDescent="0.25">
      <c r="A62" s="47"/>
      <c r="B62" s="216" t="str">
        <f>Threats!D4</f>
        <v>Threat_Group4</v>
      </c>
      <c r="C62" s="67">
        <f>IF(F59&lt;&gt; 0, (C59/F59), 0)</f>
        <v>0</v>
      </c>
      <c r="D62" s="67">
        <f>IF(F60&lt;&gt;0, (D60/F60),0)</f>
        <v>0</v>
      </c>
      <c r="E62" s="67">
        <f>IF(F61&lt;&gt; 0, (E61/F61), 0)</f>
        <v>0</v>
      </c>
      <c r="F62" s="168">
        <v>1</v>
      </c>
      <c r="G62" s="191">
        <v>0</v>
      </c>
      <c r="H62" s="169"/>
      <c r="I62" s="339" t="s">
        <v>255</v>
      </c>
      <c r="J62" s="339"/>
      <c r="K62" s="339"/>
      <c r="L62" s="339"/>
      <c r="M62" s="47"/>
      <c r="N62" s="47"/>
      <c r="AB62" s="44"/>
      <c r="AD62" s="165"/>
      <c r="AF62" s="166" t="s">
        <v>300</v>
      </c>
      <c r="AG62" s="212" t="b">
        <f ca="1">IF(Threats!I5&lt;&gt;0,AVERAGE(INDIRECT("AF"&amp;Threats!G5&amp;":AF"&amp;Threats!H5),0))</f>
        <v>0</v>
      </c>
      <c r="AH62" s="212">
        <f ca="1">(AG62-Threats!I5)/(Threats!I5-1)</f>
        <v>0</v>
      </c>
      <c r="AI62" s="212" t="e">
        <f>INDEX('AHP Settings'!B7:B36,MATCH(Threats!I5,'AHP Settings'!A7:A36,0))</f>
        <v>#N/A</v>
      </c>
      <c r="AJ62" s="212" t="e">
        <f ca="1">AH62/AI62</f>
        <v>#N/A</v>
      </c>
      <c r="AL62" s="47"/>
      <c r="AM62" s="47"/>
      <c r="AN62" s="47"/>
    </row>
    <row r="63" spans="1:126" ht="24" customHeight="1" x14ac:dyDescent="0.25">
      <c r="A63" s="47"/>
      <c r="B63" s="216" t="str">
        <f>Threats!D5</f>
        <v>Threat_Group5</v>
      </c>
      <c r="C63" s="67">
        <f>IF(G59&lt;&gt;0, (C59/G59), 0)</f>
        <v>0</v>
      </c>
      <c r="D63" s="67">
        <f>IF(G60&lt;&gt;0, (D60/G60),0)</f>
        <v>0</v>
      </c>
      <c r="E63" s="67">
        <f>IF(G61&lt;&gt;0, (E61/G61),0)</f>
        <v>0</v>
      </c>
      <c r="F63" s="67">
        <f>IF(G62&lt;&gt;0, (F62/G62), 0)</f>
        <v>0</v>
      </c>
      <c r="G63" s="168">
        <v>1</v>
      </c>
      <c r="H63" s="47"/>
      <c r="I63" s="340" t="s">
        <v>255</v>
      </c>
      <c r="J63" s="340"/>
      <c r="K63" s="340"/>
      <c r="L63" s="340"/>
      <c r="M63" s="47"/>
      <c r="N63" s="47"/>
      <c r="AB63" s="44"/>
      <c r="AF63" s="44"/>
      <c r="AL63" s="47"/>
      <c r="AM63" s="47"/>
      <c r="AN63" s="47"/>
    </row>
    <row r="64" spans="1:126" x14ac:dyDescent="0.25">
      <c r="A64" s="47"/>
      <c r="B64" s="87" t="s">
        <v>251</v>
      </c>
      <c r="C64" s="88">
        <f>SUM(C59:C63)</f>
        <v>1.5833333333333333</v>
      </c>
      <c r="D64" s="88">
        <f>SUM(D59:D63)</f>
        <v>6</v>
      </c>
      <c r="E64" s="88">
        <f>SUM(E59:E63)</f>
        <v>5</v>
      </c>
      <c r="F64" s="88">
        <f>SUM(F59:F63)</f>
        <v>1</v>
      </c>
      <c r="G64" s="88">
        <f>SUM(G59:G63)</f>
        <v>1</v>
      </c>
      <c r="H64" s="47"/>
      <c r="I64" s="47"/>
      <c r="J64" s="49"/>
      <c r="K64" s="47"/>
      <c r="L64" s="47"/>
      <c r="M64" s="47"/>
      <c r="N64" s="47"/>
      <c r="AB64" s="44"/>
      <c r="AD64" s="165"/>
      <c r="AF64" s="44"/>
      <c r="AL64" s="47"/>
      <c r="AM64" s="47"/>
      <c r="AN64" s="47"/>
    </row>
    <row r="65" spans="1:93" ht="21" customHeight="1" x14ac:dyDescent="0.25">
      <c r="B65" s="48"/>
      <c r="C65" s="48"/>
      <c r="D65" s="48"/>
      <c r="E65" s="48"/>
      <c r="F65" s="48"/>
      <c r="G65" s="48"/>
      <c r="H65" s="48"/>
      <c r="I65" s="48"/>
      <c r="J65" s="48"/>
      <c r="K65" s="48"/>
      <c r="AB65" s="44"/>
      <c r="AF65" s="44"/>
      <c r="AL65" s="47"/>
      <c r="AM65" s="47"/>
      <c r="AN65" s="47"/>
    </row>
    <row r="66" spans="1:93" ht="16.2" customHeight="1" x14ac:dyDescent="0.3">
      <c r="B66" s="48"/>
      <c r="C66" s="48"/>
      <c r="D66" s="48"/>
      <c r="E66" s="48"/>
      <c r="F66" s="48"/>
      <c r="G66" s="48"/>
      <c r="H66" s="48"/>
      <c r="I66" s="48"/>
      <c r="J66" s="48"/>
      <c r="K66" s="48"/>
      <c r="AB66" s="44"/>
      <c r="AD66" s="170"/>
      <c r="AE66" s="109"/>
      <c r="AF66" s="44"/>
      <c r="AL66" s="47"/>
      <c r="AM66" s="47"/>
      <c r="AN66" s="47"/>
    </row>
    <row r="67" spans="1:93" ht="12.75" customHeight="1" x14ac:dyDescent="0.3">
      <c r="B67" s="343" t="s">
        <v>250</v>
      </c>
      <c r="C67" s="341" t="s">
        <v>362</v>
      </c>
      <c r="D67" s="341" t="s">
        <v>363</v>
      </c>
      <c r="E67" s="341" t="s">
        <v>364</v>
      </c>
      <c r="F67" s="341" t="s">
        <v>259</v>
      </c>
      <c r="G67" s="341" t="s">
        <v>260</v>
      </c>
      <c r="H67" s="341" t="s">
        <v>252</v>
      </c>
      <c r="I67" s="171"/>
      <c r="J67" s="341" t="s">
        <v>265</v>
      </c>
      <c r="K67" s="341" t="s">
        <v>267</v>
      </c>
      <c r="AB67" s="44"/>
      <c r="AF67" s="44"/>
      <c r="AL67" s="47"/>
      <c r="AM67" s="47"/>
      <c r="AN67" s="47"/>
    </row>
    <row r="68" spans="1:93" ht="155.25" customHeight="1" x14ac:dyDescent="0.25">
      <c r="B68" s="344"/>
      <c r="C68" s="342" t="e">
        <v>#REF!</v>
      </c>
      <c r="D68" s="342" t="e">
        <v>#REF!</v>
      </c>
      <c r="E68" s="342" t="e">
        <v>#REF!</v>
      </c>
      <c r="F68" s="342" t="e">
        <v>#REF!</v>
      </c>
      <c r="G68" s="342" t="e">
        <v>#REF!</v>
      </c>
      <c r="H68" s="342"/>
      <c r="I68" s="172" t="s">
        <v>253</v>
      </c>
      <c r="J68" s="342"/>
      <c r="K68" s="342"/>
      <c r="AB68" s="44"/>
      <c r="AF68" s="44"/>
      <c r="AL68" s="47"/>
      <c r="AM68" s="47"/>
      <c r="AN68" s="47"/>
    </row>
    <row r="69" spans="1:93" ht="12.75" customHeight="1" x14ac:dyDescent="0.3">
      <c r="B69" s="167" t="s">
        <v>362</v>
      </c>
      <c r="C69" s="173">
        <f>(C59/C64)</f>
        <v>0.63157894736842113</v>
      </c>
      <c r="D69" s="173">
        <f>(D59/D64)</f>
        <v>0.66666666666666663</v>
      </c>
      <c r="E69" s="173">
        <f>(E59/E64)</f>
        <v>0.6</v>
      </c>
      <c r="F69" s="173">
        <f>(F59/F64)</f>
        <v>0</v>
      </c>
      <c r="G69" s="173">
        <f>(G59/G64)</f>
        <v>0</v>
      </c>
      <c r="H69" s="174">
        <f>SUM(C69:G69)</f>
        <v>1.8982456140350878</v>
      </c>
      <c r="I69" s="174">
        <f>(H69/H74)</f>
        <v>0.37964912280701757</v>
      </c>
      <c r="J69" s="175">
        <f>MMULT(C59:G59,I69:I73)/I69</f>
        <v>3.0175600739371538</v>
      </c>
      <c r="K69" s="175">
        <v>3.05811749842072</v>
      </c>
      <c r="AB69" s="44"/>
      <c r="AF69" s="44"/>
      <c r="AL69" s="47"/>
      <c r="AM69" s="47"/>
      <c r="AN69" s="47"/>
    </row>
    <row r="70" spans="1:93" ht="12.75" customHeight="1" x14ac:dyDescent="0.3">
      <c r="B70" s="167" t="s">
        <v>363</v>
      </c>
      <c r="C70" s="176">
        <f>(C60/C64)</f>
        <v>0.15789473684210528</v>
      </c>
      <c r="D70" s="176">
        <f>(D60/D64)</f>
        <v>0.16666666666666666</v>
      </c>
      <c r="E70" s="176">
        <f>(E60/E64)</f>
        <v>0.2</v>
      </c>
      <c r="F70" s="176">
        <f>(F60/F64)</f>
        <v>0</v>
      </c>
      <c r="G70" s="176">
        <f>(G60/G64)</f>
        <v>0</v>
      </c>
      <c r="H70" s="177">
        <f>SUM(C70:G70)</f>
        <v>0.52456140350877201</v>
      </c>
      <c r="I70" s="174">
        <f>(H70/H74)</f>
        <v>0.1049122807017544</v>
      </c>
      <c r="J70" s="175">
        <f>MMULT(C60:G60,I69:I73)/I70</f>
        <v>3.0050167224080266</v>
      </c>
      <c r="K70" s="175">
        <v>3.0147819660014781</v>
      </c>
      <c r="AB70" s="44"/>
      <c r="AF70" s="44"/>
      <c r="AL70" s="47"/>
      <c r="AM70" s="47"/>
      <c r="AN70" s="47"/>
    </row>
    <row r="71" spans="1:93" ht="12.75" customHeight="1" x14ac:dyDescent="0.3">
      <c r="B71" s="167" t="s">
        <v>364</v>
      </c>
      <c r="C71" s="178">
        <f>(C61/C64)</f>
        <v>0.21052631578947367</v>
      </c>
      <c r="D71" s="178">
        <f>(D61/D64)</f>
        <v>0.16666666666666666</v>
      </c>
      <c r="E71" s="178">
        <f>(E61/E64)</f>
        <v>0.2</v>
      </c>
      <c r="F71" s="178">
        <f>(F61/F64)</f>
        <v>0</v>
      </c>
      <c r="G71" s="178">
        <f>(G61/G64)</f>
        <v>0</v>
      </c>
      <c r="H71" s="179">
        <f>SUM(C71:G71)</f>
        <v>0.57719298245614037</v>
      </c>
      <c r="I71" s="174">
        <f>(H71/H74)</f>
        <v>0.11543859649122808</v>
      </c>
      <c r="J71" s="175">
        <f>MMULT(C61:G61,I69:I73)/I71</f>
        <v>3.0050658561296859</v>
      </c>
      <c r="K71" s="175">
        <v>3.0146981627296587</v>
      </c>
      <c r="AB71" s="44"/>
      <c r="AF71" s="44"/>
      <c r="AL71" s="47"/>
      <c r="AM71" s="47"/>
      <c r="AN71" s="47"/>
    </row>
    <row r="72" spans="1:93" ht="12.75" customHeight="1" x14ac:dyDescent="0.3">
      <c r="B72" s="167" t="s">
        <v>259</v>
      </c>
      <c r="C72" s="180">
        <f>(C62/C64)</f>
        <v>0</v>
      </c>
      <c r="D72" s="180">
        <f>(D62/D64)</f>
        <v>0</v>
      </c>
      <c r="E72" s="180">
        <f>(E62/E64)</f>
        <v>0</v>
      </c>
      <c r="F72" s="180">
        <f>(F62/F64)</f>
        <v>1</v>
      </c>
      <c r="G72" s="180">
        <f>(G62/G64)</f>
        <v>0</v>
      </c>
      <c r="H72" s="181">
        <f>SUM(C72:G72)</f>
        <v>1</v>
      </c>
      <c r="I72" s="174">
        <f>(H72/H74)</f>
        <v>0.2</v>
      </c>
      <c r="J72" s="175">
        <f>MMULT(C62:G62,I69:I73)/I72</f>
        <v>1</v>
      </c>
      <c r="K72" s="175">
        <v>1</v>
      </c>
      <c r="AB72" s="44"/>
      <c r="AF72" s="44"/>
      <c r="AL72" s="47"/>
      <c r="AM72" s="47"/>
      <c r="AN72" s="47"/>
    </row>
    <row r="73" spans="1:93" ht="12.75" customHeight="1" x14ac:dyDescent="0.3">
      <c r="B73" s="167" t="s">
        <v>260</v>
      </c>
      <c r="C73" s="182">
        <f>(C63/C64)</f>
        <v>0</v>
      </c>
      <c r="D73" s="182">
        <f>(D63/D64)</f>
        <v>0</v>
      </c>
      <c r="E73" s="182">
        <f>(E63/E64)</f>
        <v>0</v>
      </c>
      <c r="F73" s="182">
        <f>(F63/F64)</f>
        <v>0</v>
      </c>
      <c r="G73" s="182">
        <f>(G63/G64)</f>
        <v>1</v>
      </c>
      <c r="H73" s="183">
        <f>SUM(C73:G73)</f>
        <v>1</v>
      </c>
      <c r="I73" s="174">
        <f>(H73/H74)</f>
        <v>0.2</v>
      </c>
      <c r="J73" s="175">
        <f>MMULT(C63:G63,I69:I73)/I73</f>
        <v>1</v>
      </c>
      <c r="K73" s="175">
        <v>1</v>
      </c>
      <c r="AB73" s="44"/>
      <c r="AF73" s="44"/>
      <c r="AL73" s="47"/>
      <c r="AM73" s="47"/>
      <c r="AN73" s="47"/>
    </row>
    <row r="74" spans="1:93" ht="25.95" customHeight="1" x14ac:dyDescent="0.3">
      <c r="B74" s="151" t="s">
        <v>251</v>
      </c>
      <c r="C74" s="152">
        <f>SUM(C69:C73)</f>
        <v>1</v>
      </c>
      <c r="D74" s="152">
        <f>SUM(D69:D73)</f>
        <v>0.99999999999999989</v>
      </c>
      <c r="E74" s="152">
        <f>SUM(E69:E73)</f>
        <v>1</v>
      </c>
      <c r="F74" s="152">
        <f>SUM(F69:F73)</f>
        <v>1</v>
      </c>
      <c r="G74" s="152">
        <f>SUM(G69:G73)</f>
        <v>1</v>
      </c>
      <c r="H74" s="151">
        <v>5</v>
      </c>
      <c r="I74" s="184" t="s">
        <v>261</v>
      </c>
      <c r="J74" s="175">
        <f>((AVERAGE(J69:J73)-5)/4)</f>
        <v>-0.69861786737625664</v>
      </c>
      <c r="K74" s="175">
        <f>((AVERAGE(K69:K71)-3)/2)</f>
        <v>1.4599604525309395E-2</v>
      </c>
      <c r="AB74" s="44"/>
      <c r="AF74" s="44"/>
      <c r="AL74" s="47"/>
      <c r="AM74" s="47"/>
      <c r="AN74" s="47"/>
    </row>
    <row r="75" spans="1:93" s="50" customFormat="1" ht="27" customHeight="1" x14ac:dyDescent="0.3">
      <c r="B75" s="94"/>
      <c r="C75" s="94"/>
      <c r="D75" s="94"/>
      <c r="E75" s="94"/>
      <c r="F75" s="94"/>
      <c r="G75" s="94"/>
      <c r="H75" s="94"/>
      <c r="I75" s="185" t="s">
        <v>262</v>
      </c>
      <c r="J75" s="175">
        <v>0.52449999999999997</v>
      </c>
      <c r="K75" s="175">
        <v>1.1086</v>
      </c>
      <c r="L75" s="165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L75" s="47"/>
      <c r="AM75" s="47"/>
      <c r="AN75" s="47"/>
    </row>
    <row r="76" spans="1:93" ht="27" customHeight="1" x14ac:dyDescent="0.3">
      <c r="A76" s="48"/>
      <c r="B76" s="48"/>
      <c r="C76" s="47"/>
      <c r="D76" s="47"/>
      <c r="E76" s="47"/>
      <c r="F76" s="47"/>
      <c r="G76" s="47"/>
      <c r="H76" s="47"/>
      <c r="I76" s="186" t="s">
        <v>276</v>
      </c>
      <c r="J76" s="175">
        <f>J74/J75</f>
        <v>-1.3319692418994409</v>
      </c>
      <c r="K76" s="175">
        <f>K74/K75</f>
        <v>1.3169406932445784E-2</v>
      </c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93" ht="30" customHeight="1" x14ac:dyDescent="0.25">
      <c r="A77" s="48"/>
      <c r="B77" s="48"/>
      <c r="C77" s="47"/>
      <c r="D77" s="47"/>
      <c r="E77" s="47"/>
      <c r="F77" s="49"/>
      <c r="G77" s="94"/>
      <c r="H77" s="94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</row>
    <row r="78" spans="1:93" ht="15.6" x14ac:dyDescent="0.3">
      <c r="A78" s="48"/>
      <c r="B78" s="48"/>
      <c r="C78" s="48"/>
      <c r="D78" s="374" t="s">
        <v>290</v>
      </c>
      <c r="E78" s="375"/>
      <c r="F78" s="375"/>
      <c r="G78" s="376"/>
      <c r="H78" s="49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  <c r="BF78" s="47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</row>
    <row r="79" spans="1:93" ht="22.8" x14ac:dyDescent="0.4">
      <c r="A79" s="48"/>
      <c r="B79" s="48"/>
      <c r="C79" s="48"/>
      <c r="D79" s="187" t="s">
        <v>287</v>
      </c>
      <c r="E79" s="188" t="s">
        <v>288</v>
      </c>
      <c r="F79" s="187" t="s">
        <v>289</v>
      </c>
      <c r="G79" s="189">
        <v>9</v>
      </c>
      <c r="H79" s="49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  <c r="BF79" s="47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CJ79" s="47"/>
      <c r="CK79" s="47"/>
      <c r="CL79" s="47"/>
    </row>
    <row r="80" spans="1:93" ht="22.8" x14ac:dyDescent="0.4">
      <c r="A80" s="48"/>
      <c r="B80" s="48"/>
      <c r="C80" s="48"/>
      <c r="D80" s="187" t="s">
        <v>287</v>
      </c>
      <c r="E80" s="188" t="s">
        <v>279</v>
      </c>
      <c r="F80" s="187" t="s">
        <v>289</v>
      </c>
      <c r="G80" s="189">
        <v>7</v>
      </c>
      <c r="H80" s="49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CJ80" s="47"/>
      <c r="CK80" s="47"/>
      <c r="CL80" s="47"/>
    </row>
    <row r="81" spans="2:90" ht="22.8" x14ac:dyDescent="0.4">
      <c r="B81" s="48"/>
      <c r="C81" s="48"/>
      <c r="D81" s="187" t="s">
        <v>287</v>
      </c>
      <c r="E81" s="188" t="s">
        <v>280</v>
      </c>
      <c r="F81" s="187" t="s">
        <v>289</v>
      </c>
      <c r="G81" s="189">
        <v>5</v>
      </c>
      <c r="H81" s="49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  <c r="BF81" s="47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CJ81" s="47"/>
      <c r="CK81" s="47"/>
      <c r="CL81" s="47"/>
    </row>
    <row r="82" spans="2:90" ht="22.8" x14ac:dyDescent="0.4">
      <c r="B82" s="48"/>
      <c r="C82" s="48"/>
      <c r="D82" s="187" t="s">
        <v>287</v>
      </c>
      <c r="E82" s="188" t="s">
        <v>281</v>
      </c>
      <c r="F82" s="187" t="s">
        <v>289</v>
      </c>
      <c r="G82" s="189">
        <v>3</v>
      </c>
      <c r="H82" s="49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  <c r="BF82" s="47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CJ82" s="47"/>
      <c r="CK82" s="47"/>
      <c r="CL82" s="47"/>
    </row>
    <row r="83" spans="2:90" ht="18.600000000000001" customHeight="1" x14ac:dyDescent="0.4">
      <c r="B83" s="48"/>
      <c r="C83" s="48"/>
      <c r="D83" s="187" t="s">
        <v>287</v>
      </c>
      <c r="E83" s="188" t="s">
        <v>282</v>
      </c>
      <c r="F83" s="187" t="s">
        <v>289</v>
      </c>
      <c r="G83" s="189">
        <v>1</v>
      </c>
      <c r="H83" s="49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</row>
    <row r="84" spans="2:90" ht="22.8" x14ac:dyDescent="0.4">
      <c r="B84" s="48"/>
      <c r="C84" s="48"/>
      <c r="D84" s="187" t="s">
        <v>289</v>
      </c>
      <c r="E84" s="188" t="s">
        <v>281</v>
      </c>
      <c r="F84" s="187" t="s">
        <v>287</v>
      </c>
      <c r="G84" s="189" t="s">
        <v>283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AB84" s="44"/>
      <c r="AC84" s="49"/>
      <c r="AF84" s="44"/>
    </row>
    <row r="85" spans="2:90" ht="22.8" x14ac:dyDescent="0.4">
      <c r="B85" s="48"/>
      <c r="C85" s="48"/>
      <c r="D85" s="187" t="s">
        <v>289</v>
      </c>
      <c r="E85" s="188" t="s">
        <v>280</v>
      </c>
      <c r="F85" s="187" t="s">
        <v>287</v>
      </c>
      <c r="G85" s="189" t="s">
        <v>284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AB85" s="44"/>
      <c r="AC85" s="49"/>
      <c r="AF85" s="44"/>
    </row>
    <row r="86" spans="2:90" ht="22.8" x14ac:dyDescent="0.4">
      <c r="B86" s="48"/>
      <c r="C86" s="48"/>
      <c r="D86" s="187" t="s">
        <v>289</v>
      </c>
      <c r="E86" s="188" t="s">
        <v>279</v>
      </c>
      <c r="F86" s="187" t="s">
        <v>287</v>
      </c>
      <c r="G86" s="189" t="s">
        <v>285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AB86" s="44"/>
      <c r="AC86" s="49"/>
      <c r="AF86" s="44"/>
    </row>
    <row r="87" spans="2:90" ht="22.8" x14ac:dyDescent="0.4">
      <c r="B87" s="48"/>
      <c r="C87" s="48"/>
      <c r="D87" s="187" t="s">
        <v>289</v>
      </c>
      <c r="E87" s="188" t="s">
        <v>278</v>
      </c>
      <c r="F87" s="187" t="s">
        <v>287</v>
      </c>
      <c r="G87" s="189" t="s">
        <v>286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AB87" s="44"/>
      <c r="AC87" s="49"/>
      <c r="AF87" s="44"/>
    </row>
    <row r="88" spans="2:90" ht="22.8" x14ac:dyDescent="0.4">
      <c r="B88" s="48"/>
      <c r="C88" s="48"/>
      <c r="D88" s="187" t="s">
        <v>287</v>
      </c>
      <c r="E88" s="188" t="s">
        <v>292</v>
      </c>
      <c r="F88" s="187" t="s">
        <v>289</v>
      </c>
      <c r="G88" s="189">
        <v>0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AB88" s="44"/>
      <c r="AC88" s="49"/>
      <c r="AF88" s="44"/>
    </row>
    <row r="89" spans="2:90" ht="12.75" customHeight="1" x14ac:dyDescent="0.25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C89" s="47"/>
      <c r="AD89" s="47"/>
      <c r="AE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</row>
    <row r="90" spans="2:90" ht="12.75" customHeight="1" x14ac:dyDescent="0.25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C90" s="47"/>
      <c r="AD90" s="47"/>
      <c r="AE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</row>
    <row r="91" spans="2:90" ht="12.75" customHeight="1" x14ac:dyDescent="0.25"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C91" s="47"/>
      <c r="AD91" s="47"/>
      <c r="AE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</row>
    <row r="92" spans="2:90" ht="12.75" customHeight="1" x14ac:dyDescent="0.25"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C92" s="47"/>
      <c r="AD92" s="47"/>
      <c r="AE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</row>
    <row r="93" spans="2:90" ht="12.75" customHeight="1" x14ac:dyDescent="0.25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C93" s="47"/>
      <c r="AD93" s="47"/>
      <c r="AE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</row>
    <row r="94" spans="2:90" ht="12.75" customHeight="1" x14ac:dyDescent="0.25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C94" s="47"/>
      <c r="AD94" s="47"/>
      <c r="AE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</row>
    <row r="95" spans="2:90" ht="12.75" customHeight="1" x14ac:dyDescent="0.25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C95" s="47"/>
      <c r="AD95" s="47"/>
      <c r="AE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</row>
    <row r="96" spans="2:90" ht="12.75" customHeight="1" x14ac:dyDescent="0.25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C96" s="47"/>
      <c r="AD96" s="47"/>
      <c r="AE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</row>
    <row r="97" spans="2:45" ht="12.75" customHeight="1" x14ac:dyDescent="0.25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C97" s="47"/>
      <c r="AD97" s="47"/>
      <c r="AE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</row>
    <row r="98" spans="2:45" ht="12.75" customHeight="1" x14ac:dyDescent="0.25"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C98" s="47"/>
      <c r="AD98" s="47"/>
      <c r="AE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</row>
    <row r="99" spans="2:45" ht="12.75" customHeight="1" x14ac:dyDescent="0.25"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</row>
    <row r="100" spans="2:45" ht="12.75" customHeight="1" x14ac:dyDescent="0.25"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</row>
    <row r="101" spans="2:45" ht="12.75" customHeight="1" x14ac:dyDescent="0.25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</row>
    <row r="102" spans="2:45" ht="12.75" customHeight="1" x14ac:dyDescent="0.25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2:45" ht="12.75" customHeight="1" x14ac:dyDescent="0.25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2:45" ht="12.75" customHeight="1" x14ac:dyDescent="0.25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2:45" ht="12.75" customHeight="1" x14ac:dyDescent="0.25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2:45" ht="12.75" customHeight="1" x14ac:dyDescent="0.25"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2:45" ht="12.75" customHeight="1" x14ac:dyDescent="0.25"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2:45" ht="12.75" customHeight="1" x14ac:dyDescent="0.25"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2:45" ht="12.75" customHeight="1" x14ac:dyDescent="0.25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2:45" ht="12.75" customHeight="1" x14ac:dyDescent="0.25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2:45" ht="12.75" customHeight="1" x14ac:dyDescent="0.25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2:45" ht="12.75" customHeight="1" x14ac:dyDescent="0.25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2:27" ht="12.75" customHeight="1" x14ac:dyDescent="0.25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2:27" ht="12.75" customHeight="1" x14ac:dyDescent="0.25"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2:27" ht="12.75" customHeight="1" x14ac:dyDescent="0.25"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2:27" ht="12.75" customHeight="1" x14ac:dyDescent="0.25"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2:27" ht="12.75" customHeight="1" x14ac:dyDescent="0.25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2:27" ht="12.75" customHeight="1" x14ac:dyDescent="0.25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2:27" ht="12.75" customHeight="1" x14ac:dyDescent="0.25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2:27" ht="12.75" customHeight="1" x14ac:dyDescent="0.25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2:27" ht="12.75" customHeight="1" x14ac:dyDescent="0.25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2:27" ht="12.75" customHeight="1" x14ac:dyDescent="0.25"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2:27" ht="12.75" customHeight="1" x14ac:dyDescent="0.25"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2:27" ht="12.75" customHeight="1" x14ac:dyDescent="0.25"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2:27" ht="12.75" customHeight="1" x14ac:dyDescent="0.25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2:27" ht="12.75" customHeight="1" x14ac:dyDescent="0.25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2:27" ht="12.75" customHeight="1" x14ac:dyDescent="0.25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2:27" ht="12.75" customHeight="1" x14ac:dyDescent="0.25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2:27" ht="12.75" customHeight="1" x14ac:dyDescent="0.25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2:27" ht="12.75" customHeight="1" x14ac:dyDescent="0.25"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2:27" ht="12.75" customHeight="1" x14ac:dyDescent="0.25"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2:27" ht="12.75" customHeight="1" x14ac:dyDescent="0.25"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</row>
    <row r="133" spans="2:27" ht="12.75" customHeight="1" x14ac:dyDescent="0.25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</row>
    <row r="134" spans="2:27" ht="12.75" customHeight="1" x14ac:dyDescent="0.25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</row>
    <row r="135" spans="2:27" ht="12.75" customHeight="1" x14ac:dyDescent="0.25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</row>
    <row r="136" spans="2:27" ht="12.75" customHeight="1" x14ac:dyDescent="0.25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</row>
    <row r="137" spans="2:27" ht="12.75" customHeight="1" x14ac:dyDescent="0.25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</row>
    <row r="138" spans="2:27" ht="12.75" customHeight="1" x14ac:dyDescent="0.25"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</row>
    <row r="139" spans="2:27" ht="12.75" customHeight="1" x14ac:dyDescent="0.25"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</row>
    <row r="140" spans="2:27" ht="12.75" customHeight="1" x14ac:dyDescent="0.25"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</row>
    <row r="141" spans="2:27" ht="12.75" customHeight="1" x14ac:dyDescent="0.25"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</row>
    <row r="142" spans="2:27" ht="12.75" customHeight="1" x14ac:dyDescent="0.25"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</row>
    <row r="143" spans="2:27" ht="12.75" customHeight="1" x14ac:dyDescent="0.25"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</row>
    <row r="144" spans="2:27" ht="12.75" customHeight="1" x14ac:dyDescent="0.25"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</row>
    <row r="145" spans="2:27" ht="12.75" customHeight="1" x14ac:dyDescent="0.25"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</row>
    <row r="146" spans="2:27" ht="12.75" customHeight="1" x14ac:dyDescent="0.25"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</row>
    <row r="147" spans="2:27" ht="12.75" customHeight="1" x14ac:dyDescent="0.25"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</row>
    <row r="148" spans="2:27" ht="12.75" customHeight="1" x14ac:dyDescent="0.25"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</row>
    <row r="149" spans="2:27" ht="12.75" customHeight="1" x14ac:dyDescent="0.25"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</row>
    <row r="150" spans="2:27" ht="12.75" customHeight="1" x14ac:dyDescent="0.25"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</row>
    <row r="151" spans="2:27" ht="12.75" customHeight="1" x14ac:dyDescent="0.25"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</row>
    <row r="152" spans="2:27" ht="12.75" customHeight="1" x14ac:dyDescent="0.25"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</row>
    <row r="153" spans="2:27" ht="12.75" customHeight="1" x14ac:dyDescent="0.25"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</row>
    <row r="154" spans="2:27" ht="12.75" customHeight="1" x14ac:dyDescent="0.25"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</row>
    <row r="155" spans="2:27" ht="12.75" customHeight="1" x14ac:dyDescent="0.25"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</row>
    <row r="156" spans="2:27" ht="12.75" customHeight="1" x14ac:dyDescent="0.25"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</row>
    <row r="157" spans="2:27" ht="12.75" customHeight="1" x14ac:dyDescent="0.25"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</row>
    <row r="158" spans="2:27" ht="12.75" customHeight="1" x14ac:dyDescent="0.25"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</row>
    <row r="159" spans="2:27" ht="12.75" customHeight="1" x14ac:dyDescent="0.25"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</row>
    <row r="160" spans="2:27" ht="12.75" customHeight="1" x14ac:dyDescent="0.25"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</row>
    <row r="161" spans="2:27" ht="12.75" customHeight="1" x14ac:dyDescent="0.25"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</row>
    <row r="162" spans="2:27" ht="12.75" customHeight="1" x14ac:dyDescent="0.25"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</row>
    <row r="163" spans="2:27" ht="12.75" customHeight="1" x14ac:dyDescent="0.25"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</row>
    <row r="164" spans="2:27" ht="12.75" customHeight="1" x14ac:dyDescent="0.25"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</row>
    <row r="165" spans="2:27" ht="12.75" customHeight="1" x14ac:dyDescent="0.25"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</row>
    <row r="166" spans="2:27" ht="12.75" customHeight="1" x14ac:dyDescent="0.25"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</row>
    <row r="167" spans="2:27" ht="12.75" customHeight="1" x14ac:dyDescent="0.25"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</row>
    <row r="168" spans="2:27" ht="12.75" customHeight="1" x14ac:dyDescent="0.25"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</row>
    <row r="169" spans="2:27" ht="12.75" customHeight="1" x14ac:dyDescent="0.25"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</row>
    <row r="170" spans="2:27" ht="12.75" customHeight="1" x14ac:dyDescent="0.25"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</row>
    <row r="171" spans="2:27" ht="12.75" customHeight="1" x14ac:dyDescent="0.25"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</row>
    <row r="172" spans="2:27" ht="12.75" customHeight="1" x14ac:dyDescent="0.25"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</row>
    <row r="173" spans="2:27" ht="12.75" customHeight="1" x14ac:dyDescent="0.25"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</row>
    <row r="174" spans="2:27" ht="12.75" customHeight="1" x14ac:dyDescent="0.25"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</row>
    <row r="175" spans="2:27" ht="12.75" customHeight="1" x14ac:dyDescent="0.25"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</row>
    <row r="176" spans="2:27" ht="12.75" customHeight="1" x14ac:dyDescent="0.25"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</row>
    <row r="177" spans="2:27" ht="12.75" customHeight="1" x14ac:dyDescent="0.25"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</row>
    <row r="178" spans="2:27" ht="12.75" customHeight="1" x14ac:dyDescent="0.25"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</row>
    <row r="179" spans="2:27" ht="12.75" customHeight="1" x14ac:dyDescent="0.25"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</row>
    <row r="180" spans="2:27" ht="12.75" customHeight="1" x14ac:dyDescent="0.25"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</row>
    <row r="181" spans="2:27" ht="12.75" customHeight="1" x14ac:dyDescent="0.25"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</row>
    <row r="182" spans="2:27" ht="12.75" customHeight="1" x14ac:dyDescent="0.25"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</row>
    <row r="183" spans="2:27" ht="12.75" customHeight="1" x14ac:dyDescent="0.25"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</row>
    <row r="184" spans="2:27" ht="12.75" customHeight="1" x14ac:dyDescent="0.25"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</row>
    <row r="185" spans="2:27" ht="12.75" customHeight="1" x14ac:dyDescent="0.25"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</row>
    <row r="186" spans="2:27" ht="12.75" customHeight="1" x14ac:dyDescent="0.25"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</row>
    <row r="187" spans="2:27" ht="12.75" customHeight="1" x14ac:dyDescent="0.25"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</row>
    <row r="188" spans="2:27" ht="12.75" customHeight="1" x14ac:dyDescent="0.25"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</row>
    <row r="189" spans="2:27" ht="12.75" customHeight="1" x14ac:dyDescent="0.25"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</row>
    <row r="190" spans="2:27" ht="12.75" customHeight="1" x14ac:dyDescent="0.25"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</row>
    <row r="191" spans="2:27" ht="12.75" customHeight="1" x14ac:dyDescent="0.25"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</row>
    <row r="192" spans="2:27" ht="12.75" customHeight="1" x14ac:dyDescent="0.25"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</row>
    <row r="193" spans="2:27" ht="12.75" customHeight="1" x14ac:dyDescent="0.25"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</row>
    <row r="194" spans="2:27" ht="12.75" customHeight="1" x14ac:dyDescent="0.25"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</row>
    <row r="195" spans="2:27" ht="12.75" customHeight="1" x14ac:dyDescent="0.25"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</row>
    <row r="196" spans="2:27" ht="12.75" customHeight="1" x14ac:dyDescent="0.25"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</row>
    <row r="197" spans="2:27" ht="12.75" customHeight="1" x14ac:dyDescent="0.25"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</row>
    <row r="198" spans="2:27" ht="12.75" customHeight="1" x14ac:dyDescent="0.25"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</row>
    <row r="199" spans="2:27" ht="12.75" customHeight="1" x14ac:dyDescent="0.25"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</row>
    <row r="200" spans="2:27" ht="12.75" customHeight="1" x14ac:dyDescent="0.25"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</row>
    <row r="201" spans="2:27" ht="12.75" customHeight="1" x14ac:dyDescent="0.25"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</row>
    <row r="202" spans="2:27" ht="12.75" customHeight="1" x14ac:dyDescent="0.25"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</row>
    <row r="203" spans="2:27" ht="12.75" customHeight="1" x14ac:dyDescent="0.25"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</row>
    <row r="204" spans="2:27" ht="12.75" customHeight="1" x14ac:dyDescent="0.25"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</row>
    <row r="205" spans="2:27" ht="12.75" customHeight="1" x14ac:dyDescent="0.25"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</row>
    <row r="206" spans="2:27" ht="12.75" customHeight="1" x14ac:dyDescent="0.25"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</row>
    <row r="207" spans="2:27" ht="12.75" customHeight="1" x14ac:dyDescent="0.25"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</row>
    <row r="208" spans="2:27" ht="12.75" customHeight="1" x14ac:dyDescent="0.25"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</row>
    <row r="209" spans="2:27" ht="12.75" customHeight="1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</row>
    <row r="210" spans="2:27" ht="12.75" customHeight="1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</row>
    <row r="211" spans="2:27" ht="12.75" customHeight="1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</row>
    <row r="212" spans="2:27" ht="12.75" customHeight="1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</row>
    <row r="213" spans="2:27" ht="12.75" customHeight="1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</row>
    <row r="214" spans="2:27" ht="12.75" customHeight="1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</row>
    <row r="215" spans="2:27" ht="12.75" customHeight="1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</row>
    <row r="216" spans="2:27" ht="12.75" customHeight="1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</row>
    <row r="217" spans="2:27" ht="12.75" customHeight="1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</row>
    <row r="218" spans="2:27" ht="12.75" customHeight="1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</row>
    <row r="219" spans="2:27" ht="12.75" customHeight="1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</row>
    <row r="220" spans="2:27" ht="12.75" customHeight="1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</row>
    <row r="221" spans="2:27" ht="12.75" customHeight="1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</row>
    <row r="222" spans="2:27" ht="12.75" customHeight="1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</row>
    <row r="223" spans="2:27" ht="12.75" customHeight="1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</row>
    <row r="224" spans="2:27" ht="12.75" customHeight="1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</row>
    <row r="225" spans="2:27" ht="12.75" customHeight="1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</row>
    <row r="226" spans="2:27" ht="12.75" customHeight="1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</row>
    <row r="227" spans="2:27" ht="12.75" customHeight="1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</row>
    <row r="228" spans="2:27" ht="12.75" customHeight="1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</row>
    <row r="229" spans="2:27" ht="12.75" customHeight="1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</row>
    <row r="230" spans="2:27" ht="12.75" customHeight="1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</row>
    <row r="231" spans="2:27" ht="12.75" customHeight="1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</row>
    <row r="232" spans="2:27" ht="12.75" customHeight="1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</row>
    <row r="233" spans="2:27" ht="12.75" customHeight="1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</row>
    <row r="234" spans="2:27" ht="12.75" customHeight="1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</row>
    <row r="235" spans="2:27" ht="12.75" customHeight="1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</row>
    <row r="236" spans="2:27" ht="12.75" customHeight="1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</row>
    <row r="237" spans="2:27" ht="12.75" customHeight="1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</row>
    <row r="238" spans="2:27" ht="12.75" customHeight="1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</row>
    <row r="239" spans="2:27" ht="12.75" customHeight="1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</row>
    <row r="240" spans="2:27" ht="12.75" customHeight="1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</row>
    <row r="241" spans="2:27" ht="12.75" customHeight="1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</row>
    <row r="242" spans="2:27" ht="12.75" customHeight="1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</row>
    <row r="243" spans="2:27" ht="12.75" customHeight="1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</row>
    <row r="244" spans="2:27" ht="12.75" customHeight="1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</row>
    <row r="245" spans="2:27" ht="12.75" customHeight="1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</row>
    <row r="246" spans="2:27" ht="12.75" customHeight="1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</row>
    <row r="247" spans="2:27" ht="12.75" customHeight="1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</row>
    <row r="248" spans="2:27" ht="12.75" customHeight="1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</row>
    <row r="249" spans="2:27" ht="12.75" customHeight="1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</row>
    <row r="250" spans="2:27" ht="12.75" customHeight="1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</row>
    <row r="251" spans="2:27" ht="12.75" customHeight="1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</row>
    <row r="252" spans="2:27" ht="12.75" customHeight="1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</row>
    <row r="253" spans="2:27" ht="12.75" customHeight="1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</row>
    <row r="254" spans="2:27" ht="12.75" customHeight="1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</row>
    <row r="255" spans="2:27" ht="12.75" customHeight="1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</row>
    <row r="256" spans="2:27" ht="12.75" customHeight="1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</row>
    <row r="257" spans="2:27" ht="12.75" customHeight="1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</row>
    <row r="258" spans="2:27" ht="12.75" customHeight="1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</row>
    <row r="259" spans="2:27" ht="12.75" customHeight="1" x14ac:dyDescent="0.25"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</row>
    <row r="260" spans="2:27" ht="12.75" customHeight="1" x14ac:dyDescent="0.25"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</row>
    <row r="261" spans="2:27" ht="12.75" customHeight="1" x14ac:dyDescent="0.25"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</row>
    <row r="262" spans="2:27" ht="12.75" customHeight="1" x14ac:dyDescent="0.25"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</row>
    <row r="263" spans="2:27" ht="12.75" customHeight="1" x14ac:dyDescent="0.25"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</row>
    <row r="264" spans="2:27" ht="12.75" customHeight="1" x14ac:dyDescent="0.25"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</row>
    <row r="265" spans="2:27" ht="12.75" customHeight="1" x14ac:dyDescent="0.25"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</row>
    <row r="266" spans="2:27" ht="12.75" customHeight="1" x14ac:dyDescent="0.25"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</row>
    <row r="267" spans="2:27" ht="12.75" customHeight="1" x14ac:dyDescent="0.25"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</row>
    <row r="268" spans="2:27" ht="12.75" customHeight="1" x14ac:dyDescent="0.25"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</row>
    <row r="269" spans="2:27" ht="12.75" customHeight="1" x14ac:dyDescent="0.25"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</row>
    <row r="270" spans="2:27" ht="12.75" customHeight="1" x14ac:dyDescent="0.25"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</row>
    <row r="271" spans="2:27" ht="12.75" customHeight="1" x14ac:dyDescent="0.25"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</row>
    <row r="272" spans="2:27" ht="12.75" customHeight="1" x14ac:dyDescent="0.25"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</row>
    <row r="273" spans="2:27" ht="12.75" customHeight="1" x14ac:dyDescent="0.25"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</row>
    <row r="274" spans="2:27" ht="12.75" customHeight="1" x14ac:dyDescent="0.25"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</row>
    <row r="275" spans="2:27" ht="12.75" customHeight="1" x14ac:dyDescent="0.25"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</row>
    <row r="276" spans="2:27" ht="12.75" customHeight="1" x14ac:dyDescent="0.25"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</row>
    <row r="277" spans="2:27" ht="12.75" customHeight="1" x14ac:dyDescent="0.25"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</row>
    <row r="278" spans="2:27" ht="12.75" customHeight="1" x14ac:dyDescent="0.25"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</row>
    <row r="279" spans="2:27" ht="12.75" customHeight="1" x14ac:dyDescent="0.25"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</row>
    <row r="280" spans="2:27" ht="12.75" customHeight="1" x14ac:dyDescent="0.25"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</row>
    <row r="281" spans="2:27" ht="12.75" customHeight="1" x14ac:dyDescent="0.25"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</row>
    <row r="282" spans="2:27" ht="12.75" customHeight="1" x14ac:dyDescent="0.25"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</row>
    <row r="283" spans="2:27" ht="12.75" customHeight="1" x14ac:dyDescent="0.25"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</row>
    <row r="284" spans="2:27" ht="12.75" customHeight="1" x14ac:dyDescent="0.25"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</row>
    <row r="285" spans="2:27" ht="12.75" customHeight="1" x14ac:dyDescent="0.25"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</row>
    <row r="286" spans="2:27" ht="12.75" customHeight="1" x14ac:dyDescent="0.25"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</row>
    <row r="287" spans="2:27" ht="12.75" customHeight="1" x14ac:dyDescent="0.25"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</row>
    <row r="288" spans="2:27" ht="12.75" customHeight="1" x14ac:dyDescent="0.25"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</row>
    <row r="289" spans="2:27" ht="12.75" customHeight="1" x14ac:dyDescent="0.25"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</row>
    <row r="290" spans="2:27" ht="12.75" customHeight="1" x14ac:dyDescent="0.25"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</row>
    <row r="291" spans="2:27" ht="12.75" customHeight="1" x14ac:dyDescent="0.25"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</row>
    <row r="292" spans="2:27" ht="12.75" customHeight="1" x14ac:dyDescent="0.25"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</row>
    <row r="293" spans="2:27" ht="12.75" customHeight="1" x14ac:dyDescent="0.25"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</row>
    <row r="294" spans="2:27" ht="12.75" customHeight="1" x14ac:dyDescent="0.25"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</row>
    <row r="295" spans="2:27" ht="12.75" customHeight="1" x14ac:dyDescent="0.25"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</row>
    <row r="296" spans="2:27" ht="12.75" customHeight="1" x14ac:dyDescent="0.25"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</row>
    <row r="297" spans="2:27" ht="12.75" customHeight="1" x14ac:dyDescent="0.25"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</row>
    <row r="298" spans="2:27" ht="12.75" customHeight="1" x14ac:dyDescent="0.25"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</row>
    <row r="299" spans="2:27" ht="12.75" customHeight="1" x14ac:dyDescent="0.25"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</row>
    <row r="300" spans="2:27" ht="12.75" customHeight="1" x14ac:dyDescent="0.25"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</row>
    <row r="301" spans="2:27" ht="12.75" customHeight="1" x14ac:dyDescent="0.25"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</row>
    <row r="302" spans="2:27" ht="12.75" customHeight="1" x14ac:dyDescent="0.25"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</row>
    <row r="303" spans="2:27" ht="12.75" customHeight="1" x14ac:dyDescent="0.25"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</row>
    <row r="304" spans="2:27" ht="12.75" customHeight="1" x14ac:dyDescent="0.25"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</row>
    <row r="305" spans="2:27" ht="12.75" customHeight="1" x14ac:dyDescent="0.25"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</row>
    <row r="306" spans="2:27" ht="12.75" customHeight="1" x14ac:dyDescent="0.25"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</row>
    <row r="307" spans="2:27" ht="12.75" customHeight="1" x14ac:dyDescent="0.25"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</row>
    <row r="308" spans="2:27" ht="12.75" customHeight="1" x14ac:dyDescent="0.25"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</row>
    <row r="309" spans="2:27" ht="12.75" customHeight="1" x14ac:dyDescent="0.25"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</row>
    <row r="310" spans="2:27" ht="12.75" customHeight="1" x14ac:dyDescent="0.25"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</row>
    <row r="311" spans="2:27" ht="12.75" customHeight="1" x14ac:dyDescent="0.25"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</row>
    <row r="312" spans="2:27" ht="12.75" customHeight="1" x14ac:dyDescent="0.25"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</row>
    <row r="313" spans="2:27" ht="12.75" customHeight="1" x14ac:dyDescent="0.25"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</row>
    <row r="314" spans="2:27" ht="12.75" customHeight="1" x14ac:dyDescent="0.25"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</row>
    <row r="315" spans="2:27" ht="12.75" customHeight="1" x14ac:dyDescent="0.25"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</row>
    <row r="316" spans="2:27" ht="12.75" customHeight="1" x14ac:dyDescent="0.25"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</row>
    <row r="317" spans="2:27" ht="12.75" customHeight="1" x14ac:dyDescent="0.25"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</row>
    <row r="318" spans="2:27" ht="12.75" customHeight="1" x14ac:dyDescent="0.25"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</row>
    <row r="319" spans="2:27" ht="12.75" customHeight="1" x14ac:dyDescent="0.25"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</row>
    <row r="320" spans="2:27" ht="12.75" customHeight="1" x14ac:dyDescent="0.25"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</row>
    <row r="321" spans="2:27" ht="12.75" customHeight="1" x14ac:dyDescent="0.25"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</row>
    <row r="322" spans="2:27" ht="12.75" customHeight="1" x14ac:dyDescent="0.25"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</row>
    <row r="323" spans="2:27" ht="12.75" customHeight="1" x14ac:dyDescent="0.25"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</row>
    <row r="324" spans="2:27" ht="12.75" customHeight="1" x14ac:dyDescent="0.25"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</row>
    <row r="325" spans="2:27" ht="12.75" customHeight="1" x14ac:dyDescent="0.25"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</row>
    <row r="326" spans="2:27" ht="12.75" customHeight="1" x14ac:dyDescent="0.25"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</row>
    <row r="327" spans="2:27" ht="12.75" customHeight="1" x14ac:dyDescent="0.25"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</row>
    <row r="328" spans="2:27" ht="12.75" customHeight="1" x14ac:dyDescent="0.25"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</row>
    <row r="329" spans="2:27" ht="12.75" customHeight="1" x14ac:dyDescent="0.25"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</row>
    <row r="330" spans="2:27" ht="12.75" customHeight="1" x14ac:dyDescent="0.25"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</row>
    <row r="331" spans="2:27" ht="12.75" customHeight="1" x14ac:dyDescent="0.25"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</row>
    <row r="332" spans="2:27" ht="12.75" customHeight="1" x14ac:dyDescent="0.25"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</row>
    <row r="333" spans="2:27" ht="12.75" customHeight="1" x14ac:dyDescent="0.25"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</row>
    <row r="334" spans="2:27" ht="12.75" customHeight="1" x14ac:dyDescent="0.25"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</row>
    <row r="335" spans="2:27" ht="12.75" customHeight="1" x14ac:dyDescent="0.25"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</row>
    <row r="336" spans="2:27" ht="12.75" customHeight="1" x14ac:dyDescent="0.25"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</row>
    <row r="337" spans="2:27" ht="12.75" customHeight="1" x14ac:dyDescent="0.25"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</row>
    <row r="338" spans="2:27" ht="12.75" customHeight="1" x14ac:dyDescent="0.25"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</row>
    <row r="339" spans="2:27" ht="12.75" customHeight="1" x14ac:dyDescent="0.25"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</row>
    <row r="340" spans="2:27" ht="12.75" customHeight="1" x14ac:dyDescent="0.25"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</row>
    <row r="341" spans="2:27" ht="12.75" customHeight="1" x14ac:dyDescent="0.25"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</row>
    <row r="342" spans="2:27" ht="12.75" customHeight="1" x14ac:dyDescent="0.25"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</row>
    <row r="343" spans="2:27" ht="12.75" customHeight="1" x14ac:dyDescent="0.25"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</row>
    <row r="344" spans="2:27" ht="12.75" customHeight="1" x14ac:dyDescent="0.25"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</row>
    <row r="345" spans="2:27" ht="12.75" customHeight="1" x14ac:dyDescent="0.25"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</row>
    <row r="346" spans="2:27" ht="12.75" customHeight="1" x14ac:dyDescent="0.25"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</row>
    <row r="347" spans="2:27" ht="12.75" customHeight="1" x14ac:dyDescent="0.25"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</row>
    <row r="348" spans="2:27" ht="12.75" customHeight="1" x14ac:dyDescent="0.25"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</row>
    <row r="349" spans="2:27" ht="12.75" customHeight="1" x14ac:dyDescent="0.25"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</row>
    <row r="350" spans="2:27" ht="12.75" customHeight="1" x14ac:dyDescent="0.25"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</row>
    <row r="351" spans="2:27" ht="12.75" customHeight="1" x14ac:dyDescent="0.25"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</row>
    <row r="352" spans="2:27" ht="12.75" customHeight="1" x14ac:dyDescent="0.25"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</row>
    <row r="353" spans="2:27" ht="12.75" customHeight="1" x14ac:dyDescent="0.25"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</row>
    <row r="354" spans="2:27" ht="12.75" customHeight="1" x14ac:dyDescent="0.25"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</row>
    <row r="355" spans="2:27" ht="12.75" customHeight="1" x14ac:dyDescent="0.25"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</row>
    <row r="356" spans="2:27" ht="12.75" customHeight="1" x14ac:dyDescent="0.25"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</row>
    <row r="357" spans="2:27" ht="12.75" customHeight="1" x14ac:dyDescent="0.25"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</row>
    <row r="358" spans="2:27" ht="12.75" customHeight="1" x14ac:dyDescent="0.25"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</row>
    <row r="359" spans="2:27" ht="12.75" customHeight="1" x14ac:dyDescent="0.25"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</row>
    <row r="360" spans="2:27" ht="12.75" customHeight="1" x14ac:dyDescent="0.25"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</row>
    <row r="361" spans="2:27" ht="12.75" customHeight="1" x14ac:dyDescent="0.25"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</row>
    <row r="362" spans="2:27" ht="12.75" customHeight="1" x14ac:dyDescent="0.25"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</row>
    <row r="363" spans="2:27" ht="12.75" customHeight="1" x14ac:dyDescent="0.25"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</row>
    <row r="364" spans="2:27" ht="12.75" customHeight="1" x14ac:dyDescent="0.25"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</row>
    <row r="365" spans="2:27" ht="12.75" customHeight="1" x14ac:dyDescent="0.25"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</row>
    <row r="366" spans="2:27" ht="12.75" customHeight="1" x14ac:dyDescent="0.25"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</row>
    <row r="367" spans="2:27" ht="12.75" customHeight="1" x14ac:dyDescent="0.25"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</row>
    <row r="368" spans="2:27" ht="12.75" customHeight="1" x14ac:dyDescent="0.25"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</row>
    <row r="369" spans="2:27" ht="12.75" customHeight="1" x14ac:dyDescent="0.25"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</row>
    <row r="370" spans="2:27" ht="12.75" customHeight="1" x14ac:dyDescent="0.25"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</row>
    <row r="371" spans="2:27" ht="12.75" customHeight="1" x14ac:dyDescent="0.25"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</row>
    <row r="372" spans="2:27" ht="12.75" customHeight="1" x14ac:dyDescent="0.25"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</row>
    <row r="373" spans="2:27" ht="12.75" customHeight="1" x14ac:dyDescent="0.25"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</row>
    <row r="374" spans="2:27" ht="12.75" customHeight="1" x14ac:dyDescent="0.25"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</row>
    <row r="375" spans="2:27" ht="12.75" customHeight="1" x14ac:dyDescent="0.25"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</row>
    <row r="376" spans="2:27" ht="12.75" customHeight="1" x14ac:dyDescent="0.25"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</row>
    <row r="377" spans="2:27" ht="12.75" customHeight="1" x14ac:dyDescent="0.25"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</row>
    <row r="378" spans="2:27" ht="12.75" customHeight="1" x14ac:dyDescent="0.25"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</row>
    <row r="379" spans="2:27" ht="12.75" customHeight="1" x14ac:dyDescent="0.25"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</row>
    <row r="380" spans="2:27" ht="12.75" customHeight="1" x14ac:dyDescent="0.25"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</row>
    <row r="381" spans="2:27" ht="12.75" customHeight="1" x14ac:dyDescent="0.25"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</row>
    <row r="382" spans="2:27" ht="12.75" customHeight="1" x14ac:dyDescent="0.25"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</row>
    <row r="383" spans="2:27" ht="12.75" customHeight="1" x14ac:dyDescent="0.25"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</row>
    <row r="384" spans="2:27" ht="12.75" customHeight="1" x14ac:dyDescent="0.25"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</row>
    <row r="385" spans="2:27" ht="12.75" customHeight="1" x14ac:dyDescent="0.25"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</row>
    <row r="386" spans="2:27" ht="12.75" customHeight="1" x14ac:dyDescent="0.25"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</row>
    <row r="387" spans="2:27" ht="12.75" customHeight="1" x14ac:dyDescent="0.25"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</row>
    <row r="388" spans="2:27" ht="12.75" customHeight="1" x14ac:dyDescent="0.25"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</row>
    <row r="389" spans="2:27" ht="12.75" customHeight="1" x14ac:dyDescent="0.25"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</row>
    <row r="390" spans="2:27" ht="12.75" customHeight="1" x14ac:dyDescent="0.25"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</row>
    <row r="391" spans="2:27" ht="12.75" customHeight="1" x14ac:dyDescent="0.25"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</row>
    <row r="392" spans="2:27" ht="12.75" customHeight="1" x14ac:dyDescent="0.25"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</row>
    <row r="393" spans="2:27" ht="12.75" customHeight="1" x14ac:dyDescent="0.25"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</row>
    <row r="394" spans="2:27" ht="12.75" customHeight="1" x14ac:dyDescent="0.25"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</row>
    <row r="395" spans="2:27" ht="12.75" customHeight="1" x14ac:dyDescent="0.25"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</row>
    <row r="396" spans="2:27" ht="12.75" customHeight="1" x14ac:dyDescent="0.25"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</row>
    <row r="397" spans="2:27" ht="12.75" customHeight="1" x14ac:dyDescent="0.25"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</row>
    <row r="398" spans="2:27" ht="12.75" customHeight="1" x14ac:dyDescent="0.25"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</row>
    <row r="399" spans="2:27" ht="12.75" customHeight="1" x14ac:dyDescent="0.25"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</row>
    <row r="400" spans="2:27" ht="12.75" customHeight="1" x14ac:dyDescent="0.25"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</row>
    <row r="401" spans="2:27" ht="12.75" customHeight="1" x14ac:dyDescent="0.25"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</row>
    <row r="402" spans="2:27" ht="12.75" customHeight="1" x14ac:dyDescent="0.25"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</row>
    <row r="403" spans="2:27" ht="12.75" customHeight="1" x14ac:dyDescent="0.25"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</row>
    <row r="404" spans="2:27" ht="12.75" customHeight="1" x14ac:dyDescent="0.25"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</row>
    <row r="405" spans="2:27" ht="12.75" customHeight="1" x14ac:dyDescent="0.25"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</row>
    <row r="406" spans="2:27" ht="12.75" customHeight="1" x14ac:dyDescent="0.25"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</row>
    <row r="407" spans="2:27" ht="12.75" customHeight="1" x14ac:dyDescent="0.25"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</row>
    <row r="408" spans="2:27" ht="12.75" customHeight="1" x14ac:dyDescent="0.25"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</row>
    <row r="409" spans="2:27" ht="12.75" customHeight="1" x14ac:dyDescent="0.25"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</row>
    <row r="410" spans="2:27" ht="12.75" customHeight="1" x14ac:dyDescent="0.25"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</row>
    <row r="411" spans="2:27" ht="12.75" customHeight="1" x14ac:dyDescent="0.25"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</row>
    <row r="412" spans="2:27" ht="12.75" customHeight="1" x14ac:dyDescent="0.25"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</row>
    <row r="413" spans="2:27" ht="12.75" customHeight="1" x14ac:dyDescent="0.25"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</row>
    <row r="414" spans="2:27" ht="12.75" customHeight="1" x14ac:dyDescent="0.25"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</row>
    <row r="415" spans="2:27" ht="12.75" customHeight="1" x14ac:dyDescent="0.25"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</row>
    <row r="416" spans="2:27" ht="12.75" customHeight="1" x14ac:dyDescent="0.25"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</row>
    <row r="417" spans="2:27" ht="12.75" customHeight="1" x14ac:dyDescent="0.25"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</row>
    <row r="418" spans="2:27" ht="12.75" customHeight="1" x14ac:dyDescent="0.25"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</row>
    <row r="419" spans="2:27" ht="12.75" customHeight="1" x14ac:dyDescent="0.25"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</row>
    <row r="420" spans="2:27" ht="12.75" customHeight="1" x14ac:dyDescent="0.25"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</row>
    <row r="421" spans="2:27" ht="12.75" customHeight="1" x14ac:dyDescent="0.25"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</row>
    <row r="422" spans="2:27" ht="12.75" customHeight="1" x14ac:dyDescent="0.25"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</row>
    <row r="423" spans="2:27" ht="12.75" customHeight="1" x14ac:dyDescent="0.25"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</row>
    <row r="424" spans="2:27" ht="12.75" customHeight="1" x14ac:dyDescent="0.25"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</row>
    <row r="425" spans="2:27" ht="12.75" customHeight="1" x14ac:dyDescent="0.25"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</row>
    <row r="426" spans="2:27" ht="12.75" customHeight="1" x14ac:dyDescent="0.25"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</row>
    <row r="427" spans="2:27" ht="12.75" customHeight="1" x14ac:dyDescent="0.25"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</row>
    <row r="428" spans="2:27" ht="12.75" customHeight="1" x14ac:dyDescent="0.25"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</row>
    <row r="429" spans="2:27" ht="12.75" customHeight="1" x14ac:dyDescent="0.25"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</row>
    <row r="430" spans="2:27" ht="12.75" customHeight="1" x14ac:dyDescent="0.25"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</row>
    <row r="431" spans="2:27" ht="12.75" customHeight="1" x14ac:dyDescent="0.25"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</row>
    <row r="432" spans="2:27" ht="12.75" customHeight="1" x14ac:dyDescent="0.25"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</row>
    <row r="433" spans="2:27" ht="12.75" customHeight="1" x14ac:dyDescent="0.25"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</row>
    <row r="434" spans="2:27" ht="12.75" customHeight="1" x14ac:dyDescent="0.25"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</row>
    <row r="435" spans="2:27" ht="12.75" customHeight="1" x14ac:dyDescent="0.25"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</row>
    <row r="436" spans="2:27" ht="12.75" customHeight="1" x14ac:dyDescent="0.25"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</row>
    <row r="437" spans="2:27" ht="12.75" customHeight="1" x14ac:dyDescent="0.25"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</row>
    <row r="438" spans="2:27" ht="12.75" customHeight="1" x14ac:dyDescent="0.25"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</row>
    <row r="439" spans="2:27" ht="12.75" customHeight="1" x14ac:dyDescent="0.25"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</row>
    <row r="440" spans="2:27" ht="12.75" customHeight="1" x14ac:dyDescent="0.25"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</row>
    <row r="441" spans="2:27" ht="12.75" customHeight="1" x14ac:dyDescent="0.25"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</row>
    <row r="442" spans="2:27" ht="12.75" customHeight="1" x14ac:dyDescent="0.25"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</row>
    <row r="443" spans="2:27" ht="12.75" customHeight="1" x14ac:dyDescent="0.25"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</row>
    <row r="444" spans="2:27" ht="12.75" customHeight="1" x14ac:dyDescent="0.25"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</row>
    <row r="445" spans="2:27" ht="12.75" customHeight="1" x14ac:dyDescent="0.25"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</row>
    <row r="446" spans="2:27" ht="12.75" customHeight="1" x14ac:dyDescent="0.25"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</row>
    <row r="447" spans="2:27" ht="12.75" customHeight="1" x14ac:dyDescent="0.25"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</row>
    <row r="448" spans="2:27" ht="12.75" customHeight="1" x14ac:dyDescent="0.25"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</row>
    <row r="449" spans="2:27" ht="12.75" customHeight="1" x14ac:dyDescent="0.25"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</row>
    <row r="450" spans="2:27" ht="12.75" customHeight="1" x14ac:dyDescent="0.25"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</row>
    <row r="451" spans="2:27" ht="12.75" customHeight="1" x14ac:dyDescent="0.25"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</row>
    <row r="452" spans="2:27" ht="12.75" customHeight="1" x14ac:dyDescent="0.25"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</row>
    <row r="453" spans="2:27" ht="12.75" customHeight="1" x14ac:dyDescent="0.25"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</row>
    <row r="454" spans="2:27" ht="12.75" customHeight="1" x14ac:dyDescent="0.25"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</row>
    <row r="455" spans="2:27" ht="12.75" customHeight="1" x14ac:dyDescent="0.25"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</row>
    <row r="456" spans="2:27" ht="12.75" customHeight="1" x14ac:dyDescent="0.25"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</row>
    <row r="457" spans="2:27" ht="12.75" customHeight="1" x14ac:dyDescent="0.25"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</row>
    <row r="458" spans="2:27" ht="12.75" customHeight="1" x14ac:dyDescent="0.25"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</row>
    <row r="459" spans="2:27" ht="12.75" customHeight="1" x14ac:dyDescent="0.25"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</row>
    <row r="460" spans="2:27" ht="12.75" customHeight="1" x14ac:dyDescent="0.25"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</row>
    <row r="461" spans="2:27" ht="12.75" customHeight="1" x14ac:dyDescent="0.25"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</row>
    <row r="462" spans="2:27" ht="12.75" customHeight="1" x14ac:dyDescent="0.25"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</row>
    <row r="463" spans="2:27" ht="12.75" customHeight="1" x14ac:dyDescent="0.25"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</row>
    <row r="464" spans="2:27" ht="12.75" customHeight="1" x14ac:dyDescent="0.25"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</row>
    <row r="465" spans="2:27" ht="12.75" customHeight="1" x14ac:dyDescent="0.25"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</row>
    <row r="466" spans="2:27" ht="12.75" customHeight="1" x14ac:dyDescent="0.25"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</row>
    <row r="467" spans="2:27" ht="12.75" customHeight="1" x14ac:dyDescent="0.25"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</row>
    <row r="468" spans="2:27" ht="12.75" customHeight="1" x14ac:dyDescent="0.25"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</row>
    <row r="469" spans="2:27" ht="12.75" customHeight="1" x14ac:dyDescent="0.25"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</row>
    <row r="470" spans="2:27" ht="12.75" customHeight="1" x14ac:dyDescent="0.25"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</row>
    <row r="471" spans="2:27" ht="12.75" customHeight="1" x14ac:dyDescent="0.25"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</row>
    <row r="472" spans="2:27" ht="12.75" customHeight="1" x14ac:dyDescent="0.25"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</row>
    <row r="473" spans="2:27" ht="12.75" customHeight="1" x14ac:dyDescent="0.25"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</row>
    <row r="474" spans="2:27" ht="12.75" customHeight="1" x14ac:dyDescent="0.25"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</row>
    <row r="475" spans="2:27" ht="12.75" customHeight="1" x14ac:dyDescent="0.25"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</row>
    <row r="476" spans="2:27" ht="12.75" customHeight="1" x14ac:dyDescent="0.25"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</row>
    <row r="477" spans="2:27" ht="12.75" customHeight="1" x14ac:dyDescent="0.25"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</row>
    <row r="478" spans="2:27" ht="12.75" customHeight="1" x14ac:dyDescent="0.25"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</row>
    <row r="479" spans="2:27" ht="12.75" customHeight="1" x14ac:dyDescent="0.25"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</row>
    <row r="480" spans="2:27" ht="12.75" customHeight="1" x14ac:dyDescent="0.25"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</row>
    <row r="481" spans="2:27" ht="12.75" customHeight="1" x14ac:dyDescent="0.25"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</row>
    <row r="482" spans="2:27" ht="12.75" customHeight="1" x14ac:dyDescent="0.25"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</row>
    <row r="483" spans="2:27" ht="12.75" customHeight="1" x14ac:dyDescent="0.25"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</row>
    <row r="484" spans="2:27" ht="12.75" customHeight="1" x14ac:dyDescent="0.25"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</row>
    <row r="485" spans="2:27" ht="12.75" customHeight="1" x14ac:dyDescent="0.25"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</row>
    <row r="486" spans="2:27" ht="12.75" customHeight="1" x14ac:dyDescent="0.25"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</row>
    <row r="487" spans="2:27" ht="12.75" customHeight="1" x14ac:dyDescent="0.25"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</row>
    <row r="488" spans="2:27" ht="12.75" customHeight="1" x14ac:dyDescent="0.25"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</row>
    <row r="489" spans="2:27" ht="12.75" customHeight="1" x14ac:dyDescent="0.25"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</row>
    <row r="490" spans="2:27" ht="12.75" customHeight="1" x14ac:dyDescent="0.25"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</row>
    <row r="491" spans="2:27" ht="12.75" customHeight="1" x14ac:dyDescent="0.25"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</row>
    <row r="492" spans="2:27" ht="12.75" customHeight="1" x14ac:dyDescent="0.25"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</row>
    <row r="493" spans="2:27" ht="12.75" customHeight="1" x14ac:dyDescent="0.25"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</row>
    <row r="494" spans="2:27" ht="12.75" customHeight="1" x14ac:dyDescent="0.25"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</row>
    <row r="495" spans="2:27" ht="12.75" customHeight="1" x14ac:dyDescent="0.25"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</row>
    <row r="496" spans="2:27" ht="12.75" customHeight="1" x14ac:dyDescent="0.25"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</row>
    <row r="497" spans="2:27" ht="12.75" customHeight="1" x14ac:dyDescent="0.25"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</row>
    <row r="498" spans="2:27" ht="12.75" customHeight="1" x14ac:dyDescent="0.25"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</row>
    <row r="499" spans="2:27" ht="12.75" customHeight="1" x14ac:dyDescent="0.25"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</row>
    <row r="500" spans="2:27" ht="12.75" customHeight="1" x14ac:dyDescent="0.25"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</row>
    <row r="501" spans="2:27" ht="12.75" customHeight="1" x14ac:dyDescent="0.25"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</row>
    <row r="502" spans="2:27" ht="12.75" customHeight="1" x14ac:dyDescent="0.25"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</row>
    <row r="503" spans="2:27" ht="12.75" customHeight="1" x14ac:dyDescent="0.25"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</row>
    <row r="504" spans="2:27" ht="12.75" customHeight="1" x14ac:dyDescent="0.25"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</row>
    <row r="505" spans="2:27" ht="12.75" customHeight="1" x14ac:dyDescent="0.25"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</row>
    <row r="506" spans="2:27" ht="12.75" customHeight="1" x14ac:dyDescent="0.25"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</row>
    <row r="507" spans="2:27" ht="12.75" customHeight="1" x14ac:dyDescent="0.25"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</row>
    <row r="508" spans="2:27" ht="12.75" customHeight="1" x14ac:dyDescent="0.25"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</row>
    <row r="509" spans="2:27" ht="12.75" customHeight="1" x14ac:dyDescent="0.25"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</row>
    <row r="510" spans="2:27" ht="12.75" customHeight="1" x14ac:dyDescent="0.25"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</row>
    <row r="511" spans="2:27" ht="12.75" customHeight="1" x14ac:dyDescent="0.25"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</row>
    <row r="512" spans="2:27" ht="12.75" customHeight="1" x14ac:dyDescent="0.25"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</row>
    <row r="513" spans="2:27" ht="12.75" customHeight="1" x14ac:dyDescent="0.25"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</row>
    <row r="514" spans="2:27" ht="12.75" customHeight="1" x14ac:dyDescent="0.25"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</row>
    <row r="515" spans="2:27" ht="12.75" customHeight="1" x14ac:dyDescent="0.25"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</row>
    <row r="516" spans="2:27" ht="12.75" customHeight="1" x14ac:dyDescent="0.25"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</row>
    <row r="517" spans="2:27" ht="12.75" customHeight="1" x14ac:dyDescent="0.25"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</row>
    <row r="518" spans="2:27" ht="12.75" customHeight="1" x14ac:dyDescent="0.25"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</row>
    <row r="519" spans="2:27" ht="12.75" customHeight="1" x14ac:dyDescent="0.25"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</row>
    <row r="520" spans="2:27" ht="12.75" customHeight="1" x14ac:dyDescent="0.25"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</row>
    <row r="521" spans="2:27" ht="12.75" customHeight="1" x14ac:dyDescent="0.25"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</row>
    <row r="522" spans="2:27" ht="12.75" customHeight="1" x14ac:dyDescent="0.25"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</row>
    <row r="523" spans="2:27" ht="12.75" customHeight="1" x14ac:dyDescent="0.25"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</row>
    <row r="524" spans="2:27" ht="12.75" customHeight="1" x14ac:dyDescent="0.25"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</row>
    <row r="525" spans="2:27" ht="12.75" customHeight="1" x14ac:dyDescent="0.25"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</row>
    <row r="526" spans="2:27" ht="12.75" customHeight="1" x14ac:dyDescent="0.25"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</row>
    <row r="527" spans="2:27" ht="12.75" customHeight="1" x14ac:dyDescent="0.25"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</row>
    <row r="528" spans="2:27" ht="12.75" customHeight="1" x14ac:dyDescent="0.25"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</row>
    <row r="529" spans="2:27" ht="12.75" customHeight="1" x14ac:dyDescent="0.25"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</row>
    <row r="530" spans="2:27" ht="12.75" customHeight="1" x14ac:dyDescent="0.25"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</row>
    <row r="531" spans="2:27" ht="12.75" customHeight="1" x14ac:dyDescent="0.25"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</row>
    <row r="532" spans="2:27" ht="12.75" customHeight="1" x14ac:dyDescent="0.25"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</row>
    <row r="533" spans="2:27" ht="12.75" customHeight="1" x14ac:dyDescent="0.25"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</row>
    <row r="534" spans="2:27" ht="12.75" customHeight="1" x14ac:dyDescent="0.25"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</row>
    <row r="535" spans="2:27" ht="12.75" customHeight="1" x14ac:dyDescent="0.25"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</row>
    <row r="536" spans="2:27" ht="12.75" customHeight="1" x14ac:dyDescent="0.25"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</row>
    <row r="537" spans="2:27" ht="12.75" customHeight="1" x14ac:dyDescent="0.25"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</row>
    <row r="538" spans="2:27" ht="12.75" customHeight="1" x14ac:dyDescent="0.25"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</row>
    <row r="539" spans="2:27" ht="12.75" customHeight="1" x14ac:dyDescent="0.25"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</row>
    <row r="540" spans="2:27" ht="12.75" customHeight="1" x14ac:dyDescent="0.25"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</row>
    <row r="541" spans="2:27" ht="12.75" customHeight="1" x14ac:dyDescent="0.25"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</row>
    <row r="542" spans="2:27" ht="12.75" customHeight="1" x14ac:dyDescent="0.25"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</row>
    <row r="543" spans="2:27" ht="12.75" customHeight="1" x14ac:dyDescent="0.25"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</row>
    <row r="544" spans="2:27" ht="12.75" customHeight="1" x14ac:dyDescent="0.25"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</row>
    <row r="545" spans="2:27" ht="12.75" customHeight="1" x14ac:dyDescent="0.25"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</row>
    <row r="546" spans="2:27" ht="12.75" customHeight="1" x14ac:dyDescent="0.25"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</row>
    <row r="547" spans="2:27" ht="12.75" customHeight="1" x14ac:dyDescent="0.25"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</row>
    <row r="548" spans="2:27" ht="12.75" customHeight="1" x14ac:dyDescent="0.25"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</row>
    <row r="549" spans="2:27" ht="12.75" customHeight="1" x14ac:dyDescent="0.25"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</row>
    <row r="550" spans="2:27" ht="12.75" customHeight="1" x14ac:dyDescent="0.25"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</row>
    <row r="551" spans="2:27" ht="12.75" customHeight="1" x14ac:dyDescent="0.25"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</row>
    <row r="552" spans="2:27" ht="12.75" customHeight="1" x14ac:dyDescent="0.25"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</row>
    <row r="553" spans="2:27" ht="12.75" customHeight="1" x14ac:dyDescent="0.25"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</row>
    <row r="554" spans="2:27" ht="12.75" customHeight="1" x14ac:dyDescent="0.25"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</row>
    <row r="555" spans="2:27" ht="12.75" customHeight="1" x14ac:dyDescent="0.25"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</row>
    <row r="556" spans="2:27" ht="12.75" customHeight="1" x14ac:dyDescent="0.25"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</row>
    <row r="557" spans="2:27" ht="12.75" customHeight="1" x14ac:dyDescent="0.25"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</row>
    <row r="558" spans="2:27" ht="12.75" customHeight="1" x14ac:dyDescent="0.25"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</row>
    <row r="559" spans="2:27" ht="12.75" customHeight="1" x14ac:dyDescent="0.25"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</row>
    <row r="560" spans="2:27" ht="12.75" customHeight="1" x14ac:dyDescent="0.25"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</row>
    <row r="561" spans="2:27" ht="12.75" customHeight="1" x14ac:dyDescent="0.25"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</row>
    <row r="562" spans="2:27" ht="12.75" customHeight="1" x14ac:dyDescent="0.25"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</row>
    <row r="563" spans="2:27" ht="12.75" customHeight="1" x14ac:dyDescent="0.25"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</row>
    <row r="564" spans="2:27" ht="12.75" customHeight="1" x14ac:dyDescent="0.25"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</row>
    <row r="565" spans="2:27" ht="12.75" customHeight="1" x14ac:dyDescent="0.25"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</row>
    <row r="566" spans="2:27" ht="12.75" customHeight="1" x14ac:dyDescent="0.25"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</row>
    <row r="567" spans="2:27" ht="12.75" customHeight="1" x14ac:dyDescent="0.25"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</row>
    <row r="568" spans="2:27" ht="12.75" customHeight="1" x14ac:dyDescent="0.25"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</row>
    <row r="569" spans="2:27" ht="12.75" customHeight="1" x14ac:dyDescent="0.25"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</row>
    <row r="570" spans="2:27" ht="12.75" customHeight="1" x14ac:dyDescent="0.25"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</row>
    <row r="571" spans="2:27" ht="12.75" customHeight="1" x14ac:dyDescent="0.25"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</row>
    <row r="572" spans="2:27" ht="12.75" customHeight="1" x14ac:dyDescent="0.25"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</row>
    <row r="573" spans="2:27" ht="12.75" customHeight="1" x14ac:dyDescent="0.25"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</row>
    <row r="574" spans="2:27" ht="12.75" customHeight="1" x14ac:dyDescent="0.25"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</row>
    <row r="575" spans="2:27" ht="12.75" customHeight="1" x14ac:dyDescent="0.25"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</row>
    <row r="576" spans="2:27" ht="12.75" customHeight="1" x14ac:dyDescent="0.25"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</row>
    <row r="577" spans="2:27" ht="12.75" customHeight="1" x14ac:dyDescent="0.25"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</row>
    <row r="578" spans="2:27" ht="12.75" customHeight="1" x14ac:dyDescent="0.25"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</row>
    <row r="579" spans="2:27" ht="12.75" customHeight="1" x14ac:dyDescent="0.25"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</row>
    <row r="580" spans="2:27" ht="12.75" customHeight="1" x14ac:dyDescent="0.25"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</row>
    <row r="581" spans="2:27" ht="12.75" customHeight="1" x14ac:dyDescent="0.25"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</row>
    <row r="582" spans="2:27" ht="12.75" customHeight="1" x14ac:dyDescent="0.25"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</row>
    <row r="583" spans="2:27" ht="12.75" customHeight="1" x14ac:dyDescent="0.25"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</row>
    <row r="584" spans="2:27" ht="12.75" customHeight="1" x14ac:dyDescent="0.25"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</row>
    <row r="585" spans="2:27" ht="12.75" customHeight="1" x14ac:dyDescent="0.25"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</row>
    <row r="586" spans="2:27" ht="12.75" customHeight="1" x14ac:dyDescent="0.25"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</row>
    <row r="587" spans="2:27" ht="12.75" customHeight="1" x14ac:dyDescent="0.25"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</row>
    <row r="588" spans="2:27" ht="12.75" customHeight="1" x14ac:dyDescent="0.25"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</row>
    <row r="589" spans="2:27" ht="12.75" customHeight="1" x14ac:dyDescent="0.25"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</row>
    <row r="590" spans="2:27" ht="12.75" customHeight="1" x14ac:dyDescent="0.25"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</row>
    <row r="591" spans="2:27" ht="12.75" customHeight="1" x14ac:dyDescent="0.25"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</row>
    <row r="592" spans="2:27" ht="12.75" customHeight="1" x14ac:dyDescent="0.25"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</row>
    <row r="593" spans="2:27" ht="12.75" customHeight="1" x14ac:dyDescent="0.25"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</row>
    <row r="594" spans="2:27" ht="12.75" customHeight="1" x14ac:dyDescent="0.25"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</row>
    <row r="595" spans="2:27" ht="12.75" customHeight="1" x14ac:dyDescent="0.25"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</row>
    <row r="596" spans="2:27" ht="12.75" customHeight="1" x14ac:dyDescent="0.25"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</row>
    <row r="597" spans="2:27" ht="12.75" customHeight="1" x14ac:dyDescent="0.25"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</row>
    <row r="598" spans="2:27" ht="12.75" customHeight="1" x14ac:dyDescent="0.25"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</row>
    <row r="599" spans="2:27" ht="12.75" customHeight="1" x14ac:dyDescent="0.25"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</row>
    <row r="600" spans="2:27" ht="12.75" customHeight="1" x14ac:dyDescent="0.25"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</row>
    <row r="601" spans="2:27" ht="12.75" customHeight="1" x14ac:dyDescent="0.25"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</row>
    <row r="602" spans="2:27" ht="12.75" customHeight="1" x14ac:dyDescent="0.25"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</row>
    <row r="603" spans="2:27" ht="12.75" customHeight="1" x14ac:dyDescent="0.25"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</row>
    <row r="604" spans="2:27" ht="12.75" customHeight="1" x14ac:dyDescent="0.25"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</row>
    <row r="605" spans="2:27" ht="12.75" customHeight="1" x14ac:dyDescent="0.25"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</row>
    <row r="606" spans="2:27" ht="12.75" customHeight="1" x14ac:dyDescent="0.25"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</row>
    <row r="607" spans="2:27" ht="12.75" customHeight="1" x14ac:dyDescent="0.25"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</row>
    <row r="608" spans="2:27" ht="12.75" customHeight="1" x14ac:dyDescent="0.25"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</row>
    <row r="609" spans="2:27" ht="12.75" customHeight="1" x14ac:dyDescent="0.25"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</row>
    <row r="610" spans="2:27" ht="12.75" customHeight="1" x14ac:dyDescent="0.25"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</row>
    <row r="611" spans="2:27" ht="12.75" customHeight="1" x14ac:dyDescent="0.25"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</row>
    <row r="612" spans="2:27" ht="12.75" customHeight="1" x14ac:dyDescent="0.25"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</row>
    <row r="613" spans="2:27" ht="12.75" customHeight="1" x14ac:dyDescent="0.25"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</row>
    <row r="614" spans="2:27" ht="12.75" customHeight="1" x14ac:dyDescent="0.25"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</row>
    <row r="615" spans="2:27" ht="12.75" customHeight="1" x14ac:dyDescent="0.25"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</row>
    <row r="616" spans="2:27" ht="12.75" customHeight="1" x14ac:dyDescent="0.25"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</row>
    <row r="617" spans="2:27" ht="12.75" customHeight="1" x14ac:dyDescent="0.25"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</row>
    <row r="618" spans="2:27" ht="12.75" customHeight="1" x14ac:dyDescent="0.25"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</row>
    <row r="619" spans="2:27" ht="12.75" customHeight="1" x14ac:dyDescent="0.25"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</row>
    <row r="620" spans="2:27" ht="12.75" customHeight="1" x14ac:dyDescent="0.25"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</row>
    <row r="621" spans="2:27" ht="12.75" customHeight="1" x14ac:dyDescent="0.25"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</row>
    <row r="622" spans="2:27" ht="12.75" customHeight="1" x14ac:dyDescent="0.25"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</row>
    <row r="623" spans="2:27" ht="12.75" customHeight="1" x14ac:dyDescent="0.25"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</row>
    <row r="624" spans="2:27" ht="12.75" customHeight="1" x14ac:dyDescent="0.25"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</row>
    <row r="625" spans="2:27" ht="12.75" customHeight="1" x14ac:dyDescent="0.25"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</row>
    <row r="626" spans="2:27" ht="12.75" customHeight="1" x14ac:dyDescent="0.25"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</row>
    <row r="627" spans="2:27" ht="12.75" customHeight="1" x14ac:dyDescent="0.25"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</row>
    <row r="628" spans="2:27" ht="12.75" customHeight="1" x14ac:dyDescent="0.25"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</row>
    <row r="629" spans="2:27" ht="12.75" customHeight="1" x14ac:dyDescent="0.25"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</row>
    <row r="630" spans="2:27" ht="12.75" customHeight="1" x14ac:dyDescent="0.25"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</row>
    <row r="631" spans="2:27" ht="12.75" customHeight="1" x14ac:dyDescent="0.25"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</row>
    <row r="632" spans="2:27" ht="12.75" customHeight="1" x14ac:dyDescent="0.25"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</row>
    <row r="633" spans="2:27" ht="12.75" customHeight="1" x14ac:dyDescent="0.25"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</row>
    <row r="634" spans="2:27" ht="12.75" customHeight="1" x14ac:dyDescent="0.25"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</row>
    <row r="635" spans="2:27" ht="12.75" customHeight="1" x14ac:dyDescent="0.25"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</row>
    <row r="636" spans="2:27" ht="12.75" customHeight="1" x14ac:dyDescent="0.25"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</row>
    <row r="637" spans="2:27" ht="12.75" customHeight="1" x14ac:dyDescent="0.25"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</row>
    <row r="638" spans="2:27" ht="12.75" customHeight="1" x14ac:dyDescent="0.25"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</row>
    <row r="639" spans="2:27" ht="12.75" customHeight="1" x14ac:dyDescent="0.25"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</row>
    <row r="640" spans="2:27" ht="12.75" customHeight="1" x14ac:dyDescent="0.25"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</row>
    <row r="641" spans="2:27" ht="12.75" customHeight="1" x14ac:dyDescent="0.25"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</row>
    <row r="642" spans="2:27" ht="12.75" customHeight="1" x14ac:dyDescent="0.25"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</row>
    <row r="643" spans="2:27" ht="12.75" customHeight="1" x14ac:dyDescent="0.25"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</row>
    <row r="644" spans="2:27" ht="12.75" customHeight="1" x14ac:dyDescent="0.25"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</row>
    <row r="645" spans="2:27" ht="12.75" customHeight="1" x14ac:dyDescent="0.25"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</row>
    <row r="646" spans="2:27" ht="12.75" customHeight="1" x14ac:dyDescent="0.25"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</row>
    <row r="647" spans="2:27" ht="12.75" customHeight="1" x14ac:dyDescent="0.25"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</row>
    <row r="648" spans="2:27" ht="12.75" customHeight="1" x14ac:dyDescent="0.25"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</row>
    <row r="649" spans="2:27" ht="12.75" customHeight="1" x14ac:dyDescent="0.25"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</row>
    <row r="650" spans="2:27" ht="12.75" customHeight="1" x14ac:dyDescent="0.25"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</row>
    <row r="651" spans="2:27" ht="12.75" customHeight="1" x14ac:dyDescent="0.25"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</row>
    <row r="652" spans="2:27" ht="12.75" customHeight="1" x14ac:dyDescent="0.25"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</row>
    <row r="653" spans="2:27" ht="12.75" customHeight="1" x14ac:dyDescent="0.25"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</row>
    <row r="654" spans="2:27" ht="12.75" customHeight="1" x14ac:dyDescent="0.25"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</row>
    <row r="655" spans="2:27" ht="12.75" customHeight="1" x14ac:dyDescent="0.25"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</row>
    <row r="656" spans="2:27" ht="12.75" customHeight="1" x14ac:dyDescent="0.25"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</row>
    <row r="657" spans="2:27" ht="12.75" customHeight="1" x14ac:dyDescent="0.25"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</row>
    <row r="658" spans="2:27" ht="12.75" customHeight="1" x14ac:dyDescent="0.25"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</row>
    <row r="659" spans="2:27" ht="12.75" customHeight="1" x14ac:dyDescent="0.25"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</row>
    <row r="660" spans="2:27" ht="12.75" customHeight="1" x14ac:dyDescent="0.25"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</row>
    <row r="661" spans="2:27" ht="12.75" customHeight="1" x14ac:dyDescent="0.25"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</row>
    <row r="662" spans="2:27" ht="12.75" customHeight="1" x14ac:dyDescent="0.25"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</row>
    <row r="663" spans="2:27" ht="12.75" customHeight="1" x14ac:dyDescent="0.25"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</row>
    <row r="664" spans="2:27" ht="12.75" customHeight="1" x14ac:dyDescent="0.25"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</row>
    <row r="665" spans="2:27" ht="12.75" customHeight="1" x14ac:dyDescent="0.25"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</row>
    <row r="666" spans="2:27" ht="12.75" customHeight="1" x14ac:dyDescent="0.25"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</row>
    <row r="667" spans="2:27" ht="12.75" customHeight="1" x14ac:dyDescent="0.25"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</row>
    <row r="668" spans="2:27" ht="12.75" customHeight="1" x14ac:dyDescent="0.25"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</row>
    <row r="669" spans="2:27" ht="12.75" customHeight="1" x14ac:dyDescent="0.25"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</row>
    <row r="670" spans="2:27" ht="12.75" customHeight="1" x14ac:dyDescent="0.25"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</row>
    <row r="671" spans="2:27" ht="12.75" customHeight="1" x14ac:dyDescent="0.25"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</row>
    <row r="672" spans="2:27" ht="12.75" customHeight="1" x14ac:dyDescent="0.25"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</row>
    <row r="673" spans="2:27" ht="12.75" customHeight="1" x14ac:dyDescent="0.25"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</row>
    <row r="674" spans="2:27" ht="12.75" customHeight="1" x14ac:dyDescent="0.25"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</row>
    <row r="675" spans="2:27" ht="12.75" customHeight="1" x14ac:dyDescent="0.25"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</row>
    <row r="676" spans="2:27" ht="12.75" customHeight="1" x14ac:dyDescent="0.25"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</row>
    <row r="677" spans="2:27" ht="12.75" customHeight="1" x14ac:dyDescent="0.25"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</row>
    <row r="678" spans="2:27" ht="12.75" customHeight="1" x14ac:dyDescent="0.25"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</row>
    <row r="679" spans="2:27" ht="12.75" customHeight="1" x14ac:dyDescent="0.25"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</row>
    <row r="680" spans="2:27" ht="12.75" customHeight="1" x14ac:dyDescent="0.25"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</row>
    <row r="681" spans="2:27" ht="12.75" customHeight="1" x14ac:dyDescent="0.25"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</row>
    <row r="682" spans="2:27" ht="12.75" customHeight="1" x14ac:dyDescent="0.25"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</row>
    <row r="683" spans="2:27" ht="12.75" customHeight="1" x14ac:dyDescent="0.25"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</row>
    <row r="684" spans="2:27" ht="12.75" customHeight="1" x14ac:dyDescent="0.25"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</row>
    <row r="685" spans="2:27" ht="12.75" customHeight="1" x14ac:dyDescent="0.25"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</row>
    <row r="686" spans="2:27" ht="12.75" customHeight="1" x14ac:dyDescent="0.25"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</row>
    <row r="687" spans="2:27" ht="12.75" customHeight="1" x14ac:dyDescent="0.25"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</row>
    <row r="688" spans="2:27" ht="12.75" customHeight="1" x14ac:dyDescent="0.25"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</row>
    <row r="689" spans="2:27" ht="12.75" customHeight="1" x14ac:dyDescent="0.25"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</row>
    <row r="690" spans="2:27" ht="12.75" customHeight="1" x14ac:dyDescent="0.25"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</row>
    <row r="691" spans="2:27" ht="12.75" customHeight="1" x14ac:dyDescent="0.25"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</row>
    <row r="692" spans="2:27" ht="12.75" customHeight="1" x14ac:dyDescent="0.25"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</row>
    <row r="693" spans="2:27" ht="12.75" customHeight="1" x14ac:dyDescent="0.25"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</row>
    <row r="694" spans="2:27" ht="12.75" customHeight="1" x14ac:dyDescent="0.25"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</row>
    <row r="695" spans="2:27" ht="12.75" customHeight="1" x14ac:dyDescent="0.25"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</row>
    <row r="696" spans="2:27" ht="12.75" customHeight="1" x14ac:dyDescent="0.25"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</row>
    <row r="697" spans="2:27" ht="12.75" customHeight="1" x14ac:dyDescent="0.25"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</row>
    <row r="698" spans="2:27" ht="12.75" customHeight="1" x14ac:dyDescent="0.25"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</row>
    <row r="699" spans="2:27" ht="12.75" customHeight="1" x14ac:dyDescent="0.25"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</row>
    <row r="700" spans="2:27" ht="12.75" customHeight="1" x14ac:dyDescent="0.25"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</row>
    <row r="701" spans="2:27" ht="12.75" customHeight="1" x14ac:dyDescent="0.25"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</row>
    <row r="702" spans="2:27" ht="12.75" customHeight="1" x14ac:dyDescent="0.25"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</row>
    <row r="703" spans="2:27" ht="12.75" customHeight="1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</row>
    <row r="704" spans="2:27" ht="12.75" customHeight="1" x14ac:dyDescent="0.25"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</row>
    <row r="705" spans="2:27" ht="12.75" customHeight="1" x14ac:dyDescent="0.25"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</row>
    <row r="706" spans="2:27" ht="12.75" customHeight="1" x14ac:dyDescent="0.25"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</row>
    <row r="707" spans="2:27" ht="12.75" customHeight="1" x14ac:dyDescent="0.25"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</row>
    <row r="708" spans="2:27" ht="12.75" customHeight="1" x14ac:dyDescent="0.25"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</row>
    <row r="709" spans="2:27" ht="12.75" customHeight="1" x14ac:dyDescent="0.25"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</row>
    <row r="710" spans="2:27" ht="12.75" customHeight="1" x14ac:dyDescent="0.25"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</row>
    <row r="711" spans="2:27" ht="12.75" customHeight="1" x14ac:dyDescent="0.25"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</row>
    <row r="712" spans="2:27" ht="12.75" customHeight="1" x14ac:dyDescent="0.25"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</row>
    <row r="713" spans="2:27" ht="12.75" customHeight="1" x14ac:dyDescent="0.25"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</row>
    <row r="714" spans="2:27" ht="12.75" customHeight="1" x14ac:dyDescent="0.25"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</row>
    <row r="715" spans="2:27" ht="12.75" customHeight="1" x14ac:dyDescent="0.25"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</row>
    <row r="716" spans="2:27" ht="12.75" customHeight="1" x14ac:dyDescent="0.25"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</row>
    <row r="717" spans="2:27" ht="12.75" customHeight="1" x14ac:dyDescent="0.25"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</row>
    <row r="718" spans="2:27" ht="12.75" customHeight="1" x14ac:dyDescent="0.25"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</row>
    <row r="719" spans="2:27" ht="12.75" customHeight="1" x14ac:dyDescent="0.25"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</row>
    <row r="720" spans="2:27" ht="12.75" customHeight="1" x14ac:dyDescent="0.25"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</row>
    <row r="721" spans="2:27" ht="12.75" customHeight="1" x14ac:dyDescent="0.25"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</row>
    <row r="722" spans="2:27" ht="12.75" customHeight="1" x14ac:dyDescent="0.25"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</row>
    <row r="723" spans="2:27" ht="12.75" customHeight="1" x14ac:dyDescent="0.25"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</row>
    <row r="724" spans="2:27" ht="12.75" customHeight="1" x14ac:dyDescent="0.25"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</row>
    <row r="725" spans="2:27" ht="12.75" customHeight="1" x14ac:dyDescent="0.25"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</row>
    <row r="726" spans="2:27" ht="12.75" customHeight="1" x14ac:dyDescent="0.25"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</row>
    <row r="727" spans="2:27" ht="12.75" customHeight="1" x14ac:dyDescent="0.25"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</row>
    <row r="728" spans="2:27" ht="12.75" customHeight="1" x14ac:dyDescent="0.25"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</row>
    <row r="729" spans="2:27" ht="12.75" customHeight="1" x14ac:dyDescent="0.25"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</row>
    <row r="730" spans="2:27" ht="12.75" customHeight="1" x14ac:dyDescent="0.25"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</row>
    <row r="731" spans="2:27" ht="12.75" customHeight="1" x14ac:dyDescent="0.25"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</row>
    <row r="732" spans="2:27" ht="12.75" customHeight="1" x14ac:dyDescent="0.25"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</row>
    <row r="733" spans="2:27" ht="12.75" customHeight="1" x14ac:dyDescent="0.25"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</row>
    <row r="734" spans="2:27" ht="12.75" customHeight="1" x14ac:dyDescent="0.25"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</row>
    <row r="735" spans="2:27" ht="12.75" customHeight="1" x14ac:dyDescent="0.25"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</row>
    <row r="736" spans="2:27" ht="12.75" customHeight="1" x14ac:dyDescent="0.25"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</row>
    <row r="737" spans="2:27" ht="12.75" customHeight="1" x14ac:dyDescent="0.25"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</row>
    <row r="738" spans="2:27" ht="12.75" customHeight="1" x14ac:dyDescent="0.25"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</row>
    <row r="739" spans="2:27" ht="12.75" customHeight="1" x14ac:dyDescent="0.25"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</row>
    <row r="740" spans="2:27" ht="12.75" customHeight="1" x14ac:dyDescent="0.25"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</row>
    <row r="741" spans="2:27" ht="12.75" customHeight="1" x14ac:dyDescent="0.25"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</row>
    <row r="742" spans="2:27" ht="12.75" customHeight="1" x14ac:dyDescent="0.25"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</row>
    <row r="743" spans="2:27" ht="12.75" customHeight="1" x14ac:dyDescent="0.25"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</row>
    <row r="744" spans="2:27" ht="12.75" customHeight="1" x14ac:dyDescent="0.25"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</row>
    <row r="745" spans="2:27" ht="12.75" customHeight="1" x14ac:dyDescent="0.25"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</row>
    <row r="746" spans="2:27" ht="12.75" customHeight="1" x14ac:dyDescent="0.25"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</row>
    <row r="747" spans="2:27" ht="12.75" customHeight="1" x14ac:dyDescent="0.25"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</row>
    <row r="748" spans="2:27" ht="12.75" customHeight="1" x14ac:dyDescent="0.25"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</row>
    <row r="749" spans="2:27" ht="12.75" customHeight="1" x14ac:dyDescent="0.25"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</row>
    <row r="750" spans="2:27" ht="12.75" customHeight="1" x14ac:dyDescent="0.25"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</row>
    <row r="751" spans="2:27" ht="12.75" customHeight="1" x14ac:dyDescent="0.25"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</row>
    <row r="752" spans="2:27" ht="12.75" customHeight="1" x14ac:dyDescent="0.25"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</row>
    <row r="753" spans="2:27" ht="12.75" customHeight="1" x14ac:dyDescent="0.25"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</row>
    <row r="754" spans="2:27" ht="12.75" customHeight="1" x14ac:dyDescent="0.25"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</row>
    <row r="755" spans="2:27" ht="12.75" customHeight="1" x14ac:dyDescent="0.25"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</row>
    <row r="756" spans="2:27" ht="12.75" customHeight="1" x14ac:dyDescent="0.25"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</row>
    <row r="757" spans="2:27" ht="12.75" customHeight="1" x14ac:dyDescent="0.25"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</row>
    <row r="758" spans="2:27" ht="12.75" customHeight="1" x14ac:dyDescent="0.25"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</row>
    <row r="759" spans="2:27" ht="12.75" customHeight="1" x14ac:dyDescent="0.25"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</row>
    <row r="760" spans="2:27" ht="12.75" customHeight="1" x14ac:dyDescent="0.25"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</row>
    <row r="761" spans="2:27" ht="12.75" customHeight="1" x14ac:dyDescent="0.25"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</row>
    <row r="762" spans="2:27" ht="12.75" customHeight="1" x14ac:dyDescent="0.25"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</row>
    <row r="763" spans="2:27" ht="12.75" customHeight="1" x14ac:dyDescent="0.25"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</row>
    <row r="764" spans="2:27" ht="12.75" customHeight="1" x14ac:dyDescent="0.25"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</row>
    <row r="765" spans="2:27" ht="12.75" customHeight="1" x14ac:dyDescent="0.25"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</row>
    <row r="766" spans="2:27" ht="12.75" customHeight="1" x14ac:dyDescent="0.25"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</row>
    <row r="767" spans="2:27" ht="12.75" customHeight="1" x14ac:dyDescent="0.25"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</row>
    <row r="768" spans="2:27" ht="12.75" customHeight="1" x14ac:dyDescent="0.25"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</row>
    <row r="769" spans="2:27" ht="12.75" customHeight="1" x14ac:dyDescent="0.25"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</row>
    <row r="770" spans="2:27" ht="12.75" customHeight="1" x14ac:dyDescent="0.25"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</row>
    <row r="771" spans="2:27" ht="12.75" customHeight="1" x14ac:dyDescent="0.25"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</row>
    <row r="772" spans="2:27" ht="12.75" customHeight="1" x14ac:dyDescent="0.25"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</row>
    <row r="773" spans="2:27" ht="12.75" customHeight="1" x14ac:dyDescent="0.25"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</row>
    <row r="774" spans="2:27" ht="12.75" customHeight="1" x14ac:dyDescent="0.25"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</row>
    <row r="775" spans="2:27" ht="12.75" customHeight="1" x14ac:dyDescent="0.25"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</row>
    <row r="776" spans="2:27" ht="12.75" customHeight="1" x14ac:dyDescent="0.25"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</row>
    <row r="777" spans="2:27" ht="12.75" customHeight="1" x14ac:dyDescent="0.25"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</row>
    <row r="778" spans="2:27" ht="12.75" customHeight="1" x14ac:dyDescent="0.25"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</row>
    <row r="779" spans="2:27" ht="12.75" customHeight="1" x14ac:dyDescent="0.25"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</row>
    <row r="780" spans="2:27" ht="12.75" customHeight="1" x14ac:dyDescent="0.25"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</row>
    <row r="781" spans="2:27" ht="12.75" customHeight="1" x14ac:dyDescent="0.25"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</row>
    <row r="782" spans="2:27" ht="12.75" customHeight="1" x14ac:dyDescent="0.25"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</row>
    <row r="783" spans="2:27" ht="12.75" customHeight="1" x14ac:dyDescent="0.25"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</row>
    <row r="784" spans="2:27" ht="12.75" customHeight="1" x14ac:dyDescent="0.25"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</row>
    <row r="785" spans="2:27" ht="12.75" customHeight="1" x14ac:dyDescent="0.25"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</row>
    <row r="786" spans="2:27" ht="12.75" customHeight="1" x14ac:dyDescent="0.25"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</row>
    <row r="787" spans="2:27" ht="12.75" customHeight="1" x14ac:dyDescent="0.25"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</row>
    <row r="788" spans="2:27" ht="12.75" customHeight="1" x14ac:dyDescent="0.25"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</row>
    <row r="789" spans="2:27" ht="12.75" customHeight="1" x14ac:dyDescent="0.25"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</row>
    <row r="790" spans="2:27" ht="12.75" customHeight="1" x14ac:dyDescent="0.25"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</row>
    <row r="791" spans="2:27" ht="12.75" customHeight="1" x14ac:dyDescent="0.25"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</row>
    <row r="792" spans="2:27" ht="12.75" customHeight="1" x14ac:dyDescent="0.25"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</row>
    <row r="793" spans="2:27" ht="12.75" customHeight="1" x14ac:dyDescent="0.25"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</row>
    <row r="794" spans="2:27" ht="12.75" customHeight="1" x14ac:dyDescent="0.25"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</row>
    <row r="795" spans="2:27" ht="12.75" customHeight="1" x14ac:dyDescent="0.25"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</row>
    <row r="796" spans="2:27" ht="12.75" customHeight="1" x14ac:dyDescent="0.25"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</row>
    <row r="797" spans="2:27" ht="12.75" customHeight="1" x14ac:dyDescent="0.25"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</row>
    <row r="798" spans="2:27" ht="12.75" customHeight="1" x14ac:dyDescent="0.25"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</row>
    <row r="799" spans="2:27" ht="12.75" customHeight="1" x14ac:dyDescent="0.25"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</row>
    <row r="800" spans="2:27" ht="12.75" customHeight="1" x14ac:dyDescent="0.25"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</row>
    <row r="801" spans="2:27" ht="12.75" customHeight="1" x14ac:dyDescent="0.25"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</row>
    <row r="802" spans="2:27" ht="12.75" customHeight="1" x14ac:dyDescent="0.25"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</row>
    <row r="803" spans="2:27" ht="12.75" customHeight="1" x14ac:dyDescent="0.25"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</row>
    <row r="804" spans="2:27" ht="12.75" customHeight="1" x14ac:dyDescent="0.25"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</row>
    <row r="805" spans="2:27" ht="12.75" customHeight="1" x14ac:dyDescent="0.25"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</row>
    <row r="806" spans="2:27" ht="12.75" customHeight="1" x14ac:dyDescent="0.25"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</row>
    <row r="807" spans="2:27" ht="12.75" customHeight="1" x14ac:dyDescent="0.25"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</row>
    <row r="808" spans="2:27" ht="12.75" customHeight="1" x14ac:dyDescent="0.25"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</row>
    <row r="809" spans="2:27" ht="12.75" customHeight="1" x14ac:dyDescent="0.25"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</row>
    <row r="810" spans="2:27" ht="12.75" customHeight="1" x14ac:dyDescent="0.25"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</row>
    <row r="811" spans="2:27" ht="12.75" customHeight="1" x14ac:dyDescent="0.25"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</row>
    <row r="812" spans="2:27" ht="12.75" customHeight="1" x14ac:dyDescent="0.25"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</row>
    <row r="813" spans="2:27" ht="12.75" customHeight="1" x14ac:dyDescent="0.25"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</row>
    <row r="814" spans="2:27" ht="12.75" customHeight="1" x14ac:dyDescent="0.25"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</row>
    <row r="815" spans="2:27" ht="12.75" customHeight="1" x14ac:dyDescent="0.25"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</row>
    <row r="816" spans="2:27" ht="12.75" customHeight="1" x14ac:dyDescent="0.25"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</row>
    <row r="817" spans="2:27" ht="12.75" customHeight="1" x14ac:dyDescent="0.25"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</row>
    <row r="818" spans="2:27" ht="12.75" customHeight="1" x14ac:dyDescent="0.25"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</row>
    <row r="819" spans="2:27" ht="12.75" customHeight="1" x14ac:dyDescent="0.25"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</row>
    <row r="820" spans="2:27" ht="12.75" customHeight="1" x14ac:dyDescent="0.25"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</row>
    <row r="821" spans="2:27" ht="12.75" customHeight="1" x14ac:dyDescent="0.25"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</row>
    <row r="822" spans="2:27" ht="12.75" customHeight="1" x14ac:dyDescent="0.25"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</row>
    <row r="823" spans="2:27" ht="12.75" customHeight="1" x14ac:dyDescent="0.25"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</row>
    <row r="824" spans="2:27" ht="12.75" customHeight="1" x14ac:dyDescent="0.25"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</row>
    <row r="825" spans="2:27" ht="12.75" customHeight="1" x14ac:dyDescent="0.25"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</row>
    <row r="826" spans="2:27" ht="12.75" customHeight="1" x14ac:dyDescent="0.25"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</row>
    <row r="827" spans="2:27" ht="12.75" customHeight="1" x14ac:dyDescent="0.25"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</row>
    <row r="828" spans="2:27" ht="12.75" customHeight="1" x14ac:dyDescent="0.25"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</row>
    <row r="829" spans="2:27" ht="12.75" customHeight="1" x14ac:dyDescent="0.25"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</row>
    <row r="830" spans="2:27" ht="12.75" customHeight="1" x14ac:dyDescent="0.25"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</row>
    <row r="831" spans="2:27" ht="12.75" customHeight="1" x14ac:dyDescent="0.25"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</row>
    <row r="832" spans="2:27" ht="12.75" customHeight="1" x14ac:dyDescent="0.25"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</row>
    <row r="833" spans="2:27" ht="12.75" customHeight="1" x14ac:dyDescent="0.25"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</row>
    <row r="834" spans="2:27" ht="12.75" customHeight="1" x14ac:dyDescent="0.25"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</row>
    <row r="835" spans="2:27" ht="12.75" customHeight="1" x14ac:dyDescent="0.25"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</row>
    <row r="836" spans="2:27" ht="12.75" customHeight="1" x14ac:dyDescent="0.25"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</row>
    <row r="837" spans="2:27" ht="12.75" customHeight="1" x14ac:dyDescent="0.25"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</row>
    <row r="838" spans="2:27" ht="12.75" customHeight="1" x14ac:dyDescent="0.25"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</row>
    <row r="839" spans="2:27" ht="12.75" customHeight="1" x14ac:dyDescent="0.25"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</row>
    <row r="840" spans="2:27" ht="12.75" customHeight="1" x14ac:dyDescent="0.25"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</row>
    <row r="841" spans="2:27" ht="12.75" customHeight="1" x14ac:dyDescent="0.25"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</row>
    <row r="842" spans="2:27" ht="12.75" customHeight="1" x14ac:dyDescent="0.25"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</row>
    <row r="843" spans="2:27" ht="12.75" customHeight="1" x14ac:dyDescent="0.25"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</row>
    <row r="844" spans="2:27" ht="12.75" customHeight="1" x14ac:dyDescent="0.25"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</row>
    <row r="845" spans="2:27" ht="12.75" customHeight="1" x14ac:dyDescent="0.25"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</row>
    <row r="846" spans="2:27" ht="12.75" customHeight="1" x14ac:dyDescent="0.25"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</row>
    <row r="847" spans="2:27" ht="12.75" customHeight="1" x14ac:dyDescent="0.25"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</row>
    <row r="848" spans="2:27" ht="12.75" customHeight="1" x14ac:dyDescent="0.25"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</row>
    <row r="849" spans="2:27" ht="12.75" customHeight="1" x14ac:dyDescent="0.25"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</row>
    <row r="850" spans="2:27" ht="12.75" customHeight="1" x14ac:dyDescent="0.25"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</row>
    <row r="851" spans="2:27" ht="12.75" customHeight="1" x14ac:dyDescent="0.25"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</row>
    <row r="852" spans="2:27" ht="12.75" customHeight="1" x14ac:dyDescent="0.25"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</row>
    <row r="853" spans="2:27" ht="12.75" customHeight="1" x14ac:dyDescent="0.25"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</row>
    <row r="854" spans="2:27" ht="12.75" customHeight="1" x14ac:dyDescent="0.25"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</row>
    <row r="855" spans="2:27" ht="12.75" customHeight="1" x14ac:dyDescent="0.25"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</row>
    <row r="856" spans="2:27" ht="12.75" customHeight="1" x14ac:dyDescent="0.25"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</row>
    <row r="857" spans="2:27" ht="12.75" customHeight="1" x14ac:dyDescent="0.25"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</row>
    <row r="858" spans="2:27" ht="12.75" customHeight="1" x14ac:dyDescent="0.25"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</row>
    <row r="859" spans="2:27" ht="12.75" customHeight="1" x14ac:dyDescent="0.25"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</row>
    <row r="860" spans="2:27" ht="12.75" customHeight="1" x14ac:dyDescent="0.25"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</row>
    <row r="861" spans="2:27" ht="12.75" customHeight="1" x14ac:dyDescent="0.25"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</row>
    <row r="862" spans="2:27" ht="12.75" customHeight="1" x14ac:dyDescent="0.25"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</row>
    <row r="863" spans="2:27" ht="12.75" customHeight="1" x14ac:dyDescent="0.25"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</row>
    <row r="864" spans="2:27" ht="12.75" customHeight="1" x14ac:dyDescent="0.25"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</row>
    <row r="865" spans="2:27" ht="12.75" customHeight="1" x14ac:dyDescent="0.25"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</row>
    <row r="866" spans="2:27" ht="12.75" customHeight="1" x14ac:dyDescent="0.25"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</row>
    <row r="867" spans="2:27" ht="12.75" customHeight="1" x14ac:dyDescent="0.25"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</row>
    <row r="868" spans="2:27" ht="12.75" customHeight="1" x14ac:dyDescent="0.25"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</row>
    <row r="869" spans="2:27" ht="12.75" customHeight="1" x14ac:dyDescent="0.25"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  <c r="AA869" s="48"/>
    </row>
    <row r="870" spans="2:27" ht="12.75" customHeight="1" x14ac:dyDescent="0.25"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  <c r="AA870" s="48"/>
    </row>
    <row r="871" spans="2:27" ht="12.75" customHeight="1" x14ac:dyDescent="0.25"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  <c r="AA871" s="48"/>
    </row>
    <row r="872" spans="2:27" ht="12.75" customHeight="1" x14ac:dyDescent="0.25"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  <c r="AA872" s="48"/>
    </row>
    <row r="873" spans="2:27" ht="12.75" customHeight="1" x14ac:dyDescent="0.25"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  <c r="AA873" s="48"/>
    </row>
    <row r="874" spans="2:27" ht="12.75" customHeight="1" x14ac:dyDescent="0.25"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  <c r="AA874" s="48"/>
    </row>
    <row r="875" spans="2:27" ht="12.75" customHeight="1" x14ac:dyDescent="0.25"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  <c r="AA875" s="48"/>
    </row>
    <row r="876" spans="2:27" ht="12.75" customHeight="1" x14ac:dyDescent="0.25"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  <c r="AA876" s="48"/>
    </row>
    <row r="877" spans="2:27" ht="12.75" customHeight="1" x14ac:dyDescent="0.25"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  <c r="AA877" s="48"/>
    </row>
    <row r="878" spans="2:27" ht="12.75" customHeight="1" x14ac:dyDescent="0.25"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  <c r="AA878" s="48"/>
    </row>
    <row r="879" spans="2:27" ht="12.75" customHeight="1" x14ac:dyDescent="0.25"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  <c r="AA879" s="48"/>
    </row>
    <row r="880" spans="2:27" ht="12.75" customHeight="1" x14ac:dyDescent="0.25"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  <c r="AA880" s="48"/>
    </row>
    <row r="881" spans="2:27" ht="12.75" customHeight="1" x14ac:dyDescent="0.25"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  <c r="AA881" s="48"/>
    </row>
    <row r="882" spans="2:27" ht="12.75" customHeight="1" x14ac:dyDescent="0.25"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  <c r="AA882" s="48"/>
    </row>
    <row r="883" spans="2:27" ht="12.75" customHeight="1" x14ac:dyDescent="0.25"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  <c r="AA883" s="48"/>
    </row>
    <row r="884" spans="2:27" ht="12.75" customHeight="1" x14ac:dyDescent="0.25"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  <c r="AA884" s="48"/>
    </row>
    <row r="885" spans="2:27" ht="12.75" customHeight="1" x14ac:dyDescent="0.25"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  <c r="AA885" s="48"/>
    </row>
    <row r="886" spans="2:27" ht="12.75" customHeight="1" x14ac:dyDescent="0.25"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  <c r="AA886" s="48"/>
    </row>
    <row r="887" spans="2:27" ht="12.75" customHeight="1" x14ac:dyDescent="0.25"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  <c r="AA887" s="48"/>
    </row>
    <row r="888" spans="2:27" ht="12.75" customHeight="1" x14ac:dyDescent="0.25"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  <c r="AA888" s="48"/>
    </row>
    <row r="889" spans="2:27" ht="12.75" customHeight="1" x14ac:dyDescent="0.25"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  <c r="AA889" s="48"/>
    </row>
    <row r="890" spans="2:27" ht="12.75" customHeight="1" x14ac:dyDescent="0.25"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  <c r="AA890" s="48"/>
    </row>
    <row r="891" spans="2:27" ht="12.75" customHeight="1" x14ac:dyDescent="0.25"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  <c r="AA891" s="48"/>
    </row>
    <row r="892" spans="2:27" ht="12.75" customHeight="1" x14ac:dyDescent="0.25"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  <c r="AA892" s="48"/>
    </row>
    <row r="893" spans="2:27" ht="12.75" customHeight="1" x14ac:dyDescent="0.25"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  <c r="AA893" s="48"/>
    </row>
    <row r="894" spans="2:27" ht="12.75" customHeight="1" x14ac:dyDescent="0.25"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  <c r="AA894" s="48"/>
    </row>
    <row r="895" spans="2:27" ht="12.75" customHeight="1" x14ac:dyDescent="0.25"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  <c r="AA895" s="48"/>
    </row>
    <row r="896" spans="2:27" ht="12.75" customHeight="1" x14ac:dyDescent="0.25"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  <c r="AA896" s="48"/>
    </row>
    <row r="897" spans="2:27" ht="12.75" customHeight="1" x14ac:dyDescent="0.25"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  <c r="AA897" s="48"/>
    </row>
    <row r="898" spans="2:27" ht="12.75" customHeight="1" x14ac:dyDescent="0.25"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  <c r="AA898" s="48"/>
    </row>
    <row r="899" spans="2:27" ht="12.75" customHeight="1" x14ac:dyDescent="0.25"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  <c r="AA899" s="48"/>
    </row>
    <row r="900" spans="2:27" ht="12.75" customHeight="1" x14ac:dyDescent="0.25"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  <c r="AA900" s="48"/>
    </row>
    <row r="901" spans="2:27" ht="12.75" customHeight="1" x14ac:dyDescent="0.25"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  <c r="AA901" s="48"/>
    </row>
    <row r="902" spans="2:27" ht="12.75" customHeight="1" x14ac:dyDescent="0.25"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  <c r="AA902" s="48"/>
    </row>
    <row r="903" spans="2:27" ht="12.75" customHeight="1" x14ac:dyDescent="0.25"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  <c r="AA903" s="48"/>
    </row>
    <row r="904" spans="2:27" ht="12.75" customHeight="1" x14ac:dyDescent="0.25"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  <c r="AA904" s="48"/>
    </row>
    <row r="905" spans="2:27" ht="12.75" customHeight="1" x14ac:dyDescent="0.25"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  <c r="AA905" s="48"/>
    </row>
    <row r="906" spans="2:27" ht="12.75" customHeight="1" x14ac:dyDescent="0.25"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  <c r="AA906" s="48"/>
    </row>
    <row r="907" spans="2:27" ht="12.75" customHeight="1" x14ac:dyDescent="0.25"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  <c r="AA907" s="48"/>
    </row>
    <row r="908" spans="2:27" ht="12.75" customHeight="1" x14ac:dyDescent="0.25"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  <c r="AA908" s="48"/>
    </row>
    <row r="909" spans="2:27" ht="12.75" customHeight="1" x14ac:dyDescent="0.25"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  <c r="AA909" s="48"/>
    </row>
    <row r="910" spans="2:27" ht="12.75" customHeight="1" x14ac:dyDescent="0.25"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  <c r="AA910" s="48"/>
    </row>
    <row r="911" spans="2:27" ht="12.75" customHeight="1" x14ac:dyDescent="0.25"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  <c r="AA911" s="48"/>
    </row>
    <row r="912" spans="2:27" ht="12.75" customHeight="1" x14ac:dyDescent="0.25"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  <c r="AA912" s="48"/>
    </row>
    <row r="913" spans="2:27" ht="12.75" customHeight="1" x14ac:dyDescent="0.25"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  <c r="AA913" s="48"/>
    </row>
    <row r="914" spans="2:27" ht="12.75" customHeight="1" x14ac:dyDescent="0.25"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  <c r="AA914" s="48"/>
    </row>
    <row r="915" spans="2:27" ht="12.75" customHeight="1" x14ac:dyDescent="0.25"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  <c r="AA915" s="48"/>
    </row>
    <row r="916" spans="2:27" ht="12.75" customHeight="1" x14ac:dyDescent="0.25"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  <c r="AA916" s="48"/>
    </row>
    <row r="917" spans="2:27" ht="12.75" customHeight="1" x14ac:dyDescent="0.25"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  <c r="AA917" s="48"/>
    </row>
    <row r="918" spans="2:27" ht="12.75" customHeight="1" x14ac:dyDescent="0.25"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  <c r="AA918" s="48"/>
    </row>
    <row r="919" spans="2:27" ht="12.75" customHeight="1" x14ac:dyDescent="0.25"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  <c r="AA919" s="48"/>
    </row>
    <row r="920" spans="2:27" ht="12.75" customHeight="1" x14ac:dyDescent="0.25"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  <c r="AA920" s="48"/>
    </row>
    <row r="921" spans="2:27" ht="12.75" customHeight="1" x14ac:dyDescent="0.25"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  <c r="AA921" s="48"/>
    </row>
    <row r="922" spans="2:27" ht="12.75" customHeight="1" x14ac:dyDescent="0.25"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  <c r="AA922" s="48"/>
    </row>
    <row r="923" spans="2:27" ht="12.75" customHeight="1" x14ac:dyDescent="0.25"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  <c r="AA923" s="48"/>
    </row>
    <row r="924" spans="2:27" ht="12.75" customHeight="1" x14ac:dyDescent="0.25"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  <c r="AA924" s="48"/>
    </row>
    <row r="925" spans="2:27" ht="12.75" customHeight="1" x14ac:dyDescent="0.25"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  <c r="AA925" s="48"/>
    </row>
    <row r="926" spans="2:27" ht="12.75" customHeight="1" x14ac:dyDescent="0.25"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  <c r="AA926" s="48"/>
    </row>
    <row r="927" spans="2:27" ht="12.75" customHeight="1" x14ac:dyDescent="0.25"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  <c r="AA927" s="48"/>
    </row>
    <row r="928" spans="2:27" ht="12.75" customHeight="1" x14ac:dyDescent="0.25"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  <c r="AA928" s="48"/>
    </row>
    <row r="929" spans="2:27" ht="12.75" customHeight="1" x14ac:dyDescent="0.25"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  <c r="AA929" s="48"/>
    </row>
    <row r="930" spans="2:27" ht="12.75" customHeight="1" x14ac:dyDescent="0.25"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  <c r="AA930" s="48"/>
    </row>
    <row r="931" spans="2:27" ht="12.75" customHeight="1" x14ac:dyDescent="0.25"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  <c r="AA931" s="48"/>
    </row>
    <row r="932" spans="2:27" ht="12.75" customHeight="1" x14ac:dyDescent="0.25"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  <c r="AA932" s="48"/>
    </row>
    <row r="933" spans="2:27" ht="12.75" customHeight="1" x14ac:dyDescent="0.25"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  <c r="AA933" s="48"/>
    </row>
    <row r="934" spans="2:27" ht="12.75" customHeight="1" x14ac:dyDescent="0.25"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  <c r="AA934" s="48"/>
    </row>
    <row r="935" spans="2:27" ht="12.75" customHeight="1" x14ac:dyDescent="0.25"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  <c r="AA935" s="48"/>
    </row>
    <row r="936" spans="2:27" ht="12.75" customHeight="1" x14ac:dyDescent="0.25"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  <c r="AA936" s="48"/>
    </row>
    <row r="937" spans="2:27" ht="12.75" customHeight="1" x14ac:dyDescent="0.25"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  <c r="AA937" s="48"/>
    </row>
    <row r="938" spans="2:27" ht="12.75" customHeight="1" x14ac:dyDescent="0.25"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  <c r="AA938" s="48"/>
    </row>
    <row r="939" spans="2:27" ht="12.75" customHeight="1" x14ac:dyDescent="0.25"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  <c r="AA939" s="48"/>
    </row>
    <row r="940" spans="2:27" ht="12.75" customHeight="1" x14ac:dyDescent="0.25"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  <c r="AA940" s="48"/>
    </row>
    <row r="941" spans="2:27" ht="12.75" customHeight="1" x14ac:dyDescent="0.25"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  <c r="AA941" s="48"/>
    </row>
    <row r="942" spans="2:27" ht="12.75" customHeight="1" x14ac:dyDescent="0.25"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  <c r="AA942" s="48"/>
    </row>
    <row r="943" spans="2:27" ht="12.75" customHeight="1" x14ac:dyDescent="0.25"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  <c r="AA943" s="48"/>
    </row>
    <row r="944" spans="2:27" ht="12.75" customHeight="1" x14ac:dyDescent="0.25"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  <c r="AA944" s="48"/>
    </row>
    <row r="945" spans="2:27" ht="12.75" customHeight="1" x14ac:dyDescent="0.25"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  <c r="AA945" s="48"/>
    </row>
    <row r="946" spans="2:27" ht="12.75" customHeight="1" x14ac:dyDescent="0.25"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  <c r="AA946" s="48"/>
    </row>
    <row r="947" spans="2:27" ht="12.75" customHeight="1" x14ac:dyDescent="0.25"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  <c r="AA947" s="48"/>
    </row>
    <row r="948" spans="2:27" ht="12.75" customHeight="1" x14ac:dyDescent="0.25"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  <c r="AA948" s="48"/>
    </row>
    <row r="949" spans="2:27" ht="12.75" customHeight="1" x14ac:dyDescent="0.25"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  <c r="AA949" s="48"/>
    </row>
    <row r="950" spans="2:27" ht="12.75" customHeight="1" x14ac:dyDescent="0.25"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  <c r="AA950" s="48"/>
    </row>
    <row r="951" spans="2:27" ht="12.75" customHeight="1" x14ac:dyDescent="0.25"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  <c r="AA951" s="48"/>
    </row>
    <row r="952" spans="2:27" ht="12.75" customHeight="1" x14ac:dyDescent="0.25"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  <c r="AA952" s="48"/>
    </row>
    <row r="953" spans="2:27" ht="12.75" customHeight="1" x14ac:dyDescent="0.25"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  <c r="AA953" s="48"/>
    </row>
    <row r="954" spans="2:27" ht="12.75" customHeight="1" x14ac:dyDescent="0.25"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  <c r="AA954" s="48"/>
    </row>
    <row r="955" spans="2:27" ht="12.75" customHeight="1" x14ac:dyDescent="0.25"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  <c r="AA955" s="48"/>
    </row>
    <row r="956" spans="2:27" ht="12.75" customHeight="1" x14ac:dyDescent="0.25"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  <c r="AA956" s="48"/>
    </row>
    <row r="957" spans="2:27" ht="12.75" customHeight="1" x14ac:dyDescent="0.25"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  <c r="AA957" s="48"/>
    </row>
    <row r="958" spans="2:27" ht="12.75" customHeight="1" x14ac:dyDescent="0.25"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  <c r="AA958" s="48"/>
    </row>
    <row r="959" spans="2:27" ht="12.75" customHeight="1" x14ac:dyDescent="0.25"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  <c r="AA959" s="48"/>
    </row>
    <row r="960" spans="2:27" ht="12.75" customHeight="1" x14ac:dyDescent="0.25"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  <c r="AA960" s="48"/>
    </row>
    <row r="961" spans="2:27" ht="12.75" customHeight="1" x14ac:dyDescent="0.25"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  <c r="AA961" s="48"/>
    </row>
    <row r="962" spans="2:27" ht="12.75" customHeight="1" x14ac:dyDescent="0.25"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  <c r="AA962" s="48"/>
    </row>
    <row r="963" spans="2:27" ht="12.75" customHeight="1" x14ac:dyDescent="0.25"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  <c r="AA963" s="48"/>
    </row>
    <row r="964" spans="2:27" ht="12.75" customHeight="1" x14ac:dyDescent="0.25"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  <c r="AA964" s="48"/>
    </row>
    <row r="965" spans="2:27" ht="12.75" customHeight="1" x14ac:dyDescent="0.25"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  <c r="AA965" s="48"/>
    </row>
    <row r="966" spans="2:27" ht="12.75" customHeight="1" x14ac:dyDescent="0.25"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  <c r="AA966" s="48"/>
    </row>
    <row r="967" spans="2:27" ht="12.75" customHeight="1" x14ac:dyDescent="0.25"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  <c r="AA967" s="48"/>
    </row>
    <row r="968" spans="2:27" ht="12.75" customHeight="1" x14ac:dyDescent="0.25"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  <c r="AA968" s="48"/>
    </row>
    <row r="969" spans="2:27" ht="12.75" customHeight="1" x14ac:dyDescent="0.25"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  <c r="AA969" s="48"/>
    </row>
    <row r="970" spans="2:27" ht="12.75" customHeight="1" x14ac:dyDescent="0.25"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  <c r="AA970" s="48"/>
    </row>
    <row r="971" spans="2:27" ht="12.75" customHeight="1" x14ac:dyDescent="0.25"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  <c r="AA971" s="48"/>
    </row>
    <row r="972" spans="2:27" ht="12.75" customHeight="1" x14ac:dyDescent="0.25"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  <c r="AA972" s="48"/>
    </row>
    <row r="973" spans="2:27" ht="12.75" customHeight="1" x14ac:dyDescent="0.25"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  <c r="AA973" s="48"/>
    </row>
    <row r="974" spans="2:27" ht="12.75" customHeight="1" x14ac:dyDescent="0.25"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  <c r="AA974" s="48"/>
    </row>
    <row r="975" spans="2:27" ht="12.75" customHeight="1" x14ac:dyDescent="0.25"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  <c r="AA975" s="48"/>
    </row>
    <row r="976" spans="2:27" ht="12.75" customHeight="1" x14ac:dyDescent="0.25"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  <c r="AA976" s="48"/>
    </row>
    <row r="977" spans="2:27" ht="12.75" customHeight="1" x14ac:dyDescent="0.25"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  <c r="AA977" s="48"/>
    </row>
    <row r="978" spans="2:27" ht="12.75" customHeight="1" x14ac:dyDescent="0.25"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  <c r="AA978" s="48"/>
    </row>
    <row r="979" spans="2:27" ht="12.75" customHeight="1" x14ac:dyDescent="0.25"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  <c r="AA979" s="48"/>
    </row>
    <row r="980" spans="2:27" ht="12.75" customHeight="1" x14ac:dyDescent="0.25"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</row>
    <row r="981" spans="2:27" ht="12.75" customHeight="1" x14ac:dyDescent="0.25"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</row>
    <row r="982" spans="2:27" ht="12.75" customHeight="1" x14ac:dyDescent="0.25"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</row>
    <row r="983" spans="2:27" ht="12.75" customHeight="1" x14ac:dyDescent="0.25"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</row>
    <row r="984" spans="2:27" ht="12.75" customHeight="1" x14ac:dyDescent="0.25"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  <c r="AA984" s="48"/>
    </row>
    <row r="985" spans="2:27" ht="12.75" customHeight="1" x14ac:dyDescent="0.25"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  <c r="AA985" s="48"/>
    </row>
    <row r="986" spans="2:27" ht="12.75" customHeight="1" x14ac:dyDescent="0.25"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  <c r="AA986" s="48"/>
    </row>
    <row r="987" spans="2:27" ht="12.75" customHeight="1" x14ac:dyDescent="0.25"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  <c r="AA987" s="48"/>
    </row>
    <row r="988" spans="2:27" ht="12.75" customHeight="1" x14ac:dyDescent="0.25"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  <c r="AA988" s="48"/>
    </row>
    <row r="989" spans="2:27" ht="12.75" customHeight="1" x14ac:dyDescent="0.25"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  <c r="AA989" s="48"/>
    </row>
    <row r="990" spans="2:27" ht="12.75" customHeight="1" x14ac:dyDescent="0.25"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  <c r="AA990" s="48"/>
    </row>
    <row r="991" spans="2:27" ht="12.75" customHeight="1" x14ac:dyDescent="0.25"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  <c r="AA991" s="48"/>
    </row>
    <row r="992" spans="2:27" ht="12.75" customHeight="1" x14ac:dyDescent="0.25"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  <c r="AA992" s="48"/>
    </row>
    <row r="993" spans="2:27" ht="12.75" customHeight="1" x14ac:dyDescent="0.25"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  <c r="AA993" s="48"/>
    </row>
    <row r="994" spans="2:27" ht="12.75" customHeight="1" x14ac:dyDescent="0.25"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  <c r="AA994" s="48"/>
    </row>
    <row r="995" spans="2:27" ht="12.75" customHeight="1" x14ac:dyDescent="0.25"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  <c r="AA995" s="48"/>
    </row>
    <row r="996" spans="2:27" ht="12.75" customHeight="1" x14ac:dyDescent="0.25"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  <c r="AA996" s="48"/>
    </row>
    <row r="997" spans="2:27" ht="12.75" customHeight="1" x14ac:dyDescent="0.25"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  <c r="AA997" s="48"/>
    </row>
    <row r="998" spans="2:27" ht="12.75" customHeight="1" x14ac:dyDescent="0.25"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  <c r="AA998" s="48"/>
    </row>
    <row r="999" spans="2:27" ht="12.75" customHeight="1" x14ac:dyDescent="0.25"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  <c r="AA999" s="48"/>
    </row>
    <row r="1000" spans="2:27" ht="12.75" customHeight="1" x14ac:dyDescent="0.25"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  <c r="AA1000" s="48"/>
    </row>
    <row r="1001" spans="2:27" ht="12.75" customHeight="1" x14ac:dyDescent="0.25"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  <c r="U1001" s="48"/>
      <c r="V1001" s="48"/>
      <c r="W1001" s="48"/>
      <c r="X1001" s="48"/>
      <c r="Y1001" s="48"/>
      <c r="Z1001" s="48"/>
      <c r="AA1001" s="48"/>
    </row>
    <row r="1002" spans="2:27" ht="12.75" customHeight="1" x14ac:dyDescent="0.25"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  <c r="N1002" s="48"/>
      <c r="O1002" s="48"/>
      <c r="P1002" s="48"/>
      <c r="Q1002" s="48"/>
      <c r="R1002" s="48"/>
      <c r="S1002" s="48"/>
      <c r="T1002" s="48"/>
      <c r="U1002" s="48"/>
      <c r="V1002" s="48"/>
      <c r="W1002" s="48"/>
      <c r="X1002" s="48"/>
      <c r="Y1002" s="48"/>
      <c r="Z1002" s="48"/>
      <c r="AA1002" s="48"/>
    </row>
    <row r="1003" spans="2:27" ht="12.75" customHeight="1" x14ac:dyDescent="0.25"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  <c r="N1003" s="48"/>
      <c r="O1003" s="48"/>
      <c r="P1003" s="48"/>
      <c r="Q1003" s="48"/>
      <c r="R1003" s="48"/>
      <c r="S1003" s="48"/>
      <c r="T1003" s="48"/>
      <c r="U1003" s="48"/>
      <c r="V1003" s="48"/>
      <c r="W1003" s="48"/>
      <c r="X1003" s="48"/>
      <c r="Y1003" s="48"/>
      <c r="Z1003" s="48"/>
      <c r="AA1003" s="48"/>
    </row>
    <row r="1004" spans="2:27" ht="12.75" customHeight="1" x14ac:dyDescent="0.25"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  <c r="U1004" s="48"/>
      <c r="V1004" s="48"/>
      <c r="W1004" s="48"/>
      <c r="X1004" s="48"/>
      <c r="Y1004" s="48"/>
      <c r="Z1004" s="48"/>
      <c r="AA1004" s="48"/>
    </row>
    <row r="1005" spans="2:27" ht="12.75" customHeight="1" x14ac:dyDescent="0.25"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  <c r="U1005" s="48"/>
      <c r="V1005" s="48"/>
      <c r="W1005" s="48"/>
      <c r="X1005" s="48"/>
      <c r="Y1005" s="48"/>
      <c r="Z1005" s="48"/>
      <c r="AA1005" s="48"/>
    </row>
    <row r="1006" spans="2:27" ht="12.75" customHeight="1" x14ac:dyDescent="0.25"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8"/>
      <c r="T1006" s="48"/>
      <c r="U1006" s="48"/>
      <c r="V1006" s="48"/>
      <c r="W1006" s="48"/>
      <c r="X1006" s="48"/>
      <c r="Y1006" s="48"/>
      <c r="Z1006" s="48"/>
      <c r="AA1006" s="48"/>
    </row>
    <row r="1007" spans="2:27" ht="12.75" customHeight="1" x14ac:dyDescent="0.25"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8"/>
      <c r="T1007" s="48"/>
      <c r="U1007" s="48"/>
      <c r="V1007" s="48"/>
      <c r="W1007" s="48"/>
      <c r="X1007" s="48"/>
      <c r="Y1007" s="48"/>
      <c r="Z1007" s="48"/>
      <c r="AA1007" s="48"/>
    </row>
    <row r="1008" spans="2:27" ht="12.75" customHeight="1" x14ac:dyDescent="0.25"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  <c r="U1008" s="48"/>
      <c r="V1008" s="48"/>
      <c r="W1008" s="48"/>
      <c r="X1008" s="48"/>
      <c r="Y1008" s="48"/>
      <c r="Z1008" s="48"/>
      <c r="AA1008" s="48"/>
    </row>
    <row r="1009" spans="2:27" ht="12.75" customHeight="1" x14ac:dyDescent="0.25"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  <c r="U1009" s="48"/>
      <c r="V1009" s="48"/>
      <c r="W1009" s="48"/>
      <c r="X1009" s="48"/>
      <c r="Y1009" s="48"/>
      <c r="Z1009" s="48"/>
      <c r="AA1009" s="48"/>
    </row>
    <row r="1010" spans="2:27" ht="12.75" customHeight="1" x14ac:dyDescent="0.25"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8"/>
      <c r="T1010" s="48"/>
      <c r="U1010" s="48"/>
      <c r="V1010" s="48"/>
      <c r="W1010" s="48"/>
      <c r="X1010" s="48"/>
      <c r="Y1010" s="48"/>
      <c r="Z1010" s="48"/>
      <c r="AA1010" s="48"/>
    </row>
    <row r="1011" spans="2:27" ht="12.75" customHeight="1" x14ac:dyDescent="0.25"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  <c r="N1011" s="48"/>
      <c r="O1011" s="48"/>
      <c r="P1011" s="48"/>
      <c r="Q1011" s="48"/>
      <c r="R1011" s="48"/>
      <c r="S1011" s="48"/>
      <c r="T1011" s="48"/>
      <c r="U1011" s="48"/>
      <c r="V1011" s="48"/>
      <c r="W1011" s="48"/>
      <c r="X1011" s="48"/>
      <c r="Y1011" s="48"/>
      <c r="Z1011" s="48"/>
      <c r="AA1011" s="48"/>
    </row>
    <row r="1012" spans="2:27" ht="12.75" customHeight="1" x14ac:dyDescent="0.25"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  <c r="U1012" s="48"/>
      <c r="V1012" s="48"/>
      <c r="W1012" s="48"/>
      <c r="X1012" s="48"/>
      <c r="Y1012" s="48"/>
      <c r="Z1012" s="48"/>
      <c r="AA1012" s="48"/>
    </row>
    <row r="1013" spans="2:27" ht="12.75" customHeight="1" x14ac:dyDescent="0.25"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  <c r="U1013" s="48"/>
      <c r="V1013" s="48"/>
      <c r="W1013" s="48"/>
      <c r="X1013" s="48"/>
      <c r="Y1013" s="48"/>
      <c r="Z1013" s="48"/>
      <c r="AA1013" s="48"/>
    </row>
    <row r="1014" spans="2:27" ht="12.75" customHeight="1" x14ac:dyDescent="0.25"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  <c r="N1014" s="48"/>
      <c r="O1014" s="48"/>
      <c r="P1014" s="48"/>
      <c r="Q1014" s="48"/>
      <c r="R1014" s="48"/>
      <c r="S1014" s="48"/>
      <c r="T1014" s="48"/>
      <c r="U1014" s="48"/>
      <c r="V1014" s="48"/>
      <c r="W1014" s="48"/>
      <c r="X1014" s="48"/>
      <c r="Y1014" s="48"/>
      <c r="Z1014" s="48"/>
      <c r="AA1014" s="48"/>
    </row>
    <row r="1015" spans="2:27" ht="12.75" customHeight="1" x14ac:dyDescent="0.25"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  <c r="N1015" s="48"/>
      <c r="O1015" s="48"/>
      <c r="P1015" s="48"/>
      <c r="Q1015" s="48"/>
      <c r="R1015" s="48"/>
      <c r="S1015" s="48"/>
      <c r="T1015" s="48"/>
      <c r="U1015" s="48"/>
      <c r="V1015" s="48"/>
      <c r="W1015" s="48"/>
      <c r="X1015" s="48"/>
      <c r="Y1015" s="48"/>
      <c r="Z1015" s="48"/>
      <c r="AA1015" s="48"/>
    </row>
    <row r="1016" spans="2:27" ht="12.75" customHeight="1" x14ac:dyDescent="0.25"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  <c r="Y1016" s="48"/>
      <c r="Z1016" s="48"/>
      <c r="AA1016" s="48"/>
    </row>
    <row r="1017" spans="2:27" ht="12.75" customHeight="1" x14ac:dyDescent="0.25"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  <c r="U1017" s="48"/>
      <c r="V1017" s="48"/>
      <c r="W1017" s="48"/>
      <c r="X1017" s="48"/>
      <c r="Y1017" s="48"/>
      <c r="Z1017" s="48"/>
      <c r="AA1017" s="48"/>
    </row>
    <row r="1018" spans="2:27" ht="12.75" customHeight="1" x14ac:dyDescent="0.25"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8"/>
      <c r="T1018" s="48"/>
      <c r="U1018" s="48"/>
      <c r="V1018" s="48"/>
      <c r="W1018" s="48"/>
      <c r="X1018" s="48"/>
      <c r="Y1018" s="48"/>
      <c r="Z1018" s="48"/>
      <c r="AA1018" s="48"/>
    </row>
    <row r="1019" spans="2:27" ht="12.75" customHeight="1" x14ac:dyDescent="0.25"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  <c r="N1019" s="48"/>
      <c r="O1019" s="48"/>
      <c r="P1019" s="48"/>
      <c r="Q1019" s="48"/>
      <c r="R1019" s="48"/>
      <c r="S1019" s="48"/>
      <c r="T1019" s="48"/>
      <c r="U1019" s="48"/>
      <c r="V1019" s="48"/>
      <c r="W1019" s="48"/>
      <c r="X1019" s="48"/>
      <c r="Y1019" s="48"/>
      <c r="Z1019" s="48"/>
      <c r="AA1019" s="48"/>
    </row>
    <row r="1020" spans="2:27" ht="12.75" customHeight="1" x14ac:dyDescent="0.25"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  <c r="U1020" s="48"/>
      <c r="V1020" s="48"/>
      <c r="W1020" s="48"/>
      <c r="X1020" s="48"/>
      <c r="Y1020" s="48"/>
      <c r="Z1020" s="48"/>
      <c r="AA1020" s="48"/>
    </row>
    <row r="1021" spans="2:27" ht="12.75" customHeight="1" x14ac:dyDescent="0.25"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  <c r="U1021" s="48"/>
      <c r="V1021" s="48"/>
      <c r="W1021" s="48"/>
      <c r="X1021" s="48"/>
      <c r="Y1021" s="48"/>
      <c r="Z1021" s="48"/>
      <c r="AA1021" s="48"/>
    </row>
    <row r="1022" spans="2:27" ht="12.75" customHeight="1" x14ac:dyDescent="0.25"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8"/>
      <c r="T1022" s="48"/>
      <c r="U1022" s="48"/>
      <c r="V1022" s="48"/>
      <c r="W1022" s="48"/>
      <c r="X1022" s="48"/>
      <c r="Y1022" s="48"/>
      <c r="Z1022" s="48"/>
      <c r="AA1022" s="48"/>
    </row>
    <row r="1023" spans="2:27" ht="12.75" customHeight="1" x14ac:dyDescent="0.25"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8"/>
      <c r="T1023" s="48"/>
      <c r="U1023" s="48"/>
      <c r="V1023" s="48"/>
      <c r="W1023" s="48"/>
      <c r="X1023" s="48"/>
      <c r="Y1023" s="48"/>
      <c r="Z1023" s="48"/>
      <c r="AA1023" s="48"/>
    </row>
    <row r="1024" spans="2:27" ht="12.75" customHeight="1" x14ac:dyDescent="0.25"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  <c r="U1024" s="48"/>
      <c r="V1024" s="48"/>
      <c r="W1024" s="48"/>
      <c r="X1024" s="48"/>
      <c r="Y1024" s="48"/>
      <c r="Z1024" s="48"/>
      <c r="AA1024" s="48"/>
    </row>
    <row r="1025" spans="2:27" ht="12.75" customHeight="1" x14ac:dyDescent="0.25"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  <c r="U1025" s="48"/>
      <c r="V1025" s="48"/>
      <c r="W1025" s="48"/>
      <c r="X1025" s="48"/>
      <c r="Y1025" s="48"/>
      <c r="Z1025" s="48"/>
      <c r="AA1025" s="48"/>
    </row>
    <row r="1026" spans="2:27" ht="12.75" customHeight="1" x14ac:dyDescent="0.25"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L1026" s="48"/>
      <c r="M1026" s="48"/>
      <c r="N1026" s="48"/>
      <c r="O1026" s="48"/>
      <c r="P1026" s="48"/>
      <c r="Q1026" s="48"/>
      <c r="R1026" s="48"/>
      <c r="S1026" s="48"/>
      <c r="T1026" s="48"/>
      <c r="U1026" s="48"/>
      <c r="V1026" s="48"/>
      <c r="W1026" s="48"/>
      <c r="X1026" s="48"/>
      <c r="Y1026" s="48"/>
      <c r="Z1026" s="48"/>
      <c r="AA1026" s="48"/>
    </row>
    <row r="1027" spans="2:27" ht="12.75" customHeight="1" x14ac:dyDescent="0.25"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8"/>
      <c r="T1027" s="48"/>
      <c r="U1027" s="48"/>
      <c r="V1027" s="48"/>
      <c r="W1027" s="48"/>
      <c r="X1027" s="48"/>
      <c r="Y1027" s="48"/>
      <c r="Z1027" s="48"/>
      <c r="AA1027" s="48"/>
    </row>
    <row r="1028" spans="2:27" ht="12.75" customHeight="1" x14ac:dyDescent="0.25"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  <c r="U1028" s="48"/>
      <c r="V1028" s="48"/>
      <c r="W1028" s="48"/>
      <c r="X1028" s="48"/>
      <c r="Y1028" s="48"/>
      <c r="Z1028" s="48"/>
      <c r="AA1028" s="48"/>
    </row>
    <row r="1029" spans="2:27" ht="12.75" customHeight="1" x14ac:dyDescent="0.25"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  <c r="U1029" s="48"/>
      <c r="V1029" s="48"/>
      <c r="W1029" s="48"/>
      <c r="X1029" s="48"/>
      <c r="Y1029" s="48"/>
      <c r="Z1029" s="48"/>
      <c r="AA1029" s="48"/>
    </row>
    <row r="1030" spans="2:27" ht="12.75" customHeight="1" x14ac:dyDescent="0.25"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L1030" s="48"/>
      <c r="M1030" s="48"/>
      <c r="N1030" s="48"/>
      <c r="O1030" s="48"/>
      <c r="P1030" s="48"/>
      <c r="Q1030" s="48"/>
      <c r="R1030" s="48"/>
      <c r="S1030" s="48"/>
      <c r="T1030" s="48"/>
      <c r="U1030" s="48"/>
      <c r="V1030" s="48"/>
      <c r="W1030" s="48"/>
      <c r="X1030" s="48"/>
      <c r="Y1030" s="48"/>
      <c r="Z1030" s="48"/>
      <c r="AA1030" s="48"/>
    </row>
    <row r="1031" spans="2:27" ht="12.75" customHeight="1" x14ac:dyDescent="0.25"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L1031" s="48"/>
      <c r="M1031" s="48"/>
      <c r="N1031" s="48"/>
      <c r="O1031" s="48"/>
      <c r="P1031" s="48"/>
      <c r="Q1031" s="48"/>
      <c r="R1031" s="48"/>
      <c r="S1031" s="48"/>
      <c r="T1031" s="48"/>
      <c r="U1031" s="48"/>
      <c r="V1031" s="48"/>
      <c r="W1031" s="48"/>
      <c r="X1031" s="48"/>
      <c r="Y1031" s="48"/>
      <c r="Z1031" s="48"/>
      <c r="AA1031" s="48"/>
    </row>
    <row r="1032" spans="2:27" ht="12.75" customHeight="1" x14ac:dyDescent="0.25"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  <c r="U1032" s="48"/>
      <c r="V1032" s="48"/>
      <c r="W1032" s="48"/>
      <c r="X1032" s="48"/>
      <c r="Y1032" s="48"/>
      <c r="Z1032" s="48"/>
      <c r="AA1032" s="48"/>
    </row>
    <row r="1033" spans="2:27" ht="12.75" customHeight="1" x14ac:dyDescent="0.25"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  <c r="U1033" s="48"/>
      <c r="V1033" s="48"/>
      <c r="W1033" s="48"/>
      <c r="X1033" s="48"/>
      <c r="Y1033" s="48"/>
      <c r="Z1033" s="48"/>
      <c r="AA1033" s="48"/>
    </row>
    <row r="1034" spans="2:27" ht="12.75" customHeight="1" x14ac:dyDescent="0.25"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L1034" s="48"/>
      <c r="M1034" s="48"/>
      <c r="N1034" s="48"/>
      <c r="O1034" s="48"/>
      <c r="P1034" s="48"/>
      <c r="Q1034" s="48"/>
      <c r="R1034" s="48"/>
      <c r="S1034" s="48"/>
      <c r="T1034" s="48"/>
      <c r="U1034" s="48"/>
      <c r="V1034" s="48"/>
      <c r="W1034" s="48"/>
      <c r="X1034" s="48"/>
      <c r="Y1034" s="48"/>
      <c r="Z1034" s="48"/>
      <c r="AA1034" s="48"/>
    </row>
  </sheetData>
  <mergeCells count="74">
    <mergeCell ref="I59:L59"/>
    <mergeCell ref="B67:B68"/>
    <mergeCell ref="C67:C68"/>
    <mergeCell ref="D67:D68"/>
    <mergeCell ref="E67:E68"/>
    <mergeCell ref="F67:F68"/>
    <mergeCell ref="G67:G68"/>
    <mergeCell ref="H67:H68"/>
    <mergeCell ref="J67:J68"/>
    <mergeCell ref="K67:K68"/>
    <mergeCell ref="DR32:DR33"/>
    <mergeCell ref="DS32:DS33"/>
    <mergeCell ref="DT32:DT33"/>
    <mergeCell ref="DU32:DU33"/>
    <mergeCell ref="I58:L58"/>
    <mergeCell ref="S32:S33"/>
    <mergeCell ref="T32:T33"/>
    <mergeCell ref="U32:U33"/>
    <mergeCell ref="V32:V33"/>
    <mergeCell ref="DQ32:DQ33"/>
    <mergeCell ref="N32:N33"/>
    <mergeCell ref="O32:O33"/>
    <mergeCell ref="P32:P33"/>
    <mergeCell ref="Q32:Q33"/>
    <mergeCell ref="R32:R33"/>
    <mergeCell ref="C32:C33"/>
    <mergeCell ref="D32:D33"/>
    <mergeCell ref="E32:E33"/>
    <mergeCell ref="F32:F33"/>
    <mergeCell ref="G32:G33"/>
    <mergeCell ref="B1:AF4"/>
    <mergeCell ref="AB6:AD6"/>
    <mergeCell ref="AB7:AD7"/>
    <mergeCell ref="AB8:AD8"/>
    <mergeCell ref="AB19:AD19"/>
    <mergeCell ref="AB9:AD9"/>
    <mergeCell ref="AB10:AD10"/>
    <mergeCell ref="AB11:AD11"/>
    <mergeCell ref="AB12:AD12"/>
    <mergeCell ref="AB13:AD13"/>
    <mergeCell ref="AB14:AD14"/>
    <mergeCell ref="AB15:AD15"/>
    <mergeCell ref="AB16:AD16"/>
    <mergeCell ref="AB17:AD17"/>
    <mergeCell ref="AB18:AD18"/>
    <mergeCell ref="AB20:AD20"/>
    <mergeCell ref="AB21:AD21"/>
    <mergeCell ref="AB22:AD22"/>
    <mergeCell ref="W32:W33"/>
    <mergeCell ref="X32:X33"/>
    <mergeCell ref="Y32:Y33"/>
    <mergeCell ref="Z32:Z33"/>
    <mergeCell ref="AB23:AD23"/>
    <mergeCell ref="AB24:AD24"/>
    <mergeCell ref="AB25:AD25"/>
    <mergeCell ref="AB26:AD26"/>
    <mergeCell ref="AB27:AD27"/>
    <mergeCell ref="AB28:AD28"/>
    <mergeCell ref="DV32:DV33"/>
    <mergeCell ref="I61:L61"/>
    <mergeCell ref="I62:L62"/>
    <mergeCell ref="I63:L63"/>
    <mergeCell ref="D78:G78"/>
    <mergeCell ref="AE32:AE33"/>
    <mergeCell ref="AF32:AF33"/>
    <mergeCell ref="DO32:DO33"/>
    <mergeCell ref="DP32:DP33"/>
    <mergeCell ref="I60:L60"/>
    <mergeCell ref="H32:H33"/>
    <mergeCell ref="I32:I33"/>
    <mergeCell ref="J32:J33"/>
    <mergeCell ref="K32:K33"/>
    <mergeCell ref="L32:L33"/>
    <mergeCell ref="M32:M33"/>
  </mergeCells>
  <conditionalFormatting sqref="D59:G59">
    <cfRule type="cellIs" dxfId="80" priority="59" operator="lessThan">
      <formula>0</formula>
    </cfRule>
  </conditionalFormatting>
  <conditionalFormatting sqref="E60:G60">
    <cfRule type="cellIs" dxfId="79" priority="58" operator="lessThan">
      <formula>0</formula>
    </cfRule>
  </conditionalFormatting>
  <conditionalFormatting sqref="W7:W24">
    <cfRule type="cellIs" dxfId="78" priority="53" operator="lessThan">
      <formula>1</formula>
    </cfRule>
  </conditionalFormatting>
  <conditionalFormatting sqref="U7:U23">
    <cfRule type="cellIs" dxfId="77" priority="27" operator="equal">
      <formula>0</formula>
    </cfRule>
    <cfRule type="cellIs" dxfId="76" priority="51" operator="lessThan">
      <formula>1</formula>
    </cfRule>
  </conditionalFormatting>
  <conditionalFormatting sqref="S21">
    <cfRule type="cellIs" dxfId="75" priority="46" operator="lessThan">
      <formula>1</formula>
    </cfRule>
  </conditionalFormatting>
  <conditionalFormatting sqref="D59">
    <cfRule type="cellIs" dxfId="74" priority="3" operator="equal">
      <formula>0</formula>
    </cfRule>
    <cfRule type="cellIs" dxfId="73" priority="10" operator="lessThan">
      <formula>1</formula>
    </cfRule>
  </conditionalFormatting>
  <conditionalFormatting sqref="E59:E60">
    <cfRule type="cellIs" dxfId="72" priority="4" operator="equal">
      <formula>0</formula>
    </cfRule>
    <cfRule type="cellIs" dxfId="71" priority="9" operator="lessThan">
      <formula>1</formula>
    </cfRule>
  </conditionalFormatting>
  <conditionalFormatting sqref="F59:F61">
    <cfRule type="cellIs" dxfId="70" priority="5" operator="equal">
      <formula>0</formula>
    </cfRule>
    <cfRule type="cellIs" dxfId="69" priority="8" operator="lessThan">
      <formula>1</formula>
    </cfRule>
  </conditionalFormatting>
  <conditionalFormatting sqref="G59:G62">
    <cfRule type="cellIs" dxfId="68" priority="6" operator="equal">
      <formula>0</formula>
    </cfRule>
    <cfRule type="cellIs" dxfId="67" priority="7" operator="lessThan">
      <formula>1</formula>
    </cfRule>
  </conditionalFormatting>
  <conditionalFormatting sqref="D7:I7">
    <cfRule type="expression" dxfId="66" priority="81">
      <formula>"&lt;0"</formula>
    </cfRule>
  </conditionalFormatting>
  <conditionalFormatting sqref="E7:H7">
    <cfRule type="expression" dxfId="65" priority="80">
      <formula>"&lt;0"</formula>
    </cfRule>
  </conditionalFormatting>
  <conditionalFormatting sqref="L7:L14">
    <cfRule type="cellIs" dxfId="64" priority="18" operator="equal">
      <formula>0</formula>
    </cfRule>
    <cfRule type="cellIs" dxfId="63" priority="39" operator="lessThan">
      <formula>1</formula>
    </cfRule>
    <cfRule type="cellIs" dxfId="62" priority="78" operator="lessThan">
      <formula>0</formula>
    </cfRule>
    <cfRule type="expression" dxfId="61" priority="79">
      <formula>"&lt;0"</formula>
    </cfRule>
  </conditionalFormatting>
  <conditionalFormatting sqref="I7:I11">
    <cfRule type="cellIs" dxfId="60" priority="15" operator="equal">
      <formula>0</formula>
    </cfRule>
    <cfRule type="cellIs" dxfId="59" priority="36" operator="lessThan">
      <formula>1</formula>
    </cfRule>
    <cfRule type="cellIs" dxfId="58" priority="77" operator="lessThan">
      <formula>0</formula>
    </cfRule>
  </conditionalFormatting>
  <conditionalFormatting sqref="X7:X26">
    <cfRule type="cellIs" dxfId="57" priority="30" operator="equal">
      <formula>0</formula>
    </cfRule>
    <cfRule type="cellIs" dxfId="56" priority="54" operator="lessThan">
      <formula>1</formula>
    </cfRule>
    <cfRule type="cellIs" dxfId="55" priority="76" operator="lessThan">
      <formula>0</formula>
    </cfRule>
  </conditionalFormatting>
  <conditionalFormatting sqref="W7:W25">
    <cfRule type="cellIs" dxfId="54" priority="29" operator="equal">
      <formula>0</formula>
    </cfRule>
    <cfRule type="cellIs" dxfId="53" priority="75" operator="lessThan">
      <formula>0</formula>
    </cfRule>
  </conditionalFormatting>
  <conditionalFormatting sqref="V7:V24">
    <cfRule type="cellIs" dxfId="52" priority="28" operator="equal">
      <formula>0</formula>
    </cfRule>
    <cfRule type="cellIs" dxfId="51" priority="52" operator="lessThan">
      <formula>1</formula>
    </cfRule>
    <cfRule type="cellIs" dxfId="50" priority="74" operator="lessThan">
      <formula>0</formula>
    </cfRule>
  </conditionalFormatting>
  <conditionalFormatting sqref="E7">
    <cfRule type="cellIs" dxfId="49" priority="11" operator="equal">
      <formula>0</formula>
    </cfRule>
    <cfRule type="cellIs" dxfId="48" priority="32" operator="lessThan">
      <formula>1</formula>
    </cfRule>
    <cfRule type="cellIs" dxfId="47" priority="73" operator="lessThan">
      <formula>0</formula>
    </cfRule>
  </conditionalFormatting>
  <conditionalFormatting sqref="F7:F8">
    <cfRule type="cellIs" dxfId="46" priority="12" operator="equal">
      <formula>0</formula>
    </cfRule>
    <cfRule type="cellIs" dxfId="45" priority="33" operator="lessThan">
      <formula>1</formula>
    </cfRule>
    <cfRule type="cellIs" dxfId="44" priority="72" operator="lessThan">
      <formula>0</formula>
    </cfRule>
  </conditionalFormatting>
  <conditionalFormatting sqref="G7:G9">
    <cfRule type="cellIs" dxfId="43" priority="13" operator="equal">
      <formula>0</formula>
    </cfRule>
    <cfRule type="cellIs" dxfId="42" priority="34" operator="lessThan">
      <formula>1</formula>
    </cfRule>
    <cfRule type="cellIs" dxfId="41" priority="71" operator="lessThan">
      <formula>0</formula>
    </cfRule>
  </conditionalFormatting>
  <conditionalFormatting sqref="H7:H10">
    <cfRule type="cellIs" dxfId="40" priority="14" operator="equal">
      <formula>0</formula>
    </cfRule>
    <cfRule type="cellIs" dxfId="39" priority="35" operator="lessThan">
      <formula>1</formula>
    </cfRule>
    <cfRule type="cellIs" dxfId="38" priority="70" operator="lessThan">
      <formula>0</formula>
    </cfRule>
  </conditionalFormatting>
  <conditionalFormatting sqref="J7:J12">
    <cfRule type="cellIs" dxfId="37" priority="16" operator="equal">
      <formula>0</formula>
    </cfRule>
    <cfRule type="cellIs" dxfId="36" priority="37" operator="lessThan">
      <formula>1</formula>
    </cfRule>
    <cfRule type="cellIs" dxfId="35" priority="69" operator="lessThan">
      <formula>0</formula>
    </cfRule>
  </conditionalFormatting>
  <conditionalFormatting sqref="K7:K13">
    <cfRule type="cellIs" dxfId="34" priority="17" operator="equal">
      <formula>0</formula>
    </cfRule>
    <cfRule type="cellIs" dxfId="33" priority="38" operator="lessThan">
      <formula>1</formula>
    </cfRule>
    <cfRule type="cellIs" dxfId="32" priority="68" operator="lessThan">
      <formula>0</formula>
    </cfRule>
  </conditionalFormatting>
  <conditionalFormatting sqref="M7:M15">
    <cfRule type="cellIs" dxfId="31" priority="19" operator="equal">
      <formula>0</formula>
    </cfRule>
    <cfRule type="cellIs" dxfId="30" priority="41" operator="lessThan">
      <formula>1</formula>
    </cfRule>
    <cfRule type="cellIs" dxfId="29" priority="67" operator="lessThan">
      <formula>0</formula>
    </cfRule>
  </conditionalFormatting>
  <conditionalFormatting sqref="N7:N16">
    <cfRule type="cellIs" dxfId="28" priority="20" operator="equal">
      <formula>0</formula>
    </cfRule>
    <cfRule type="cellIs" dxfId="27" priority="42" operator="lessThan">
      <formula>1</formula>
    </cfRule>
    <cfRule type="cellIs" dxfId="26" priority="66" operator="lessThan">
      <formula>0</formula>
    </cfRule>
  </conditionalFormatting>
  <conditionalFormatting sqref="O7:O17">
    <cfRule type="cellIs" dxfId="25" priority="21" operator="equal">
      <formula>0</formula>
    </cfRule>
    <cfRule type="cellIs" dxfId="24" priority="40" operator="lessThan">
      <formula>1</formula>
    </cfRule>
    <cfRule type="cellIs" dxfId="23" priority="65" operator="lessThan">
      <formula>0</formula>
    </cfRule>
  </conditionalFormatting>
  <conditionalFormatting sqref="P7:P18">
    <cfRule type="cellIs" dxfId="22" priority="22" operator="equal">
      <formula>0</formula>
    </cfRule>
    <cfRule type="cellIs" dxfId="21" priority="43" operator="lessThan">
      <formula>1</formula>
    </cfRule>
    <cfRule type="cellIs" dxfId="20" priority="64" operator="lessThan">
      <formula>0</formula>
    </cfRule>
  </conditionalFormatting>
  <conditionalFormatting sqref="Q7:Q19">
    <cfRule type="cellIs" dxfId="19" priority="23" operator="equal">
      <formula>0</formula>
    </cfRule>
    <cfRule type="cellIs" dxfId="18" priority="44" operator="lessThan">
      <formula>1</formula>
    </cfRule>
    <cfRule type="cellIs" dxfId="17" priority="63" operator="lessThan">
      <formula>0</formula>
    </cfRule>
  </conditionalFormatting>
  <conditionalFormatting sqref="R7:R20">
    <cfRule type="cellIs" dxfId="16" priority="24" operator="equal">
      <formula>0</formula>
    </cfRule>
    <cfRule type="cellIs" dxfId="15" priority="45" operator="lessThan">
      <formula>1</formula>
    </cfRule>
    <cfRule type="cellIs" dxfId="14" priority="47" operator="lessThan">
      <formula>0</formula>
    </cfRule>
    <cfRule type="cellIs" dxfId="13" priority="48" operator="lessThan">
      <formula>0</formula>
    </cfRule>
    <cfRule type="cellIs" dxfId="12" priority="62" operator="lessThan">
      <formula>0</formula>
    </cfRule>
  </conditionalFormatting>
  <conditionalFormatting sqref="S7:S21">
    <cfRule type="cellIs" dxfId="11" priority="25" operator="equal">
      <formula>0</formula>
    </cfRule>
    <cfRule type="cellIs" dxfId="10" priority="49" operator="lessThan">
      <formula>1</formula>
    </cfRule>
    <cfRule type="cellIs" dxfId="9" priority="61" operator="lessThan">
      <formula>0</formula>
    </cfRule>
  </conditionalFormatting>
  <conditionalFormatting sqref="T7:T22">
    <cfRule type="cellIs" dxfId="8" priority="26" operator="equal">
      <formula>0</formula>
    </cfRule>
    <cfRule type="cellIs" dxfId="7" priority="50" operator="lessThan">
      <formula>1</formula>
    </cfRule>
    <cfRule type="cellIs" dxfId="6" priority="60" operator="lessThan">
      <formula>0</formula>
    </cfRule>
  </conditionalFormatting>
  <conditionalFormatting sqref="F61:G61">
    <cfRule type="cellIs" dxfId="5" priority="57" operator="lessThan">
      <formula>0</formula>
    </cfRule>
  </conditionalFormatting>
  <conditionalFormatting sqref="G62">
    <cfRule type="cellIs" dxfId="4" priority="56" operator="lessThan">
      <formula>0</formula>
    </cfRule>
  </conditionalFormatting>
  <conditionalFormatting sqref="Y7:Y27">
    <cfRule type="cellIs" dxfId="3" priority="31" operator="equal">
      <formula>0</formula>
    </cfRule>
    <cfRule type="cellIs" dxfId="2" priority="55" operator="lessThan">
      <formula>1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3F5F30C7-F879-4208-A1BB-58A80D02BE78}">
            <xm:f>Threats!$K$2</xm:f>
            <x14:dxf>
              <font>
                <color rgb="FFFF0000"/>
              </font>
            </x14:dxf>
          </x14:cfRule>
          <xm:sqref>AJ58</xm:sqref>
        </x14:conditionalFormatting>
        <x14:conditionalFormatting xmlns:xm="http://schemas.microsoft.com/office/excel/2006/main">
          <x14:cfRule type="cellIs" priority="1" operator="greaterThan" id="{64B805D6-C27C-43BE-8BF4-B60B3B559E39}">
            <xm:f>Threats!$K$2</xm:f>
            <x14:dxf>
              <font>
                <color rgb="FFFF0000"/>
              </font>
            </x14:dxf>
          </x14:cfRule>
          <xm:sqref>AJ59:AJ62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33"/>
  <sheetViews>
    <sheetView zoomScale="62" zoomScaleNormal="62" workbookViewId="0">
      <selection activeCell="Q27" sqref="Q27"/>
    </sheetView>
  </sheetViews>
  <sheetFormatPr defaultRowHeight="13.2" x14ac:dyDescent="0.25"/>
  <cols>
    <col min="1" max="1" width="52.6640625" customWidth="1"/>
  </cols>
  <sheetData>
    <row r="1" spans="1:1" ht="15.6" x14ac:dyDescent="0.25">
      <c r="A1" s="40" t="s">
        <v>167</v>
      </c>
    </row>
    <row r="2" spans="1:1" ht="15.6" x14ac:dyDescent="0.25">
      <c r="A2" s="40" t="s">
        <v>168</v>
      </c>
    </row>
    <row r="3" spans="1:1" ht="15.6" x14ac:dyDescent="0.25">
      <c r="A3" s="40" t="s">
        <v>174</v>
      </c>
    </row>
    <row r="4" spans="1:1" ht="31.2" x14ac:dyDescent="0.25">
      <c r="A4" s="40" t="s">
        <v>170</v>
      </c>
    </row>
    <row r="5" spans="1:1" ht="15.6" x14ac:dyDescent="0.25">
      <c r="A5" s="40" t="s">
        <v>171</v>
      </c>
    </row>
    <row r="6" spans="1:1" ht="15.6" x14ac:dyDescent="0.25">
      <c r="A6" s="40" t="s">
        <v>176</v>
      </c>
    </row>
    <row r="7" spans="1:1" ht="15.6" x14ac:dyDescent="0.25">
      <c r="A7" s="40" t="s">
        <v>184</v>
      </c>
    </row>
    <row r="8" spans="1:1" ht="20.399999999999999" customHeight="1" x14ac:dyDescent="0.25">
      <c r="A8" s="40" t="s">
        <v>173</v>
      </c>
    </row>
    <row r="9" spans="1:1" ht="19.2" customHeight="1" x14ac:dyDescent="0.25">
      <c r="A9" s="40" t="s">
        <v>172</v>
      </c>
    </row>
    <row r="10" spans="1:1" ht="17.399999999999999" customHeight="1" x14ac:dyDescent="0.25">
      <c r="A10" s="40" t="s">
        <v>190</v>
      </c>
    </row>
    <row r="11" spans="1:1" ht="16.95" customHeight="1" x14ac:dyDescent="0.25">
      <c r="A11" s="40" t="s">
        <v>310</v>
      </c>
    </row>
    <row r="12" spans="1:1" ht="19.95" customHeight="1" x14ac:dyDescent="0.25">
      <c r="A12" s="40" t="s">
        <v>218</v>
      </c>
    </row>
    <row r="13" spans="1:1" ht="21" customHeight="1" x14ac:dyDescent="0.25">
      <c r="A13" s="40" t="s">
        <v>165</v>
      </c>
    </row>
    <row r="14" spans="1:1" ht="15.6" x14ac:dyDescent="0.25">
      <c r="A14" s="40" t="s">
        <v>175</v>
      </c>
    </row>
    <row r="15" spans="1:1" ht="31.2" x14ac:dyDescent="0.25">
      <c r="A15" s="40" t="s">
        <v>311</v>
      </c>
    </row>
    <row r="16" spans="1:1" ht="15.6" x14ac:dyDescent="0.25">
      <c r="A16" s="40" t="s">
        <v>222</v>
      </c>
    </row>
    <row r="17" spans="1:1" ht="15.6" x14ac:dyDescent="0.25">
      <c r="A17" s="40" t="s">
        <v>312</v>
      </c>
    </row>
    <row r="18" spans="1:1" ht="15.6" x14ac:dyDescent="0.25">
      <c r="A18" s="40" t="s">
        <v>313</v>
      </c>
    </row>
    <row r="19" spans="1:1" ht="15.6" x14ac:dyDescent="0.25">
      <c r="A19" s="40" t="s">
        <v>314</v>
      </c>
    </row>
    <row r="20" spans="1:1" ht="15.6" x14ac:dyDescent="0.25">
      <c r="A20" s="40" t="s">
        <v>315</v>
      </c>
    </row>
    <row r="21" spans="1:1" ht="15.6" x14ac:dyDescent="0.25">
      <c r="A21" s="40" t="s">
        <v>316</v>
      </c>
    </row>
    <row r="22" spans="1:1" ht="15.6" x14ac:dyDescent="0.25">
      <c r="A22" s="40" t="s">
        <v>177</v>
      </c>
    </row>
    <row r="23" spans="1:1" ht="15.6" x14ac:dyDescent="0.25">
      <c r="A23" s="40" t="s">
        <v>325</v>
      </c>
    </row>
    <row r="24" spans="1:1" ht="15.6" x14ac:dyDescent="0.25">
      <c r="A24" s="40" t="s">
        <v>217</v>
      </c>
    </row>
    <row r="25" spans="1:1" ht="15.6" x14ac:dyDescent="0.25">
      <c r="A25" s="40" t="s">
        <v>317</v>
      </c>
    </row>
    <row r="26" spans="1:1" ht="15.6" x14ac:dyDescent="0.25">
      <c r="A26" s="40" t="s">
        <v>183</v>
      </c>
    </row>
    <row r="27" spans="1:1" ht="31.2" x14ac:dyDescent="0.25">
      <c r="A27" s="40" t="s">
        <v>318</v>
      </c>
    </row>
    <row r="28" spans="1:1" ht="15.6" x14ac:dyDescent="0.25">
      <c r="A28" s="40" t="s">
        <v>319</v>
      </c>
    </row>
    <row r="29" spans="1:1" ht="31.2" x14ac:dyDescent="0.25">
      <c r="A29" s="40" t="s">
        <v>320</v>
      </c>
    </row>
    <row r="30" spans="1:1" ht="15.6" x14ac:dyDescent="0.25">
      <c r="A30" s="40" t="s">
        <v>179</v>
      </c>
    </row>
    <row r="31" spans="1:1" ht="15.6" x14ac:dyDescent="0.25">
      <c r="A31" s="40" t="s">
        <v>221</v>
      </c>
    </row>
    <row r="32" spans="1:1" ht="15.6" x14ac:dyDescent="0.25">
      <c r="A32" s="40" t="s">
        <v>188</v>
      </c>
    </row>
    <row r="33" spans="1:1" ht="15.6" x14ac:dyDescent="0.25">
      <c r="A33" s="40" t="s">
        <v>186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995"/>
  <sheetViews>
    <sheetView zoomScale="85" zoomScaleNormal="85" workbookViewId="0">
      <pane ySplit="1" topLeftCell="A2" activePane="bottomLeft" state="frozen"/>
      <selection pane="bottomLeft" activeCell="H5" sqref="H5"/>
    </sheetView>
  </sheetViews>
  <sheetFormatPr defaultColWidth="17.33203125" defaultRowHeight="15" customHeight="1" x14ac:dyDescent="0.25"/>
  <cols>
    <col min="1" max="1" width="33.109375" customWidth="1"/>
    <col min="2" max="2" width="9" customWidth="1"/>
    <col min="3" max="3" width="15.88671875" customWidth="1"/>
    <col min="4" max="4" width="11.44140625" customWidth="1"/>
    <col min="5" max="6" width="7.33203125" customWidth="1"/>
    <col min="7" max="7" width="10.88671875" customWidth="1"/>
    <col min="8" max="8" width="7.109375" customWidth="1"/>
    <col min="9" max="9" width="20.44140625" customWidth="1"/>
    <col min="10" max="10" width="4.5546875" customWidth="1"/>
    <col min="11" max="11" width="8.6640625" customWidth="1"/>
    <col min="12" max="12" width="6.44140625" customWidth="1"/>
    <col min="13" max="13" width="9.33203125" customWidth="1"/>
    <col min="14" max="14" width="7.5546875" customWidth="1"/>
    <col min="15" max="15" width="6.33203125" customWidth="1"/>
    <col min="16" max="16" width="8.6640625" customWidth="1"/>
    <col min="17" max="17" width="15.33203125" customWidth="1"/>
    <col min="18" max="18" width="5.44140625" customWidth="1"/>
    <col min="19" max="21" width="8.6640625" customWidth="1"/>
    <col min="22" max="22" width="6" customWidth="1"/>
    <col min="23" max="23" width="5" customWidth="1"/>
    <col min="24" max="24" width="6.5546875" customWidth="1"/>
    <col min="25" max="25" width="11" customWidth="1"/>
    <col min="26" max="26" width="6.6640625" customWidth="1"/>
    <col min="27" max="27" width="7.33203125" customWidth="1"/>
    <col min="28" max="28" width="7.5546875" customWidth="1"/>
    <col min="29" max="29" width="5.6640625" customWidth="1"/>
    <col min="30" max="30" width="6.88671875" customWidth="1"/>
    <col min="31" max="31" width="6.33203125" customWidth="1"/>
    <col min="32" max="32" width="6" customWidth="1"/>
    <col min="33" max="33" width="7.88671875" customWidth="1"/>
  </cols>
  <sheetData>
    <row r="1" spans="1:32" ht="95.4" x14ac:dyDescent="0.25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2" ht="12.75" customHeight="1" x14ac:dyDescent="0.25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 t="shared" ref="D2:D23" si="0">B2*C2</f>
        <v>1.0681703604114981E-2</v>
      </c>
      <c r="E2" s="247">
        <f>D2*L2*J2</f>
        <v>1.0681703604114981E-2</v>
      </c>
      <c r="F2" s="248">
        <f>D2*T2*R2</f>
        <v>0</v>
      </c>
      <c r="G2" s="248">
        <f>D2*AB2*Z2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1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</row>
    <row r="3" spans="1:32" ht="36" customHeight="1" x14ac:dyDescent="0.25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65">
        <f t="shared" si="0"/>
        <v>6.7622511871972789E-3</v>
      </c>
      <c r="E3" s="247">
        <f t="shared" ref="E3:E23" si="2">D3*L3*J3</f>
        <v>0</v>
      </c>
      <c r="F3" s="248">
        <f t="shared" ref="F3:F23" si="3">D3*T3*R3</f>
        <v>0</v>
      </c>
      <c r="G3" s="248">
        <f t="shared" ref="G3:G23" si="4">D3*AB3*Z3</f>
        <v>0</v>
      </c>
      <c r="H3" s="249" t="b">
        <f t="shared" ref="H3:H23" si="5">OR(L3&gt;=1,T3&gt;=1,AB3&gt;=1)</f>
        <v>0</v>
      </c>
      <c r="I3" s="266" t="s">
        <v>168</v>
      </c>
      <c r="J3" s="267">
        <v>0.4</v>
      </c>
      <c r="K3" s="268">
        <v>10000</v>
      </c>
      <c r="L3" s="269">
        <v>0</v>
      </c>
      <c r="M3" s="254">
        <f t="shared" si="1"/>
        <v>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</row>
    <row r="4" spans="1:32" ht="39.75" customHeight="1" x14ac:dyDescent="0.25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65">
        <f t="shared" si="0"/>
        <v>1.0070078662639379E-2</v>
      </c>
      <c r="E4" s="247">
        <f t="shared" si="2"/>
        <v>5.0350393313196894E-3</v>
      </c>
      <c r="F4" s="248">
        <f t="shared" si="3"/>
        <v>0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1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0</v>
      </c>
      <c r="U4" s="257">
        <f t="shared" si="6"/>
        <v>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</row>
    <row r="5" spans="1:32" ht="63" customHeight="1" x14ac:dyDescent="0.25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65">
        <f t="shared" si="0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1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</row>
    <row r="6" spans="1:32" ht="55.5" customHeight="1" x14ac:dyDescent="0.25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65">
        <f t="shared" si="0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1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</row>
    <row r="7" spans="1:32" ht="24.75" customHeight="1" x14ac:dyDescent="0.25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65">
        <f t="shared" si="0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1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</row>
    <row r="8" spans="1:32" ht="37.5" customHeight="1" x14ac:dyDescent="0.25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65">
        <f t="shared" si="0"/>
        <v>1.4540748032393875E-2</v>
      </c>
      <c r="E8" s="247">
        <f t="shared" si="2"/>
        <v>0</v>
      </c>
      <c r="F8" s="248">
        <f t="shared" si="3"/>
        <v>0</v>
      </c>
      <c r="G8" s="248">
        <f t="shared" si="4"/>
        <v>0</v>
      </c>
      <c r="H8" s="249" t="b">
        <f t="shared" si="5"/>
        <v>0</v>
      </c>
      <c r="I8" s="266" t="s">
        <v>172</v>
      </c>
      <c r="J8" s="267">
        <v>0.7</v>
      </c>
      <c r="K8" s="268">
        <v>4500</v>
      </c>
      <c r="L8" s="269">
        <v>0</v>
      </c>
      <c r="M8" s="254">
        <f t="shared" si="1"/>
        <v>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0</v>
      </c>
      <c r="U8" s="257">
        <f t="shared" si="6"/>
        <v>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</row>
    <row r="9" spans="1:32" ht="39" customHeight="1" x14ac:dyDescent="0.25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65">
        <f t="shared" si="0"/>
        <v>1.065334489529471E-2</v>
      </c>
      <c r="E9" s="247">
        <f t="shared" si="2"/>
        <v>0</v>
      </c>
      <c r="F9" s="248">
        <f t="shared" si="3"/>
        <v>0</v>
      </c>
      <c r="G9" s="248">
        <f t="shared" si="4"/>
        <v>0</v>
      </c>
      <c r="H9" s="249" t="b">
        <f t="shared" si="5"/>
        <v>0</v>
      </c>
      <c r="I9" s="266" t="s">
        <v>173</v>
      </c>
      <c r="J9" s="267">
        <v>0.7</v>
      </c>
      <c r="K9" s="268">
        <v>6000</v>
      </c>
      <c r="L9" s="269">
        <v>0</v>
      </c>
      <c r="M9" s="254">
        <f t="shared" si="1"/>
        <v>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0</v>
      </c>
      <c r="U9" s="257">
        <f t="shared" si="6"/>
        <v>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</row>
    <row r="10" spans="1:32" ht="51.75" customHeight="1" x14ac:dyDescent="0.25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65">
        <f t="shared" si="0"/>
        <v>7.1755751621593493E-3</v>
      </c>
      <c r="E10" s="247">
        <f t="shared" si="2"/>
        <v>0</v>
      </c>
      <c r="F10" s="248">
        <f t="shared" si="3"/>
        <v>0</v>
      </c>
      <c r="G10" s="248">
        <f t="shared" si="4"/>
        <v>0</v>
      </c>
      <c r="H10" s="249" t="b">
        <f t="shared" si="5"/>
        <v>0</v>
      </c>
      <c r="I10" s="250" t="s">
        <v>190</v>
      </c>
      <c r="J10" s="267">
        <v>0.04</v>
      </c>
      <c r="K10" s="268">
        <v>1000</v>
      </c>
      <c r="L10" s="253">
        <v>0</v>
      </c>
      <c r="M10" s="254">
        <f t="shared" si="1"/>
        <v>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0</v>
      </c>
      <c r="U10" s="257">
        <f t="shared" si="6"/>
        <v>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0</v>
      </c>
      <c r="AC10" s="264">
        <f t="shared" si="7"/>
        <v>0</v>
      </c>
      <c r="AD10" s="264"/>
      <c r="AE10" s="264"/>
      <c r="AF10" s="264">
        <v>6000</v>
      </c>
    </row>
    <row r="11" spans="1:32" ht="19.5" customHeight="1" x14ac:dyDescent="0.25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65">
        <f t="shared" si="0"/>
        <v>8.4769337159762443E-3</v>
      </c>
      <c r="E11" s="247">
        <f t="shared" si="2"/>
        <v>4.2384668579881057E-3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3</v>
      </c>
      <c r="M11" s="254">
        <f t="shared" si="1"/>
        <v>1500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</row>
    <row r="12" spans="1:32" ht="17.25" customHeight="1" x14ac:dyDescent="0.25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65">
        <f t="shared" si="0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1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</row>
    <row r="13" spans="1:32" ht="75.75" customHeight="1" x14ac:dyDescent="0.25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78">
        <f t="shared" si="0"/>
        <v>2.8055505931812216E-3</v>
      </c>
      <c r="E13" s="247">
        <f t="shared" si="2"/>
        <v>0</v>
      </c>
      <c r="F13" s="248">
        <f t="shared" si="3"/>
        <v>0</v>
      </c>
      <c r="G13" s="248">
        <f t="shared" si="4"/>
        <v>0</v>
      </c>
      <c r="H13" s="279" t="b">
        <f t="shared" si="5"/>
        <v>0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1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0</v>
      </c>
      <c r="U13" s="257">
        <f t="shared" si="6"/>
        <v>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</row>
    <row r="14" spans="1:32" ht="25.5" customHeight="1" x14ac:dyDescent="0.25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0"/>
        <v>4.227915592209501E-2</v>
      </c>
      <c r="E14" s="247">
        <f t="shared" si="2"/>
        <v>0</v>
      </c>
      <c r="F14" s="248">
        <f t="shared" si="3"/>
        <v>0</v>
      </c>
      <c r="G14" s="248">
        <f t="shared" si="4"/>
        <v>0</v>
      </c>
      <c r="H14" s="290" t="b">
        <f t="shared" si="5"/>
        <v>0</v>
      </c>
      <c r="I14" s="250" t="s">
        <v>187</v>
      </c>
      <c r="J14" s="291">
        <v>1</v>
      </c>
      <c r="K14" s="291">
        <v>10000</v>
      </c>
      <c r="L14" s="292">
        <v>0</v>
      </c>
      <c r="M14" s="254">
        <f t="shared" si="1"/>
        <v>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</row>
    <row r="15" spans="1:32" ht="27" customHeight="1" x14ac:dyDescent="0.25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65">
        <f t="shared" si="0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1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</row>
    <row r="16" spans="1:32" ht="16.5" customHeight="1" x14ac:dyDescent="0.25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65">
        <f t="shared" si="0"/>
        <v>3.3094151230792616E-2</v>
      </c>
      <c r="E16" s="247">
        <f t="shared" si="2"/>
        <v>0</v>
      </c>
      <c r="F16" s="248">
        <f t="shared" si="3"/>
        <v>0</v>
      </c>
      <c r="G16" s="248">
        <f t="shared" si="4"/>
        <v>0</v>
      </c>
      <c r="H16" s="249" t="b">
        <f t="shared" si="5"/>
        <v>0</v>
      </c>
      <c r="I16" s="266" t="s">
        <v>178</v>
      </c>
      <c r="J16" s="267">
        <v>0.4</v>
      </c>
      <c r="K16" s="277">
        <v>2000</v>
      </c>
      <c r="L16" s="277">
        <v>0</v>
      </c>
      <c r="M16" s="254">
        <f t="shared" si="1"/>
        <v>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0</v>
      </c>
      <c r="U16" s="257">
        <f t="shared" si="6"/>
        <v>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</row>
    <row r="17" spans="1:32" ht="38.25" customHeight="1" x14ac:dyDescent="0.25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65">
        <f t="shared" si="0"/>
        <v>1.6206592424227657E-3</v>
      </c>
      <c r="E17" s="247">
        <f t="shared" si="2"/>
        <v>0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0</v>
      </c>
      <c r="M17" s="254">
        <f t="shared" si="1"/>
        <v>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</row>
    <row r="18" spans="1:32" ht="42" customHeight="1" x14ac:dyDescent="0.25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65">
        <f t="shared" si="0"/>
        <v>2.6115750344205668E-2</v>
      </c>
      <c r="E18" s="247">
        <f t="shared" si="2"/>
        <v>0</v>
      </c>
      <c r="F18" s="248">
        <f t="shared" si="3"/>
        <v>0</v>
      </c>
      <c r="G18" s="248">
        <f t="shared" si="4"/>
        <v>0</v>
      </c>
      <c r="H18" s="249" t="b">
        <f t="shared" si="5"/>
        <v>0</v>
      </c>
      <c r="I18" s="266" t="s">
        <v>220</v>
      </c>
      <c r="J18" s="267">
        <v>0.5</v>
      </c>
      <c r="K18" s="267">
        <v>5000</v>
      </c>
      <c r="L18" s="277">
        <v>0</v>
      </c>
      <c r="M18" s="254">
        <f t="shared" si="1"/>
        <v>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0</v>
      </c>
      <c r="U18" s="257">
        <f t="shared" si="6"/>
        <v>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</row>
    <row r="19" spans="1:32" ht="39.75" customHeight="1" x14ac:dyDescent="0.25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65">
        <f t="shared" si="0"/>
        <v>6.083748484458934E-2</v>
      </c>
      <c r="E19" s="247">
        <f t="shared" si="2"/>
        <v>0</v>
      </c>
      <c r="F19" s="248">
        <f t="shared" si="3"/>
        <v>3.041874242229467E-2</v>
      </c>
      <c r="G19" s="248">
        <f t="shared" si="4"/>
        <v>0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0</v>
      </c>
      <c r="M19" s="254">
        <f t="shared" si="1"/>
        <v>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0</v>
      </c>
      <c r="AC19" s="264">
        <f t="shared" si="7"/>
        <v>0</v>
      </c>
      <c r="AD19" s="264"/>
      <c r="AE19" s="264"/>
      <c r="AF19" s="264">
        <v>15000</v>
      </c>
    </row>
    <row r="20" spans="1:32" ht="39" customHeight="1" x14ac:dyDescent="0.25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65">
        <f t="shared" si="0"/>
        <v>2.7321652179441942E-2</v>
      </c>
      <c r="E20" s="247">
        <f t="shared" si="2"/>
        <v>0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0</v>
      </c>
      <c r="M20" s="254">
        <f t="shared" si="1"/>
        <v>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</row>
    <row r="21" spans="1:32" ht="26.25" customHeight="1" x14ac:dyDescent="0.25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65">
        <f t="shared" si="0"/>
        <v>1.4787325832612861E-2</v>
      </c>
      <c r="E21" s="247">
        <f t="shared" si="2"/>
        <v>0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0</v>
      </c>
      <c r="M21" s="254">
        <f t="shared" si="1"/>
        <v>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</row>
    <row r="22" spans="1:32" ht="54.75" customHeight="1" x14ac:dyDescent="0.25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65">
        <f t="shared" si="0"/>
        <v>3.4871395193590331E-2</v>
      </c>
      <c r="E22" s="247">
        <f t="shared" si="2"/>
        <v>0</v>
      </c>
      <c r="F22" s="248">
        <f t="shared" si="3"/>
        <v>0</v>
      </c>
      <c r="G22" s="248">
        <f t="shared" si="4"/>
        <v>0</v>
      </c>
      <c r="H22" s="290" t="b">
        <f t="shared" si="5"/>
        <v>0</v>
      </c>
      <c r="I22" s="250" t="s">
        <v>217</v>
      </c>
      <c r="J22" s="291">
        <v>1</v>
      </c>
      <c r="K22" s="291">
        <v>10000</v>
      </c>
      <c r="L22" s="292">
        <v>0</v>
      </c>
      <c r="M22" s="254">
        <f t="shared" si="1"/>
        <v>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</row>
    <row r="23" spans="1:32" ht="41.25" customHeight="1" x14ac:dyDescent="0.25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65">
        <f t="shared" si="0"/>
        <v>3.46351644047799E-2</v>
      </c>
      <c r="E23" s="247">
        <f t="shared" si="2"/>
        <v>0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0</v>
      </c>
      <c r="M23" s="254">
        <f t="shared" si="1"/>
        <v>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</row>
    <row r="24" spans="1:32" ht="12.75" customHeight="1" x14ac:dyDescent="0.25">
      <c r="A24" s="300"/>
      <c r="B24" s="301"/>
      <c r="C24" s="300"/>
      <c r="D24" s="303">
        <f>SUM(D2:D23)</f>
        <v>0.49849937380730425</v>
      </c>
      <c r="E24" s="302">
        <f>SUM(E2:E23)</f>
        <v>9.2892709499518389E-2</v>
      </c>
      <c r="F24" s="302">
        <f>SUM(F2:F23)</f>
        <v>0.12533125055740318</v>
      </c>
      <c r="G24" s="302">
        <f>SUM(G2:G23)</f>
        <v>1.7465548950302733E-2</v>
      </c>
      <c r="H24" s="26">
        <f>COUNTIF(H2:H23, "TRUE")</f>
        <v>13</v>
      </c>
      <c r="I24" s="301"/>
      <c r="J24" s="301"/>
      <c r="K24" s="301"/>
      <c r="L24" s="326">
        <f>SUM(L2:L23)</f>
        <v>60</v>
      </c>
      <c r="M24" s="320">
        <f>SUM(M2:M23)</f>
        <v>49000</v>
      </c>
      <c r="N24" s="300"/>
      <c r="O24" s="300"/>
      <c r="P24" s="300"/>
      <c r="Q24" s="300"/>
      <c r="R24" s="300"/>
      <c r="S24" s="300"/>
      <c r="T24" s="326">
        <f>SUM(T2:T23)</f>
        <v>57</v>
      </c>
      <c r="U24" s="300">
        <f>SUM(U2:U23)</f>
        <v>11000</v>
      </c>
      <c r="V24" s="300"/>
      <c r="W24" s="300"/>
      <c r="X24" s="300"/>
      <c r="Y24" s="300"/>
      <c r="Z24" s="300"/>
      <c r="AA24" s="300"/>
      <c r="AB24" s="326">
        <f>SUM(AB2:AB23)</f>
        <v>2</v>
      </c>
      <c r="AC24" s="304">
        <f>SUM(AC2:AC23)</f>
        <v>0</v>
      </c>
      <c r="AD24" s="300"/>
      <c r="AE24" s="300"/>
      <c r="AF24" s="300"/>
    </row>
    <row r="25" spans="1:32" ht="12.75" customHeight="1" x14ac:dyDescent="0.25">
      <c r="B25" s="13"/>
      <c r="D25" s="13"/>
      <c r="E25" s="13"/>
      <c r="F25" s="14"/>
      <c r="G25" s="303">
        <f>E24 +F24+G24</f>
        <v>0.2356895090072243</v>
      </c>
      <c r="H25" s="279">
        <f>H24*G25</f>
        <v>3.0639636170939157</v>
      </c>
      <c r="I25" s="13"/>
      <c r="J25" s="14"/>
      <c r="K25" s="13"/>
      <c r="M25" s="13"/>
      <c r="AB25" s="327"/>
    </row>
    <row r="26" spans="1:32" ht="12.75" customHeight="1" x14ac:dyDescent="0.25">
      <c r="B26" s="13"/>
      <c r="D26" s="13"/>
      <c r="E26" s="13"/>
      <c r="F26" s="14"/>
      <c r="G26" s="14"/>
      <c r="H26" s="13"/>
      <c r="I26" s="13"/>
      <c r="J26" s="14"/>
      <c r="K26" s="13"/>
      <c r="M26" s="13"/>
      <c r="AB26">
        <f>G25*AB25</f>
        <v>0</v>
      </c>
    </row>
    <row r="27" spans="1:32" ht="12.75" customHeight="1" x14ac:dyDescent="0.25">
      <c r="B27" s="13"/>
      <c r="D27" s="13"/>
      <c r="E27" s="13"/>
      <c r="F27" s="14"/>
      <c r="G27" s="14"/>
      <c r="H27" s="13"/>
      <c r="I27" s="13"/>
      <c r="J27" s="14"/>
      <c r="K27" s="13"/>
      <c r="M27" s="13"/>
    </row>
    <row r="28" spans="1:32" ht="27.75" customHeight="1" x14ac:dyDescent="0.25">
      <c r="A28" s="323" t="s">
        <v>0</v>
      </c>
      <c r="B28" s="324">
        <v>60000</v>
      </c>
      <c r="C28" s="323" t="s">
        <v>118</v>
      </c>
      <c r="D28" s="325">
        <f>M24+U24+AC24</f>
        <v>60000</v>
      </c>
      <c r="E28" s="323"/>
      <c r="F28" s="324">
        <f>G25*100/D24</f>
        <v>47.279800415221878</v>
      </c>
      <c r="G28" s="233"/>
      <c r="H28" s="233"/>
      <c r="I28" s="233"/>
      <c r="J28" s="233"/>
      <c r="K28" s="233"/>
      <c r="L28" s="234"/>
      <c r="M28" s="234"/>
      <c r="N28" s="234"/>
      <c r="O28" s="234"/>
      <c r="P28" s="234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</row>
    <row r="29" spans="1:32" ht="12.75" customHeight="1" x14ac:dyDescent="0.25">
      <c r="B29" s="13"/>
      <c r="D29" s="13"/>
      <c r="E29" s="13"/>
      <c r="F29" s="14"/>
      <c r="G29" s="14"/>
      <c r="H29" s="13"/>
      <c r="I29" s="13"/>
      <c r="J29" s="14"/>
      <c r="K29" s="13"/>
      <c r="M29" s="13"/>
    </row>
    <row r="30" spans="1:32" ht="12.75" customHeight="1" x14ac:dyDescent="0.25">
      <c r="B30" s="232"/>
      <c r="D30" s="231"/>
      <c r="E30" s="13"/>
      <c r="F30" s="14"/>
      <c r="G30" s="14"/>
      <c r="H30" s="13"/>
      <c r="I30" s="13"/>
      <c r="J30" s="14"/>
      <c r="K30" s="13"/>
      <c r="M30" s="13"/>
    </row>
    <row r="31" spans="1:32" ht="12.75" customHeight="1" x14ac:dyDescent="0.25">
      <c r="B31" s="13"/>
      <c r="D31" s="14"/>
      <c r="E31" s="13"/>
      <c r="F31" s="14"/>
      <c r="G31" s="14"/>
      <c r="H31" s="13"/>
      <c r="I31" s="13"/>
      <c r="J31" s="14"/>
      <c r="K31" s="13"/>
      <c r="M31" s="13"/>
    </row>
    <row r="32" spans="1:32" ht="12.75" customHeight="1" x14ac:dyDescent="0.25">
      <c r="B32" s="13"/>
      <c r="D32" s="14"/>
      <c r="E32" s="13"/>
      <c r="F32" s="14"/>
      <c r="G32" s="14"/>
      <c r="H32" s="13"/>
      <c r="I32" s="13"/>
      <c r="J32" s="14"/>
      <c r="K32" s="13"/>
      <c r="M32" s="13"/>
    </row>
    <row r="33" spans="2:13" ht="12.75" customHeight="1" x14ac:dyDescent="0.25">
      <c r="B33" s="13"/>
      <c r="D33" s="14"/>
      <c r="E33" s="13"/>
      <c r="F33" s="14"/>
      <c r="G33" s="14"/>
      <c r="H33" s="13"/>
      <c r="I33" s="13"/>
      <c r="J33" s="14"/>
      <c r="K33" s="13"/>
      <c r="M33" s="13"/>
    </row>
    <row r="34" spans="2:13" ht="12.75" customHeight="1" x14ac:dyDescent="0.25">
      <c r="B34" s="13"/>
      <c r="D34" s="14"/>
      <c r="E34" s="13"/>
      <c r="F34" s="14"/>
      <c r="G34" s="14"/>
      <c r="H34" s="13"/>
      <c r="I34" s="13"/>
      <c r="J34" s="14"/>
      <c r="K34" s="13"/>
      <c r="M34" s="13"/>
    </row>
    <row r="35" spans="2:13" ht="12.75" customHeight="1" x14ac:dyDescent="0.25">
      <c r="B35" s="13"/>
      <c r="D35" s="14"/>
      <c r="E35" s="13"/>
      <c r="F35" s="14"/>
      <c r="G35" s="14"/>
      <c r="H35" s="13"/>
      <c r="I35" s="13"/>
      <c r="J35" s="14"/>
      <c r="K35" s="13"/>
      <c r="M35" s="13"/>
    </row>
    <row r="36" spans="2:13" ht="12.75" customHeight="1" x14ac:dyDescent="0.25">
      <c r="B36" s="13"/>
      <c r="D36" s="14"/>
      <c r="E36" s="13"/>
      <c r="F36" s="14"/>
      <c r="G36" s="14"/>
      <c r="H36" s="13"/>
      <c r="I36" s="13"/>
      <c r="J36" s="14"/>
      <c r="K36" s="13"/>
      <c r="M36" s="13"/>
    </row>
    <row r="37" spans="2:13" ht="12.75" customHeight="1" x14ac:dyDescent="0.25">
      <c r="B37" s="13"/>
      <c r="D37" s="14"/>
      <c r="E37" s="13"/>
      <c r="F37" s="14"/>
      <c r="G37" s="14"/>
      <c r="H37" s="13"/>
      <c r="I37" s="13"/>
      <c r="J37" s="14"/>
      <c r="K37" s="13"/>
      <c r="M37" s="13"/>
    </row>
    <row r="38" spans="2:13" ht="12.75" customHeight="1" x14ac:dyDescent="0.25">
      <c r="B38" s="13"/>
      <c r="D38" s="14"/>
      <c r="E38" s="13"/>
      <c r="F38" s="14"/>
      <c r="G38" s="14"/>
      <c r="H38" s="13"/>
      <c r="I38" s="13"/>
      <c r="J38" s="14"/>
      <c r="K38" s="13"/>
      <c r="M38" s="13"/>
    </row>
    <row r="39" spans="2:13" ht="12.75" customHeight="1" x14ac:dyDescent="0.25">
      <c r="B39" s="13"/>
      <c r="D39" s="14"/>
      <c r="E39" s="13"/>
      <c r="F39" s="14"/>
      <c r="G39" s="14"/>
      <c r="H39" s="13"/>
      <c r="I39" s="13"/>
      <c r="J39" s="14"/>
      <c r="K39" s="13"/>
      <c r="M39" s="13"/>
    </row>
    <row r="40" spans="2:13" ht="12.75" customHeight="1" x14ac:dyDescent="0.25">
      <c r="B40" s="13"/>
      <c r="D40" s="14"/>
      <c r="E40" s="13"/>
      <c r="F40" s="14"/>
      <c r="G40" s="14"/>
      <c r="H40" s="13"/>
      <c r="I40" s="13"/>
      <c r="J40" s="14"/>
      <c r="K40" s="13"/>
      <c r="M40" s="13"/>
    </row>
    <row r="41" spans="2:13" ht="12.75" customHeight="1" x14ac:dyDescent="0.25">
      <c r="B41" s="13"/>
      <c r="D41" s="14"/>
      <c r="E41" s="13"/>
      <c r="F41" s="14"/>
      <c r="G41" s="14"/>
      <c r="H41" s="13"/>
      <c r="I41" s="13"/>
      <c r="J41" s="14"/>
      <c r="K41" s="13"/>
      <c r="M41" s="13"/>
    </row>
    <row r="42" spans="2:13" ht="12.75" customHeight="1" x14ac:dyDescent="0.25">
      <c r="B42" s="13"/>
      <c r="D42" s="14"/>
      <c r="E42" s="13"/>
      <c r="F42" s="14"/>
      <c r="G42" s="14"/>
      <c r="H42" s="13"/>
      <c r="I42" s="13"/>
      <c r="J42" s="14"/>
      <c r="K42" s="13"/>
      <c r="M42" s="13"/>
    </row>
    <row r="43" spans="2:13" ht="12.75" customHeight="1" x14ac:dyDescent="0.25">
      <c r="B43" s="13"/>
      <c r="D43" s="14"/>
      <c r="E43" s="13"/>
      <c r="F43" s="14"/>
      <c r="G43" s="14"/>
      <c r="H43" s="13"/>
      <c r="I43" s="13"/>
      <c r="J43" s="14"/>
      <c r="K43" s="13"/>
      <c r="M43" s="13"/>
    </row>
    <row r="44" spans="2:13" ht="12.75" customHeight="1" x14ac:dyDescent="0.25">
      <c r="B44" s="13"/>
      <c r="D44" s="14"/>
      <c r="E44" s="13"/>
      <c r="F44" s="14"/>
      <c r="G44" s="14"/>
      <c r="H44" s="13"/>
      <c r="I44" s="13"/>
      <c r="J44" s="14"/>
      <c r="K44" s="13"/>
      <c r="M44" s="13"/>
    </row>
    <row r="45" spans="2:13" ht="12.75" customHeight="1" x14ac:dyDescent="0.25">
      <c r="B45" s="13"/>
      <c r="D45" s="14"/>
      <c r="E45" s="13"/>
      <c r="F45" s="14"/>
      <c r="G45" s="14"/>
      <c r="H45" s="13"/>
      <c r="I45" s="13"/>
      <c r="J45" s="14"/>
      <c r="K45" s="13"/>
      <c r="M45" s="13"/>
    </row>
    <row r="46" spans="2:13" ht="12.75" customHeight="1" x14ac:dyDescent="0.25">
      <c r="B46" s="13"/>
      <c r="D46" s="14"/>
      <c r="E46" s="13"/>
      <c r="F46" s="14"/>
      <c r="G46" s="14"/>
      <c r="H46" s="13"/>
      <c r="I46" s="13"/>
      <c r="J46" s="14"/>
      <c r="K46" s="13"/>
      <c r="M46" s="13"/>
    </row>
    <row r="47" spans="2:13" ht="12.75" customHeight="1" x14ac:dyDescent="0.25">
      <c r="B47" s="13"/>
      <c r="D47" s="14"/>
      <c r="E47" s="13"/>
      <c r="F47" s="14"/>
      <c r="G47" s="14"/>
      <c r="H47" s="13"/>
      <c r="I47" s="13"/>
      <c r="J47" s="14"/>
      <c r="K47" s="13"/>
      <c r="M47" s="13"/>
    </row>
    <row r="48" spans="2:13" ht="12.75" customHeight="1" x14ac:dyDescent="0.25">
      <c r="B48" s="13"/>
      <c r="D48" s="14"/>
      <c r="E48" s="13"/>
      <c r="F48" s="14"/>
      <c r="G48" s="14"/>
      <c r="H48" s="13"/>
      <c r="I48" s="13"/>
      <c r="J48" s="14"/>
      <c r="K48" s="13"/>
      <c r="M48" s="13"/>
    </row>
    <row r="49" spans="2:13" ht="12.75" customHeight="1" x14ac:dyDescent="0.25">
      <c r="B49" s="13"/>
      <c r="D49" s="14"/>
      <c r="E49" s="13"/>
      <c r="F49" s="14"/>
      <c r="G49" s="14"/>
      <c r="H49" s="13"/>
      <c r="I49" s="13"/>
      <c r="J49" s="14"/>
      <c r="K49" s="13"/>
      <c r="M49" s="13"/>
    </row>
    <row r="50" spans="2:13" ht="12.75" customHeight="1" x14ac:dyDescent="0.25">
      <c r="B50" s="13"/>
      <c r="D50" s="14"/>
      <c r="E50" s="13"/>
      <c r="F50" s="14"/>
      <c r="G50" s="14"/>
      <c r="H50" s="13"/>
      <c r="I50" s="13"/>
      <c r="J50" s="14"/>
      <c r="K50" s="13"/>
      <c r="M50" s="13"/>
    </row>
    <row r="51" spans="2:13" ht="12.75" customHeight="1" x14ac:dyDescent="0.25">
      <c r="B51" s="13"/>
      <c r="D51" s="14"/>
      <c r="E51" s="13"/>
      <c r="F51" s="14"/>
      <c r="G51" s="14"/>
      <c r="H51" s="13"/>
      <c r="I51" s="13"/>
      <c r="J51" s="14"/>
      <c r="K51" s="13"/>
      <c r="M51" s="13"/>
    </row>
    <row r="52" spans="2:13" ht="12.75" customHeight="1" x14ac:dyDescent="0.25">
      <c r="B52" s="13"/>
      <c r="D52" s="14"/>
      <c r="E52" s="13"/>
      <c r="F52" s="14"/>
      <c r="G52" s="14"/>
      <c r="H52" s="13"/>
      <c r="I52" s="13"/>
      <c r="J52" s="14"/>
      <c r="K52" s="13"/>
      <c r="M52" s="13"/>
    </row>
    <row r="53" spans="2:13" ht="12.75" customHeight="1" x14ac:dyDescent="0.25">
      <c r="B53" s="13"/>
      <c r="D53" s="14"/>
      <c r="E53" s="13"/>
      <c r="F53" s="14"/>
      <c r="G53" s="14"/>
      <c r="H53" s="13"/>
      <c r="I53" s="13"/>
      <c r="J53" s="14"/>
      <c r="K53" s="13"/>
      <c r="M53" s="13"/>
    </row>
    <row r="54" spans="2:13" ht="12.75" customHeight="1" x14ac:dyDescent="0.25">
      <c r="B54" s="13"/>
      <c r="D54" s="14"/>
      <c r="E54" s="13"/>
      <c r="F54" s="14"/>
      <c r="G54" s="14"/>
      <c r="H54" s="13"/>
      <c r="I54" s="13"/>
      <c r="J54" s="14"/>
      <c r="K54" s="13"/>
      <c r="M54" s="13"/>
    </row>
    <row r="55" spans="2:13" ht="12.75" customHeight="1" x14ac:dyDescent="0.25">
      <c r="B55" s="13"/>
      <c r="D55" s="14"/>
      <c r="E55" s="13"/>
      <c r="F55" s="14"/>
      <c r="G55" s="14"/>
      <c r="H55" s="13"/>
      <c r="I55" s="13"/>
      <c r="J55" s="14"/>
      <c r="K55" s="13"/>
      <c r="M55" s="13"/>
    </row>
    <row r="56" spans="2:13" ht="12.75" customHeight="1" x14ac:dyDescent="0.25">
      <c r="B56" s="13"/>
      <c r="D56" s="14"/>
      <c r="E56" s="13"/>
      <c r="F56" s="14"/>
      <c r="G56" s="14"/>
      <c r="H56" s="13"/>
      <c r="I56" s="13"/>
      <c r="J56" s="14"/>
      <c r="K56" s="13"/>
      <c r="M56" s="13"/>
    </row>
    <row r="57" spans="2:13" ht="12.75" customHeight="1" x14ac:dyDescent="0.25">
      <c r="B57" s="13"/>
      <c r="D57" s="14"/>
      <c r="E57" s="13"/>
      <c r="F57" s="14"/>
      <c r="G57" s="14"/>
      <c r="H57" s="13"/>
      <c r="I57" s="13"/>
      <c r="J57" s="14"/>
      <c r="K57" s="13"/>
      <c r="M57" s="13"/>
    </row>
    <row r="58" spans="2:13" ht="12.75" customHeight="1" x14ac:dyDescent="0.25">
      <c r="B58" s="13"/>
      <c r="D58" s="14"/>
      <c r="E58" s="13"/>
      <c r="F58" s="14"/>
      <c r="G58" s="14"/>
      <c r="H58" s="13"/>
      <c r="I58" s="13"/>
      <c r="J58" s="14"/>
      <c r="K58" s="13"/>
      <c r="M58" s="13"/>
    </row>
    <row r="59" spans="2:13" ht="12.75" customHeight="1" x14ac:dyDescent="0.25">
      <c r="B59" s="13"/>
      <c r="D59" s="14"/>
      <c r="E59" s="13"/>
      <c r="F59" s="14"/>
      <c r="G59" s="14"/>
      <c r="H59" s="13"/>
      <c r="I59" s="13"/>
      <c r="J59" s="14"/>
      <c r="K59" s="13"/>
      <c r="M59" s="13"/>
    </row>
    <row r="60" spans="2:13" ht="12.75" customHeight="1" x14ac:dyDescent="0.25">
      <c r="B60" s="13"/>
      <c r="D60" s="14"/>
      <c r="E60" s="13"/>
      <c r="F60" s="14"/>
      <c r="G60" s="14"/>
      <c r="H60" s="13"/>
      <c r="I60" s="13"/>
      <c r="J60" s="14"/>
      <c r="K60" s="13"/>
      <c r="M60" s="13"/>
    </row>
    <row r="61" spans="2:13" ht="12.75" customHeight="1" x14ac:dyDescent="0.25">
      <c r="B61" s="13"/>
      <c r="D61" s="14"/>
      <c r="E61" s="13"/>
      <c r="F61" s="14"/>
      <c r="G61" s="14"/>
      <c r="H61" s="13"/>
      <c r="I61" s="13"/>
      <c r="J61" s="14"/>
      <c r="K61" s="13"/>
      <c r="M61" s="13"/>
    </row>
    <row r="62" spans="2:13" ht="12.75" customHeight="1" x14ac:dyDescent="0.25">
      <c r="B62" s="13"/>
      <c r="D62" s="14"/>
      <c r="E62" s="13"/>
      <c r="F62" s="14"/>
      <c r="G62" s="14"/>
      <c r="H62" s="13"/>
      <c r="I62" s="13"/>
      <c r="J62" s="14"/>
      <c r="K62" s="13"/>
      <c r="M62" s="13"/>
    </row>
    <row r="63" spans="2:13" ht="12.75" customHeight="1" x14ac:dyDescent="0.25">
      <c r="B63" s="13"/>
      <c r="D63" s="14"/>
      <c r="E63" s="13"/>
      <c r="F63" s="14"/>
      <c r="G63" s="14"/>
      <c r="H63" s="13"/>
      <c r="I63" s="13"/>
      <c r="J63" s="14"/>
      <c r="K63" s="13"/>
      <c r="M63" s="13"/>
    </row>
    <row r="64" spans="2:13" ht="12.75" customHeight="1" x14ac:dyDescent="0.25">
      <c r="B64" s="13"/>
      <c r="D64" s="14"/>
      <c r="E64" s="13"/>
      <c r="F64" s="14"/>
      <c r="G64" s="14"/>
      <c r="H64" s="13"/>
      <c r="I64" s="13"/>
      <c r="J64" s="14"/>
      <c r="K64" s="13"/>
      <c r="M64" s="13"/>
    </row>
    <row r="65" spans="2:13" ht="12.75" customHeight="1" x14ac:dyDescent="0.25">
      <c r="B65" s="13"/>
      <c r="D65" s="14"/>
      <c r="E65" s="13"/>
      <c r="F65" s="14"/>
      <c r="G65" s="14"/>
      <c r="H65" s="13"/>
      <c r="I65" s="13"/>
      <c r="J65" s="14"/>
      <c r="K65" s="13"/>
      <c r="M65" s="13"/>
    </row>
    <row r="66" spans="2:13" ht="12.75" customHeight="1" x14ac:dyDescent="0.25">
      <c r="B66" s="13"/>
      <c r="D66" s="14"/>
      <c r="E66" s="13"/>
      <c r="F66" s="14"/>
      <c r="G66" s="14"/>
      <c r="H66" s="13"/>
      <c r="I66" s="13"/>
      <c r="J66" s="14"/>
      <c r="K66" s="13"/>
      <c r="M66" s="13"/>
    </row>
    <row r="67" spans="2:13" ht="12.75" customHeight="1" x14ac:dyDescent="0.25">
      <c r="B67" s="13"/>
      <c r="D67" s="13"/>
      <c r="E67" s="13"/>
      <c r="F67" s="14"/>
      <c r="G67" s="14"/>
      <c r="H67" s="13"/>
      <c r="I67" s="13"/>
      <c r="J67" s="14"/>
      <c r="K67" s="13"/>
      <c r="M67" s="13"/>
    </row>
    <row r="68" spans="2:13" ht="12.75" customHeight="1" x14ac:dyDescent="0.25">
      <c r="B68" s="13"/>
      <c r="D68" s="13"/>
      <c r="E68" s="13"/>
      <c r="F68" s="14"/>
      <c r="G68" s="14"/>
      <c r="H68" s="13"/>
      <c r="I68" s="13"/>
      <c r="J68" s="14"/>
      <c r="K68" s="13"/>
      <c r="M68" s="13"/>
    </row>
    <row r="69" spans="2:13" ht="12.75" customHeight="1" x14ac:dyDescent="0.25">
      <c r="B69" s="13"/>
      <c r="D69" s="13"/>
      <c r="E69" s="13"/>
      <c r="F69" s="14"/>
      <c r="G69" s="14"/>
      <c r="H69" s="13"/>
      <c r="I69" s="13"/>
      <c r="J69" s="14"/>
      <c r="K69" s="13"/>
      <c r="M69" s="13"/>
    </row>
    <row r="70" spans="2:13" ht="12.75" customHeight="1" x14ac:dyDescent="0.25">
      <c r="B70" s="13"/>
      <c r="D70" s="13"/>
      <c r="E70" s="13"/>
      <c r="F70" s="14"/>
      <c r="G70" s="14"/>
      <c r="H70" s="13"/>
      <c r="I70" s="13"/>
      <c r="J70" s="14"/>
      <c r="K70" s="13"/>
      <c r="M70" s="13"/>
    </row>
    <row r="71" spans="2:13" ht="12.75" customHeight="1" x14ac:dyDescent="0.25">
      <c r="B71" s="13"/>
      <c r="D71" s="13"/>
      <c r="E71" s="13"/>
      <c r="F71" s="14"/>
      <c r="G71" s="14"/>
      <c r="H71" s="13"/>
      <c r="I71" s="13"/>
      <c r="J71" s="14"/>
      <c r="K71" s="13"/>
      <c r="M71" s="13"/>
    </row>
    <row r="72" spans="2:13" ht="12.75" customHeight="1" x14ac:dyDescent="0.25">
      <c r="B72" s="13"/>
      <c r="D72" s="13"/>
      <c r="E72" s="13"/>
      <c r="F72" s="14"/>
      <c r="G72" s="14"/>
      <c r="H72" s="13"/>
      <c r="I72" s="13"/>
      <c r="J72" s="14"/>
      <c r="K72" s="13"/>
      <c r="M72" s="13"/>
    </row>
    <row r="73" spans="2:13" ht="12.75" customHeight="1" x14ac:dyDescent="0.25">
      <c r="B73" s="13"/>
      <c r="D73" s="13"/>
      <c r="E73" s="13"/>
      <c r="F73" s="14"/>
      <c r="G73" s="14"/>
      <c r="H73" s="13"/>
      <c r="I73" s="13"/>
      <c r="J73" s="14"/>
      <c r="K73" s="13"/>
      <c r="M73" s="13"/>
    </row>
    <row r="74" spans="2:13" ht="12.75" customHeight="1" x14ac:dyDescent="0.25">
      <c r="B74" s="13"/>
      <c r="D74" s="13"/>
      <c r="E74" s="13"/>
      <c r="F74" s="14"/>
      <c r="G74" s="14"/>
      <c r="H74" s="13"/>
      <c r="I74" s="13"/>
      <c r="J74" s="14"/>
      <c r="K74" s="13"/>
      <c r="M74" s="13"/>
    </row>
    <row r="75" spans="2:13" ht="12.75" customHeight="1" x14ac:dyDescent="0.25">
      <c r="B75" s="13"/>
      <c r="D75" s="13"/>
      <c r="E75" s="13"/>
      <c r="F75" s="14"/>
      <c r="G75" s="14"/>
      <c r="H75" s="13"/>
      <c r="I75" s="13"/>
      <c r="J75" s="14"/>
      <c r="K75" s="13"/>
      <c r="M75" s="13"/>
    </row>
    <row r="76" spans="2:13" ht="12.75" customHeight="1" x14ac:dyDescent="0.25">
      <c r="B76" s="13"/>
      <c r="D76" s="13"/>
      <c r="E76" s="13"/>
      <c r="F76" s="14"/>
      <c r="G76" s="14"/>
      <c r="H76" s="13"/>
      <c r="I76" s="13"/>
      <c r="J76" s="14"/>
      <c r="K76" s="13"/>
      <c r="M76" s="13"/>
    </row>
    <row r="77" spans="2:13" ht="12.75" customHeight="1" x14ac:dyDescent="0.25">
      <c r="B77" s="13"/>
      <c r="D77" s="13"/>
      <c r="E77" s="13"/>
      <c r="F77" s="14"/>
      <c r="G77" s="14"/>
      <c r="H77" s="13"/>
      <c r="I77" s="13"/>
      <c r="J77" s="14"/>
      <c r="K77" s="13"/>
      <c r="M77" s="13"/>
    </row>
    <row r="78" spans="2:13" ht="12.75" customHeight="1" x14ac:dyDescent="0.25">
      <c r="B78" s="13"/>
      <c r="D78" s="13"/>
      <c r="E78" s="13"/>
      <c r="F78" s="14"/>
      <c r="G78" s="14"/>
      <c r="H78" s="13"/>
      <c r="I78" s="13"/>
      <c r="J78" s="14"/>
      <c r="K78" s="13"/>
      <c r="M78" s="13"/>
    </row>
    <row r="79" spans="2:13" ht="12.75" customHeight="1" x14ac:dyDescent="0.25">
      <c r="B79" s="13"/>
      <c r="D79" s="13"/>
      <c r="E79" s="13"/>
      <c r="F79" s="14"/>
      <c r="G79" s="14"/>
      <c r="H79" s="13"/>
      <c r="I79" s="13"/>
      <c r="J79" s="14"/>
      <c r="K79" s="13"/>
      <c r="M79" s="13"/>
    </row>
    <row r="80" spans="2:13" ht="12.75" customHeight="1" x14ac:dyDescent="0.25">
      <c r="B80" s="13"/>
      <c r="D80" s="13"/>
      <c r="E80" s="13"/>
      <c r="F80" s="14"/>
      <c r="G80" s="14"/>
      <c r="H80" s="13"/>
      <c r="I80" s="13"/>
      <c r="J80" s="14"/>
      <c r="K80" s="13"/>
      <c r="M80" s="13"/>
    </row>
    <row r="81" spans="2:13" ht="12.75" customHeight="1" x14ac:dyDescent="0.25">
      <c r="B81" s="13"/>
      <c r="D81" s="13"/>
      <c r="E81" s="13"/>
      <c r="F81" s="14"/>
      <c r="G81" s="14"/>
      <c r="H81" s="13"/>
      <c r="I81" s="13"/>
      <c r="J81" s="14"/>
      <c r="K81" s="13"/>
      <c r="M81" s="13"/>
    </row>
    <row r="82" spans="2:13" ht="12.75" customHeight="1" x14ac:dyDescent="0.25">
      <c r="B82" s="13"/>
      <c r="D82" s="13"/>
      <c r="E82" s="13"/>
      <c r="F82" s="14"/>
      <c r="G82" s="14"/>
      <c r="H82" s="13"/>
      <c r="I82" s="13"/>
      <c r="J82" s="14"/>
      <c r="K82" s="13"/>
      <c r="M82" s="13"/>
    </row>
    <row r="83" spans="2:13" ht="12.75" customHeight="1" x14ac:dyDescent="0.25">
      <c r="B83" s="13"/>
      <c r="D83" s="13"/>
      <c r="E83" s="13"/>
      <c r="F83" s="14"/>
      <c r="G83" s="14"/>
      <c r="H83" s="13"/>
      <c r="I83" s="13"/>
      <c r="J83" s="14"/>
      <c r="K83" s="13"/>
      <c r="M83" s="13"/>
    </row>
    <row r="84" spans="2:13" ht="12.75" customHeight="1" x14ac:dyDescent="0.25">
      <c r="B84" s="13"/>
      <c r="D84" s="13"/>
      <c r="E84" s="13"/>
      <c r="F84" s="14"/>
      <c r="G84" s="14"/>
      <c r="H84" s="13"/>
      <c r="I84" s="13"/>
      <c r="J84" s="14"/>
      <c r="K84" s="13"/>
      <c r="M84" s="13"/>
    </row>
    <row r="85" spans="2:13" ht="12.75" customHeight="1" x14ac:dyDescent="0.25">
      <c r="B85" s="13"/>
      <c r="D85" s="13"/>
      <c r="E85" s="13"/>
      <c r="F85" s="14"/>
      <c r="G85" s="14"/>
      <c r="H85" s="13"/>
      <c r="I85" s="13"/>
      <c r="J85" s="14"/>
      <c r="K85" s="13"/>
      <c r="M85" s="13"/>
    </row>
    <row r="86" spans="2:13" ht="12.75" customHeight="1" x14ac:dyDescent="0.25">
      <c r="B86" s="13"/>
      <c r="D86" s="13"/>
      <c r="E86" s="13"/>
      <c r="F86" s="14"/>
      <c r="G86" s="14"/>
      <c r="H86" s="13"/>
      <c r="I86" s="13"/>
      <c r="J86" s="14"/>
      <c r="K86" s="13"/>
      <c r="M86" s="13"/>
    </row>
    <row r="87" spans="2:13" ht="12.75" customHeight="1" x14ac:dyDescent="0.25">
      <c r="B87" s="13"/>
      <c r="D87" s="13"/>
      <c r="E87" s="13"/>
      <c r="F87" s="14"/>
      <c r="G87" s="14"/>
      <c r="H87" s="13"/>
      <c r="I87" s="13"/>
      <c r="J87" s="14"/>
      <c r="K87" s="13"/>
      <c r="M87" s="13"/>
    </row>
    <row r="88" spans="2:13" ht="12.75" customHeight="1" x14ac:dyDescent="0.25">
      <c r="B88" s="13"/>
      <c r="D88" s="13"/>
      <c r="E88" s="13"/>
      <c r="F88" s="14"/>
      <c r="G88" s="14"/>
      <c r="H88" s="13"/>
      <c r="I88" s="13"/>
      <c r="J88" s="14"/>
      <c r="K88" s="13"/>
      <c r="M88" s="13"/>
    </row>
    <row r="89" spans="2:13" ht="12.75" customHeight="1" x14ac:dyDescent="0.25">
      <c r="B89" s="13"/>
      <c r="D89" s="13"/>
      <c r="E89" s="13"/>
      <c r="F89" s="14"/>
      <c r="G89" s="14"/>
      <c r="H89" s="13"/>
      <c r="I89" s="13"/>
      <c r="J89" s="14"/>
      <c r="K89" s="13"/>
      <c r="M89" s="13"/>
    </row>
    <row r="90" spans="2:13" ht="12.75" customHeight="1" x14ac:dyDescent="0.25">
      <c r="B90" s="13"/>
      <c r="D90" s="13"/>
      <c r="E90" s="13"/>
      <c r="F90" s="14"/>
      <c r="G90" s="14"/>
      <c r="H90" s="13"/>
      <c r="I90" s="13"/>
      <c r="J90" s="14"/>
      <c r="K90" s="13"/>
      <c r="M90" s="13"/>
    </row>
    <row r="91" spans="2:13" ht="12.75" customHeight="1" x14ac:dyDescent="0.25">
      <c r="B91" s="13"/>
      <c r="D91" s="13"/>
      <c r="E91" s="13"/>
      <c r="F91" s="14"/>
      <c r="G91" s="14"/>
      <c r="H91" s="13"/>
      <c r="I91" s="13"/>
      <c r="J91" s="14"/>
      <c r="K91" s="13"/>
      <c r="M91" s="13"/>
    </row>
    <row r="92" spans="2:13" ht="12.75" customHeight="1" x14ac:dyDescent="0.25">
      <c r="B92" s="13"/>
      <c r="D92" s="13"/>
      <c r="E92" s="13"/>
      <c r="F92" s="14"/>
      <c r="G92" s="14"/>
      <c r="H92" s="13"/>
      <c r="I92" s="13"/>
      <c r="J92" s="14"/>
      <c r="K92" s="13"/>
      <c r="M92" s="13"/>
    </row>
    <row r="93" spans="2:13" ht="12.75" customHeight="1" x14ac:dyDescent="0.25">
      <c r="B93" s="13"/>
      <c r="D93" s="13"/>
      <c r="E93" s="13"/>
      <c r="F93" s="14"/>
      <c r="G93" s="14"/>
      <c r="H93" s="13"/>
      <c r="I93" s="13"/>
      <c r="J93" s="14"/>
      <c r="K93" s="13"/>
      <c r="M93" s="13"/>
    </row>
    <row r="94" spans="2:13" ht="12.75" customHeight="1" x14ac:dyDescent="0.25">
      <c r="B94" s="13"/>
      <c r="D94" s="13"/>
      <c r="E94" s="13"/>
      <c r="F94" s="14"/>
      <c r="G94" s="14"/>
      <c r="H94" s="13"/>
      <c r="I94" s="13"/>
      <c r="J94" s="14"/>
      <c r="K94" s="13"/>
      <c r="M94" s="13"/>
    </row>
    <row r="95" spans="2:13" ht="12.75" customHeight="1" x14ac:dyDescent="0.25">
      <c r="B95" s="13"/>
      <c r="D95" s="13"/>
      <c r="E95" s="13"/>
      <c r="F95" s="14"/>
      <c r="G95" s="14"/>
      <c r="H95" s="13"/>
      <c r="I95" s="13"/>
      <c r="J95" s="14"/>
      <c r="K95" s="13"/>
      <c r="M95" s="13"/>
    </row>
    <row r="96" spans="2:13" ht="12.75" customHeight="1" x14ac:dyDescent="0.25">
      <c r="B96" s="13"/>
      <c r="D96" s="13"/>
      <c r="E96" s="13"/>
      <c r="F96" s="14"/>
      <c r="G96" s="14"/>
      <c r="H96" s="13"/>
      <c r="I96" s="13"/>
      <c r="J96" s="14"/>
      <c r="K96" s="13"/>
      <c r="M96" s="13"/>
    </row>
    <row r="97" spans="2:13" ht="12.75" customHeight="1" x14ac:dyDescent="0.25">
      <c r="B97" s="13"/>
      <c r="D97" s="13"/>
      <c r="E97" s="13"/>
      <c r="F97" s="14"/>
      <c r="G97" s="14"/>
      <c r="H97" s="13"/>
      <c r="I97" s="13"/>
      <c r="J97" s="14"/>
      <c r="K97" s="13"/>
      <c r="M97" s="13"/>
    </row>
    <row r="98" spans="2:13" ht="12.75" customHeight="1" x14ac:dyDescent="0.25">
      <c r="B98" s="13"/>
      <c r="D98" s="13"/>
      <c r="E98" s="13"/>
      <c r="F98" s="14"/>
      <c r="G98" s="14"/>
      <c r="H98" s="13"/>
      <c r="I98" s="13"/>
      <c r="J98" s="14"/>
      <c r="K98" s="13"/>
      <c r="M98" s="13"/>
    </row>
    <row r="99" spans="2:13" ht="12.75" customHeight="1" x14ac:dyDescent="0.25">
      <c r="B99" s="13"/>
      <c r="D99" s="13"/>
      <c r="E99" s="13"/>
      <c r="F99" s="14"/>
      <c r="G99" s="14"/>
      <c r="H99" s="13"/>
      <c r="I99" s="13"/>
      <c r="J99" s="14"/>
      <c r="K99" s="13"/>
      <c r="M99" s="13"/>
    </row>
    <row r="100" spans="2:13" ht="12.75" customHeight="1" x14ac:dyDescent="0.25">
      <c r="B100" s="13"/>
      <c r="D100" s="13"/>
      <c r="E100" s="13"/>
      <c r="F100" s="14"/>
      <c r="G100" s="14"/>
      <c r="H100" s="13"/>
      <c r="I100" s="13"/>
      <c r="J100" s="14"/>
      <c r="K100" s="13"/>
      <c r="M100" s="13"/>
    </row>
    <row r="101" spans="2:13" ht="12.75" customHeight="1" x14ac:dyDescent="0.25">
      <c r="B101" s="13"/>
      <c r="D101" s="13"/>
      <c r="E101" s="13"/>
      <c r="F101" s="14"/>
      <c r="G101" s="14"/>
      <c r="H101" s="13"/>
      <c r="I101" s="13"/>
      <c r="J101" s="14"/>
      <c r="K101" s="13"/>
      <c r="M101" s="13"/>
    </row>
    <row r="102" spans="2:13" ht="12.75" customHeight="1" x14ac:dyDescent="0.25">
      <c r="B102" s="13"/>
      <c r="D102" s="13"/>
      <c r="E102" s="13"/>
      <c r="F102" s="14"/>
      <c r="G102" s="14"/>
      <c r="H102" s="13"/>
      <c r="I102" s="13"/>
      <c r="J102" s="14"/>
      <c r="K102" s="13"/>
      <c r="M102" s="13"/>
    </row>
    <row r="103" spans="2:13" ht="12.75" customHeight="1" x14ac:dyDescent="0.25">
      <c r="B103" s="13"/>
      <c r="D103" s="13"/>
      <c r="E103" s="13"/>
      <c r="F103" s="14"/>
      <c r="G103" s="14"/>
      <c r="H103" s="13"/>
      <c r="I103" s="13"/>
      <c r="J103" s="14"/>
      <c r="K103" s="13"/>
      <c r="M103" s="13"/>
    </row>
    <row r="104" spans="2:13" ht="12.75" customHeight="1" x14ac:dyDescent="0.25">
      <c r="B104" s="13"/>
      <c r="D104" s="13"/>
      <c r="E104" s="13"/>
      <c r="F104" s="14"/>
      <c r="G104" s="14"/>
      <c r="H104" s="13"/>
      <c r="I104" s="13"/>
      <c r="J104" s="14"/>
      <c r="K104" s="13"/>
      <c r="M104" s="13"/>
    </row>
    <row r="105" spans="2:13" ht="12.75" customHeight="1" x14ac:dyDescent="0.25">
      <c r="B105" s="13"/>
      <c r="D105" s="13"/>
      <c r="E105" s="13"/>
      <c r="F105" s="14"/>
      <c r="G105" s="14"/>
      <c r="H105" s="13"/>
      <c r="I105" s="13"/>
      <c r="J105" s="14"/>
      <c r="K105" s="13"/>
      <c r="M105" s="13"/>
    </row>
    <row r="106" spans="2:13" ht="12.75" customHeight="1" x14ac:dyDescent="0.25">
      <c r="B106" s="13"/>
      <c r="D106" s="13"/>
      <c r="E106" s="13"/>
      <c r="F106" s="14"/>
      <c r="G106" s="14"/>
      <c r="H106" s="13"/>
      <c r="I106" s="13"/>
      <c r="J106" s="14"/>
      <c r="K106" s="13"/>
      <c r="M106" s="13"/>
    </row>
    <row r="107" spans="2:13" ht="12.75" customHeight="1" x14ac:dyDescent="0.25">
      <c r="B107" s="13"/>
      <c r="D107" s="13"/>
      <c r="E107" s="13"/>
      <c r="F107" s="14"/>
      <c r="G107" s="14"/>
      <c r="H107" s="13"/>
      <c r="I107" s="13"/>
      <c r="J107" s="14"/>
      <c r="K107" s="13"/>
      <c r="M107" s="13"/>
    </row>
    <row r="108" spans="2:13" ht="12.75" customHeight="1" x14ac:dyDescent="0.25">
      <c r="B108" s="13"/>
      <c r="D108" s="13"/>
      <c r="E108" s="13"/>
      <c r="F108" s="14"/>
      <c r="G108" s="14"/>
      <c r="H108" s="13"/>
      <c r="I108" s="13"/>
      <c r="J108" s="14"/>
      <c r="K108" s="13"/>
      <c r="M108" s="13"/>
    </row>
    <row r="109" spans="2:13" ht="12.75" customHeight="1" x14ac:dyDescent="0.25">
      <c r="B109" s="13"/>
      <c r="D109" s="13"/>
      <c r="E109" s="13"/>
      <c r="F109" s="14"/>
      <c r="G109" s="14"/>
      <c r="H109" s="13"/>
      <c r="I109" s="13"/>
      <c r="J109" s="14"/>
      <c r="K109" s="13"/>
      <c r="M109" s="13"/>
    </row>
    <row r="110" spans="2:13" ht="12.75" customHeight="1" x14ac:dyDescent="0.25">
      <c r="B110" s="13"/>
      <c r="D110" s="13"/>
      <c r="E110" s="13"/>
      <c r="F110" s="14"/>
      <c r="G110" s="14"/>
      <c r="H110" s="13"/>
      <c r="I110" s="13"/>
      <c r="J110" s="14"/>
      <c r="K110" s="13"/>
      <c r="M110" s="13"/>
    </row>
    <row r="111" spans="2:13" ht="12.75" customHeight="1" x14ac:dyDescent="0.25">
      <c r="B111" s="13"/>
      <c r="D111" s="13"/>
      <c r="E111" s="13"/>
      <c r="F111" s="14"/>
      <c r="G111" s="14"/>
      <c r="H111" s="13"/>
      <c r="I111" s="13"/>
      <c r="J111" s="14"/>
      <c r="K111" s="13"/>
      <c r="M111" s="13"/>
    </row>
    <row r="112" spans="2:13" ht="12.75" customHeight="1" x14ac:dyDescent="0.25">
      <c r="B112" s="13"/>
      <c r="D112" s="13"/>
      <c r="E112" s="13"/>
      <c r="F112" s="14"/>
      <c r="G112" s="14"/>
      <c r="H112" s="13"/>
      <c r="I112" s="13"/>
      <c r="J112" s="14"/>
      <c r="K112" s="13"/>
      <c r="M112" s="13"/>
    </row>
    <row r="113" spans="2:13" ht="12.75" customHeight="1" x14ac:dyDescent="0.25">
      <c r="B113" s="13"/>
      <c r="D113" s="13"/>
      <c r="E113" s="13"/>
      <c r="F113" s="14"/>
      <c r="G113" s="14"/>
      <c r="H113" s="13"/>
      <c r="I113" s="13"/>
      <c r="J113" s="14"/>
      <c r="K113" s="13"/>
      <c r="M113" s="13"/>
    </row>
    <row r="114" spans="2:13" ht="12.75" customHeight="1" x14ac:dyDescent="0.25">
      <c r="B114" s="13"/>
      <c r="D114" s="13"/>
      <c r="E114" s="13"/>
      <c r="F114" s="14"/>
      <c r="G114" s="14"/>
      <c r="H114" s="13"/>
      <c r="I114" s="13"/>
      <c r="J114" s="14"/>
      <c r="K114" s="13"/>
      <c r="M114" s="13"/>
    </row>
    <row r="115" spans="2:13" ht="12.75" customHeight="1" x14ac:dyDescent="0.25">
      <c r="B115" s="13"/>
      <c r="D115" s="13"/>
      <c r="E115" s="13"/>
      <c r="F115" s="14"/>
      <c r="G115" s="14"/>
      <c r="H115" s="13"/>
      <c r="I115" s="13"/>
      <c r="J115" s="14"/>
      <c r="K115" s="13"/>
      <c r="M115" s="13"/>
    </row>
    <row r="116" spans="2:13" ht="12.75" customHeight="1" x14ac:dyDescent="0.25">
      <c r="B116" s="13"/>
      <c r="D116" s="13"/>
      <c r="E116" s="13"/>
      <c r="F116" s="14"/>
      <c r="G116" s="14"/>
      <c r="H116" s="13"/>
      <c r="I116" s="13"/>
      <c r="J116" s="14"/>
      <c r="K116" s="13"/>
      <c r="M116" s="13"/>
    </row>
    <row r="117" spans="2:13" ht="12.75" customHeight="1" x14ac:dyDescent="0.25">
      <c r="B117" s="13"/>
      <c r="D117" s="13"/>
      <c r="E117" s="13"/>
      <c r="F117" s="14"/>
      <c r="G117" s="14"/>
      <c r="H117" s="13"/>
      <c r="I117" s="13"/>
      <c r="J117" s="14"/>
      <c r="K117" s="13"/>
      <c r="M117" s="13"/>
    </row>
    <row r="118" spans="2:13" ht="12.75" customHeight="1" x14ac:dyDescent="0.25">
      <c r="B118" s="13"/>
      <c r="D118" s="13"/>
      <c r="E118" s="13"/>
      <c r="F118" s="14"/>
      <c r="G118" s="14"/>
      <c r="H118" s="13"/>
      <c r="I118" s="13"/>
      <c r="J118" s="14"/>
      <c r="K118" s="13"/>
      <c r="M118" s="13"/>
    </row>
    <row r="119" spans="2:13" ht="12.75" customHeight="1" x14ac:dyDescent="0.25">
      <c r="B119" s="13"/>
      <c r="D119" s="13"/>
      <c r="E119" s="13"/>
      <c r="F119" s="14"/>
      <c r="G119" s="14"/>
      <c r="H119" s="13"/>
      <c r="I119" s="13"/>
      <c r="J119" s="14"/>
      <c r="K119" s="13"/>
      <c r="M119" s="13"/>
    </row>
    <row r="120" spans="2:13" ht="12.75" customHeight="1" x14ac:dyDescent="0.25">
      <c r="B120" s="13"/>
      <c r="D120" s="13"/>
      <c r="E120" s="13"/>
      <c r="F120" s="14"/>
      <c r="G120" s="14"/>
      <c r="H120" s="13"/>
      <c r="I120" s="13"/>
      <c r="J120" s="14"/>
      <c r="K120" s="13"/>
      <c r="M120" s="13"/>
    </row>
    <row r="121" spans="2:13" ht="12.75" customHeight="1" x14ac:dyDescent="0.25">
      <c r="B121" s="13"/>
      <c r="D121" s="13"/>
      <c r="E121" s="13"/>
      <c r="F121" s="14"/>
      <c r="G121" s="14"/>
      <c r="H121" s="13"/>
      <c r="I121" s="13"/>
      <c r="J121" s="14"/>
      <c r="K121" s="13"/>
      <c r="M121" s="13"/>
    </row>
    <row r="122" spans="2:13" ht="12.75" customHeight="1" x14ac:dyDescent="0.25">
      <c r="B122" s="13"/>
      <c r="D122" s="13"/>
      <c r="E122" s="13"/>
      <c r="F122" s="14"/>
      <c r="G122" s="14"/>
      <c r="H122" s="13"/>
      <c r="I122" s="13"/>
      <c r="J122" s="14"/>
      <c r="K122" s="13"/>
      <c r="M122" s="13"/>
    </row>
    <row r="123" spans="2:13" ht="12.75" customHeight="1" x14ac:dyDescent="0.25">
      <c r="B123" s="13"/>
      <c r="D123" s="13"/>
      <c r="E123" s="13"/>
      <c r="F123" s="14"/>
      <c r="G123" s="14"/>
      <c r="H123" s="13"/>
      <c r="I123" s="13"/>
      <c r="J123" s="14"/>
      <c r="K123" s="13"/>
      <c r="M123" s="13"/>
    </row>
    <row r="124" spans="2:13" ht="12.75" customHeight="1" x14ac:dyDescent="0.25">
      <c r="B124" s="13"/>
      <c r="D124" s="13"/>
      <c r="E124" s="13"/>
      <c r="F124" s="14"/>
      <c r="G124" s="14"/>
      <c r="H124" s="13"/>
      <c r="I124" s="13"/>
      <c r="J124" s="14"/>
      <c r="K124" s="13"/>
      <c r="M124" s="13"/>
    </row>
    <row r="125" spans="2:13" ht="12.75" customHeight="1" x14ac:dyDescent="0.25">
      <c r="B125" s="13"/>
      <c r="D125" s="13"/>
      <c r="E125" s="13"/>
      <c r="F125" s="14"/>
      <c r="G125" s="14"/>
      <c r="H125" s="13"/>
      <c r="I125" s="13"/>
      <c r="J125" s="14"/>
      <c r="K125" s="13"/>
      <c r="M125" s="13"/>
    </row>
    <row r="126" spans="2:13" ht="12.75" customHeight="1" x14ac:dyDescent="0.25">
      <c r="B126" s="13"/>
      <c r="D126" s="13"/>
      <c r="E126" s="13"/>
      <c r="F126" s="14"/>
      <c r="G126" s="14"/>
      <c r="H126" s="13"/>
      <c r="I126" s="13"/>
      <c r="J126" s="14"/>
      <c r="K126" s="13"/>
      <c r="M126" s="13"/>
    </row>
    <row r="127" spans="2:13" ht="12.75" customHeight="1" x14ac:dyDescent="0.25">
      <c r="B127" s="13"/>
      <c r="D127" s="13"/>
      <c r="E127" s="13"/>
      <c r="F127" s="14"/>
      <c r="G127" s="14"/>
      <c r="H127" s="13"/>
      <c r="I127" s="13"/>
      <c r="J127" s="14"/>
      <c r="K127" s="13"/>
      <c r="M127" s="13"/>
    </row>
    <row r="128" spans="2:13" ht="12.75" customHeight="1" x14ac:dyDescent="0.25">
      <c r="B128" s="13"/>
      <c r="D128" s="13"/>
      <c r="E128" s="13"/>
      <c r="F128" s="14"/>
      <c r="G128" s="14"/>
      <c r="H128" s="13"/>
      <c r="I128" s="13"/>
      <c r="J128" s="14"/>
      <c r="K128" s="13"/>
      <c r="M128" s="13"/>
    </row>
    <row r="129" spans="2:13" ht="12.75" customHeight="1" x14ac:dyDescent="0.25">
      <c r="B129" s="13"/>
      <c r="D129" s="13"/>
      <c r="E129" s="13"/>
      <c r="F129" s="14"/>
      <c r="G129" s="14"/>
      <c r="H129" s="13"/>
      <c r="I129" s="13"/>
      <c r="J129" s="14"/>
      <c r="K129" s="13"/>
      <c r="M129" s="13"/>
    </row>
    <row r="130" spans="2:13" ht="12.75" customHeight="1" x14ac:dyDescent="0.25">
      <c r="B130" s="13"/>
      <c r="D130" s="13"/>
      <c r="E130" s="13"/>
      <c r="F130" s="14"/>
      <c r="G130" s="14"/>
      <c r="H130" s="13"/>
      <c r="I130" s="13"/>
      <c r="J130" s="14"/>
      <c r="K130" s="13"/>
      <c r="M130" s="13"/>
    </row>
    <row r="131" spans="2:13" ht="12.75" customHeight="1" x14ac:dyDescent="0.25">
      <c r="B131" s="13"/>
      <c r="D131" s="13"/>
      <c r="E131" s="13"/>
      <c r="F131" s="14"/>
      <c r="G131" s="14"/>
      <c r="H131" s="13"/>
      <c r="I131" s="13"/>
      <c r="J131" s="14"/>
      <c r="K131" s="13"/>
      <c r="M131" s="13"/>
    </row>
    <row r="132" spans="2:13" ht="12.75" customHeight="1" x14ac:dyDescent="0.25">
      <c r="B132" s="13"/>
      <c r="D132" s="13"/>
      <c r="E132" s="13"/>
      <c r="F132" s="14"/>
      <c r="G132" s="14"/>
      <c r="H132" s="13"/>
      <c r="I132" s="13"/>
      <c r="J132" s="14"/>
      <c r="K132" s="13"/>
      <c r="M132" s="13"/>
    </row>
    <row r="133" spans="2:13" ht="12.75" customHeight="1" x14ac:dyDescent="0.25">
      <c r="B133" s="13"/>
      <c r="D133" s="13"/>
      <c r="E133" s="13"/>
      <c r="F133" s="14"/>
      <c r="G133" s="14"/>
      <c r="H133" s="13"/>
      <c r="I133" s="13"/>
      <c r="J133" s="14"/>
      <c r="K133" s="13"/>
      <c r="M133" s="13"/>
    </row>
    <row r="134" spans="2:13" ht="12.75" customHeight="1" x14ac:dyDescent="0.25">
      <c r="B134" s="13"/>
      <c r="D134" s="13"/>
      <c r="E134" s="13"/>
      <c r="F134" s="14"/>
      <c r="G134" s="14"/>
      <c r="H134" s="13"/>
      <c r="I134" s="13"/>
      <c r="J134" s="14"/>
      <c r="K134" s="13"/>
      <c r="M134" s="13"/>
    </row>
    <row r="135" spans="2:13" ht="12.75" customHeight="1" x14ac:dyDescent="0.25">
      <c r="B135" s="13"/>
      <c r="D135" s="13"/>
      <c r="E135" s="13"/>
      <c r="F135" s="14"/>
      <c r="G135" s="14"/>
      <c r="H135" s="13"/>
      <c r="I135" s="13"/>
      <c r="J135" s="14"/>
      <c r="K135" s="13"/>
      <c r="M135" s="13"/>
    </row>
    <row r="136" spans="2:13" ht="12.75" customHeight="1" x14ac:dyDescent="0.25">
      <c r="B136" s="13"/>
      <c r="D136" s="13"/>
      <c r="E136" s="13"/>
      <c r="F136" s="14"/>
      <c r="G136" s="14"/>
      <c r="H136" s="13"/>
      <c r="I136" s="13"/>
      <c r="J136" s="14"/>
      <c r="K136" s="13"/>
      <c r="M136" s="13"/>
    </row>
    <row r="137" spans="2:13" ht="12.75" customHeight="1" x14ac:dyDescent="0.25">
      <c r="B137" s="13"/>
      <c r="D137" s="13"/>
      <c r="E137" s="13"/>
      <c r="F137" s="14"/>
      <c r="G137" s="14"/>
      <c r="H137" s="13"/>
      <c r="I137" s="13"/>
      <c r="J137" s="14"/>
      <c r="K137" s="13"/>
      <c r="M137" s="13"/>
    </row>
    <row r="138" spans="2:13" ht="12.75" customHeight="1" x14ac:dyDescent="0.25">
      <c r="B138" s="13"/>
      <c r="D138" s="13"/>
      <c r="E138" s="13"/>
      <c r="F138" s="14"/>
      <c r="G138" s="14"/>
      <c r="H138" s="13"/>
      <c r="I138" s="13"/>
      <c r="J138" s="14"/>
      <c r="K138" s="13"/>
      <c r="M138" s="13"/>
    </row>
    <row r="139" spans="2:13" ht="12.75" customHeight="1" x14ac:dyDescent="0.25">
      <c r="B139" s="13"/>
      <c r="D139" s="13"/>
      <c r="E139" s="13"/>
      <c r="F139" s="14"/>
      <c r="G139" s="14"/>
      <c r="H139" s="13"/>
      <c r="I139" s="13"/>
      <c r="J139" s="14"/>
      <c r="K139" s="13"/>
      <c r="M139" s="13"/>
    </row>
    <row r="140" spans="2:13" ht="12.75" customHeight="1" x14ac:dyDescent="0.25">
      <c r="B140" s="13"/>
      <c r="D140" s="13"/>
      <c r="E140" s="13"/>
      <c r="F140" s="14"/>
      <c r="G140" s="14"/>
      <c r="H140" s="13"/>
      <c r="I140" s="13"/>
      <c r="J140" s="14"/>
      <c r="K140" s="13"/>
      <c r="M140" s="13"/>
    </row>
    <row r="141" spans="2:13" ht="12.75" customHeight="1" x14ac:dyDescent="0.25">
      <c r="B141" s="13"/>
      <c r="D141" s="13"/>
      <c r="E141" s="13"/>
      <c r="F141" s="14"/>
      <c r="G141" s="14"/>
      <c r="H141" s="13"/>
      <c r="I141" s="13"/>
      <c r="J141" s="14"/>
      <c r="K141" s="13"/>
      <c r="M141" s="13"/>
    </row>
    <row r="142" spans="2:13" ht="12.75" customHeight="1" x14ac:dyDescent="0.25">
      <c r="B142" s="13"/>
      <c r="D142" s="13"/>
      <c r="E142" s="13"/>
      <c r="F142" s="14"/>
      <c r="G142" s="14"/>
      <c r="H142" s="13"/>
      <c r="I142" s="13"/>
      <c r="J142" s="14"/>
      <c r="K142" s="13"/>
      <c r="M142" s="13"/>
    </row>
    <row r="143" spans="2:13" ht="12.75" customHeight="1" x14ac:dyDescent="0.25">
      <c r="B143" s="13"/>
      <c r="D143" s="13"/>
      <c r="E143" s="13"/>
      <c r="F143" s="14"/>
      <c r="G143" s="14"/>
      <c r="H143" s="13"/>
      <c r="I143" s="13"/>
      <c r="J143" s="14"/>
      <c r="K143" s="13"/>
      <c r="M143" s="13"/>
    </row>
    <row r="144" spans="2:13" ht="12.75" customHeight="1" x14ac:dyDescent="0.25">
      <c r="B144" s="13"/>
      <c r="D144" s="13"/>
      <c r="E144" s="13"/>
      <c r="F144" s="14"/>
      <c r="G144" s="14"/>
      <c r="H144" s="13"/>
      <c r="I144" s="13"/>
      <c r="J144" s="14"/>
      <c r="K144" s="13"/>
      <c r="M144" s="13"/>
    </row>
    <row r="145" spans="2:13" ht="12.75" customHeight="1" x14ac:dyDescent="0.25">
      <c r="B145" s="13"/>
      <c r="D145" s="13"/>
      <c r="E145" s="13"/>
      <c r="F145" s="14"/>
      <c r="G145" s="14"/>
      <c r="H145" s="13"/>
      <c r="I145" s="13"/>
      <c r="J145" s="14"/>
      <c r="K145" s="13"/>
      <c r="M145" s="13"/>
    </row>
    <row r="146" spans="2:13" ht="12.75" customHeight="1" x14ac:dyDescent="0.25">
      <c r="B146" s="13"/>
      <c r="D146" s="13"/>
      <c r="E146" s="13"/>
      <c r="F146" s="14"/>
      <c r="G146" s="14"/>
      <c r="H146" s="13"/>
      <c r="I146" s="13"/>
      <c r="J146" s="14"/>
      <c r="K146" s="13"/>
      <c r="M146" s="13"/>
    </row>
    <row r="147" spans="2:13" ht="12.75" customHeight="1" x14ac:dyDescent="0.25">
      <c r="B147" s="13"/>
      <c r="D147" s="13"/>
      <c r="E147" s="13"/>
      <c r="F147" s="14"/>
      <c r="G147" s="14"/>
      <c r="H147" s="13"/>
      <c r="I147" s="13"/>
      <c r="J147" s="14"/>
      <c r="K147" s="13"/>
      <c r="M147" s="13"/>
    </row>
    <row r="148" spans="2:13" ht="12.75" customHeight="1" x14ac:dyDescent="0.25">
      <c r="B148" s="13"/>
      <c r="D148" s="13"/>
      <c r="E148" s="13"/>
      <c r="F148" s="14"/>
      <c r="G148" s="14"/>
      <c r="H148" s="13"/>
      <c r="I148" s="13"/>
      <c r="J148" s="14"/>
      <c r="K148" s="13"/>
      <c r="M148" s="13"/>
    </row>
    <row r="149" spans="2:13" ht="12.75" customHeight="1" x14ac:dyDescent="0.25">
      <c r="B149" s="13"/>
      <c r="D149" s="13"/>
      <c r="E149" s="13"/>
      <c r="F149" s="14"/>
      <c r="G149" s="14"/>
      <c r="H149" s="13"/>
      <c r="I149" s="13"/>
      <c r="J149" s="14"/>
      <c r="K149" s="13"/>
      <c r="M149" s="13"/>
    </row>
    <row r="150" spans="2:13" ht="12.75" customHeight="1" x14ac:dyDescent="0.25">
      <c r="B150" s="13"/>
      <c r="D150" s="13"/>
      <c r="E150" s="13"/>
      <c r="F150" s="14"/>
      <c r="G150" s="14"/>
      <c r="H150" s="13"/>
      <c r="I150" s="13"/>
      <c r="J150" s="14"/>
      <c r="K150" s="13"/>
      <c r="M150" s="13"/>
    </row>
    <row r="151" spans="2:13" ht="12.75" customHeight="1" x14ac:dyDescent="0.25">
      <c r="B151" s="13"/>
      <c r="D151" s="13"/>
      <c r="E151" s="13"/>
      <c r="F151" s="14"/>
      <c r="G151" s="14"/>
      <c r="H151" s="13"/>
      <c r="I151" s="13"/>
      <c r="J151" s="14"/>
      <c r="K151" s="13"/>
      <c r="M151" s="13"/>
    </row>
    <row r="152" spans="2:13" ht="12.75" customHeight="1" x14ac:dyDescent="0.25">
      <c r="B152" s="13"/>
      <c r="D152" s="13"/>
      <c r="E152" s="13"/>
      <c r="F152" s="14"/>
      <c r="G152" s="14"/>
      <c r="H152" s="13"/>
      <c r="I152" s="13"/>
      <c r="J152" s="14"/>
      <c r="K152" s="13"/>
      <c r="M152" s="13"/>
    </row>
    <row r="153" spans="2:13" ht="12.75" customHeight="1" x14ac:dyDescent="0.25">
      <c r="B153" s="13"/>
      <c r="D153" s="13"/>
      <c r="E153" s="13"/>
      <c r="F153" s="14"/>
      <c r="G153" s="14"/>
      <c r="H153" s="13"/>
      <c r="I153" s="13"/>
      <c r="J153" s="14"/>
      <c r="K153" s="13"/>
      <c r="M153" s="13"/>
    </row>
    <row r="154" spans="2:13" ht="12.75" customHeight="1" x14ac:dyDescent="0.25">
      <c r="B154" s="13"/>
      <c r="D154" s="13"/>
      <c r="E154" s="13"/>
      <c r="F154" s="14"/>
      <c r="G154" s="14"/>
      <c r="H154" s="13"/>
      <c r="I154" s="13"/>
      <c r="J154" s="14"/>
      <c r="K154" s="13"/>
      <c r="M154" s="13"/>
    </row>
    <row r="155" spans="2:13" ht="12.75" customHeight="1" x14ac:dyDescent="0.25">
      <c r="B155" s="13"/>
      <c r="D155" s="13"/>
      <c r="E155" s="13"/>
      <c r="F155" s="14"/>
      <c r="G155" s="14"/>
      <c r="H155" s="13"/>
      <c r="I155" s="13"/>
      <c r="J155" s="14"/>
      <c r="K155" s="13"/>
      <c r="M155" s="13"/>
    </row>
    <row r="156" spans="2:13" ht="12.75" customHeight="1" x14ac:dyDescent="0.25">
      <c r="B156" s="13"/>
      <c r="D156" s="13"/>
      <c r="E156" s="13"/>
      <c r="F156" s="14"/>
      <c r="G156" s="14"/>
      <c r="H156" s="13"/>
      <c r="I156" s="13"/>
      <c r="J156" s="14"/>
      <c r="K156" s="13"/>
      <c r="M156" s="13"/>
    </row>
    <row r="157" spans="2:13" ht="12.75" customHeight="1" x14ac:dyDescent="0.25">
      <c r="B157" s="13"/>
      <c r="D157" s="13"/>
      <c r="E157" s="13"/>
      <c r="F157" s="14"/>
      <c r="G157" s="14"/>
      <c r="H157" s="13"/>
      <c r="I157" s="13"/>
      <c r="J157" s="14"/>
      <c r="K157" s="13"/>
      <c r="M157" s="13"/>
    </row>
    <row r="158" spans="2:13" ht="12.75" customHeight="1" x14ac:dyDescent="0.25">
      <c r="B158" s="13"/>
      <c r="D158" s="13"/>
      <c r="E158" s="13"/>
      <c r="F158" s="14"/>
      <c r="G158" s="14"/>
      <c r="H158" s="13"/>
      <c r="I158" s="13"/>
      <c r="J158" s="14"/>
      <c r="K158" s="13"/>
      <c r="M158" s="13"/>
    </row>
    <row r="159" spans="2:13" ht="12.75" customHeight="1" x14ac:dyDescent="0.25">
      <c r="B159" s="13"/>
      <c r="D159" s="13"/>
      <c r="E159" s="13"/>
      <c r="F159" s="14"/>
      <c r="G159" s="14"/>
      <c r="H159" s="13"/>
      <c r="I159" s="13"/>
      <c r="J159" s="14"/>
      <c r="K159" s="13"/>
      <c r="M159" s="13"/>
    </row>
    <row r="160" spans="2:13" ht="12.75" customHeight="1" x14ac:dyDescent="0.25">
      <c r="B160" s="13"/>
      <c r="D160" s="13"/>
      <c r="E160" s="13"/>
      <c r="F160" s="14"/>
      <c r="G160" s="14"/>
      <c r="H160" s="13"/>
      <c r="I160" s="13"/>
      <c r="J160" s="14"/>
      <c r="K160" s="13"/>
      <c r="M160" s="13"/>
    </row>
    <row r="161" spans="2:13" ht="12.75" customHeight="1" x14ac:dyDescent="0.25">
      <c r="B161" s="13"/>
      <c r="D161" s="13"/>
      <c r="E161" s="13"/>
      <c r="F161" s="14"/>
      <c r="G161" s="14"/>
      <c r="H161" s="13"/>
      <c r="I161" s="13"/>
      <c r="J161" s="14"/>
      <c r="K161" s="13"/>
      <c r="M161" s="13"/>
    </row>
    <row r="162" spans="2:13" ht="12.75" customHeight="1" x14ac:dyDescent="0.25">
      <c r="B162" s="13"/>
      <c r="D162" s="13"/>
      <c r="E162" s="13"/>
      <c r="F162" s="14"/>
      <c r="G162" s="14"/>
      <c r="H162" s="13"/>
      <c r="I162" s="13"/>
      <c r="J162" s="14"/>
      <c r="K162" s="13"/>
      <c r="M162" s="13"/>
    </row>
    <row r="163" spans="2:13" ht="12.75" customHeight="1" x14ac:dyDescent="0.25">
      <c r="B163" s="13"/>
      <c r="D163" s="13"/>
      <c r="E163" s="13"/>
      <c r="F163" s="14"/>
      <c r="G163" s="14"/>
      <c r="H163" s="13"/>
      <c r="I163" s="13"/>
      <c r="J163" s="14"/>
      <c r="K163" s="13"/>
      <c r="M163" s="13"/>
    </row>
    <row r="164" spans="2:13" ht="12.75" customHeight="1" x14ac:dyDescent="0.25">
      <c r="B164" s="13"/>
      <c r="D164" s="13"/>
      <c r="E164" s="13"/>
      <c r="F164" s="14"/>
      <c r="G164" s="14"/>
      <c r="H164" s="13"/>
      <c r="I164" s="13"/>
      <c r="J164" s="14"/>
      <c r="K164" s="13"/>
      <c r="M164" s="13"/>
    </row>
    <row r="165" spans="2:13" ht="12.75" customHeight="1" x14ac:dyDescent="0.25">
      <c r="B165" s="13"/>
      <c r="D165" s="13"/>
      <c r="E165" s="13"/>
      <c r="F165" s="14"/>
      <c r="G165" s="14"/>
      <c r="H165" s="13"/>
      <c r="I165" s="13"/>
      <c r="J165" s="14"/>
      <c r="K165" s="13"/>
      <c r="M165" s="13"/>
    </row>
    <row r="166" spans="2:13" ht="12.75" customHeight="1" x14ac:dyDescent="0.25">
      <c r="B166" s="13"/>
      <c r="D166" s="13"/>
      <c r="E166" s="13"/>
      <c r="F166" s="14"/>
      <c r="G166" s="14"/>
      <c r="H166" s="13"/>
      <c r="I166" s="13"/>
      <c r="J166" s="14"/>
      <c r="K166" s="13"/>
      <c r="M166" s="13"/>
    </row>
    <row r="167" spans="2:13" ht="12.75" customHeight="1" x14ac:dyDescent="0.25">
      <c r="B167" s="13"/>
      <c r="D167" s="13"/>
      <c r="E167" s="13"/>
      <c r="F167" s="14"/>
      <c r="G167" s="14"/>
      <c r="H167" s="13"/>
      <c r="I167" s="13"/>
      <c r="J167" s="14"/>
      <c r="K167" s="13"/>
      <c r="M167" s="13"/>
    </row>
    <row r="168" spans="2:13" ht="12.75" customHeight="1" x14ac:dyDescent="0.25">
      <c r="B168" s="13"/>
      <c r="D168" s="13"/>
      <c r="E168" s="13"/>
      <c r="F168" s="14"/>
      <c r="G168" s="14"/>
      <c r="H168" s="13"/>
      <c r="I168" s="13"/>
      <c r="J168" s="14"/>
      <c r="K168" s="13"/>
      <c r="M168" s="13"/>
    </row>
    <row r="169" spans="2:13" ht="12.75" customHeight="1" x14ac:dyDescent="0.25">
      <c r="B169" s="13"/>
      <c r="D169" s="13"/>
      <c r="E169" s="13"/>
      <c r="F169" s="14"/>
      <c r="G169" s="14"/>
      <c r="H169" s="13"/>
      <c r="I169" s="13"/>
      <c r="J169" s="14"/>
      <c r="K169" s="13"/>
      <c r="M169" s="13"/>
    </row>
    <row r="170" spans="2:13" ht="12.75" customHeight="1" x14ac:dyDescent="0.25">
      <c r="B170" s="13"/>
      <c r="D170" s="13"/>
      <c r="E170" s="13"/>
      <c r="F170" s="14"/>
      <c r="G170" s="14"/>
      <c r="H170" s="13"/>
      <c r="I170" s="13"/>
      <c r="J170" s="14"/>
      <c r="K170" s="13"/>
      <c r="M170" s="13"/>
    </row>
    <row r="171" spans="2:13" ht="12.75" customHeight="1" x14ac:dyDescent="0.25">
      <c r="B171" s="13"/>
      <c r="D171" s="13"/>
      <c r="E171" s="13"/>
      <c r="F171" s="14"/>
      <c r="G171" s="14"/>
      <c r="H171" s="13"/>
      <c r="I171" s="13"/>
      <c r="J171" s="14"/>
      <c r="K171" s="13"/>
      <c r="M171" s="13"/>
    </row>
    <row r="172" spans="2:13" ht="12.75" customHeight="1" x14ac:dyDescent="0.25">
      <c r="B172" s="13"/>
      <c r="D172" s="13"/>
      <c r="E172" s="13"/>
      <c r="F172" s="14"/>
      <c r="G172" s="14"/>
      <c r="H172" s="13"/>
      <c r="I172" s="13"/>
      <c r="J172" s="14"/>
      <c r="K172" s="13"/>
      <c r="M172" s="13"/>
    </row>
    <row r="173" spans="2:13" ht="12.75" customHeight="1" x14ac:dyDescent="0.25">
      <c r="B173" s="13"/>
      <c r="D173" s="13"/>
      <c r="E173" s="13"/>
      <c r="F173" s="14"/>
      <c r="G173" s="14"/>
      <c r="H173" s="13"/>
      <c r="I173" s="13"/>
      <c r="J173" s="14"/>
      <c r="K173" s="13"/>
      <c r="M173" s="13"/>
    </row>
    <row r="174" spans="2:13" ht="12.75" customHeight="1" x14ac:dyDescent="0.25">
      <c r="B174" s="13"/>
      <c r="D174" s="13"/>
      <c r="E174" s="13"/>
      <c r="F174" s="14"/>
      <c r="G174" s="14"/>
      <c r="H174" s="13"/>
      <c r="I174" s="13"/>
      <c r="J174" s="14"/>
      <c r="K174" s="13"/>
      <c r="M174" s="13"/>
    </row>
    <row r="175" spans="2:13" ht="12.75" customHeight="1" x14ac:dyDescent="0.25">
      <c r="B175" s="13"/>
      <c r="D175" s="13"/>
      <c r="E175" s="13"/>
      <c r="F175" s="14"/>
      <c r="G175" s="14"/>
      <c r="H175" s="13"/>
      <c r="I175" s="13"/>
      <c r="J175" s="14"/>
      <c r="K175" s="13"/>
      <c r="M175" s="13"/>
    </row>
    <row r="176" spans="2:13" ht="12.75" customHeight="1" x14ac:dyDescent="0.25">
      <c r="B176" s="13"/>
      <c r="D176" s="13"/>
      <c r="E176" s="13"/>
      <c r="F176" s="14"/>
      <c r="G176" s="14"/>
      <c r="H176" s="13"/>
      <c r="I176" s="13"/>
      <c r="J176" s="14"/>
      <c r="K176" s="13"/>
      <c r="M176" s="13"/>
    </row>
    <row r="177" spans="2:13" ht="12.75" customHeight="1" x14ac:dyDescent="0.25">
      <c r="B177" s="13"/>
      <c r="D177" s="13"/>
      <c r="E177" s="13"/>
      <c r="F177" s="14"/>
      <c r="G177" s="14"/>
      <c r="H177" s="13"/>
      <c r="I177" s="13"/>
      <c r="J177" s="14"/>
      <c r="K177" s="13"/>
      <c r="M177" s="13"/>
    </row>
    <row r="178" spans="2:13" ht="12.75" customHeight="1" x14ac:dyDescent="0.25">
      <c r="B178" s="13"/>
      <c r="D178" s="13"/>
      <c r="E178" s="13"/>
      <c r="F178" s="14"/>
      <c r="G178" s="14"/>
      <c r="H178" s="13"/>
      <c r="I178" s="13"/>
      <c r="J178" s="14"/>
      <c r="K178" s="13"/>
      <c r="M178" s="13"/>
    </row>
    <row r="179" spans="2:13" ht="12.75" customHeight="1" x14ac:dyDescent="0.25">
      <c r="B179" s="13"/>
      <c r="D179" s="13"/>
      <c r="E179" s="13"/>
      <c r="F179" s="14"/>
      <c r="G179" s="14"/>
      <c r="H179" s="13"/>
      <c r="I179" s="13"/>
      <c r="J179" s="14"/>
      <c r="K179" s="13"/>
      <c r="M179" s="13"/>
    </row>
    <row r="180" spans="2:13" ht="12.75" customHeight="1" x14ac:dyDescent="0.25">
      <c r="B180" s="13"/>
      <c r="D180" s="13"/>
      <c r="E180" s="13"/>
      <c r="F180" s="14"/>
      <c r="G180" s="14"/>
      <c r="H180" s="13"/>
      <c r="I180" s="13"/>
      <c r="J180" s="14"/>
      <c r="K180" s="13"/>
      <c r="M180" s="13"/>
    </row>
    <row r="181" spans="2:13" ht="12.75" customHeight="1" x14ac:dyDescent="0.25">
      <c r="B181" s="13"/>
      <c r="D181" s="13"/>
      <c r="E181" s="13"/>
      <c r="F181" s="14"/>
      <c r="G181" s="14"/>
      <c r="H181" s="13"/>
      <c r="I181" s="13"/>
      <c r="J181" s="14"/>
      <c r="K181" s="13"/>
      <c r="M181" s="13"/>
    </row>
    <row r="182" spans="2:13" ht="12.75" customHeight="1" x14ac:dyDescent="0.25">
      <c r="B182" s="13"/>
      <c r="D182" s="13"/>
      <c r="E182" s="13"/>
      <c r="F182" s="14"/>
      <c r="G182" s="14"/>
      <c r="H182" s="13"/>
      <c r="I182" s="13"/>
      <c r="J182" s="14"/>
      <c r="K182" s="13"/>
      <c r="M182" s="13"/>
    </row>
    <row r="183" spans="2:13" ht="12.75" customHeight="1" x14ac:dyDescent="0.25">
      <c r="B183" s="13"/>
      <c r="D183" s="13"/>
      <c r="E183" s="13"/>
      <c r="F183" s="14"/>
      <c r="G183" s="14"/>
      <c r="H183" s="13"/>
      <c r="I183" s="13"/>
      <c r="J183" s="14"/>
      <c r="K183" s="13"/>
      <c r="M183" s="13"/>
    </row>
    <row r="184" spans="2:13" ht="12.75" customHeight="1" x14ac:dyDescent="0.25">
      <c r="B184" s="13"/>
      <c r="D184" s="13"/>
      <c r="E184" s="13"/>
      <c r="F184" s="14"/>
      <c r="G184" s="14"/>
      <c r="H184" s="13"/>
      <c r="I184" s="13"/>
      <c r="J184" s="14"/>
      <c r="K184" s="13"/>
      <c r="M184" s="13"/>
    </row>
    <row r="185" spans="2:13" ht="12.75" customHeight="1" x14ac:dyDescent="0.25">
      <c r="B185" s="13"/>
      <c r="D185" s="13"/>
      <c r="E185" s="13"/>
      <c r="F185" s="14"/>
      <c r="G185" s="14"/>
      <c r="H185" s="13"/>
      <c r="I185" s="13"/>
      <c r="J185" s="14"/>
      <c r="K185" s="13"/>
      <c r="M185" s="13"/>
    </row>
    <row r="186" spans="2:13" ht="12.75" customHeight="1" x14ac:dyDescent="0.25">
      <c r="B186" s="13"/>
      <c r="D186" s="13"/>
      <c r="E186" s="13"/>
      <c r="F186" s="14"/>
      <c r="G186" s="14"/>
      <c r="H186" s="13"/>
      <c r="I186" s="13"/>
      <c r="J186" s="14"/>
      <c r="K186" s="13"/>
      <c r="M186" s="13"/>
    </row>
    <row r="187" spans="2:13" ht="12.75" customHeight="1" x14ac:dyDescent="0.25">
      <c r="B187" s="13"/>
      <c r="D187" s="13"/>
      <c r="E187" s="13"/>
      <c r="F187" s="14"/>
      <c r="G187" s="14"/>
      <c r="H187" s="13"/>
      <c r="I187" s="13"/>
      <c r="J187" s="14"/>
      <c r="K187" s="13"/>
      <c r="M187" s="13"/>
    </row>
    <row r="188" spans="2:13" ht="12.75" customHeight="1" x14ac:dyDescent="0.25">
      <c r="B188" s="13"/>
      <c r="D188" s="13"/>
      <c r="E188" s="13"/>
      <c r="F188" s="14"/>
      <c r="G188" s="14"/>
      <c r="H188" s="13"/>
      <c r="I188" s="13"/>
      <c r="J188" s="14"/>
      <c r="K188" s="13"/>
      <c r="M188" s="13"/>
    </row>
    <row r="189" spans="2:13" ht="12.75" customHeight="1" x14ac:dyDescent="0.25">
      <c r="B189" s="13"/>
      <c r="D189" s="13"/>
      <c r="E189" s="13"/>
      <c r="F189" s="14"/>
      <c r="G189" s="14"/>
      <c r="H189" s="13"/>
      <c r="I189" s="13"/>
      <c r="J189" s="14"/>
      <c r="K189" s="13"/>
      <c r="M189" s="13"/>
    </row>
    <row r="190" spans="2:13" ht="12.75" customHeight="1" x14ac:dyDescent="0.25">
      <c r="B190" s="13"/>
      <c r="D190" s="13"/>
      <c r="E190" s="13"/>
      <c r="F190" s="14"/>
      <c r="G190" s="14"/>
      <c r="H190" s="13"/>
      <c r="I190" s="13"/>
      <c r="J190" s="14"/>
      <c r="K190" s="13"/>
      <c r="M190" s="13"/>
    </row>
    <row r="191" spans="2:13" ht="12.75" customHeight="1" x14ac:dyDescent="0.25">
      <c r="B191" s="13"/>
      <c r="D191" s="13"/>
      <c r="E191" s="13"/>
      <c r="F191" s="14"/>
      <c r="G191" s="14"/>
      <c r="H191" s="13"/>
      <c r="I191" s="13"/>
      <c r="J191" s="14"/>
      <c r="K191" s="13"/>
      <c r="M191" s="13"/>
    </row>
    <row r="192" spans="2:13" ht="12.75" customHeight="1" x14ac:dyDescent="0.25">
      <c r="B192" s="13"/>
      <c r="D192" s="13"/>
      <c r="E192" s="13"/>
      <c r="F192" s="14"/>
      <c r="G192" s="14"/>
      <c r="H192" s="13"/>
      <c r="I192" s="13"/>
      <c r="J192" s="14"/>
      <c r="K192" s="13"/>
      <c r="M192" s="13"/>
    </row>
    <row r="193" spans="2:13" ht="12.75" customHeight="1" x14ac:dyDescent="0.25">
      <c r="B193" s="13"/>
      <c r="D193" s="13"/>
      <c r="E193" s="13"/>
      <c r="F193" s="14"/>
      <c r="G193" s="14"/>
      <c r="H193" s="13"/>
      <c r="I193" s="13"/>
      <c r="J193" s="14"/>
      <c r="K193" s="13"/>
      <c r="M193" s="13"/>
    </row>
    <row r="194" spans="2:13" ht="12.75" customHeight="1" x14ac:dyDescent="0.25">
      <c r="B194" s="13"/>
      <c r="D194" s="13"/>
      <c r="E194" s="13"/>
      <c r="F194" s="14"/>
      <c r="G194" s="14"/>
      <c r="H194" s="13"/>
      <c r="I194" s="13"/>
      <c r="J194" s="14"/>
      <c r="K194" s="13"/>
      <c r="M194" s="13"/>
    </row>
    <row r="195" spans="2:13" ht="12.75" customHeight="1" x14ac:dyDescent="0.25">
      <c r="B195" s="13"/>
      <c r="D195" s="13"/>
      <c r="E195" s="13"/>
      <c r="F195" s="14"/>
      <c r="G195" s="14"/>
      <c r="H195" s="13"/>
      <c r="I195" s="13"/>
      <c r="J195" s="14"/>
      <c r="K195" s="13"/>
      <c r="M195" s="13"/>
    </row>
    <row r="196" spans="2:13" ht="12.75" customHeight="1" x14ac:dyDescent="0.25">
      <c r="B196" s="13"/>
      <c r="D196" s="13"/>
      <c r="E196" s="13"/>
      <c r="F196" s="14"/>
      <c r="G196" s="14"/>
      <c r="H196" s="13"/>
      <c r="I196" s="13"/>
      <c r="J196" s="14"/>
      <c r="K196" s="13"/>
      <c r="M196" s="13"/>
    </row>
    <row r="197" spans="2:13" ht="12.75" customHeight="1" x14ac:dyDescent="0.25">
      <c r="B197" s="13"/>
      <c r="D197" s="13"/>
      <c r="E197" s="13"/>
      <c r="F197" s="14"/>
      <c r="G197" s="14"/>
      <c r="H197" s="13"/>
      <c r="I197" s="13"/>
      <c r="J197" s="14"/>
      <c r="K197" s="13"/>
      <c r="M197" s="13"/>
    </row>
    <row r="198" spans="2:13" ht="12.75" customHeight="1" x14ac:dyDescent="0.25">
      <c r="B198" s="13"/>
      <c r="D198" s="13"/>
      <c r="E198" s="13"/>
      <c r="F198" s="14"/>
      <c r="G198" s="14"/>
      <c r="H198" s="13"/>
      <c r="I198" s="13"/>
      <c r="J198" s="14"/>
      <c r="K198" s="13"/>
      <c r="M198" s="13"/>
    </row>
    <row r="199" spans="2:13" ht="12.75" customHeight="1" x14ac:dyDescent="0.25">
      <c r="B199" s="13"/>
      <c r="D199" s="13"/>
      <c r="E199" s="13"/>
      <c r="F199" s="14"/>
      <c r="G199" s="14"/>
      <c r="H199" s="13"/>
      <c r="I199" s="13"/>
      <c r="J199" s="14"/>
      <c r="K199" s="13"/>
      <c r="M199" s="13"/>
    </row>
    <row r="200" spans="2:13" ht="12.75" customHeight="1" x14ac:dyDescent="0.25">
      <c r="B200" s="13"/>
      <c r="D200" s="13"/>
      <c r="E200" s="13"/>
      <c r="F200" s="14"/>
      <c r="G200" s="14"/>
      <c r="H200" s="13"/>
      <c r="I200" s="13"/>
      <c r="J200" s="14"/>
      <c r="K200" s="13"/>
      <c r="M200" s="13"/>
    </row>
    <row r="201" spans="2:13" ht="12.75" customHeight="1" x14ac:dyDescent="0.25">
      <c r="B201" s="13"/>
      <c r="D201" s="13"/>
      <c r="E201" s="13"/>
      <c r="F201" s="14"/>
      <c r="G201" s="14"/>
      <c r="H201" s="13"/>
      <c r="I201" s="13"/>
      <c r="J201" s="14"/>
      <c r="K201" s="13"/>
      <c r="M201" s="13"/>
    </row>
    <row r="202" spans="2:13" ht="12.75" customHeight="1" x14ac:dyDescent="0.25">
      <c r="B202" s="13"/>
      <c r="D202" s="13"/>
      <c r="E202" s="13"/>
      <c r="F202" s="14"/>
      <c r="G202" s="14"/>
      <c r="H202" s="13"/>
      <c r="I202" s="13"/>
      <c r="J202" s="14"/>
      <c r="K202" s="13"/>
      <c r="M202" s="13"/>
    </row>
    <row r="203" spans="2:13" ht="12.75" customHeight="1" x14ac:dyDescent="0.25">
      <c r="B203" s="13"/>
      <c r="D203" s="13"/>
      <c r="E203" s="13"/>
      <c r="F203" s="14"/>
      <c r="G203" s="14"/>
      <c r="H203" s="13"/>
      <c r="I203" s="13"/>
      <c r="J203" s="14"/>
      <c r="K203" s="13"/>
      <c r="M203" s="13"/>
    </row>
    <row r="204" spans="2:13" ht="12.75" customHeight="1" x14ac:dyDescent="0.25">
      <c r="B204" s="13"/>
      <c r="D204" s="13"/>
      <c r="E204" s="13"/>
      <c r="F204" s="14"/>
      <c r="G204" s="14"/>
      <c r="H204" s="13"/>
      <c r="I204" s="13"/>
      <c r="J204" s="14"/>
      <c r="K204" s="13"/>
      <c r="M204" s="13"/>
    </row>
    <row r="205" spans="2:13" ht="12.75" customHeight="1" x14ac:dyDescent="0.25">
      <c r="B205" s="13"/>
      <c r="D205" s="13"/>
      <c r="E205" s="13"/>
      <c r="F205" s="14"/>
      <c r="G205" s="14"/>
      <c r="H205" s="13"/>
      <c r="I205" s="13"/>
      <c r="J205" s="14"/>
      <c r="K205" s="13"/>
      <c r="M205" s="13"/>
    </row>
    <row r="206" spans="2:13" ht="12.75" customHeight="1" x14ac:dyDescent="0.25">
      <c r="B206" s="13"/>
      <c r="D206" s="13"/>
      <c r="E206" s="13"/>
      <c r="F206" s="14"/>
      <c r="G206" s="14"/>
      <c r="H206" s="13"/>
      <c r="I206" s="13"/>
      <c r="J206" s="14"/>
      <c r="K206" s="13"/>
      <c r="M206" s="13"/>
    </row>
    <row r="207" spans="2:13" ht="12.75" customHeight="1" x14ac:dyDescent="0.25">
      <c r="B207" s="13"/>
      <c r="D207" s="13"/>
      <c r="E207" s="13"/>
      <c r="F207" s="14"/>
      <c r="G207" s="14"/>
      <c r="H207" s="13"/>
      <c r="I207" s="13"/>
      <c r="J207" s="14"/>
      <c r="K207" s="13"/>
      <c r="M207" s="13"/>
    </row>
    <row r="208" spans="2:13" ht="12.75" customHeight="1" x14ac:dyDescent="0.25">
      <c r="B208" s="13"/>
      <c r="D208" s="13"/>
      <c r="E208" s="13"/>
      <c r="F208" s="14"/>
      <c r="G208" s="14"/>
      <c r="H208" s="13"/>
      <c r="I208" s="13"/>
      <c r="J208" s="14"/>
      <c r="K208" s="13"/>
      <c r="M208" s="13"/>
    </row>
    <row r="209" spans="2:13" ht="12.75" customHeight="1" x14ac:dyDescent="0.25">
      <c r="B209" s="13"/>
      <c r="D209" s="13"/>
      <c r="E209" s="13"/>
      <c r="F209" s="14"/>
      <c r="G209" s="14"/>
      <c r="H209" s="13"/>
      <c r="I209" s="13"/>
      <c r="J209" s="14"/>
      <c r="K209" s="13"/>
      <c r="M209" s="13"/>
    </row>
    <row r="210" spans="2:13" ht="12.75" customHeight="1" x14ac:dyDescent="0.25">
      <c r="B210" s="13"/>
      <c r="D210" s="13"/>
      <c r="E210" s="13"/>
      <c r="F210" s="14"/>
      <c r="G210" s="14"/>
      <c r="H210" s="13"/>
      <c r="I210" s="13"/>
      <c r="J210" s="14"/>
      <c r="K210" s="13"/>
      <c r="M210" s="13"/>
    </row>
    <row r="211" spans="2:13" ht="12.75" customHeight="1" x14ac:dyDescent="0.25">
      <c r="B211" s="13"/>
      <c r="D211" s="13"/>
      <c r="E211" s="13"/>
      <c r="F211" s="14"/>
      <c r="G211" s="14"/>
      <c r="H211" s="13"/>
      <c r="I211" s="13"/>
      <c r="J211" s="14"/>
      <c r="K211" s="13"/>
      <c r="M211" s="13"/>
    </row>
    <row r="212" spans="2:13" ht="12.75" customHeight="1" x14ac:dyDescent="0.25">
      <c r="B212" s="13"/>
      <c r="D212" s="13"/>
      <c r="E212" s="13"/>
      <c r="F212" s="14"/>
      <c r="G212" s="14"/>
      <c r="H212" s="13"/>
      <c r="I212" s="13"/>
      <c r="J212" s="14"/>
      <c r="K212" s="13"/>
      <c r="M212" s="13"/>
    </row>
    <row r="213" spans="2:13" ht="12.75" customHeight="1" x14ac:dyDescent="0.25">
      <c r="B213" s="13"/>
      <c r="D213" s="13"/>
      <c r="E213" s="13"/>
      <c r="F213" s="14"/>
      <c r="G213" s="14"/>
      <c r="H213" s="13"/>
      <c r="I213" s="13"/>
      <c r="J213" s="14"/>
      <c r="K213" s="13"/>
      <c r="M213" s="13"/>
    </row>
    <row r="214" spans="2:13" ht="12.75" customHeight="1" x14ac:dyDescent="0.25">
      <c r="B214" s="13"/>
      <c r="D214" s="13"/>
      <c r="E214" s="13"/>
      <c r="F214" s="14"/>
      <c r="G214" s="14"/>
      <c r="H214" s="13"/>
      <c r="I214" s="13"/>
      <c r="J214" s="14"/>
      <c r="K214" s="13"/>
      <c r="M214" s="13"/>
    </row>
    <row r="215" spans="2:13" ht="12.75" customHeight="1" x14ac:dyDescent="0.25">
      <c r="B215" s="13"/>
      <c r="D215" s="13"/>
      <c r="E215" s="13"/>
      <c r="F215" s="14"/>
      <c r="G215" s="14"/>
      <c r="H215" s="13"/>
      <c r="I215" s="13"/>
      <c r="J215" s="14"/>
      <c r="K215" s="13"/>
      <c r="M215" s="13"/>
    </row>
    <row r="216" spans="2:13" ht="12.75" customHeight="1" x14ac:dyDescent="0.25">
      <c r="B216" s="13"/>
      <c r="D216" s="13"/>
      <c r="E216" s="13"/>
      <c r="F216" s="14"/>
      <c r="G216" s="14"/>
      <c r="H216" s="13"/>
      <c r="I216" s="13"/>
      <c r="J216" s="14"/>
      <c r="K216" s="13"/>
      <c r="M216" s="13"/>
    </row>
    <row r="217" spans="2:13" ht="12.75" customHeight="1" x14ac:dyDescent="0.25">
      <c r="B217" s="13"/>
      <c r="D217" s="13"/>
      <c r="E217" s="13"/>
      <c r="F217" s="14"/>
      <c r="G217" s="14"/>
      <c r="H217" s="13"/>
      <c r="I217" s="13"/>
      <c r="J217" s="14"/>
      <c r="K217" s="13"/>
      <c r="M217" s="13"/>
    </row>
    <row r="218" spans="2:13" ht="12.75" customHeight="1" x14ac:dyDescent="0.25">
      <c r="B218" s="13"/>
      <c r="D218" s="13"/>
      <c r="E218" s="13"/>
      <c r="F218" s="14"/>
      <c r="G218" s="14"/>
      <c r="H218" s="13"/>
      <c r="I218" s="13"/>
      <c r="J218" s="14"/>
      <c r="K218" s="13"/>
      <c r="M218" s="13"/>
    </row>
    <row r="219" spans="2:13" ht="12.75" customHeight="1" x14ac:dyDescent="0.25">
      <c r="B219" s="13"/>
      <c r="D219" s="13"/>
      <c r="E219" s="13"/>
      <c r="F219" s="14"/>
      <c r="G219" s="14"/>
      <c r="H219" s="13"/>
      <c r="I219" s="13"/>
      <c r="J219" s="14"/>
      <c r="K219" s="13"/>
      <c r="M219" s="13"/>
    </row>
    <row r="220" spans="2:13" ht="12.75" customHeight="1" x14ac:dyDescent="0.25">
      <c r="B220" s="13"/>
      <c r="D220" s="13"/>
      <c r="E220" s="13"/>
      <c r="F220" s="14"/>
      <c r="G220" s="14"/>
      <c r="H220" s="13"/>
      <c r="I220" s="13"/>
      <c r="J220" s="14"/>
      <c r="K220" s="13"/>
      <c r="M220" s="13"/>
    </row>
    <row r="221" spans="2:13" ht="12.75" customHeight="1" x14ac:dyDescent="0.25">
      <c r="B221" s="13"/>
      <c r="D221" s="13"/>
      <c r="E221" s="13"/>
      <c r="F221" s="14"/>
      <c r="G221" s="14"/>
      <c r="H221" s="13"/>
      <c r="I221" s="13"/>
      <c r="J221" s="14"/>
      <c r="K221" s="13"/>
      <c r="M221" s="13"/>
    </row>
    <row r="222" spans="2:13" ht="12.75" customHeight="1" x14ac:dyDescent="0.25">
      <c r="B222" s="13"/>
      <c r="D222" s="13"/>
      <c r="E222" s="13"/>
      <c r="F222" s="14"/>
      <c r="G222" s="14"/>
      <c r="H222" s="13"/>
      <c r="I222" s="13"/>
      <c r="J222" s="14"/>
      <c r="K222" s="13"/>
      <c r="M222" s="13"/>
    </row>
    <row r="223" spans="2:13" ht="12.75" customHeight="1" x14ac:dyDescent="0.25">
      <c r="B223" s="13"/>
      <c r="D223" s="13"/>
      <c r="E223" s="13"/>
      <c r="F223" s="14"/>
      <c r="G223" s="14"/>
      <c r="H223" s="13"/>
      <c r="I223" s="13"/>
      <c r="J223" s="14"/>
      <c r="K223" s="13"/>
      <c r="M223" s="13"/>
    </row>
    <row r="224" spans="2:13" ht="12.75" customHeight="1" x14ac:dyDescent="0.25">
      <c r="B224" s="13"/>
      <c r="D224" s="13"/>
      <c r="E224" s="13"/>
      <c r="F224" s="14"/>
      <c r="G224" s="14"/>
      <c r="H224" s="13"/>
      <c r="I224" s="13"/>
      <c r="J224" s="14"/>
      <c r="K224" s="13"/>
      <c r="M224" s="13"/>
    </row>
    <row r="225" spans="2:13" ht="12.75" customHeight="1" x14ac:dyDescent="0.25">
      <c r="B225" s="13"/>
      <c r="D225" s="13"/>
      <c r="E225" s="13"/>
      <c r="F225" s="14"/>
      <c r="G225" s="14"/>
      <c r="H225" s="13"/>
      <c r="I225" s="13"/>
      <c r="J225" s="14"/>
      <c r="K225" s="13"/>
      <c r="M225" s="13"/>
    </row>
    <row r="226" spans="2:13" ht="12.75" customHeight="1" x14ac:dyDescent="0.25">
      <c r="B226" s="13"/>
      <c r="D226" s="13"/>
      <c r="E226" s="13"/>
      <c r="F226" s="14"/>
      <c r="G226" s="14"/>
      <c r="H226" s="13"/>
      <c r="I226" s="13"/>
      <c r="J226" s="14"/>
      <c r="K226" s="13"/>
      <c r="M226" s="13"/>
    </row>
    <row r="227" spans="2:13" ht="12.75" customHeight="1" x14ac:dyDescent="0.25">
      <c r="B227" s="13"/>
      <c r="D227" s="13"/>
      <c r="E227" s="13"/>
      <c r="F227" s="14"/>
      <c r="G227" s="14"/>
      <c r="H227" s="13"/>
      <c r="I227" s="13"/>
      <c r="J227" s="14"/>
      <c r="K227" s="13"/>
      <c r="M227" s="13"/>
    </row>
    <row r="228" spans="2:13" ht="12.75" customHeight="1" x14ac:dyDescent="0.25">
      <c r="B228" s="13"/>
      <c r="D228" s="13"/>
      <c r="E228" s="13"/>
      <c r="F228" s="14"/>
      <c r="G228" s="14"/>
      <c r="H228" s="13"/>
      <c r="I228" s="13"/>
      <c r="J228" s="14"/>
      <c r="K228" s="13"/>
      <c r="M228" s="13"/>
    </row>
    <row r="229" spans="2:13" ht="12.75" customHeight="1" x14ac:dyDescent="0.25">
      <c r="B229" s="13"/>
      <c r="D229" s="13"/>
      <c r="E229" s="13"/>
      <c r="F229" s="14"/>
      <c r="G229" s="14"/>
      <c r="H229" s="13"/>
      <c r="I229" s="13"/>
      <c r="J229" s="14"/>
      <c r="K229" s="13"/>
      <c r="M229" s="13"/>
    </row>
    <row r="230" spans="2:13" ht="12.75" customHeight="1" x14ac:dyDescent="0.25">
      <c r="B230" s="13"/>
      <c r="D230" s="13"/>
      <c r="E230" s="13"/>
      <c r="F230" s="14"/>
      <c r="G230" s="14"/>
      <c r="H230" s="13"/>
      <c r="I230" s="13"/>
      <c r="J230" s="14"/>
      <c r="K230" s="13"/>
      <c r="M230" s="13"/>
    </row>
    <row r="231" spans="2:13" ht="12.75" customHeight="1" x14ac:dyDescent="0.25">
      <c r="B231" s="13"/>
      <c r="D231" s="13"/>
      <c r="E231" s="13"/>
      <c r="F231" s="14"/>
      <c r="G231" s="14"/>
      <c r="H231" s="13"/>
      <c r="I231" s="13"/>
      <c r="J231" s="14"/>
      <c r="K231" s="13"/>
      <c r="M231" s="13"/>
    </row>
    <row r="232" spans="2:13" ht="12.75" customHeight="1" x14ac:dyDescent="0.25">
      <c r="B232" s="13"/>
      <c r="D232" s="13"/>
      <c r="E232" s="13"/>
      <c r="F232" s="14"/>
      <c r="G232" s="14"/>
      <c r="H232" s="13"/>
      <c r="I232" s="13"/>
      <c r="J232" s="14"/>
      <c r="K232" s="13"/>
      <c r="M232" s="13"/>
    </row>
    <row r="233" spans="2:13" ht="12.75" customHeight="1" x14ac:dyDescent="0.25">
      <c r="B233" s="13"/>
      <c r="D233" s="13"/>
      <c r="E233" s="13"/>
      <c r="F233" s="14"/>
      <c r="G233" s="14"/>
      <c r="H233" s="13"/>
      <c r="I233" s="13"/>
      <c r="J233" s="14"/>
      <c r="K233" s="13"/>
      <c r="M233" s="13"/>
    </row>
    <row r="234" spans="2:13" ht="12.75" customHeight="1" x14ac:dyDescent="0.25">
      <c r="B234" s="13"/>
      <c r="D234" s="13"/>
      <c r="E234" s="13"/>
      <c r="F234" s="14"/>
      <c r="G234" s="14"/>
      <c r="H234" s="13"/>
      <c r="I234" s="13"/>
      <c r="J234" s="14"/>
      <c r="K234" s="13"/>
      <c r="M234" s="13"/>
    </row>
    <row r="235" spans="2:13" ht="12.75" customHeight="1" x14ac:dyDescent="0.25">
      <c r="B235" s="13"/>
      <c r="D235" s="13"/>
      <c r="E235" s="13"/>
      <c r="F235" s="14"/>
      <c r="G235" s="14"/>
      <c r="H235" s="13"/>
      <c r="I235" s="13"/>
      <c r="J235" s="14"/>
      <c r="K235" s="13"/>
      <c r="M235" s="13"/>
    </row>
    <row r="236" spans="2:13" ht="12.75" customHeight="1" x14ac:dyDescent="0.25">
      <c r="B236" s="13"/>
      <c r="D236" s="13"/>
      <c r="E236" s="13"/>
      <c r="F236" s="14"/>
      <c r="G236" s="14"/>
      <c r="H236" s="13"/>
      <c r="I236" s="13"/>
      <c r="J236" s="14"/>
      <c r="K236" s="13"/>
      <c r="M236" s="13"/>
    </row>
    <row r="237" spans="2:13" ht="12.75" customHeight="1" x14ac:dyDescent="0.25">
      <c r="B237" s="13"/>
      <c r="D237" s="13"/>
      <c r="E237" s="13"/>
      <c r="F237" s="14"/>
      <c r="G237" s="14"/>
      <c r="H237" s="13"/>
      <c r="I237" s="13"/>
      <c r="J237" s="14"/>
      <c r="K237" s="13"/>
      <c r="M237" s="13"/>
    </row>
    <row r="238" spans="2:13" ht="12.75" customHeight="1" x14ac:dyDescent="0.25">
      <c r="B238" s="13"/>
      <c r="D238" s="13"/>
      <c r="E238" s="13"/>
      <c r="F238" s="14"/>
      <c r="G238" s="14"/>
      <c r="H238" s="13"/>
      <c r="I238" s="13"/>
      <c r="J238" s="14"/>
      <c r="K238" s="13"/>
      <c r="M238" s="13"/>
    </row>
    <row r="239" spans="2:13" ht="12.75" customHeight="1" x14ac:dyDescent="0.25">
      <c r="B239" s="13"/>
      <c r="D239" s="13"/>
      <c r="E239" s="13"/>
      <c r="F239" s="14"/>
      <c r="G239" s="14"/>
      <c r="H239" s="13"/>
      <c r="I239" s="13"/>
      <c r="J239" s="14"/>
      <c r="K239" s="13"/>
      <c r="M239" s="13"/>
    </row>
    <row r="240" spans="2:13" ht="12.75" customHeight="1" x14ac:dyDescent="0.25">
      <c r="B240" s="13"/>
      <c r="D240" s="13"/>
      <c r="E240" s="13"/>
      <c r="F240" s="14"/>
      <c r="G240" s="14"/>
      <c r="H240" s="13"/>
      <c r="I240" s="13"/>
      <c r="J240" s="14"/>
      <c r="K240" s="13"/>
      <c r="M240" s="13"/>
    </row>
    <row r="241" spans="2:13" ht="12.75" customHeight="1" x14ac:dyDescent="0.25">
      <c r="B241" s="13"/>
      <c r="D241" s="13"/>
      <c r="E241" s="13"/>
      <c r="F241" s="14"/>
      <c r="G241" s="14"/>
      <c r="H241" s="13"/>
      <c r="I241" s="13"/>
      <c r="J241" s="14"/>
      <c r="K241" s="13"/>
      <c r="M241" s="13"/>
    </row>
    <row r="242" spans="2:13" ht="12.75" customHeight="1" x14ac:dyDescent="0.25">
      <c r="B242" s="13"/>
      <c r="D242" s="13"/>
      <c r="E242" s="13"/>
      <c r="F242" s="14"/>
      <c r="G242" s="14"/>
      <c r="H242" s="13"/>
      <c r="I242" s="13"/>
      <c r="J242" s="14"/>
      <c r="K242" s="13"/>
      <c r="M242" s="13"/>
    </row>
    <row r="243" spans="2:13" ht="12.75" customHeight="1" x14ac:dyDescent="0.25">
      <c r="B243" s="13"/>
      <c r="D243" s="13"/>
      <c r="E243" s="13"/>
      <c r="F243" s="14"/>
      <c r="G243" s="14"/>
      <c r="H243" s="13"/>
      <c r="I243" s="13"/>
      <c r="J243" s="14"/>
      <c r="K243" s="13"/>
      <c r="M243" s="13"/>
    </row>
    <row r="244" spans="2:13" ht="12.75" customHeight="1" x14ac:dyDescent="0.25">
      <c r="B244" s="13"/>
      <c r="D244" s="13"/>
      <c r="E244" s="13"/>
      <c r="F244" s="14"/>
      <c r="G244" s="14"/>
      <c r="H244" s="13"/>
      <c r="I244" s="13"/>
      <c r="J244" s="14"/>
      <c r="K244" s="13"/>
      <c r="M244" s="13"/>
    </row>
    <row r="245" spans="2:13" ht="12.75" customHeight="1" x14ac:dyDescent="0.25">
      <c r="B245" s="13"/>
      <c r="D245" s="13"/>
      <c r="E245" s="13"/>
      <c r="F245" s="14"/>
      <c r="G245" s="14"/>
      <c r="H245" s="13"/>
      <c r="I245" s="13"/>
      <c r="J245" s="14"/>
      <c r="K245" s="13"/>
      <c r="M245" s="13"/>
    </row>
    <row r="246" spans="2:13" ht="12.75" customHeight="1" x14ac:dyDescent="0.25">
      <c r="B246" s="13"/>
      <c r="D246" s="13"/>
      <c r="E246" s="13"/>
      <c r="F246" s="14"/>
      <c r="G246" s="14"/>
      <c r="H246" s="13"/>
      <c r="I246" s="13"/>
      <c r="J246" s="14"/>
      <c r="K246" s="13"/>
      <c r="M246" s="13"/>
    </row>
    <row r="247" spans="2:13" ht="12.75" customHeight="1" x14ac:dyDescent="0.25">
      <c r="B247" s="13"/>
      <c r="D247" s="13"/>
      <c r="E247" s="13"/>
      <c r="F247" s="14"/>
      <c r="G247" s="14"/>
      <c r="H247" s="13"/>
      <c r="I247" s="13"/>
      <c r="J247" s="14"/>
      <c r="K247" s="13"/>
      <c r="M247" s="13"/>
    </row>
    <row r="248" spans="2:13" ht="12.75" customHeight="1" x14ac:dyDescent="0.25">
      <c r="B248" s="13"/>
      <c r="D248" s="13"/>
      <c r="E248" s="13"/>
      <c r="F248" s="14"/>
      <c r="G248" s="14"/>
      <c r="H248" s="13"/>
      <c r="I248" s="13"/>
      <c r="J248" s="14"/>
      <c r="K248" s="13"/>
      <c r="M248" s="13"/>
    </row>
    <row r="249" spans="2:13" ht="12.75" customHeight="1" x14ac:dyDescent="0.25">
      <c r="B249" s="13"/>
      <c r="D249" s="13"/>
      <c r="E249" s="13"/>
      <c r="F249" s="14"/>
      <c r="G249" s="14"/>
      <c r="H249" s="13"/>
      <c r="I249" s="13"/>
      <c r="J249" s="14"/>
      <c r="K249" s="13"/>
      <c r="M249" s="13"/>
    </row>
    <row r="250" spans="2:13" ht="12.75" customHeight="1" x14ac:dyDescent="0.25">
      <c r="B250" s="13"/>
      <c r="D250" s="13"/>
      <c r="E250" s="13"/>
      <c r="F250" s="14"/>
      <c r="G250" s="14"/>
      <c r="H250" s="13"/>
      <c r="I250" s="13"/>
      <c r="J250" s="14"/>
      <c r="K250" s="13"/>
      <c r="M250" s="13"/>
    </row>
    <row r="251" spans="2:13" ht="12.75" customHeight="1" x14ac:dyDescent="0.25">
      <c r="B251" s="13"/>
      <c r="D251" s="13"/>
      <c r="E251" s="13"/>
      <c r="F251" s="14"/>
      <c r="G251" s="14"/>
      <c r="H251" s="13"/>
      <c r="I251" s="13"/>
      <c r="J251" s="14"/>
      <c r="K251" s="13"/>
      <c r="M251" s="13"/>
    </row>
    <row r="252" spans="2:13" ht="12.75" customHeight="1" x14ac:dyDescent="0.25">
      <c r="B252" s="13"/>
      <c r="D252" s="13"/>
      <c r="E252" s="13"/>
      <c r="F252" s="14"/>
      <c r="G252" s="14"/>
      <c r="H252" s="13"/>
      <c r="I252" s="13"/>
      <c r="J252" s="14"/>
      <c r="K252" s="13"/>
      <c r="M252" s="13"/>
    </row>
    <row r="253" spans="2:13" ht="12.75" customHeight="1" x14ac:dyDescent="0.25">
      <c r="B253" s="13"/>
      <c r="D253" s="13"/>
      <c r="E253" s="13"/>
      <c r="F253" s="14"/>
      <c r="G253" s="14"/>
      <c r="H253" s="13"/>
      <c r="I253" s="13"/>
      <c r="J253" s="14"/>
      <c r="K253" s="13"/>
      <c r="M253" s="13"/>
    </row>
    <row r="254" spans="2:13" ht="12.75" customHeight="1" x14ac:dyDescent="0.25">
      <c r="B254" s="13"/>
      <c r="D254" s="13"/>
      <c r="E254" s="13"/>
      <c r="F254" s="14"/>
      <c r="G254" s="14"/>
      <c r="H254" s="13"/>
      <c r="I254" s="13"/>
      <c r="J254" s="14"/>
      <c r="K254" s="13"/>
      <c r="M254" s="13"/>
    </row>
    <row r="255" spans="2:13" ht="12.75" customHeight="1" x14ac:dyDescent="0.25">
      <c r="B255" s="13"/>
      <c r="D255" s="13"/>
      <c r="E255" s="13"/>
      <c r="F255" s="14"/>
      <c r="G255" s="14"/>
      <c r="H255" s="13"/>
      <c r="I255" s="13"/>
      <c r="J255" s="14"/>
      <c r="K255" s="13"/>
      <c r="M255" s="13"/>
    </row>
    <row r="256" spans="2:13" ht="12.75" customHeight="1" x14ac:dyDescent="0.25">
      <c r="B256" s="13"/>
      <c r="D256" s="13"/>
      <c r="E256" s="13"/>
      <c r="F256" s="14"/>
      <c r="G256" s="14"/>
      <c r="H256" s="13"/>
      <c r="I256" s="13"/>
      <c r="J256" s="14"/>
      <c r="K256" s="13"/>
      <c r="M256" s="13"/>
    </row>
    <row r="257" spans="2:13" ht="12.75" customHeight="1" x14ac:dyDescent="0.25">
      <c r="B257" s="13"/>
      <c r="D257" s="13"/>
      <c r="E257" s="13"/>
      <c r="F257" s="14"/>
      <c r="G257" s="14"/>
      <c r="H257" s="13"/>
      <c r="I257" s="13"/>
      <c r="J257" s="14"/>
      <c r="K257" s="13"/>
      <c r="M257" s="13"/>
    </row>
    <row r="258" spans="2:13" ht="12.75" customHeight="1" x14ac:dyDescent="0.25">
      <c r="B258" s="13"/>
      <c r="D258" s="13"/>
      <c r="E258" s="13"/>
      <c r="F258" s="14"/>
      <c r="G258" s="14"/>
      <c r="H258" s="13"/>
      <c r="I258" s="13"/>
      <c r="J258" s="14"/>
      <c r="K258" s="13"/>
      <c r="M258" s="13"/>
    </row>
    <row r="259" spans="2:13" ht="12.75" customHeight="1" x14ac:dyDescent="0.25">
      <c r="B259" s="13"/>
      <c r="D259" s="13"/>
      <c r="E259" s="13"/>
      <c r="F259" s="14"/>
      <c r="G259" s="14"/>
      <c r="H259" s="13"/>
      <c r="I259" s="13"/>
      <c r="J259" s="14"/>
      <c r="K259" s="13"/>
      <c r="M259" s="13"/>
    </row>
    <row r="260" spans="2:13" ht="12.75" customHeight="1" x14ac:dyDescent="0.25">
      <c r="B260" s="13"/>
      <c r="D260" s="13"/>
      <c r="E260" s="13"/>
      <c r="F260" s="14"/>
      <c r="G260" s="14"/>
      <c r="H260" s="13"/>
      <c r="I260" s="13"/>
      <c r="J260" s="14"/>
      <c r="K260" s="13"/>
      <c r="M260" s="13"/>
    </row>
    <row r="261" spans="2:13" ht="12.75" customHeight="1" x14ac:dyDescent="0.25">
      <c r="B261" s="13"/>
      <c r="D261" s="13"/>
      <c r="E261" s="13"/>
      <c r="F261" s="14"/>
      <c r="G261" s="14"/>
      <c r="H261" s="13"/>
      <c r="I261" s="13"/>
      <c r="J261" s="14"/>
      <c r="K261" s="13"/>
      <c r="M261" s="13"/>
    </row>
    <row r="262" spans="2:13" ht="12.75" customHeight="1" x14ac:dyDescent="0.25">
      <c r="B262" s="13"/>
      <c r="D262" s="13"/>
      <c r="E262" s="13"/>
      <c r="F262" s="14"/>
      <c r="G262" s="14"/>
      <c r="H262" s="13"/>
      <c r="I262" s="13"/>
      <c r="J262" s="14"/>
      <c r="K262" s="13"/>
      <c r="M262" s="13"/>
    </row>
    <row r="263" spans="2:13" ht="12.75" customHeight="1" x14ac:dyDescent="0.25">
      <c r="B263" s="13"/>
      <c r="D263" s="13"/>
      <c r="E263" s="13"/>
      <c r="F263" s="14"/>
      <c r="G263" s="14"/>
      <c r="H263" s="13"/>
      <c r="I263" s="13"/>
      <c r="J263" s="14"/>
      <c r="K263" s="13"/>
      <c r="M263" s="13"/>
    </row>
    <row r="264" spans="2:13" ht="12.75" customHeight="1" x14ac:dyDescent="0.25">
      <c r="B264" s="13"/>
      <c r="D264" s="13"/>
      <c r="E264" s="13"/>
      <c r="F264" s="14"/>
      <c r="G264" s="14"/>
      <c r="H264" s="13"/>
      <c r="I264" s="13"/>
      <c r="J264" s="14"/>
      <c r="K264" s="13"/>
      <c r="M264" s="13"/>
    </row>
    <row r="265" spans="2:13" ht="12.75" customHeight="1" x14ac:dyDescent="0.25">
      <c r="B265" s="13"/>
      <c r="D265" s="13"/>
      <c r="E265" s="13"/>
      <c r="F265" s="14"/>
      <c r="G265" s="14"/>
      <c r="H265" s="13"/>
      <c r="I265" s="13"/>
      <c r="J265" s="14"/>
      <c r="K265" s="13"/>
      <c r="M265" s="13"/>
    </row>
    <row r="266" spans="2:13" ht="12.75" customHeight="1" x14ac:dyDescent="0.25">
      <c r="B266" s="13"/>
      <c r="D266" s="13"/>
      <c r="E266" s="13"/>
      <c r="F266" s="14"/>
      <c r="G266" s="14"/>
      <c r="H266" s="13"/>
      <c r="I266" s="13"/>
      <c r="J266" s="14"/>
      <c r="K266" s="13"/>
      <c r="M266" s="13"/>
    </row>
    <row r="267" spans="2:13" ht="12.75" customHeight="1" x14ac:dyDescent="0.25">
      <c r="B267" s="13"/>
      <c r="D267" s="13"/>
      <c r="E267" s="13"/>
      <c r="F267" s="14"/>
      <c r="G267" s="14"/>
      <c r="H267" s="13"/>
      <c r="I267" s="13"/>
      <c r="J267" s="14"/>
      <c r="K267" s="13"/>
      <c r="M267" s="13"/>
    </row>
    <row r="268" spans="2:13" ht="12.75" customHeight="1" x14ac:dyDescent="0.25">
      <c r="B268" s="13"/>
      <c r="D268" s="13"/>
      <c r="E268" s="13"/>
      <c r="F268" s="14"/>
      <c r="G268" s="14"/>
      <c r="H268" s="13"/>
      <c r="I268" s="13"/>
      <c r="J268" s="14"/>
      <c r="K268" s="13"/>
      <c r="M268" s="13"/>
    </row>
    <row r="269" spans="2:13" ht="12.75" customHeight="1" x14ac:dyDescent="0.25">
      <c r="B269" s="13"/>
      <c r="D269" s="13"/>
      <c r="E269" s="13"/>
      <c r="F269" s="14"/>
      <c r="G269" s="14"/>
      <c r="H269" s="13"/>
      <c r="I269" s="13"/>
      <c r="J269" s="14"/>
      <c r="K269" s="13"/>
      <c r="M269" s="13"/>
    </row>
    <row r="270" spans="2:13" ht="12.75" customHeight="1" x14ac:dyDescent="0.25">
      <c r="B270" s="13"/>
      <c r="D270" s="13"/>
      <c r="E270" s="13"/>
      <c r="F270" s="14"/>
      <c r="G270" s="14"/>
      <c r="H270" s="13"/>
      <c r="I270" s="13"/>
      <c r="J270" s="14"/>
      <c r="K270" s="13"/>
      <c r="M270" s="13"/>
    </row>
    <row r="271" spans="2:13" ht="12.75" customHeight="1" x14ac:dyDescent="0.25">
      <c r="B271" s="13"/>
      <c r="D271" s="13"/>
      <c r="E271" s="13"/>
      <c r="F271" s="14"/>
      <c r="G271" s="14"/>
      <c r="H271" s="13"/>
      <c r="I271" s="13"/>
      <c r="J271" s="14"/>
      <c r="K271" s="13"/>
      <c r="M271" s="13"/>
    </row>
    <row r="272" spans="2:13" ht="12.75" customHeight="1" x14ac:dyDescent="0.25">
      <c r="B272" s="13"/>
      <c r="D272" s="13"/>
      <c r="E272" s="13"/>
      <c r="F272" s="14"/>
      <c r="G272" s="14"/>
      <c r="H272" s="13"/>
      <c r="I272" s="13"/>
      <c r="J272" s="14"/>
      <c r="K272" s="13"/>
      <c r="M272" s="13"/>
    </row>
    <row r="273" spans="2:13" ht="12.75" customHeight="1" x14ac:dyDescent="0.25">
      <c r="B273" s="13"/>
      <c r="D273" s="13"/>
      <c r="E273" s="13"/>
      <c r="F273" s="14"/>
      <c r="G273" s="14"/>
      <c r="H273" s="13"/>
      <c r="I273" s="13"/>
      <c r="J273" s="14"/>
      <c r="K273" s="13"/>
      <c r="M273" s="13"/>
    </row>
    <row r="274" spans="2:13" ht="12.75" customHeight="1" x14ac:dyDescent="0.25">
      <c r="B274" s="13"/>
      <c r="D274" s="13"/>
      <c r="E274" s="13"/>
      <c r="F274" s="14"/>
      <c r="G274" s="14"/>
      <c r="H274" s="13"/>
      <c r="I274" s="13"/>
      <c r="J274" s="14"/>
      <c r="K274" s="13"/>
      <c r="M274" s="13"/>
    </row>
    <row r="275" spans="2:13" ht="12.75" customHeight="1" x14ac:dyDescent="0.25">
      <c r="B275" s="13"/>
      <c r="D275" s="13"/>
      <c r="E275" s="13"/>
      <c r="F275" s="14"/>
      <c r="G275" s="14"/>
      <c r="H275" s="13"/>
      <c r="I275" s="13"/>
      <c r="J275" s="14"/>
      <c r="K275" s="13"/>
      <c r="M275" s="13"/>
    </row>
    <row r="276" spans="2:13" ht="12.75" customHeight="1" x14ac:dyDescent="0.25">
      <c r="B276" s="13"/>
      <c r="D276" s="13"/>
      <c r="E276" s="13"/>
      <c r="F276" s="14"/>
      <c r="G276" s="14"/>
      <c r="H276" s="13"/>
      <c r="I276" s="13"/>
      <c r="J276" s="14"/>
      <c r="K276" s="13"/>
      <c r="M276" s="13"/>
    </row>
    <row r="277" spans="2:13" ht="12.75" customHeight="1" x14ac:dyDescent="0.25">
      <c r="B277" s="13"/>
      <c r="D277" s="13"/>
      <c r="E277" s="13"/>
      <c r="F277" s="14"/>
      <c r="G277" s="14"/>
      <c r="H277" s="13"/>
      <c r="I277" s="13"/>
      <c r="J277" s="14"/>
      <c r="K277" s="13"/>
      <c r="M277" s="13"/>
    </row>
    <row r="278" spans="2:13" ht="12.75" customHeight="1" x14ac:dyDescent="0.25">
      <c r="B278" s="13"/>
      <c r="D278" s="13"/>
      <c r="E278" s="13"/>
      <c r="F278" s="14"/>
      <c r="G278" s="14"/>
      <c r="H278" s="13"/>
      <c r="I278" s="13"/>
      <c r="J278" s="14"/>
      <c r="K278" s="13"/>
      <c r="M278" s="13"/>
    </row>
    <row r="279" spans="2:13" ht="12.75" customHeight="1" x14ac:dyDescent="0.25">
      <c r="B279" s="13"/>
      <c r="D279" s="13"/>
      <c r="E279" s="13"/>
      <c r="F279" s="14"/>
      <c r="G279" s="14"/>
      <c r="H279" s="13"/>
      <c r="I279" s="13"/>
      <c r="J279" s="14"/>
      <c r="K279" s="13"/>
      <c r="M279" s="13"/>
    </row>
    <row r="280" spans="2:13" ht="12.75" customHeight="1" x14ac:dyDescent="0.25">
      <c r="B280" s="13"/>
      <c r="D280" s="13"/>
      <c r="E280" s="13"/>
      <c r="F280" s="14"/>
      <c r="G280" s="14"/>
      <c r="H280" s="13"/>
      <c r="I280" s="13"/>
      <c r="J280" s="14"/>
      <c r="K280" s="13"/>
      <c r="M280" s="13"/>
    </row>
    <row r="281" spans="2:13" ht="12.75" customHeight="1" x14ac:dyDescent="0.25">
      <c r="B281" s="13"/>
      <c r="D281" s="13"/>
      <c r="E281" s="13"/>
      <c r="F281" s="14"/>
      <c r="G281" s="14"/>
      <c r="H281" s="13"/>
      <c r="I281" s="13"/>
      <c r="J281" s="14"/>
      <c r="K281" s="13"/>
      <c r="M281" s="13"/>
    </row>
    <row r="282" spans="2:13" ht="12.75" customHeight="1" x14ac:dyDescent="0.25">
      <c r="B282" s="13"/>
      <c r="D282" s="13"/>
      <c r="E282" s="13"/>
      <c r="F282" s="14"/>
      <c r="G282" s="14"/>
      <c r="H282" s="13"/>
      <c r="I282" s="13"/>
      <c r="J282" s="14"/>
      <c r="K282" s="13"/>
      <c r="M282" s="13"/>
    </row>
    <row r="283" spans="2:13" ht="12.75" customHeight="1" x14ac:dyDescent="0.25">
      <c r="B283" s="13"/>
      <c r="D283" s="13"/>
      <c r="E283" s="13"/>
      <c r="F283" s="14"/>
      <c r="G283" s="14"/>
      <c r="H283" s="13"/>
      <c r="I283" s="13"/>
      <c r="J283" s="14"/>
      <c r="K283" s="13"/>
      <c r="M283" s="13"/>
    </row>
    <row r="284" spans="2:13" ht="12.75" customHeight="1" x14ac:dyDescent="0.25">
      <c r="B284" s="13"/>
      <c r="D284" s="13"/>
      <c r="E284" s="13"/>
      <c r="F284" s="14"/>
      <c r="G284" s="14"/>
      <c r="H284" s="13"/>
      <c r="I284" s="13"/>
      <c r="J284" s="14"/>
      <c r="K284" s="13"/>
      <c r="M284" s="13"/>
    </row>
    <row r="285" spans="2:13" ht="12.75" customHeight="1" x14ac:dyDescent="0.25">
      <c r="B285" s="13"/>
      <c r="D285" s="13"/>
      <c r="E285" s="13"/>
      <c r="F285" s="14"/>
      <c r="G285" s="14"/>
      <c r="H285" s="13"/>
      <c r="I285" s="13"/>
      <c r="J285" s="14"/>
      <c r="K285" s="13"/>
      <c r="M285" s="13"/>
    </row>
    <row r="286" spans="2:13" ht="12.75" customHeight="1" x14ac:dyDescent="0.25">
      <c r="B286" s="13"/>
      <c r="D286" s="13"/>
      <c r="E286" s="13"/>
      <c r="F286" s="14"/>
      <c r="G286" s="14"/>
      <c r="H286" s="13"/>
      <c r="I286" s="13"/>
      <c r="J286" s="14"/>
      <c r="K286" s="13"/>
      <c r="M286" s="13"/>
    </row>
    <row r="287" spans="2:13" ht="12.75" customHeight="1" x14ac:dyDescent="0.25">
      <c r="B287" s="13"/>
      <c r="D287" s="13"/>
      <c r="E287" s="13"/>
      <c r="F287" s="14"/>
      <c r="G287" s="14"/>
      <c r="H287" s="13"/>
      <c r="I287" s="13"/>
      <c r="J287" s="14"/>
      <c r="K287" s="13"/>
      <c r="M287" s="13"/>
    </row>
    <row r="288" spans="2:13" ht="12.75" customHeight="1" x14ac:dyDescent="0.25">
      <c r="B288" s="13"/>
      <c r="D288" s="13"/>
      <c r="E288" s="13"/>
      <c r="F288" s="14"/>
      <c r="G288" s="14"/>
      <c r="H288" s="13"/>
      <c r="I288" s="13"/>
      <c r="J288" s="14"/>
      <c r="K288" s="13"/>
      <c r="M288" s="13"/>
    </row>
    <row r="289" spans="2:13" ht="12.75" customHeight="1" x14ac:dyDescent="0.25">
      <c r="B289" s="13"/>
      <c r="D289" s="13"/>
      <c r="E289" s="13"/>
      <c r="F289" s="14"/>
      <c r="G289" s="14"/>
      <c r="H289" s="13"/>
      <c r="I289" s="13"/>
      <c r="J289" s="14"/>
      <c r="K289" s="13"/>
      <c r="M289" s="13"/>
    </row>
    <row r="290" spans="2:13" ht="12.75" customHeight="1" x14ac:dyDescent="0.25">
      <c r="B290" s="13"/>
      <c r="D290" s="13"/>
      <c r="E290" s="13"/>
      <c r="F290" s="14"/>
      <c r="G290" s="14"/>
      <c r="H290" s="13"/>
      <c r="I290" s="13"/>
      <c r="J290" s="14"/>
      <c r="K290" s="13"/>
      <c r="M290" s="13"/>
    </row>
    <row r="291" spans="2:13" ht="12.75" customHeight="1" x14ac:dyDescent="0.25">
      <c r="B291" s="13"/>
      <c r="D291" s="13"/>
      <c r="E291" s="13"/>
      <c r="F291" s="14"/>
      <c r="G291" s="14"/>
      <c r="H291" s="13"/>
      <c r="I291" s="13"/>
      <c r="J291" s="14"/>
      <c r="K291" s="13"/>
      <c r="M291" s="13"/>
    </row>
    <row r="292" spans="2:13" ht="12.75" customHeight="1" x14ac:dyDescent="0.25">
      <c r="B292" s="13"/>
      <c r="D292" s="13"/>
      <c r="E292" s="13"/>
      <c r="F292" s="14"/>
      <c r="G292" s="14"/>
      <c r="H292" s="13"/>
      <c r="I292" s="13"/>
      <c r="J292" s="14"/>
      <c r="K292" s="13"/>
      <c r="M292" s="13"/>
    </row>
    <row r="293" spans="2:13" ht="12.75" customHeight="1" x14ac:dyDescent="0.25">
      <c r="B293" s="13"/>
      <c r="D293" s="13"/>
      <c r="E293" s="13"/>
      <c r="F293" s="14"/>
      <c r="G293" s="14"/>
      <c r="H293" s="13"/>
      <c r="I293" s="13"/>
      <c r="J293" s="14"/>
      <c r="K293" s="13"/>
      <c r="M293" s="13"/>
    </row>
    <row r="294" spans="2:13" ht="12.75" customHeight="1" x14ac:dyDescent="0.25">
      <c r="B294" s="13"/>
      <c r="D294" s="13"/>
      <c r="E294" s="13"/>
      <c r="F294" s="14"/>
      <c r="G294" s="14"/>
      <c r="H294" s="13"/>
      <c r="I294" s="13"/>
      <c r="J294" s="14"/>
      <c r="K294" s="13"/>
      <c r="M294" s="13"/>
    </row>
    <row r="295" spans="2:13" ht="12.75" customHeight="1" x14ac:dyDescent="0.25">
      <c r="B295" s="13"/>
      <c r="D295" s="13"/>
      <c r="E295" s="13"/>
      <c r="F295" s="14"/>
      <c r="G295" s="14"/>
      <c r="H295" s="13"/>
      <c r="I295" s="13"/>
      <c r="J295" s="14"/>
      <c r="K295" s="13"/>
      <c r="M295" s="13"/>
    </row>
    <row r="296" spans="2:13" ht="12.75" customHeight="1" x14ac:dyDescent="0.25">
      <c r="B296" s="13"/>
      <c r="D296" s="13"/>
      <c r="E296" s="13"/>
      <c r="F296" s="14"/>
      <c r="G296" s="14"/>
      <c r="H296" s="13"/>
      <c r="I296" s="13"/>
      <c r="J296" s="14"/>
      <c r="K296" s="13"/>
      <c r="M296" s="13"/>
    </row>
    <row r="297" spans="2:13" ht="12.75" customHeight="1" x14ac:dyDescent="0.25">
      <c r="B297" s="13"/>
      <c r="D297" s="13"/>
      <c r="E297" s="13"/>
      <c r="F297" s="14"/>
      <c r="G297" s="14"/>
      <c r="H297" s="13"/>
      <c r="I297" s="13"/>
      <c r="J297" s="14"/>
      <c r="K297" s="13"/>
      <c r="M297" s="13"/>
    </row>
    <row r="298" spans="2:13" ht="12.75" customHeight="1" x14ac:dyDescent="0.25">
      <c r="B298" s="13"/>
      <c r="D298" s="13"/>
      <c r="E298" s="13"/>
      <c r="F298" s="14"/>
      <c r="G298" s="14"/>
      <c r="H298" s="13"/>
      <c r="I298" s="13"/>
      <c r="J298" s="14"/>
      <c r="K298" s="13"/>
      <c r="M298" s="13"/>
    </row>
    <row r="299" spans="2:13" ht="12.75" customHeight="1" x14ac:dyDescent="0.25">
      <c r="B299" s="13"/>
      <c r="D299" s="13"/>
      <c r="E299" s="13"/>
      <c r="F299" s="14"/>
      <c r="G299" s="14"/>
      <c r="H299" s="13"/>
      <c r="I299" s="13"/>
      <c r="J299" s="14"/>
      <c r="K299" s="13"/>
      <c r="M299" s="13"/>
    </row>
    <row r="300" spans="2:13" ht="12.75" customHeight="1" x14ac:dyDescent="0.25">
      <c r="B300" s="13"/>
      <c r="D300" s="13"/>
      <c r="E300" s="13"/>
      <c r="F300" s="14"/>
      <c r="G300" s="14"/>
      <c r="H300" s="13"/>
      <c r="I300" s="13"/>
      <c r="J300" s="14"/>
      <c r="K300" s="13"/>
      <c r="M300" s="13"/>
    </row>
    <row r="301" spans="2:13" ht="12.75" customHeight="1" x14ac:dyDescent="0.25">
      <c r="B301" s="13"/>
      <c r="D301" s="13"/>
      <c r="E301" s="13"/>
      <c r="F301" s="14"/>
      <c r="G301" s="14"/>
      <c r="H301" s="13"/>
      <c r="I301" s="13"/>
      <c r="J301" s="14"/>
      <c r="K301" s="13"/>
      <c r="M301" s="13"/>
    </row>
    <row r="302" spans="2:13" ht="12.75" customHeight="1" x14ac:dyDescent="0.25">
      <c r="B302" s="13"/>
      <c r="D302" s="13"/>
      <c r="E302" s="13"/>
      <c r="F302" s="14"/>
      <c r="G302" s="14"/>
      <c r="H302" s="13"/>
      <c r="I302" s="13"/>
      <c r="J302" s="14"/>
      <c r="K302" s="13"/>
      <c r="M302" s="13"/>
    </row>
    <row r="303" spans="2:13" ht="12.75" customHeight="1" x14ac:dyDescent="0.25">
      <c r="B303" s="13"/>
      <c r="D303" s="13"/>
      <c r="E303" s="13"/>
      <c r="F303" s="14"/>
      <c r="G303" s="14"/>
      <c r="H303" s="13"/>
      <c r="I303" s="13"/>
      <c r="J303" s="14"/>
      <c r="K303" s="13"/>
      <c r="M303" s="13"/>
    </row>
    <row r="304" spans="2:13" ht="12.75" customHeight="1" x14ac:dyDescent="0.25">
      <c r="B304" s="13"/>
      <c r="D304" s="13"/>
      <c r="E304" s="13"/>
      <c r="F304" s="14"/>
      <c r="G304" s="14"/>
      <c r="H304" s="13"/>
      <c r="I304" s="13"/>
      <c r="J304" s="14"/>
      <c r="K304" s="13"/>
      <c r="M304" s="13"/>
    </row>
    <row r="305" spans="2:13" ht="12.75" customHeight="1" x14ac:dyDescent="0.25">
      <c r="B305" s="13"/>
      <c r="D305" s="13"/>
      <c r="E305" s="13"/>
      <c r="F305" s="14"/>
      <c r="G305" s="14"/>
      <c r="H305" s="13"/>
      <c r="I305" s="13"/>
      <c r="J305" s="14"/>
      <c r="K305" s="13"/>
      <c r="M305" s="13"/>
    </row>
    <row r="306" spans="2:13" ht="12.75" customHeight="1" x14ac:dyDescent="0.25">
      <c r="B306" s="13"/>
      <c r="D306" s="13"/>
      <c r="E306" s="13"/>
      <c r="F306" s="14"/>
      <c r="G306" s="14"/>
      <c r="H306" s="13"/>
      <c r="I306" s="13"/>
      <c r="J306" s="14"/>
      <c r="K306" s="13"/>
      <c r="M306" s="13"/>
    </row>
    <row r="307" spans="2:13" ht="12.75" customHeight="1" x14ac:dyDescent="0.25">
      <c r="B307" s="13"/>
      <c r="D307" s="13"/>
      <c r="E307" s="13"/>
      <c r="F307" s="14"/>
      <c r="G307" s="14"/>
      <c r="H307" s="13"/>
      <c r="I307" s="13"/>
      <c r="J307" s="14"/>
      <c r="K307" s="13"/>
      <c r="M307" s="13"/>
    </row>
    <row r="308" spans="2:13" ht="12.75" customHeight="1" x14ac:dyDescent="0.25">
      <c r="B308" s="13"/>
      <c r="D308" s="13"/>
      <c r="E308" s="13"/>
      <c r="F308" s="14"/>
      <c r="G308" s="14"/>
      <c r="H308" s="13"/>
      <c r="I308" s="13"/>
      <c r="J308" s="14"/>
      <c r="K308" s="13"/>
      <c r="M308" s="13"/>
    </row>
    <row r="309" spans="2:13" ht="12.75" customHeight="1" x14ac:dyDescent="0.25">
      <c r="B309" s="13"/>
      <c r="D309" s="13"/>
      <c r="E309" s="13"/>
      <c r="F309" s="14"/>
      <c r="G309" s="14"/>
      <c r="H309" s="13"/>
      <c r="I309" s="13"/>
      <c r="J309" s="14"/>
      <c r="K309" s="13"/>
      <c r="M309" s="13"/>
    </row>
    <row r="310" spans="2:13" ht="12.75" customHeight="1" x14ac:dyDescent="0.25">
      <c r="B310" s="13"/>
      <c r="D310" s="13"/>
      <c r="E310" s="13"/>
      <c r="F310" s="14"/>
      <c r="G310" s="14"/>
      <c r="H310" s="13"/>
      <c r="I310" s="13"/>
      <c r="J310" s="14"/>
      <c r="K310" s="13"/>
      <c r="M310" s="13"/>
    </row>
    <row r="311" spans="2:13" ht="12.75" customHeight="1" x14ac:dyDescent="0.25">
      <c r="B311" s="13"/>
      <c r="D311" s="13"/>
      <c r="E311" s="13"/>
      <c r="F311" s="14"/>
      <c r="G311" s="14"/>
      <c r="H311" s="13"/>
      <c r="I311" s="13"/>
      <c r="J311" s="14"/>
      <c r="K311" s="13"/>
      <c r="M311" s="13"/>
    </row>
    <row r="312" spans="2:13" ht="12.75" customHeight="1" x14ac:dyDescent="0.25">
      <c r="B312" s="13"/>
      <c r="D312" s="13"/>
      <c r="E312" s="13"/>
      <c r="F312" s="14"/>
      <c r="G312" s="14"/>
      <c r="H312" s="13"/>
      <c r="I312" s="13"/>
      <c r="J312" s="14"/>
      <c r="K312" s="13"/>
      <c r="M312" s="13"/>
    </row>
    <row r="313" spans="2:13" ht="12.75" customHeight="1" x14ac:dyDescent="0.25">
      <c r="B313" s="13"/>
      <c r="D313" s="13"/>
      <c r="E313" s="13"/>
      <c r="F313" s="14"/>
      <c r="G313" s="14"/>
      <c r="H313" s="13"/>
      <c r="I313" s="13"/>
      <c r="J313" s="14"/>
      <c r="K313" s="13"/>
      <c r="M313" s="13"/>
    </row>
    <row r="314" spans="2:13" ht="12.75" customHeight="1" x14ac:dyDescent="0.25">
      <c r="B314" s="13"/>
      <c r="D314" s="13"/>
      <c r="E314" s="13"/>
      <c r="F314" s="14"/>
      <c r="G314" s="14"/>
      <c r="H314" s="13"/>
      <c r="I314" s="13"/>
      <c r="J314" s="14"/>
      <c r="K314" s="13"/>
      <c r="M314" s="13"/>
    </row>
    <row r="315" spans="2:13" ht="12.75" customHeight="1" x14ac:dyDescent="0.25">
      <c r="B315" s="13"/>
      <c r="D315" s="13"/>
      <c r="E315" s="13"/>
      <c r="F315" s="14"/>
      <c r="G315" s="14"/>
      <c r="H315" s="13"/>
      <c r="I315" s="13"/>
      <c r="J315" s="14"/>
      <c r="K315" s="13"/>
      <c r="M315" s="13"/>
    </row>
    <row r="316" spans="2:13" ht="12.75" customHeight="1" x14ac:dyDescent="0.25">
      <c r="B316" s="13"/>
      <c r="D316" s="13"/>
      <c r="E316" s="13"/>
      <c r="F316" s="14"/>
      <c r="G316" s="14"/>
      <c r="H316" s="13"/>
      <c r="I316" s="13"/>
      <c r="J316" s="14"/>
      <c r="K316" s="13"/>
      <c r="M316" s="13"/>
    </row>
    <row r="317" spans="2:13" ht="12.75" customHeight="1" x14ac:dyDescent="0.25">
      <c r="B317" s="13"/>
      <c r="D317" s="13"/>
      <c r="E317" s="13"/>
      <c r="F317" s="14"/>
      <c r="G317" s="14"/>
      <c r="H317" s="13"/>
      <c r="I317" s="13"/>
      <c r="J317" s="14"/>
      <c r="K317" s="13"/>
      <c r="M317" s="13"/>
    </row>
    <row r="318" spans="2:13" ht="12.75" customHeight="1" x14ac:dyDescent="0.25">
      <c r="B318" s="13"/>
      <c r="D318" s="13"/>
      <c r="E318" s="13"/>
      <c r="F318" s="14"/>
      <c r="G318" s="14"/>
      <c r="H318" s="13"/>
      <c r="I318" s="13"/>
      <c r="J318" s="14"/>
      <c r="K318" s="13"/>
      <c r="M318" s="13"/>
    </row>
    <row r="319" spans="2:13" ht="12.75" customHeight="1" x14ac:dyDescent="0.25">
      <c r="B319" s="13"/>
      <c r="D319" s="13"/>
      <c r="E319" s="13"/>
      <c r="F319" s="14"/>
      <c r="G319" s="14"/>
      <c r="H319" s="13"/>
      <c r="I319" s="13"/>
      <c r="J319" s="14"/>
      <c r="K319" s="13"/>
      <c r="M319" s="13"/>
    </row>
    <row r="320" spans="2:13" ht="12.75" customHeight="1" x14ac:dyDescent="0.25">
      <c r="B320" s="13"/>
      <c r="D320" s="13"/>
      <c r="E320" s="13"/>
      <c r="F320" s="14"/>
      <c r="G320" s="14"/>
      <c r="H320" s="13"/>
      <c r="I320" s="13"/>
      <c r="J320" s="14"/>
      <c r="K320" s="13"/>
      <c r="M320" s="13"/>
    </row>
    <row r="321" spans="2:13" ht="12.75" customHeight="1" x14ac:dyDescent="0.25">
      <c r="B321" s="13"/>
      <c r="D321" s="13"/>
      <c r="E321" s="13"/>
      <c r="F321" s="14"/>
      <c r="G321" s="14"/>
      <c r="H321" s="13"/>
      <c r="I321" s="13"/>
      <c r="J321" s="14"/>
      <c r="K321" s="13"/>
      <c r="M321" s="13"/>
    </row>
    <row r="322" spans="2:13" ht="12.75" customHeight="1" x14ac:dyDescent="0.25">
      <c r="B322" s="13"/>
      <c r="D322" s="13"/>
      <c r="E322" s="13"/>
      <c r="F322" s="14"/>
      <c r="G322" s="14"/>
      <c r="H322" s="13"/>
      <c r="I322" s="13"/>
      <c r="J322" s="14"/>
      <c r="K322" s="13"/>
      <c r="M322" s="13"/>
    </row>
    <row r="323" spans="2:13" ht="12.75" customHeight="1" x14ac:dyDescent="0.25">
      <c r="B323" s="13"/>
      <c r="D323" s="13"/>
      <c r="E323" s="13"/>
      <c r="F323" s="14"/>
      <c r="G323" s="14"/>
      <c r="H323" s="13"/>
      <c r="I323" s="13"/>
      <c r="J323" s="14"/>
      <c r="K323" s="13"/>
      <c r="M323" s="13"/>
    </row>
    <row r="324" spans="2:13" ht="12.75" customHeight="1" x14ac:dyDescent="0.25">
      <c r="B324" s="13"/>
      <c r="D324" s="13"/>
      <c r="E324" s="13"/>
      <c r="F324" s="14"/>
      <c r="G324" s="14"/>
      <c r="H324" s="13"/>
      <c r="I324" s="13"/>
      <c r="J324" s="14"/>
      <c r="K324" s="13"/>
      <c r="M324" s="13"/>
    </row>
    <row r="325" spans="2:13" ht="12.75" customHeight="1" x14ac:dyDescent="0.25">
      <c r="B325" s="13"/>
      <c r="D325" s="13"/>
      <c r="E325" s="13"/>
      <c r="F325" s="14"/>
      <c r="G325" s="14"/>
      <c r="H325" s="13"/>
      <c r="I325" s="13"/>
      <c r="J325" s="14"/>
      <c r="K325" s="13"/>
      <c r="M325" s="13"/>
    </row>
    <row r="326" spans="2:13" ht="12.75" customHeight="1" x14ac:dyDescent="0.25">
      <c r="B326" s="13"/>
      <c r="D326" s="13"/>
      <c r="E326" s="13"/>
      <c r="F326" s="14"/>
      <c r="G326" s="14"/>
      <c r="H326" s="13"/>
      <c r="I326" s="13"/>
      <c r="J326" s="14"/>
      <c r="K326" s="13"/>
      <c r="M326" s="13"/>
    </row>
    <row r="327" spans="2:13" ht="12.75" customHeight="1" x14ac:dyDescent="0.25">
      <c r="B327" s="13"/>
      <c r="D327" s="13"/>
      <c r="E327" s="13"/>
      <c r="F327" s="14"/>
      <c r="G327" s="14"/>
      <c r="H327" s="13"/>
      <c r="I327" s="13"/>
      <c r="J327" s="14"/>
      <c r="K327" s="13"/>
      <c r="M327" s="13"/>
    </row>
    <row r="328" spans="2:13" ht="12.75" customHeight="1" x14ac:dyDescent="0.25">
      <c r="B328" s="13"/>
      <c r="D328" s="13"/>
      <c r="E328" s="13"/>
      <c r="F328" s="14"/>
      <c r="G328" s="14"/>
      <c r="H328" s="13"/>
      <c r="I328" s="13"/>
      <c r="J328" s="14"/>
      <c r="K328" s="13"/>
      <c r="M328" s="13"/>
    </row>
    <row r="329" spans="2:13" ht="12.75" customHeight="1" x14ac:dyDescent="0.25">
      <c r="B329" s="13"/>
      <c r="D329" s="13"/>
      <c r="E329" s="13"/>
      <c r="F329" s="14"/>
      <c r="G329" s="14"/>
      <c r="H329" s="13"/>
      <c r="I329" s="13"/>
      <c r="J329" s="14"/>
      <c r="K329" s="13"/>
      <c r="M329" s="13"/>
    </row>
    <row r="330" spans="2:13" ht="12.75" customHeight="1" x14ac:dyDescent="0.25">
      <c r="B330" s="13"/>
      <c r="D330" s="13"/>
      <c r="E330" s="13"/>
      <c r="F330" s="14"/>
      <c r="G330" s="14"/>
      <c r="H330" s="13"/>
      <c r="I330" s="13"/>
      <c r="J330" s="14"/>
      <c r="K330" s="13"/>
      <c r="M330" s="13"/>
    </row>
    <row r="331" spans="2:13" ht="12.75" customHeight="1" x14ac:dyDescent="0.25">
      <c r="B331" s="13"/>
      <c r="D331" s="13"/>
      <c r="E331" s="13"/>
      <c r="F331" s="14"/>
      <c r="G331" s="14"/>
      <c r="H331" s="13"/>
      <c r="I331" s="13"/>
      <c r="J331" s="14"/>
      <c r="K331" s="13"/>
      <c r="M331" s="13"/>
    </row>
    <row r="332" spans="2:13" ht="12.75" customHeight="1" x14ac:dyDescent="0.25">
      <c r="B332" s="13"/>
      <c r="D332" s="13"/>
      <c r="E332" s="13"/>
      <c r="F332" s="14"/>
      <c r="G332" s="14"/>
      <c r="H332" s="13"/>
      <c r="I332" s="13"/>
      <c r="J332" s="14"/>
      <c r="K332" s="13"/>
      <c r="M332" s="13"/>
    </row>
    <row r="333" spans="2:13" ht="12.75" customHeight="1" x14ac:dyDescent="0.25">
      <c r="B333" s="13"/>
      <c r="D333" s="13"/>
      <c r="E333" s="13"/>
      <c r="F333" s="14"/>
      <c r="G333" s="14"/>
      <c r="H333" s="13"/>
      <c r="I333" s="13"/>
      <c r="J333" s="14"/>
      <c r="K333" s="13"/>
      <c r="M333" s="13"/>
    </row>
    <row r="334" spans="2:13" ht="12.75" customHeight="1" x14ac:dyDescent="0.25">
      <c r="B334" s="13"/>
      <c r="D334" s="13"/>
      <c r="E334" s="13"/>
      <c r="F334" s="14"/>
      <c r="G334" s="14"/>
      <c r="H334" s="13"/>
      <c r="I334" s="13"/>
      <c r="J334" s="14"/>
      <c r="K334" s="13"/>
      <c r="M334" s="13"/>
    </row>
    <row r="335" spans="2:13" ht="12.75" customHeight="1" x14ac:dyDescent="0.25">
      <c r="B335" s="13"/>
      <c r="D335" s="13"/>
      <c r="E335" s="13"/>
      <c r="F335" s="14"/>
      <c r="G335" s="14"/>
      <c r="H335" s="13"/>
      <c r="I335" s="13"/>
      <c r="J335" s="14"/>
      <c r="K335" s="13"/>
      <c r="M335" s="13"/>
    </row>
    <row r="336" spans="2:13" ht="12.75" customHeight="1" x14ac:dyDescent="0.25">
      <c r="B336" s="13"/>
      <c r="D336" s="13"/>
      <c r="E336" s="13"/>
      <c r="F336" s="14"/>
      <c r="G336" s="14"/>
      <c r="H336" s="13"/>
      <c r="I336" s="13"/>
      <c r="J336" s="14"/>
      <c r="K336" s="13"/>
      <c r="M336" s="13"/>
    </row>
    <row r="337" spans="2:13" ht="12.75" customHeight="1" x14ac:dyDescent="0.25">
      <c r="B337" s="13"/>
      <c r="D337" s="13"/>
      <c r="E337" s="13"/>
      <c r="F337" s="14"/>
      <c r="G337" s="14"/>
      <c r="H337" s="13"/>
      <c r="I337" s="13"/>
      <c r="J337" s="14"/>
      <c r="K337" s="13"/>
      <c r="M337" s="13"/>
    </row>
    <row r="338" spans="2:13" ht="12.75" customHeight="1" x14ac:dyDescent="0.25">
      <c r="B338" s="13"/>
      <c r="D338" s="13"/>
      <c r="E338" s="13"/>
      <c r="F338" s="14"/>
      <c r="G338" s="14"/>
      <c r="H338" s="13"/>
      <c r="I338" s="13"/>
      <c r="J338" s="14"/>
      <c r="K338" s="13"/>
      <c r="M338" s="13"/>
    </row>
    <row r="339" spans="2:13" ht="12.75" customHeight="1" x14ac:dyDescent="0.25">
      <c r="B339" s="13"/>
      <c r="D339" s="13"/>
      <c r="E339" s="13"/>
      <c r="F339" s="14"/>
      <c r="G339" s="14"/>
      <c r="H339" s="13"/>
      <c r="I339" s="13"/>
      <c r="J339" s="14"/>
      <c r="K339" s="13"/>
      <c r="M339" s="13"/>
    </row>
    <row r="340" spans="2:13" ht="12.75" customHeight="1" x14ac:dyDescent="0.25">
      <c r="B340" s="13"/>
      <c r="D340" s="13"/>
      <c r="E340" s="13"/>
      <c r="F340" s="14"/>
      <c r="G340" s="14"/>
      <c r="H340" s="13"/>
      <c r="I340" s="13"/>
      <c r="J340" s="14"/>
      <c r="K340" s="13"/>
      <c r="M340" s="13"/>
    </row>
    <row r="341" spans="2:13" ht="12.75" customHeight="1" x14ac:dyDescent="0.25">
      <c r="B341" s="13"/>
      <c r="D341" s="13"/>
      <c r="E341" s="13"/>
      <c r="F341" s="14"/>
      <c r="G341" s="14"/>
      <c r="H341" s="13"/>
      <c r="I341" s="13"/>
      <c r="J341" s="14"/>
      <c r="K341" s="13"/>
      <c r="M341" s="13"/>
    </row>
    <row r="342" spans="2:13" ht="12.75" customHeight="1" x14ac:dyDescent="0.25">
      <c r="B342" s="13"/>
      <c r="D342" s="13"/>
      <c r="E342" s="13"/>
      <c r="F342" s="14"/>
      <c r="G342" s="14"/>
      <c r="H342" s="13"/>
      <c r="I342" s="13"/>
      <c r="J342" s="14"/>
      <c r="K342" s="13"/>
      <c r="M342" s="13"/>
    </row>
    <row r="343" spans="2:13" ht="12.75" customHeight="1" x14ac:dyDescent="0.25">
      <c r="B343" s="13"/>
      <c r="D343" s="13"/>
      <c r="E343" s="13"/>
      <c r="F343" s="14"/>
      <c r="G343" s="14"/>
      <c r="H343" s="13"/>
      <c r="I343" s="13"/>
      <c r="J343" s="14"/>
      <c r="K343" s="13"/>
      <c r="M343" s="13"/>
    </row>
    <row r="344" spans="2:13" ht="12.75" customHeight="1" x14ac:dyDescent="0.25">
      <c r="B344" s="13"/>
      <c r="D344" s="13"/>
      <c r="E344" s="13"/>
      <c r="F344" s="14"/>
      <c r="G344" s="14"/>
      <c r="H344" s="13"/>
      <c r="I344" s="13"/>
      <c r="J344" s="14"/>
      <c r="K344" s="13"/>
      <c r="M344" s="13"/>
    </row>
    <row r="345" spans="2:13" ht="12.75" customHeight="1" x14ac:dyDescent="0.25">
      <c r="B345" s="13"/>
      <c r="D345" s="13"/>
      <c r="E345" s="13"/>
      <c r="F345" s="14"/>
      <c r="G345" s="14"/>
      <c r="H345" s="13"/>
      <c r="I345" s="13"/>
      <c r="J345" s="14"/>
      <c r="K345" s="13"/>
      <c r="M345" s="13"/>
    </row>
    <row r="346" spans="2:13" ht="12.75" customHeight="1" x14ac:dyDescent="0.25">
      <c r="B346" s="13"/>
      <c r="D346" s="13"/>
      <c r="E346" s="13"/>
      <c r="F346" s="14"/>
      <c r="G346" s="14"/>
      <c r="H346" s="13"/>
      <c r="I346" s="13"/>
      <c r="J346" s="14"/>
      <c r="K346" s="13"/>
      <c r="M346" s="13"/>
    </row>
    <row r="347" spans="2:13" ht="12.75" customHeight="1" x14ac:dyDescent="0.25">
      <c r="B347" s="13"/>
      <c r="D347" s="13"/>
      <c r="E347" s="13"/>
      <c r="F347" s="14"/>
      <c r="G347" s="14"/>
      <c r="H347" s="13"/>
      <c r="I347" s="13"/>
      <c r="J347" s="14"/>
      <c r="K347" s="13"/>
      <c r="M347" s="13"/>
    </row>
    <row r="348" spans="2:13" ht="12.75" customHeight="1" x14ac:dyDescent="0.25">
      <c r="B348" s="13"/>
      <c r="D348" s="13"/>
      <c r="E348" s="13"/>
      <c r="F348" s="14"/>
      <c r="G348" s="14"/>
      <c r="H348" s="13"/>
      <c r="I348" s="13"/>
      <c r="J348" s="14"/>
      <c r="K348" s="13"/>
      <c r="M348" s="13"/>
    </row>
    <row r="349" spans="2:13" ht="12.75" customHeight="1" x14ac:dyDescent="0.25">
      <c r="B349" s="13"/>
      <c r="D349" s="13"/>
      <c r="E349" s="13"/>
      <c r="F349" s="14"/>
      <c r="G349" s="14"/>
      <c r="H349" s="13"/>
      <c r="I349" s="13"/>
      <c r="J349" s="14"/>
      <c r="K349" s="13"/>
      <c r="M349" s="13"/>
    </row>
    <row r="350" spans="2:13" ht="12.75" customHeight="1" x14ac:dyDescent="0.25">
      <c r="B350" s="13"/>
      <c r="D350" s="13"/>
      <c r="E350" s="13"/>
      <c r="F350" s="14"/>
      <c r="G350" s="14"/>
      <c r="H350" s="13"/>
      <c r="I350" s="13"/>
      <c r="J350" s="14"/>
      <c r="K350" s="13"/>
      <c r="M350" s="13"/>
    </row>
    <row r="351" spans="2:13" ht="12.75" customHeight="1" x14ac:dyDescent="0.25">
      <c r="B351" s="13"/>
      <c r="D351" s="13"/>
      <c r="E351" s="13"/>
      <c r="F351" s="14"/>
      <c r="G351" s="14"/>
      <c r="H351" s="13"/>
      <c r="I351" s="13"/>
      <c r="J351" s="14"/>
      <c r="K351" s="13"/>
      <c r="M351" s="13"/>
    </row>
    <row r="352" spans="2:13" ht="12.75" customHeight="1" x14ac:dyDescent="0.25">
      <c r="B352" s="13"/>
      <c r="D352" s="13"/>
      <c r="E352" s="13"/>
      <c r="F352" s="14"/>
      <c r="G352" s="14"/>
      <c r="H352" s="13"/>
      <c r="I352" s="13"/>
      <c r="J352" s="14"/>
      <c r="K352" s="13"/>
      <c r="M352" s="13"/>
    </row>
    <row r="353" spans="2:13" ht="12.75" customHeight="1" x14ac:dyDescent="0.25">
      <c r="B353" s="13"/>
      <c r="D353" s="13"/>
      <c r="E353" s="13"/>
      <c r="F353" s="14"/>
      <c r="G353" s="14"/>
      <c r="H353" s="13"/>
      <c r="I353" s="13"/>
      <c r="J353" s="14"/>
      <c r="K353" s="13"/>
      <c r="M353" s="13"/>
    </row>
    <row r="354" spans="2:13" ht="12.75" customHeight="1" x14ac:dyDescent="0.25">
      <c r="B354" s="13"/>
      <c r="D354" s="13"/>
      <c r="E354" s="13"/>
      <c r="F354" s="14"/>
      <c r="G354" s="14"/>
      <c r="H354" s="13"/>
      <c r="I354" s="13"/>
      <c r="J354" s="14"/>
      <c r="K354" s="13"/>
      <c r="M354" s="13"/>
    </row>
    <row r="355" spans="2:13" ht="12.75" customHeight="1" x14ac:dyDescent="0.25">
      <c r="B355" s="13"/>
      <c r="D355" s="13"/>
      <c r="E355" s="13"/>
      <c r="F355" s="14"/>
      <c r="G355" s="14"/>
      <c r="H355" s="13"/>
      <c r="I355" s="13"/>
      <c r="J355" s="14"/>
      <c r="K355" s="13"/>
      <c r="M355" s="13"/>
    </row>
    <row r="356" spans="2:13" ht="12.75" customHeight="1" x14ac:dyDescent="0.25">
      <c r="B356" s="13"/>
      <c r="D356" s="13"/>
      <c r="E356" s="13"/>
      <c r="F356" s="14"/>
      <c r="G356" s="14"/>
      <c r="H356" s="13"/>
      <c r="I356" s="13"/>
      <c r="J356" s="14"/>
      <c r="K356" s="13"/>
      <c r="M356" s="13"/>
    </row>
    <row r="357" spans="2:13" ht="12.75" customHeight="1" x14ac:dyDescent="0.25">
      <c r="B357" s="13"/>
      <c r="D357" s="13"/>
      <c r="E357" s="13"/>
      <c r="F357" s="14"/>
      <c r="G357" s="14"/>
      <c r="H357" s="13"/>
      <c r="I357" s="13"/>
      <c r="J357" s="14"/>
      <c r="K357" s="13"/>
      <c r="M357" s="13"/>
    </row>
    <row r="358" spans="2:13" ht="12.75" customHeight="1" x14ac:dyDescent="0.25">
      <c r="B358" s="13"/>
      <c r="D358" s="13"/>
      <c r="E358" s="13"/>
      <c r="F358" s="14"/>
      <c r="G358" s="14"/>
      <c r="H358" s="13"/>
      <c r="I358" s="13"/>
      <c r="J358" s="14"/>
      <c r="K358" s="13"/>
      <c r="M358" s="13"/>
    </row>
    <row r="359" spans="2:13" ht="12.75" customHeight="1" x14ac:dyDescent="0.25">
      <c r="B359" s="13"/>
      <c r="D359" s="13"/>
      <c r="E359" s="13"/>
      <c r="F359" s="14"/>
      <c r="G359" s="14"/>
      <c r="H359" s="13"/>
      <c r="I359" s="13"/>
      <c r="J359" s="14"/>
      <c r="K359" s="13"/>
      <c r="M359" s="13"/>
    </row>
    <row r="360" spans="2:13" ht="12.75" customHeight="1" x14ac:dyDescent="0.25">
      <c r="B360" s="13"/>
      <c r="D360" s="13"/>
      <c r="E360" s="13"/>
      <c r="F360" s="14"/>
      <c r="G360" s="14"/>
      <c r="H360" s="13"/>
      <c r="I360" s="13"/>
      <c r="J360" s="14"/>
      <c r="K360" s="13"/>
      <c r="M360" s="13"/>
    </row>
    <row r="361" spans="2:13" ht="12.75" customHeight="1" x14ac:dyDescent="0.25">
      <c r="B361" s="13"/>
      <c r="D361" s="13"/>
      <c r="E361" s="13"/>
      <c r="F361" s="14"/>
      <c r="G361" s="14"/>
      <c r="H361" s="13"/>
      <c r="I361" s="13"/>
      <c r="J361" s="14"/>
      <c r="K361" s="13"/>
      <c r="M361" s="13"/>
    </row>
    <row r="362" spans="2:13" ht="12.75" customHeight="1" x14ac:dyDescent="0.25">
      <c r="B362" s="13"/>
      <c r="D362" s="13"/>
      <c r="E362" s="13"/>
      <c r="F362" s="14"/>
      <c r="G362" s="14"/>
      <c r="H362" s="13"/>
      <c r="I362" s="13"/>
      <c r="J362" s="14"/>
      <c r="K362" s="13"/>
      <c r="M362" s="13"/>
    </row>
    <row r="363" spans="2:13" ht="12.75" customHeight="1" x14ac:dyDescent="0.25">
      <c r="B363" s="13"/>
      <c r="D363" s="13"/>
      <c r="E363" s="13"/>
      <c r="F363" s="14"/>
      <c r="G363" s="14"/>
      <c r="H363" s="13"/>
      <c r="I363" s="13"/>
      <c r="J363" s="14"/>
      <c r="K363" s="13"/>
      <c r="M363" s="13"/>
    </row>
    <row r="364" spans="2:13" ht="12.75" customHeight="1" x14ac:dyDescent="0.25">
      <c r="B364" s="13"/>
      <c r="D364" s="13"/>
      <c r="E364" s="13"/>
      <c r="F364" s="14"/>
      <c r="G364" s="14"/>
      <c r="H364" s="13"/>
      <c r="I364" s="13"/>
      <c r="J364" s="14"/>
      <c r="K364" s="13"/>
      <c r="M364" s="13"/>
    </row>
    <row r="365" spans="2:13" ht="12.75" customHeight="1" x14ac:dyDescent="0.25">
      <c r="B365" s="13"/>
      <c r="D365" s="13"/>
      <c r="E365" s="13"/>
      <c r="F365" s="14"/>
      <c r="G365" s="14"/>
      <c r="H365" s="13"/>
      <c r="I365" s="13"/>
      <c r="J365" s="14"/>
      <c r="K365" s="13"/>
      <c r="M365" s="13"/>
    </row>
    <row r="366" spans="2:13" ht="12.75" customHeight="1" x14ac:dyDescent="0.25">
      <c r="B366" s="13"/>
      <c r="D366" s="13"/>
      <c r="E366" s="13"/>
      <c r="F366" s="14"/>
      <c r="G366" s="14"/>
      <c r="H366" s="13"/>
      <c r="I366" s="13"/>
      <c r="J366" s="14"/>
      <c r="K366" s="13"/>
      <c r="M366" s="13"/>
    </row>
    <row r="367" spans="2:13" ht="12.75" customHeight="1" x14ac:dyDescent="0.25">
      <c r="B367" s="13"/>
      <c r="D367" s="13"/>
      <c r="E367" s="13"/>
      <c r="F367" s="14"/>
      <c r="G367" s="14"/>
      <c r="H367" s="13"/>
      <c r="I367" s="13"/>
      <c r="J367" s="14"/>
      <c r="K367" s="13"/>
      <c r="M367" s="13"/>
    </row>
    <row r="368" spans="2:13" ht="12.75" customHeight="1" x14ac:dyDescent="0.25">
      <c r="B368" s="13"/>
      <c r="D368" s="13"/>
      <c r="E368" s="13"/>
      <c r="F368" s="14"/>
      <c r="G368" s="14"/>
      <c r="H368" s="13"/>
      <c r="I368" s="13"/>
      <c r="J368" s="14"/>
      <c r="K368" s="13"/>
      <c r="M368" s="13"/>
    </row>
    <row r="369" spans="2:13" ht="12.75" customHeight="1" x14ac:dyDescent="0.25">
      <c r="B369" s="13"/>
      <c r="D369" s="13"/>
      <c r="E369" s="13"/>
      <c r="F369" s="14"/>
      <c r="G369" s="14"/>
      <c r="H369" s="13"/>
      <c r="I369" s="13"/>
      <c r="J369" s="14"/>
      <c r="K369" s="13"/>
      <c r="M369" s="13"/>
    </row>
    <row r="370" spans="2:13" ht="12.75" customHeight="1" x14ac:dyDescent="0.25">
      <c r="B370" s="13"/>
      <c r="D370" s="13"/>
      <c r="E370" s="13"/>
      <c r="F370" s="14"/>
      <c r="G370" s="14"/>
      <c r="H370" s="13"/>
      <c r="I370" s="13"/>
      <c r="J370" s="14"/>
      <c r="K370" s="13"/>
      <c r="M370" s="13"/>
    </row>
    <row r="371" spans="2:13" ht="12.75" customHeight="1" x14ac:dyDescent="0.25">
      <c r="B371" s="13"/>
      <c r="D371" s="13"/>
      <c r="E371" s="13"/>
      <c r="F371" s="14"/>
      <c r="G371" s="14"/>
      <c r="H371" s="13"/>
      <c r="I371" s="13"/>
      <c r="J371" s="14"/>
      <c r="K371" s="13"/>
      <c r="M371" s="13"/>
    </row>
    <row r="372" spans="2:13" ht="12.75" customHeight="1" x14ac:dyDescent="0.25">
      <c r="B372" s="13"/>
      <c r="D372" s="13"/>
      <c r="E372" s="13"/>
      <c r="F372" s="14"/>
      <c r="G372" s="14"/>
      <c r="H372" s="13"/>
      <c r="I372" s="13"/>
      <c r="J372" s="14"/>
      <c r="K372" s="13"/>
      <c r="M372" s="13"/>
    </row>
    <row r="373" spans="2:13" ht="12.75" customHeight="1" x14ac:dyDescent="0.25">
      <c r="B373" s="13"/>
      <c r="D373" s="13"/>
      <c r="E373" s="13"/>
      <c r="F373" s="14"/>
      <c r="G373" s="14"/>
      <c r="H373" s="13"/>
      <c r="I373" s="13"/>
      <c r="J373" s="14"/>
      <c r="K373" s="13"/>
      <c r="M373" s="13"/>
    </row>
    <row r="374" spans="2:13" ht="12.75" customHeight="1" x14ac:dyDescent="0.25">
      <c r="B374" s="13"/>
      <c r="D374" s="13"/>
      <c r="E374" s="13"/>
      <c r="F374" s="14"/>
      <c r="G374" s="14"/>
      <c r="H374" s="13"/>
      <c r="I374" s="13"/>
      <c r="J374" s="14"/>
      <c r="K374" s="13"/>
      <c r="M374" s="13"/>
    </row>
    <row r="375" spans="2:13" ht="12.75" customHeight="1" x14ac:dyDescent="0.25">
      <c r="B375" s="13"/>
      <c r="D375" s="13"/>
      <c r="E375" s="13"/>
      <c r="F375" s="14"/>
      <c r="G375" s="14"/>
      <c r="H375" s="13"/>
      <c r="I375" s="13"/>
      <c r="J375" s="14"/>
      <c r="K375" s="13"/>
      <c r="M375" s="13"/>
    </row>
    <row r="376" spans="2:13" ht="12.75" customHeight="1" x14ac:dyDescent="0.25">
      <c r="B376" s="13"/>
      <c r="D376" s="13"/>
      <c r="E376" s="13"/>
      <c r="F376" s="14"/>
      <c r="G376" s="14"/>
      <c r="H376" s="13"/>
      <c r="I376" s="13"/>
      <c r="J376" s="14"/>
      <c r="K376" s="13"/>
      <c r="M376" s="13"/>
    </row>
    <row r="377" spans="2:13" ht="12.75" customHeight="1" x14ac:dyDescent="0.25">
      <c r="B377" s="13"/>
      <c r="D377" s="13"/>
      <c r="E377" s="13"/>
      <c r="F377" s="14"/>
      <c r="G377" s="14"/>
      <c r="H377" s="13"/>
      <c r="I377" s="13"/>
      <c r="J377" s="14"/>
      <c r="K377" s="13"/>
      <c r="M377" s="13"/>
    </row>
    <row r="378" spans="2:13" ht="12.75" customHeight="1" x14ac:dyDescent="0.25">
      <c r="B378" s="13"/>
      <c r="D378" s="13"/>
      <c r="E378" s="13"/>
      <c r="F378" s="14"/>
      <c r="G378" s="14"/>
      <c r="H378" s="13"/>
      <c r="I378" s="13"/>
      <c r="J378" s="14"/>
      <c r="K378" s="13"/>
      <c r="M378" s="13"/>
    </row>
    <row r="379" spans="2:13" ht="12.75" customHeight="1" x14ac:dyDescent="0.25">
      <c r="B379" s="13"/>
      <c r="D379" s="13"/>
      <c r="E379" s="13"/>
      <c r="F379" s="14"/>
      <c r="G379" s="14"/>
      <c r="H379" s="13"/>
      <c r="I379" s="13"/>
      <c r="J379" s="14"/>
      <c r="K379" s="13"/>
      <c r="M379" s="13"/>
    </row>
    <row r="380" spans="2:13" ht="12.75" customHeight="1" x14ac:dyDescent="0.25">
      <c r="B380" s="13"/>
      <c r="D380" s="13"/>
      <c r="E380" s="13"/>
      <c r="F380" s="14"/>
      <c r="G380" s="14"/>
      <c r="H380" s="13"/>
      <c r="I380" s="13"/>
      <c r="J380" s="14"/>
      <c r="K380" s="13"/>
      <c r="M380" s="13"/>
    </row>
    <row r="381" spans="2:13" ht="12.75" customHeight="1" x14ac:dyDescent="0.25">
      <c r="B381" s="13"/>
      <c r="D381" s="13"/>
      <c r="E381" s="13"/>
      <c r="F381" s="14"/>
      <c r="G381" s="14"/>
      <c r="H381" s="13"/>
      <c r="I381" s="13"/>
      <c r="J381" s="14"/>
      <c r="K381" s="13"/>
      <c r="M381" s="13"/>
    </row>
    <row r="382" spans="2:13" ht="12.75" customHeight="1" x14ac:dyDescent="0.25">
      <c r="B382" s="13"/>
      <c r="D382" s="13"/>
      <c r="E382" s="13"/>
      <c r="F382" s="14"/>
      <c r="G382" s="14"/>
      <c r="H382" s="13"/>
      <c r="I382" s="13"/>
      <c r="J382" s="14"/>
      <c r="K382" s="13"/>
      <c r="M382" s="13"/>
    </row>
    <row r="383" spans="2:13" ht="12.75" customHeight="1" x14ac:dyDescent="0.25">
      <c r="B383" s="13"/>
      <c r="D383" s="13"/>
      <c r="E383" s="13"/>
      <c r="F383" s="14"/>
      <c r="G383" s="14"/>
      <c r="H383" s="13"/>
      <c r="I383" s="13"/>
      <c r="J383" s="14"/>
      <c r="K383" s="13"/>
      <c r="M383" s="13"/>
    </row>
    <row r="384" spans="2:13" ht="12.75" customHeight="1" x14ac:dyDescent="0.25">
      <c r="B384" s="13"/>
      <c r="D384" s="13"/>
      <c r="E384" s="13"/>
      <c r="F384" s="14"/>
      <c r="G384" s="14"/>
      <c r="H384" s="13"/>
      <c r="I384" s="13"/>
      <c r="J384" s="14"/>
      <c r="K384" s="13"/>
      <c r="M384" s="13"/>
    </row>
    <row r="385" spans="2:13" ht="12.75" customHeight="1" x14ac:dyDescent="0.25">
      <c r="B385" s="13"/>
      <c r="D385" s="13"/>
      <c r="E385" s="13"/>
      <c r="F385" s="14"/>
      <c r="G385" s="14"/>
      <c r="H385" s="13"/>
      <c r="I385" s="13"/>
      <c r="J385" s="14"/>
      <c r="K385" s="13"/>
      <c r="M385" s="13"/>
    </row>
    <row r="386" spans="2:13" ht="12.75" customHeight="1" x14ac:dyDescent="0.25">
      <c r="B386" s="13"/>
      <c r="D386" s="13"/>
      <c r="E386" s="13"/>
      <c r="F386" s="14"/>
      <c r="G386" s="14"/>
      <c r="H386" s="13"/>
      <c r="I386" s="13"/>
      <c r="J386" s="14"/>
      <c r="K386" s="13"/>
      <c r="M386" s="13"/>
    </row>
    <row r="387" spans="2:13" ht="12.75" customHeight="1" x14ac:dyDescent="0.25">
      <c r="B387" s="13"/>
      <c r="D387" s="13"/>
      <c r="E387" s="13"/>
      <c r="F387" s="14"/>
      <c r="G387" s="14"/>
      <c r="H387" s="13"/>
      <c r="I387" s="13"/>
      <c r="J387" s="14"/>
      <c r="K387" s="13"/>
      <c r="M387" s="13"/>
    </row>
    <row r="388" spans="2:13" ht="12.75" customHeight="1" x14ac:dyDescent="0.25">
      <c r="B388" s="13"/>
      <c r="D388" s="13"/>
      <c r="E388" s="13"/>
      <c r="F388" s="14"/>
      <c r="G388" s="14"/>
      <c r="H388" s="13"/>
      <c r="I388" s="13"/>
      <c r="J388" s="14"/>
      <c r="K388" s="13"/>
      <c r="M388" s="13"/>
    </row>
    <row r="389" spans="2:13" ht="12.75" customHeight="1" x14ac:dyDescent="0.25">
      <c r="B389" s="13"/>
      <c r="D389" s="13"/>
      <c r="E389" s="13"/>
      <c r="F389" s="14"/>
      <c r="G389" s="14"/>
      <c r="H389" s="13"/>
      <c r="I389" s="13"/>
      <c r="J389" s="14"/>
      <c r="K389" s="13"/>
      <c r="M389" s="13"/>
    </row>
    <row r="390" spans="2:13" ht="12.75" customHeight="1" x14ac:dyDescent="0.25">
      <c r="B390" s="13"/>
      <c r="D390" s="13"/>
      <c r="E390" s="13"/>
      <c r="F390" s="14"/>
      <c r="G390" s="14"/>
      <c r="H390" s="13"/>
      <c r="I390" s="13"/>
      <c r="J390" s="14"/>
      <c r="K390" s="13"/>
      <c r="M390" s="13"/>
    </row>
    <row r="391" spans="2:13" ht="12.75" customHeight="1" x14ac:dyDescent="0.25">
      <c r="B391" s="13"/>
      <c r="D391" s="13"/>
      <c r="E391" s="13"/>
      <c r="F391" s="14"/>
      <c r="G391" s="14"/>
      <c r="H391" s="13"/>
      <c r="I391" s="13"/>
      <c r="J391" s="14"/>
      <c r="K391" s="13"/>
      <c r="M391" s="13"/>
    </row>
    <row r="392" spans="2:13" ht="12.75" customHeight="1" x14ac:dyDescent="0.25">
      <c r="B392" s="13"/>
      <c r="D392" s="13"/>
      <c r="E392" s="13"/>
      <c r="F392" s="14"/>
      <c r="G392" s="14"/>
      <c r="H392" s="13"/>
      <c r="I392" s="13"/>
      <c r="J392" s="14"/>
      <c r="K392" s="13"/>
      <c r="M392" s="13"/>
    </row>
    <row r="393" spans="2:13" ht="12.75" customHeight="1" x14ac:dyDescent="0.25">
      <c r="B393" s="13"/>
      <c r="D393" s="13"/>
      <c r="E393" s="13"/>
      <c r="F393" s="14"/>
      <c r="G393" s="14"/>
      <c r="H393" s="13"/>
      <c r="I393" s="13"/>
      <c r="J393" s="14"/>
      <c r="K393" s="13"/>
      <c r="M393" s="13"/>
    </row>
    <row r="394" spans="2:13" ht="12.75" customHeight="1" x14ac:dyDescent="0.25">
      <c r="B394" s="13"/>
      <c r="D394" s="13"/>
      <c r="E394" s="13"/>
      <c r="F394" s="14"/>
      <c r="G394" s="14"/>
      <c r="H394" s="13"/>
      <c r="I394" s="13"/>
      <c r="J394" s="14"/>
      <c r="K394" s="13"/>
      <c r="M394" s="13"/>
    </row>
    <row r="395" spans="2:13" ht="12.75" customHeight="1" x14ac:dyDescent="0.25">
      <c r="B395" s="13"/>
      <c r="D395" s="13"/>
      <c r="E395" s="13"/>
      <c r="F395" s="14"/>
      <c r="G395" s="14"/>
      <c r="H395" s="13"/>
      <c r="I395" s="13"/>
      <c r="J395" s="14"/>
      <c r="K395" s="13"/>
      <c r="M395" s="13"/>
    </row>
    <row r="396" spans="2:13" ht="12.75" customHeight="1" x14ac:dyDescent="0.25">
      <c r="B396" s="13"/>
      <c r="D396" s="13"/>
      <c r="E396" s="13"/>
      <c r="F396" s="14"/>
      <c r="G396" s="14"/>
      <c r="H396" s="13"/>
      <c r="I396" s="13"/>
      <c r="J396" s="14"/>
      <c r="K396" s="13"/>
      <c r="M396" s="13"/>
    </row>
    <row r="397" spans="2:13" ht="12.75" customHeight="1" x14ac:dyDescent="0.25">
      <c r="B397" s="13"/>
      <c r="D397" s="13"/>
      <c r="E397" s="13"/>
      <c r="F397" s="14"/>
      <c r="G397" s="14"/>
      <c r="H397" s="13"/>
      <c r="I397" s="13"/>
      <c r="J397" s="14"/>
      <c r="K397" s="13"/>
      <c r="M397" s="13"/>
    </row>
    <row r="398" spans="2:13" ht="12.75" customHeight="1" x14ac:dyDescent="0.25">
      <c r="B398" s="13"/>
      <c r="D398" s="13"/>
      <c r="E398" s="13"/>
      <c r="F398" s="14"/>
      <c r="G398" s="14"/>
      <c r="H398" s="13"/>
      <c r="I398" s="13"/>
      <c r="J398" s="14"/>
      <c r="K398" s="13"/>
      <c r="M398" s="13"/>
    </row>
    <row r="399" spans="2:13" ht="12.75" customHeight="1" x14ac:dyDescent="0.25">
      <c r="B399" s="13"/>
      <c r="D399" s="13"/>
      <c r="E399" s="13"/>
      <c r="F399" s="14"/>
      <c r="G399" s="14"/>
      <c r="H399" s="13"/>
      <c r="I399" s="13"/>
      <c r="J399" s="14"/>
      <c r="K399" s="13"/>
      <c r="M399" s="13"/>
    </row>
    <row r="400" spans="2:13" ht="12.75" customHeight="1" x14ac:dyDescent="0.25">
      <c r="B400" s="13"/>
      <c r="D400" s="13"/>
      <c r="E400" s="13"/>
      <c r="F400" s="14"/>
      <c r="G400" s="14"/>
      <c r="H400" s="13"/>
      <c r="I400" s="13"/>
      <c r="J400" s="14"/>
      <c r="K400" s="13"/>
      <c r="M400" s="13"/>
    </row>
    <row r="401" spans="2:13" ht="12.75" customHeight="1" x14ac:dyDescent="0.25">
      <c r="B401" s="13"/>
      <c r="D401" s="13"/>
      <c r="E401" s="13"/>
      <c r="F401" s="14"/>
      <c r="G401" s="14"/>
      <c r="H401" s="13"/>
      <c r="I401" s="13"/>
      <c r="J401" s="14"/>
      <c r="K401" s="13"/>
      <c r="M401" s="13"/>
    </row>
    <row r="402" spans="2:13" ht="12.75" customHeight="1" x14ac:dyDescent="0.25">
      <c r="B402" s="13"/>
      <c r="D402" s="13"/>
      <c r="E402" s="13"/>
      <c r="F402" s="14"/>
      <c r="G402" s="14"/>
      <c r="H402" s="13"/>
      <c r="I402" s="13"/>
      <c r="J402" s="14"/>
      <c r="K402" s="13"/>
      <c r="M402" s="13"/>
    </row>
    <row r="403" spans="2:13" ht="12.75" customHeight="1" x14ac:dyDescent="0.25">
      <c r="B403" s="13"/>
      <c r="D403" s="13"/>
      <c r="E403" s="13"/>
      <c r="F403" s="14"/>
      <c r="G403" s="14"/>
      <c r="H403" s="13"/>
      <c r="I403" s="13"/>
      <c r="J403" s="14"/>
      <c r="K403" s="13"/>
      <c r="M403" s="13"/>
    </row>
    <row r="404" spans="2:13" ht="12.75" customHeight="1" x14ac:dyDescent="0.25">
      <c r="B404" s="13"/>
      <c r="D404" s="13"/>
      <c r="E404" s="13"/>
      <c r="F404" s="14"/>
      <c r="G404" s="14"/>
      <c r="H404" s="13"/>
      <c r="I404" s="13"/>
      <c r="J404" s="14"/>
      <c r="K404" s="13"/>
      <c r="M404" s="13"/>
    </row>
    <row r="405" spans="2:13" ht="12.75" customHeight="1" x14ac:dyDescent="0.25">
      <c r="B405" s="13"/>
      <c r="D405" s="13"/>
      <c r="E405" s="13"/>
      <c r="F405" s="14"/>
      <c r="G405" s="14"/>
      <c r="H405" s="13"/>
      <c r="I405" s="13"/>
      <c r="J405" s="14"/>
      <c r="K405" s="13"/>
      <c r="M405" s="13"/>
    </row>
    <row r="406" spans="2:13" ht="12.75" customHeight="1" x14ac:dyDescent="0.25">
      <c r="B406" s="13"/>
      <c r="D406" s="13"/>
      <c r="E406" s="13"/>
      <c r="F406" s="14"/>
      <c r="G406" s="14"/>
      <c r="H406" s="13"/>
      <c r="I406" s="13"/>
      <c r="J406" s="14"/>
      <c r="K406" s="13"/>
      <c r="M406" s="13"/>
    </row>
    <row r="407" spans="2:13" ht="12.75" customHeight="1" x14ac:dyDescent="0.25">
      <c r="B407" s="13"/>
      <c r="D407" s="13"/>
      <c r="E407" s="13"/>
      <c r="F407" s="14"/>
      <c r="G407" s="14"/>
      <c r="H407" s="13"/>
      <c r="I407" s="13"/>
      <c r="J407" s="14"/>
      <c r="K407" s="13"/>
      <c r="M407" s="13"/>
    </row>
    <row r="408" spans="2:13" ht="12.75" customHeight="1" x14ac:dyDescent="0.25">
      <c r="B408" s="13"/>
      <c r="D408" s="13"/>
      <c r="E408" s="13"/>
      <c r="F408" s="14"/>
      <c r="G408" s="14"/>
      <c r="H408" s="13"/>
      <c r="I408" s="13"/>
      <c r="J408" s="14"/>
      <c r="K408" s="13"/>
      <c r="M408" s="13"/>
    </row>
    <row r="409" spans="2:13" ht="12.75" customHeight="1" x14ac:dyDescent="0.25">
      <c r="B409" s="13"/>
      <c r="D409" s="13"/>
      <c r="E409" s="13"/>
      <c r="F409" s="14"/>
      <c r="G409" s="14"/>
      <c r="H409" s="13"/>
      <c r="I409" s="13"/>
      <c r="J409" s="14"/>
      <c r="K409" s="13"/>
      <c r="M409" s="13"/>
    </row>
    <row r="410" spans="2:13" ht="12.75" customHeight="1" x14ac:dyDescent="0.25">
      <c r="B410" s="13"/>
      <c r="D410" s="13"/>
      <c r="E410" s="13"/>
      <c r="F410" s="14"/>
      <c r="G410" s="14"/>
      <c r="H410" s="13"/>
      <c r="I410" s="13"/>
      <c r="J410" s="14"/>
      <c r="K410" s="13"/>
      <c r="M410" s="13"/>
    </row>
    <row r="411" spans="2:13" ht="12.75" customHeight="1" x14ac:dyDescent="0.25">
      <c r="B411" s="13"/>
      <c r="D411" s="13"/>
      <c r="E411" s="13"/>
      <c r="F411" s="14"/>
      <c r="G411" s="14"/>
      <c r="H411" s="13"/>
      <c r="I411" s="13"/>
      <c r="J411" s="14"/>
      <c r="K411" s="13"/>
      <c r="M411" s="13"/>
    </row>
    <row r="412" spans="2:13" ht="12.75" customHeight="1" x14ac:dyDescent="0.25">
      <c r="B412" s="13"/>
      <c r="D412" s="13"/>
      <c r="E412" s="13"/>
      <c r="F412" s="14"/>
      <c r="G412" s="14"/>
      <c r="H412" s="13"/>
      <c r="I412" s="13"/>
      <c r="J412" s="14"/>
      <c r="K412" s="13"/>
      <c r="M412" s="13"/>
    </row>
    <row r="413" spans="2:13" ht="12.75" customHeight="1" x14ac:dyDescent="0.25">
      <c r="B413" s="13"/>
      <c r="D413" s="13"/>
      <c r="E413" s="13"/>
      <c r="F413" s="14"/>
      <c r="G413" s="14"/>
      <c r="H413" s="13"/>
      <c r="I413" s="13"/>
      <c r="J413" s="14"/>
      <c r="K413" s="13"/>
      <c r="M413" s="13"/>
    </row>
    <row r="414" spans="2:13" ht="12.75" customHeight="1" x14ac:dyDescent="0.25">
      <c r="B414" s="13"/>
      <c r="D414" s="13"/>
      <c r="E414" s="13"/>
      <c r="F414" s="14"/>
      <c r="G414" s="14"/>
      <c r="H414" s="13"/>
      <c r="I414" s="13"/>
      <c r="J414" s="14"/>
      <c r="K414" s="13"/>
      <c r="M414" s="13"/>
    </row>
    <row r="415" spans="2:13" ht="12.75" customHeight="1" x14ac:dyDescent="0.25">
      <c r="B415" s="13"/>
      <c r="D415" s="13"/>
      <c r="E415" s="13"/>
      <c r="F415" s="14"/>
      <c r="G415" s="14"/>
      <c r="H415" s="13"/>
      <c r="I415" s="13"/>
      <c r="J415" s="14"/>
      <c r="K415" s="13"/>
      <c r="M415" s="13"/>
    </row>
    <row r="416" spans="2:13" ht="12.75" customHeight="1" x14ac:dyDescent="0.25">
      <c r="B416" s="13"/>
      <c r="D416" s="13"/>
      <c r="E416" s="13"/>
      <c r="F416" s="14"/>
      <c r="G416" s="14"/>
      <c r="H416" s="13"/>
      <c r="I416" s="13"/>
      <c r="J416" s="14"/>
      <c r="K416" s="13"/>
      <c r="M416" s="13"/>
    </row>
    <row r="417" spans="2:13" ht="12.75" customHeight="1" x14ac:dyDescent="0.25">
      <c r="B417" s="13"/>
      <c r="D417" s="13"/>
      <c r="E417" s="13"/>
      <c r="F417" s="14"/>
      <c r="G417" s="14"/>
      <c r="H417" s="13"/>
      <c r="I417" s="13"/>
      <c r="J417" s="14"/>
      <c r="K417" s="13"/>
      <c r="M417" s="13"/>
    </row>
    <row r="418" spans="2:13" ht="12.75" customHeight="1" x14ac:dyDescent="0.25">
      <c r="B418" s="13"/>
      <c r="D418" s="13"/>
      <c r="E418" s="13"/>
      <c r="F418" s="14"/>
      <c r="G418" s="14"/>
      <c r="H418" s="13"/>
      <c r="I418" s="13"/>
      <c r="J418" s="14"/>
      <c r="K418" s="13"/>
      <c r="M418" s="13"/>
    </row>
    <row r="419" spans="2:13" ht="12.75" customHeight="1" x14ac:dyDescent="0.25">
      <c r="B419" s="13"/>
      <c r="D419" s="13"/>
      <c r="E419" s="13"/>
      <c r="F419" s="14"/>
      <c r="G419" s="14"/>
      <c r="H419" s="13"/>
      <c r="I419" s="13"/>
      <c r="J419" s="14"/>
      <c r="K419" s="13"/>
      <c r="M419" s="13"/>
    </row>
    <row r="420" spans="2:13" ht="12.75" customHeight="1" x14ac:dyDescent="0.25">
      <c r="B420" s="13"/>
      <c r="D420" s="13"/>
      <c r="E420" s="13"/>
      <c r="F420" s="14"/>
      <c r="G420" s="14"/>
      <c r="H420" s="13"/>
      <c r="I420" s="13"/>
      <c r="J420" s="14"/>
      <c r="K420" s="13"/>
      <c r="M420" s="13"/>
    </row>
    <row r="421" spans="2:13" ht="12.75" customHeight="1" x14ac:dyDescent="0.25">
      <c r="B421" s="13"/>
      <c r="D421" s="13"/>
      <c r="E421" s="13"/>
      <c r="F421" s="14"/>
      <c r="G421" s="14"/>
      <c r="H421" s="13"/>
      <c r="I421" s="13"/>
      <c r="J421" s="14"/>
      <c r="K421" s="13"/>
      <c r="M421" s="13"/>
    </row>
    <row r="422" spans="2:13" ht="12.75" customHeight="1" x14ac:dyDescent="0.25">
      <c r="B422" s="13"/>
      <c r="D422" s="13"/>
      <c r="E422" s="13"/>
      <c r="F422" s="14"/>
      <c r="G422" s="14"/>
      <c r="H422" s="13"/>
      <c r="I422" s="13"/>
      <c r="J422" s="14"/>
      <c r="K422" s="13"/>
      <c r="M422" s="13"/>
    </row>
    <row r="423" spans="2:13" ht="12.75" customHeight="1" x14ac:dyDescent="0.25">
      <c r="B423" s="13"/>
      <c r="D423" s="13"/>
      <c r="E423" s="13"/>
      <c r="F423" s="14"/>
      <c r="G423" s="14"/>
      <c r="H423" s="13"/>
      <c r="I423" s="13"/>
      <c r="J423" s="14"/>
      <c r="K423" s="13"/>
      <c r="M423" s="13"/>
    </row>
    <row r="424" spans="2:13" ht="12.75" customHeight="1" x14ac:dyDescent="0.25">
      <c r="B424" s="13"/>
      <c r="D424" s="13"/>
      <c r="E424" s="13"/>
      <c r="F424" s="14"/>
      <c r="G424" s="14"/>
      <c r="H424" s="13"/>
      <c r="I424" s="13"/>
      <c r="J424" s="14"/>
      <c r="K424" s="13"/>
      <c r="M424" s="13"/>
    </row>
    <row r="425" spans="2:13" ht="12.75" customHeight="1" x14ac:dyDescent="0.25">
      <c r="B425" s="13"/>
      <c r="D425" s="13"/>
      <c r="E425" s="13"/>
      <c r="F425" s="14"/>
      <c r="G425" s="14"/>
      <c r="H425" s="13"/>
      <c r="I425" s="13"/>
      <c r="J425" s="14"/>
      <c r="K425" s="13"/>
      <c r="M425" s="13"/>
    </row>
    <row r="426" spans="2:13" ht="12.75" customHeight="1" x14ac:dyDescent="0.25">
      <c r="B426" s="13"/>
      <c r="D426" s="13"/>
      <c r="E426" s="13"/>
      <c r="F426" s="14"/>
      <c r="G426" s="14"/>
      <c r="H426" s="13"/>
      <c r="I426" s="13"/>
      <c r="J426" s="14"/>
      <c r="K426" s="13"/>
      <c r="M426" s="13"/>
    </row>
    <row r="427" spans="2:13" ht="12.75" customHeight="1" x14ac:dyDescent="0.25">
      <c r="B427" s="13"/>
      <c r="D427" s="13"/>
      <c r="E427" s="13"/>
      <c r="F427" s="14"/>
      <c r="G427" s="14"/>
      <c r="H427" s="13"/>
      <c r="I427" s="13"/>
      <c r="J427" s="14"/>
      <c r="K427" s="13"/>
      <c r="M427" s="13"/>
    </row>
    <row r="428" spans="2:13" ht="12.75" customHeight="1" x14ac:dyDescent="0.25">
      <c r="B428" s="13"/>
      <c r="D428" s="13"/>
      <c r="E428" s="13"/>
      <c r="F428" s="14"/>
      <c r="G428" s="14"/>
      <c r="H428" s="13"/>
      <c r="I428" s="13"/>
      <c r="J428" s="14"/>
      <c r="K428" s="13"/>
      <c r="M428" s="13"/>
    </row>
    <row r="429" spans="2:13" ht="12.75" customHeight="1" x14ac:dyDescent="0.25">
      <c r="B429" s="13"/>
      <c r="D429" s="13"/>
      <c r="E429" s="13"/>
      <c r="F429" s="14"/>
      <c r="G429" s="14"/>
      <c r="H429" s="13"/>
      <c r="I429" s="13"/>
      <c r="J429" s="14"/>
      <c r="K429" s="13"/>
      <c r="M429" s="13"/>
    </row>
    <row r="430" spans="2:13" ht="12.75" customHeight="1" x14ac:dyDescent="0.25">
      <c r="B430" s="13"/>
      <c r="D430" s="13"/>
      <c r="E430" s="13"/>
      <c r="F430" s="14"/>
      <c r="G430" s="14"/>
      <c r="H430" s="13"/>
      <c r="I430" s="13"/>
      <c r="J430" s="14"/>
      <c r="K430" s="13"/>
      <c r="M430" s="13"/>
    </row>
    <row r="431" spans="2:13" ht="12.75" customHeight="1" x14ac:dyDescent="0.25">
      <c r="B431" s="13"/>
      <c r="D431" s="13"/>
      <c r="E431" s="13"/>
      <c r="F431" s="14"/>
      <c r="G431" s="14"/>
      <c r="H431" s="13"/>
      <c r="I431" s="13"/>
      <c r="J431" s="14"/>
      <c r="K431" s="13"/>
      <c r="M431" s="13"/>
    </row>
    <row r="432" spans="2:13" ht="12.75" customHeight="1" x14ac:dyDescent="0.25">
      <c r="B432" s="13"/>
      <c r="D432" s="13"/>
      <c r="E432" s="13"/>
      <c r="F432" s="14"/>
      <c r="G432" s="14"/>
      <c r="H432" s="13"/>
      <c r="I432" s="13"/>
      <c r="J432" s="14"/>
      <c r="K432" s="13"/>
      <c r="M432" s="13"/>
    </row>
    <row r="433" spans="2:13" ht="12.75" customHeight="1" x14ac:dyDescent="0.25">
      <c r="B433" s="13"/>
      <c r="D433" s="13"/>
      <c r="E433" s="13"/>
      <c r="F433" s="14"/>
      <c r="G433" s="14"/>
      <c r="H433" s="13"/>
      <c r="I433" s="13"/>
      <c r="J433" s="14"/>
      <c r="K433" s="13"/>
      <c r="M433" s="13"/>
    </row>
    <row r="434" spans="2:13" ht="12.75" customHeight="1" x14ac:dyDescent="0.25">
      <c r="B434" s="13"/>
      <c r="D434" s="13"/>
      <c r="E434" s="13"/>
      <c r="F434" s="14"/>
      <c r="G434" s="14"/>
      <c r="H434" s="13"/>
      <c r="I434" s="13"/>
      <c r="J434" s="14"/>
      <c r="K434" s="13"/>
      <c r="M434" s="13"/>
    </row>
    <row r="435" spans="2:13" ht="12.75" customHeight="1" x14ac:dyDescent="0.25">
      <c r="B435" s="13"/>
      <c r="D435" s="13"/>
      <c r="E435" s="13"/>
      <c r="F435" s="14"/>
      <c r="G435" s="14"/>
      <c r="H435" s="13"/>
      <c r="I435" s="13"/>
      <c r="J435" s="14"/>
      <c r="K435" s="13"/>
      <c r="M435" s="13"/>
    </row>
    <row r="436" spans="2:13" ht="12.75" customHeight="1" x14ac:dyDescent="0.25">
      <c r="B436" s="13"/>
      <c r="D436" s="13"/>
      <c r="E436" s="13"/>
      <c r="F436" s="14"/>
      <c r="G436" s="14"/>
      <c r="H436" s="13"/>
      <c r="I436" s="13"/>
      <c r="J436" s="14"/>
      <c r="K436" s="13"/>
      <c r="M436" s="13"/>
    </row>
    <row r="437" spans="2:13" ht="12.75" customHeight="1" x14ac:dyDescent="0.25">
      <c r="B437" s="13"/>
      <c r="D437" s="13"/>
      <c r="E437" s="13"/>
      <c r="F437" s="14"/>
      <c r="G437" s="14"/>
      <c r="H437" s="13"/>
      <c r="I437" s="13"/>
      <c r="J437" s="14"/>
      <c r="K437" s="13"/>
      <c r="M437" s="13"/>
    </row>
    <row r="438" spans="2:13" ht="12.75" customHeight="1" x14ac:dyDescent="0.25">
      <c r="B438" s="13"/>
      <c r="D438" s="13"/>
      <c r="E438" s="13"/>
      <c r="F438" s="14"/>
      <c r="G438" s="14"/>
      <c r="H438" s="13"/>
      <c r="I438" s="13"/>
      <c r="J438" s="14"/>
      <c r="K438" s="13"/>
      <c r="M438" s="13"/>
    </row>
    <row r="439" spans="2:13" ht="12.75" customHeight="1" x14ac:dyDescent="0.25">
      <c r="B439" s="13"/>
      <c r="D439" s="13"/>
      <c r="E439" s="13"/>
      <c r="F439" s="14"/>
      <c r="G439" s="14"/>
      <c r="H439" s="13"/>
      <c r="I439" s="13"/>
      <c r="J439" s="14"/>
      <c r="K439" s="13"/>
      <c r="M439" s="13"/>
    </row>
    <row r="440" spans="2:13" ht="12.75" customHeight="1" x14ac:dyDescent="0.25">
      <c r="B440" s="13"/>
      <c r="D440" s="13"/>
      <c r="E440" s="13"/>
      <c r="F440" s="14"/>
      <c r="G440" s="14"/>
      <c r="H440" s="13"/>
      <c r="I440" s="13"/>
      <c r="J440" s="14"/>
      <c r="K440" s="13"/>
      <c r="M440" s="13"/>
    </row>
    <row r="441" spans="2:13" ht="12.75" customHeight="1" x14ac:dyDescent="0.25">
      <c r="B441" s="13"/>
      <c r="D441" s="13"/>
      <c r="E441" s="13"/>
      <c r="F441" s="14"/>
      <c r="G441" s="14"/>
      <c r="H441" s="13"/>
      <c r="I441" s="13"/>
      <c r="J441" s="14"/>
      <c r="K441" s="13"/>
      <c r="M441" s="13"/>
    </row>
    <row r="442" spans="2:13" ht="12.75" customHeight="1" x14ac:dyDescent="0.25">
      <c r="B442" s="13"/>
      <c r="D442" s="13"/>
      <c r="E442" s="13"/>
      <c r="F442" s="14"/>
      <c r="G442" s="14"/>
      <c r="H442" s="13"/>
      <c r="I442" s="13"/>
      <c r="J442" s="14"/>
      <c r="K442" s="13"/>
      <c r="M442" s="13"/>
    </row>
    <row r="443" spans="2:13" ht="12.75" customHeight="1" x14ac:dyDescent="0.25">
      <c r="B443" s="13"/>
      <c r="D443" s="13"/>
      <c r="E443" s="13"/>
      <c r="F443" s="14"/>
      <c r="G443" s="14"/>
      <c r="H443" s="13"/>
      <c r="I443" s="13"/>
      <c r="J443" s="14"/>
      <c r="K443" s="13"/>
      <c r="M443" s="13"/>
    </row>
    <row r="444" spans="2:13" ht="12.75" customHeight="1" x14ac:dyDescent="0.25">
      <c r="B444" s="13"/>
      <c r="D444" s="13"/>
      <c r="E444" s="13"/>
      <c r="F444" s="14"/>
      <c r="G444" s="14"/>
      <c r="H444" s="13"/>
      <c r="I444" s="13"/>
      <c r="J444" s="14"/>
      <c r="K444" s="13"/>
      <c r="M444" s="13"/>
    </row>
    <row r="445" spans="2:13" ht="12.75" customHeight="1" x14ac:dyDescent="0.25">
      <c r="B445" s="13"/>
      <c r="D445" s="13"/>
      <c r="E445" s="13"/>
      <c r="F445" s="14"/>
      <c r="G445" s="14"/>
      <c r="H445" s="13"/>
      <c r="I445" s="13"/>
      <c r="J445" s="14"/>
      <c r="K445" s="13"/>
      <c r="M445" s="13"/>
    </row>
    <row r="446" spans="2:13" ht="12.75" customHeight="1" x14ac:dyDescent="0.25">
      <c r="B446" s="13"/>
      <c r="D446" s="13"/>
      <c r="E446" s="13"/>
      <c r="F446" s="14"/>
      <c r="G446" s="14"/>
      <c r="H446" s="13"/>
      <c r="I446" s="13"/>
      <c r="J446" s="14"/>
      <c r="K446" s="13"/>
      <c r="M446" s="13"/>
    </row>
    <row r="447" spans="2:13" ht="12.75" customHeight="1" x14ac:dyDescent="0.25">
      <c r="B447" s="13"/>
      <c r="D447" s="13"/>
      <c r="E447" s="13"/>
      <c r="F447" s="14"/>
      <c r="G447" s="14"/>
      <c r="H447" s="13"/>
      <c r="I447" s="13"/>
      <c r="J447" s="14"/>
      <c r="K447" s="13"/>
      <c r="M447" s="13"/>
    </row>
    <row r="448" spans="2:13" ht="12.75" customHeight="1" x14ac:dyDescent="0.25">
      <c r="B448" s="13"/>
      <c r="D448" s="13"/>
      <c r="E448" s="13"/>
      <c r="F448" s="14"/>
      <c r="G448" s="14"/>
      <c r="H448" s="13"/>
      <c r="I448" s="13"/>
      <c r="J448" s="14"/>
      <c r="K448" s="13"/>
      <c r="M448" s="13"/>
    </row>
    <row r="449" spans="2:13" ht="12.75" customHeight="1" x14ac:dyDescent="0.25">
      <c r="B449" s="13"/>
      <c r="D449" s="13"/>
      <c r="E449" s="13"/>
      <c r="F449" s="14"/>
      <c r="G449" s="14"/>
      <c r="H449" s="13"/>
      <c r="I449" s="13"/>
      <c r="J449" s="14"/>
      <c r="K449" s="13"/>
      <c r="M449" s="13"/>
    </row>
    <row r="450" spans="2:13" ht="12.75" customHeight="1" x14ac:dyDescent="0.25">
      <c r="B450" s="13"/>
      <c r="D450" s="13"/>
      <c r="E450" s="13"/>
      <c r="F450" s="14"/>
      <c r="G450" s="14"/>
      <c r="H450" s="13"/>
      <c r="I450" s="13"/>
      <c r="J450" s="14"/>
      <c r="K450" s="13"/>
      <c r="M450" s="13"/>
    </row>
    <row r="451" spans="2:13" ht="12.75" customHeight="1" x14ac:dyDescent="0.25">
      <c r="B451" s="13"/>
      <c r="D451" s="13"/>
      <c r="E451" s="13"/>
      <c r="F451" s="14"/>
      <c r="G451" s="14"/>
      <c r="H451" s="13"/>
      <c r="I451" s="13"/>
      <c r="J451" s="14"/>
      <c r="K451" s="13"/>
      <c r="M451" s="13"/>
    </row>
    <row r="452" spans="2:13" ht="12.75" customHeight="1" x14ac:dyDescent="0.25">
      <c r="B452" s="13"/>
      <c r="D452" s="13"/>
      <c r="E452" s="13"/>
      <c r="F452" s="14"/>
      <c r="G452" s="14"/>
      <c r="H452" s="13"/>
      <c r="I452" s="13"/>
      <c r="J452" s="14"/>
      <c r="K452" s="13"/>
      <c r="M452" s="13"/>
    </row>
    <row r="453" spans="2:13" ht="12.75" customHeight="1" x14ac:dyDescent="0.25">
      <c r="B453" s="13"/>
      <c r="D453" s="13"/>
      <c r="E453" s="13"/>
      <c r="F453" s="14"/>
      <c r="G453" s="14"/>
      <c r="H453" s="13"/>
      <c r="I453" s="13"/>
      <c r="J453" s="14"/>
      <c r="K453" s="13"/>
      <c r="M453" s="13"/>
    </row>
    <row r="454" spans="2:13" ht="12.75" customHeight="1" x14ac:dyDescent="0.25">
      <c r="B454" s="13"/>
      <c r="D454" s="13"/>
      <c r="E454" s="13"/>
      <c r="F454" s="14"/>
      <c r="G454" s="14"/>
      <c r="H454" s="13"/>
      <c r="I454" s="13"/>
      <c r="J454" s="14"/>
      <c r="K454" s="13"/>
      <c r="M454" s="13"/>
    </row>
    <row r="455" spans="2:13" ht="12.75" customHeight="1" x14ac:dyDescent="0.25">
      <c r="B455" s="13"/>
      <c r="D455" s="13"/>
      <c r="E455" s="13"/>
      <c r="F455" s="14"/>
      <c r="G455" s="14"/>
      <c r="H455" s="13"/>
      <c r="I455" s="13"/>
      <c r="J455" s="14"/>
      <c r="K455" s="13"/>
      <c r="M455" s="13"/>
    </row>
    <row r="456" spans="2:13" ht="12.75" customHeight="1" x14ac:dyDescent="0.25">
      <c r="B456" s="13"/>
      <c r="D456" s="13"/>
      <c r="E456" s="13"/>
      <c r="F456" s="14"/>
      <c r="G456" s="14"/>
      <c r="H456" s="13"/>
      <c r="I456" s="13"/>
      <c r="J456" s="14"/>
      <c r="K456" s="13"/>
      <c r="M456" s="13"/>
    </row>
    <row r="457" spans="2:13" ht="12.75" customHeight="1" x14ac:dyDescent="0.25">
      <c r="B457" s="13"/>
      <c r="D457" s="13"/>
      <c r="E457" s="13"/>
      <c r="F457" s="14"/>
      <c r="G457" s="14"/>
      <c r="H457" s="13"/>
      <c r="I457" s="13"/>
      <c r="J457" s="14"/>
      <c r="K457" s="13"/>
      <c r="M457" s="13"/>
    </row>
    <row r="458" spans="2:13" ht="12.75" customHeight="1" x14ac:dyDescent="0.25">
      <c r="B458" s="13"/>
      <c r="D458" s="13"/>
      <c r="E458" s="13"/>
      <c r="F458" s="14"/>
      <c r="G458" s="14"/>
      <c r="H458" s="13"/>
      <c r="I458" s="13"/>
      <c r="J458" s="14"/>
      <c r="K458" s="13"/>
      <c r="M458" s="13"/>
    </row>
    <row r="459" spans="2:13" ht="12.75" customHeight="1" x14ac:dyDescent="0.25">
      <c r="B459" s="13"/>
      <c r="D459" s="13"/>
      <c r="E459" s="13"/>
      <c r="F459" s="14"/>
      <c r="G459" s="14"/>
      <c r="H459" s="13"/>
      <c r="I459" s="13"/>
      <c r="J459" s="14"/>
      <c r="K459" s="13"/>
      <c r="M459" s="13"/>
    </row>
    <row r="460" spans="2:13" ht="12.75" customHeight="1" x14ac:dyDescent="0.25">
      <c r="B460" s="13"/>
      <c r="D460" s="13"/>
      <c r="E460" s="13"/>
      <c r="F460" s="14"/>
      <c r="G460" s="14"/>
      <c r="H460" s="13"/>
      <c r="I460" s="13"/>
      <c r="J460" s="14"/>
      <c r="K460" s="13"/>
      <c r="M460" s="13"/>
    </row>
    <row r="461" spans="2:13" ht="12.75" customHeight="1" x14ac:dyDescent="0.25">
      <c r="B461" s="13"/>
      <c r="D461" s="13"/>
      <c r="E461" s="13"/>
      <c r="F461" s="14"/>
      <c r="G461" s="14"/>
      <c r="H461" s="13"/>
      <c r="I461" s="13"/>
      <c r="J461" s="14"/>
      <c r="K461" s="13"/>
      <c r="M461" s="13"/>
    </row>
    <row r="462" spans="2:13" ht="12.75" customHeight="1" x14ac:dyDescent="0.25">
      <c r="B462" s="13"/>
      <c r="D462" s="13"/>
      <c r="E462" s="13"/>
      <c r="F462" s="14"/>
      <c r="G462" s="14"/>
      <c r="H462" s="13"/>
      <c r="I462" s="13"/>
      <c r="J462" s="14"/>
      <c r="K462" s="13"/>
      <c r="M462" s="13"/>
    </row>
    <row r="463" spans="2:13" ht="12.75" customHeight="1" x14ac:dyDescent="0.25">
      <c r="B463" s="13"/>
      <c r="D463" s="13"/>
      <c r="E463" s="13"/>
      <c r="F463" s="14"/>
      <c r="G463" s="14"/>
      <c r="H463" s="13"/>
      <c r="I463" s="13"/>
      <c r="J463" s="14"/>
      <c r="K463" s="13"/>
      <c r="M463" s="13"/>
    </row>
    <row r="464" spans="2:13" ht="12.75" customHeight="1" x14ac:dyDescent="0.25">
      <c r="B464" s="13"/>
      <c r="D464" s="13"/>
      <c r="E464" s="13"/>
      <c r="F464" s="14"/>
      <c r="G464" s="14"/>
      <c r="H464" s="13"/>
      <c r="I464" s="13"/>
      <c r="J464" s="14"/>
      <c r="K464" s="13"/>
      <c r="M464" s="13"/>
    </row>
    <row r="465" spans="2:13" ht="12.75" customHeight="1" x14ac:dyDescent="0.25">
      <c r="B465" s="13"/>
      <c r="D465" s="13"/>
      <c r="E465" s="13"/>
      <c r="F465" s="14"/>
      <c r="G465" s="14"/>
      <c r="H465" s="13"/>
      <c r="I465" s="13"/>
      <c r="J465" s="14"/>
      <c r="K465" s="13"/>
      <c r="M465" s="13"/>
    </row>
    <row r="466" spans="2:13" ht="12.75" customHeight="1" x14ac:dyDescent="0.25">
      <c r="B466" s="13"/>
      <c r="D466" s="13"/>
      <c r="E466" s="13"/>
      <c r="F466" s="14"/>
      <c r="G466" s="14"/>
      <c r="H466" s="13"/>
      <c r="I466" s="13"/>
      <c r="J466" s="14"/>
      <c r="K466" s="13"/>
      <c r="M466" s="13"/>
    </row>
    <row r="467" spans="2:13" ht="12.75" customHeight="1" x14ac:dyDescent="0.25">
      <c r="B467" s="13"/>
      <c r="D467" s="13"/>
      <c r="E467" s="13"/>
      <c r="F467" s="14"/>
      <c r="G467" s="14"/>
      <c r="H467" s="13"/>
      <c r="I467" s="13"/>
      <c r="J467" s="14"/>
      <c r="K467" s="13"/>
      <c r="M467" s="13"/>
    </row>
    <row r="468" spans="2:13" ht="12.75" customHeight="1" x14ac:dyDescent="0.25">
      <c r="B468" s="13"/>
      <c r="D468" s="13"/>
      <c r="E468" s="13"/>
      <c r="F468" s="14"/>
      <c r="G468" s="14"/>
      <c r="H468" s="13"/>
      <c r="I468" s="13"/>
      <c r="J468" s="14"/>
      <c r="K468" s="13"/>
      <c r="M468" s="13"/>
    </row>
    <row r="469" spans="2:13" ht="12.75" customHeight="1" x14ac:dyDescent="0.25">
      <c r="B469" s="13"/>
      <c r="D469" s="13"/>
      <c r="E469" s="13"/>
      <c r="F469" s="14"/>
      <c r="G469" s="14"/>
      <c r="H469" s="13"/>
      <c r="I469" s="13"/>
      <c r="J469" s="14"/>
      <c r="K469" s="13"/>
      <c r="M469" s="13"/>
    </row>
    <row r="470" spans="2:13" ht="12.75" customHeight="1" x14ac:dyDescent="0.25">
      <c r="B470" s="13"/>
      <c r="D470" s="13"/>
      <c r="E470" s="13"/>
      <c r="F470" s="14"/>
      <c r="G470" s="14"/>
      <c r="H470" s="13"/>
      <c r="I470" s="13"/>
      <c r="J470" s="14"/>
      <c r="K470" s="13"/>
      <c r="M470" s="13"/>
    </row>
    <row r="471" spans="2:13" ht="12.75" customHeight="1" x14ac:dyDescent="0.25">
      <c r="B471" s="13"/>
      <c r="D471" s="13"/>
      <c r="E471" s="13"/>
      <c r="F471" s="14"/>
      <c r="G471" s="14"/>
      <c r="H471" s="13"/>
      <c r="I471" s="13"/>
      <c r="J471" s="14"/>
      <c r="K471" s="13"/>
      <c r="M471" s="13"/>
    </row>
    <row r="472" spans="2:13" ht="12.75" customHeight="1" x14ac:dyDescent="0.25">
      <c r="B472" s="13"/>
      <c r="D472" s="13"/>
      <c r="E472" s="13"/>
      <c r="F472" s="14"/>
      <c r="G472" s="14"/>
      <c r="H472" s="13"/>
      <c r="I472" s="13"/>
      <c r="J472" s="14"/>
      <c r="K472" s="13"/>
      <c r="M472" s="13"/>
    </row>
    <row r="473" spans="2:13" ht="12.75" customHeight="1" x14ac:dyDescent="0.25">
      <c r="B473" s="13"/>
      <c r="D473" s="13"/>
      <c r="E473" s="13"/>
      <c r="F473" s="14"/>
      <c r="G473" s="14"/>
      <c r="H473" s="13"/>
      <c r="I473" s="13"/>
      <c r="J473" s="14"/>
      <c r="K473" s="13"/>
      <c r="M473" s="13"/>
    </row>
    <row r="474" spans="2:13" ht="12.75" customHeight="1" x14ac:dyDescent="0.25">
      <c r="B474" s="13"/>
      <c r="D474" s="13"/>
      <c r="E474" s="13"/>
      <c r="F474" s="14"/>
      <c r="G474" s="14"/>
      <c r="H474" s="13"/>
      <c r="I474" s="13"/>
      <c r="J474" s="14"/>
      <c r="K474" s="13"/>
      <c r="M474" s="13"/>
    </row>
    <row r="475" spans="2:13" ht="12.75" customHeight="1" x14ac:dyDescent="0.25">
      <c r="B475" s="13"/>
      <c r="D475" s="13"/>
      <c r="E475" s="13"/>
      <c r="F475" s="14"/>
      <c r="G475" s="14"/>
      <c r="H475" s="13"/>
      <c r="I475" s="13"/>
      <c r="J475" s="14"/>
      <c r="K475" s="13"/>
      <c r="M475" s="13"/>
    </row>
    <row r="476" spans="2:13" ht="12.75" customHeight="1" x14ac:dyDescent="0.25">
      <c r="B476" s="13"/>
      <c r="D476" s="13"/>
      <c r="E476" s="13"/>
      <c r="F476" s="14"/>
      <c r="G476" s="14"/>
      <c r="H476" s="13"/>
      <c r="I476" s="13"/>
      <c r="J476" s="14"/>
      <c r="K476" s="13"/>
      <c r="M476" s="13"/>
    </row>
    <row r="477" spans="2:13" ht="12.75" customHeight="1" x14ac:dyDescent="0.25">
      <c r="B477" s="13"/>
      <c r="D477" s="13"/>
      <c r="E477" s="13"/>
      <c r="F477" s="14"/>
      <c r="G477" s="14"/>
      <c r="H477" s="13"/>
      <c r="I477" s="13"/>
      <c r="J477" s="14"/>
      <c r="K477" s="13"/>
      <c r="M477" s="13"/>
    </row>
    <row r="478" spans="2:13" ht="12.75" customHeight="1" x14ac:dyDescent="0.25">
      <c r="B478" s="13"/>
      <c r="D478" s="13"/>
      <c r="E478" s="13"/>
      <c r="F478" s="14"/>
      <c r="G478" s="14"/>
      <c r="H478" s="13"/>
      <c r="I478" s="13"/>
      <c r="J478" s="14"/>
      <c r="K478" s="13"/>
      <c r="M478" s="13"/>
    </row>
    <row r="479" spans="2:13" ht="12.75" customHeight="1" x14ac:dyDescent="0.25">
      <c r="B479" s="13"/>
      <c r="D479" s="13"/>
      <c r="E479" s="13"/>
      <c r="F479" s="14"/>
      <c r="G479" s="14"/>
      <c r="H479" s="13"/>
      <c r="I479" s="13"/>
      <c r="J479" s="14"/>
      <c r="K479" s="13"/>
      <c r="M479" s="13"/>
    </row>
    <row r="480" spans="2:13" ht="12.75" customHeight="1" x14ac:dyDescent="0.25">
      <c r="B480" s="13"/>
      <c r="D480" s="13"/>
      <c r="E480" s="13"/>
      <c r="F480" s="14"/>
      <c r="G480" s="14"/>
      <c r="H480" s="13"/>
      <c r="I480" s="13"/>
      <c r="J480" s="14"/>
      <c r="K480" s="13"/>
      <c r="M480" s="13"/>
    </row>
    <row r="481" spans="2:13" ht="12.75" customHeight="1" x14ac:dyDescent="0.25">
      <c r="B481" s="13"/>
      <c r="D481" s="13"/>
      <c r="E481" s="13"/>
      <c r="F481" s="14"/>
      <c r="G481" s="14"/>
      <c r="H481" s="13"/>
      <c r="I481" s="13"/>
      <c r="J481" s="14"/>
      <c r="K481" s="13"/>
      <c r="M481" s="13"/>
    </row>
    <row r="482" spans="2:13" ht="12.75" customHeight="1" x14ac:dyDescent="0.25">
      <c r="B482" s="13"/>
      <c r="D482" s="13"/>
      <c r="E482" s="13"/>
      <c r="F482" s="14"/>
      <c r="G482" s="14"/>
      <c r="H482" s="13"/>
      <c r="I482" s="13"/>
      <c r="J482" s="14"/>
      <c r="K482" s="13"/>
      <c r="M482" s="13"/>
    </row>
    <row r="483" spans="2:13" ht="12.75" customHeight="1" x14ac:dyDescent="0.25">
      <c r="B483" s="13"/>
      <c r="D483" s="13"/>
      <c r="E483" s="13"/>
      <c r="F483" s="14"/>
      <c r="G483" s="14"/>
      <c r="H483" s="13"/>
      <c r="I483" s="13"/>
      <c r="J483" s="14"/>
      <c r="K483" s="13"/>
      <c r="M483" s="13"/>
    </row>
    <row r="484" spans="2:13" ht="12.75" customHeight="1" x14ac:dyDescent="0.25">
      <c r="B484" s="13"/>
      <c r="D484" s="13"/>
      <c r="E484" s="13"/>
      <c r="F484" s="14"/>
      <c r="G484" s="14"/>
      <c r="H484" s="13"/>
      <c r="I484" s="13"/>
      <c r="J484" s="14"/>
      <c r="K484" s="13"/>
      <c r="M484" s="13"/>
    </row>
    <row r="485" spans="2:13" ht="12.75" customHeight="1" x14ac:dyDescent="0.25">
      <c r="B485" s="13"/>
      <c r="D485" s="13"/>
      <c r="E485" s="13"/>
      <c r="F485" s="14"/>
      <c r="G485" s="14"/>
      <c r="H485" s="13"/>
      <c r="I485" s="13"/>
      <c r="J485" s="14"/>
      <c r="K485" s="13"/>
      <c r="M485" s="13"/>
    </row>
    <row r="486" spans="2:13" ht="12.75" customHeight="1" x14ac:dyDescent="0.25">
      <c r="B486" s="13"/>
      <c r="D486" s="13"/>
      <c r="E486" s="13"/>
      <c r="F486" s="14"/>
      <c r="G486" s="14"/>
      <c r="H486" s="13"/>
      <c r="I486" s="13"/>
      <c r="J486" s="14"/>
      <c r="K486" s="13"/>
      <c r="M486" s="13"/>
    </row>
    <row r="487" spans="2:13" ht="12.75" customHeight="1" x14ac:dyDescent="0.25">
      <c r="B487" s="13"/>
      <c r="D487" s="13"/>
      <c r="E487" s="13"/>
      <c r="F487" s="14"/>
      <c r="G487" s="14"/>
      <c r="H487" s="13"/>
      <c r="I487" s="13"/>
      <c r="J487" s="14"/>
      <c r="K487" s="13"/>
      <c r="M487" s="13"/>
    </row>
    <row r="488" spans="2:13" ht="12.75" customHeight="1" x14ac:dyDescent="0.25">
      <c r="B488" s="13"/>
      <c r="D488" s="13"/>
      <c r="E488" s="13"/>
      <c r="F488" s="14"/>
      <c r="G488" s="14"/>
      <c r="H488" s="13"/>
      <c r="I488" s="13"/>
      <c r="J488" s="14"/>
      <c r="K488" s="13"/>
      <c r="M488" s="13"/>
    </row>
    <row r="489" spans="2:13" ht="12.75" customHeight="1" x14ac:dyDescent="0.25">
      <c r="B489" s="13"/>
      <c r="D489" s="13"/>
      <c r="E489" s="13"/>
      <c r="F489" s="14"/>
      <c r="G489" s="14"/>
      <c r="H489" s="13"/>
      <c r="I489" s="13"/>
      <c r="J489" s="14"/>
      <c r="K489" s="13"/>
      <c r="M489" s="13"/>
    </row>
    <row r="490" spans="2:13" ht="12.75" customHeight="1" x14ac:dyDescent="0.25">
      <c r="B490" s="13"/>
      <c r="D490" s="13"/>
      <c r="E490" s="13"/>
      <c r="F490" s="14"/>
      <c r="G490" s="14"/>
      <c r="H490" s="13"/>
      <c r="I490" s="13"/>
      <c r="J490" s="14"/>
      <c r="K490" s="13"/>
      <c r="M490" s="13"/>
    </row>
    <row r="491" spans="2:13" ht="12.75" customHeight="1" x14ac:dyDescent="0.25">
      <c r="B491" s="13"/>
      <c r="D491" s="13"/>
      <c r="E491" s="13"/>
      <c r="F491" s="14"/>
      <c r="G491" s="14"/>
      <c r="H491" s="13"/>
      <c r="I491" s="13"/>
      <c r="J491" s="14"/>
      <c r="K491" s="13"/>
      <c r="M491" s="13"/>
    </row>
    <row r="492" spans="2:13" ht="12.75" customHeight="1" x14ac:dyDescent="0.25">
      <c r="B492" s="13"/>
      <c r="D492" s="13"/>
      <c r="E492" s="13"/>
      <c r="F492" s="14"/>
      <c r="G492" s="14"/>
      <c r="H492" s="13"/>
      <c r="I492" s="13"/>
      <c r="J492" s="14"/>
      <c r="K492" s="13"/>
      <c r="M492" s="13"/>
    </row>
    <row r="493" spans="2:13" ht="12.75" customHeight="1" x14ac:dyDescent="0.25">
      <c r="B493" s="13"/>
      <c r="D493" s="13"/>
      <c r="E493" s="13"/>
      <c r="F493" s="14"/>
      <c r="G493" s="14"/>
      <c r="H493" s="13"/>
      <c r="I493" s="13"/>
      <c r="J493" s="14"/>
      <c r="K493" s="13"/>
      <c r="M493" s="13"/>
    </row>
    <row r="494" spans="2:13" ht="12.75" customHeight="1" x14ac:dyDescent="0.25">
      <c r="B494" s="13"/>
      <c r="D494" s="13"/>
      <c r="E494" s="13"/>
      <c r="F494" s="14"/>
      <c r="G494" s="14"/>
      <c r="H494" s="13"/>
      <c r="I494" s="13"/>
      <c r="J494" s="14"/>
      <c r="K494" s="13"/>
      <c r="M494" s="13"/>
    </row>
    <row r="495" spans="2:13" ht="12.75" customHeight="1" x14ac:dyDescent="0.25">
      <c r="B495" s="13"/>
      <c r="D495" s="13"/>
      <c r="E495" s="13"/>
      <c r="F495" s="14"/>
      <c r="G495" s="14"/>
      <c r="H495" s="13"/>
      <c r="I495" s="13"/>
      <c r="J495" s="14"/>
      <c r="K495" s="13"/>
      <c r="M495" s="13"/>
    </row>
    <row r="496" spans="2:13" ht="12.75" customHeight="1" x14ac:dyDescent="0.25">
      <c r="B496" s="13"/>
      <c r="D496" s="13"/>
      <c r="E496" s="13"/>
      <c r="F496" s="14"/>
      <c r="G496" s="14"/>
      <c r="H496" s="13"/>
      <c r="I496" s="13"/>
      <c r="J496" s="14"/>
      <c r="K496" s="13"/>
      <c r="M496" s="13"/>
    </row>
    <row r="497" spans="2:13" ht="12.75" customHeight="1" x14ac:dyDescent="0.25">
      <c r="B497" s="13"/>
      <c r="D497" s="13"/>
      <c r="E497" s="13"/>
      <c r="F497" s="14"/>
      <c r="G497" s="14"/>
      <c r="H497" s="13"/>
      <c r="I497" s="13"/>
      <c r="J497" s="14"/>
      <c r="K497" s="13"/>
      <c r="M497" s="13"/>
    </row>
    <row r="498" spans="2:13" ht="12.75" customHeight="1" x14ac:dyDescent="0.25">
      <c r="B498" s="13"/>
      <c r="D498" s="13"/>
      <c r="E498" s="13"/>
      <c r="F498" s="14"/>
      <c r="G498" s="14"/>
      <c r="H498" s="13"/>
      <c r="I498" s="13"/>
      <c r="J498" s="14"/>
      <c r="K498" s="13"/>
      <c r="M498" s="13"/>
    </row>
    <row r="499" spans="2:13" ht="12.75" customHeight="1" x14ac:dyDescent="0.25">
      <c r="B499" s="13"/>
      <c r="D499" s="13"/>
      <c r="E499" s="13"/>
      <c r="F499" s="14"/>
      <c r="G499" s="14"/>
      <c r="H499" s="13"/>
      <c r="I499" s="13"/>
      <c r="J499" s="14"/>
      <c r="K499" s="13"/>
      <c r="M499" s="13"/>
    </row>
    <row r="500" spans="2:13" ht="12.75" customHeight="1" x14ac:dyDescent="0.25">
      <c r="B500" s="13"/>
      <c r="D500" s="13"/>
      <c r="E500" s="13"/>
      <c r="F500" s="14"/>
      <c r="G500" s="14"/>
      <c r="H500" s="13"/>
      <c r="I500" s="13"/>
      <c r="J500" s="14"/>
      <c r="K500" s="13"/>
      <c r="M500" s="13"/>
    </row>
    <row r="501" spans="2:13" ht="12.75" customHeight="1" x14ac:dyDescent="0.25">
      <c r="B501" s="13"/>
      <c r="D501" s="13"/>
      <c r="E501" s="13"/>
      <c r="F501" s="14"/>
      <c r="G501" s="14"/>
      <c r="H501" s="13"/>
      <c r="I501" s="13"/>
      <c r="J501" s="14"/>
      <c r="K501" s="13"/>
      <c r="M501" s="13"/>
    </row>
    <row r="502" spans="2:13" ht="12.75" customHeight="1" x14ac:dyDescent="0.25">
      <c r="B502" s="13"/>
      <c r="D502" s="13"/>
      <c r="E502" s="13"/>
      <c r="F502" s="14"/>
      <c r="G502" s="14"/>
      <c r="H502" s="13"/>
      <c r="I502" s="13"/>
      <c r="J502" s="14"/>
      <c r="K502" s="13"/>
      <c r="M502" s="13"/>
    </row>
    <row r="503" spans="2:13" ht="12.75" customHeight="1" x14ac:dyDescent="0.25">
      <c r="B503" s="13"/>
      <c r="D503" s="13"/>
      <c r="E503" s="13"/>
      <c r="F503" s="14"/>
      <c r="G503" s="14"/>
      <c r="H503" s="13"/>
      <c r="I503" s="13"/>
      <c r="J503" s="14"/>
      <c r="K503" s="13"/>
      <c r="M503" s="13"/>
    </row>
    <row r="504" spans="2:13" ht="12.75" customHeight="1" x14ac:dyDescent="0.25">
      <c r="B504" s="13"/>
      <c r="D504" s="13"/>
      <c r="E504" s="13"/>
      <c r="F504" s="14"/>
      <c r="G504" s="14"/>
      <c r="H504" s="13"/>
      <c r="I504" s="13"/>
      <c r="J504" s="14"/>
      <c r="K504" s="13"/>
      <c r="M504" s="13"/>
    </row>
    <row r="505" spans="2:13" ht="12.75" customHeight="1" x14ac:dyDescent="0.25">
      <c r="B505" s="13"/>
      <c r="D505" s="13"/>
      <c r="E505" s="13"/>
      <c r="F505" s="14"/>
      <c r="G505" s="14"/>
      <c r="H505" s="13"/>
      <c r="I505" s="13"/>
      <c r="J505" s="14"/>
      <c r="K505" s="13"/>
      <c r="M505" s="13"/>
    </row>
    <row r="506" spans="2:13" ht="12.75" customHeight="1" x14ac:dyDescent="0.25">
      <c r="B506" s="13"/>
      <c r="D506" s="13"/>
      <c r="E506" s="13"/>
      <c r="F506" s="14"/>
      <c r="G506" s="14"/>
      <c r="H506" s="13"/>
      <c r="I506" s="13"/>
      <c r="J506" s="14"/>
      <c r="K506" s="13"/>
      <c r="M506" s="13"/>
    </row>
    <row r="507" spans="2:13" ht="12.75" customHeight="1" x14ac:dyDescent="0.25">
      <c r="B507" s="13"/>
      <c r="D507" s="13"/>
      <c r="E507" s="13"/>
      <c r="F507" s="14"/>
      <c r="G507" s="14"/>
      <c r="H507" s="13"/>
      <c r="I507" s="13"/>
      <c r="J507" s="14"/>
      <c r="K507" s="13"/>
      <c r="M507" s="13"/>
    </row>
    <row r="508" spans="2:13" ht="12.75" customHeight="1" x14ac:dyDescent="0.25">
      <c r="B508" s="13"/>
      <c r="D508" s="13"/>
      <c r="E508" s="13"/>
      <c r="F508" s="14"/>
      <c r="G508" s="14"/>
      <c r="H508" s="13"/>
      <c r="I508" s="13"/>
      <c r="J508" s="14"/>
      <c r="K508" s="13"/>
      <c r="M508" s="13"/>
    </row>
    <row r="509" spans="2:13" ht="12.75" customHeight="1" x14ac:dyDescent="0.25">
      <c r="B509" s="13"/>
      <c r="D509" s="13"/>
      <c r="E509" s="13"/>
      <c r="F509" s="14"/>
      <c r="G509" s="14"/>
      <c r="H509" s="13"/>
      <c r="I509" s="13"/>
      <c r="J509" s="14"/>
      <c r="K509" s="13"/>
      <c r="M509" s="13"/>
    </row>
    <row r="510" spans="2:13" ht="12.75" customHeight="1" x14ac:dyDescent="0.25">
      <c r="B510" s="13"/>
      <c r="D510" s="13"/>
      <c r="E510" s="13"/>
      <c r="F510" s="14"/>
      <c r="G510" s="14"/>
      <c r="H510" s="13"/>
      <c r="I510" s="13"/>
      <c r="J510" s="14"/>
      <c r="K510" s="13"/>
      <c r="M510" s="13"/>
    </row>
    <row r="511" spans="2:13" ht="12.75" customHeight="1" x14ac:dyDescent="0.25">
      <c r="B511" s="13"/>
      <c r="D511" s="13"/>
      <c r="E511" s="13"/>
      <c r="F511" s="14"/>
      <c r="G511" s="14"/>
      <c r="H511" s="13"/>
      <c r="I511" s="13"/>
      <c r="J511" s="14"/>
      <c r="K511" s="13"/>
      <c r="M511" s="13"/>
    </row>
    <row r="512" spans="2:13" ht="12.75" customHeight="1" x14ac:dyDescent="0.25">
      <c r="B512" s="13"/>
      <c r="D512" s="13"/>
      <c r="E512" s="13"/>
      <c r="F512" s="14"/>
      <c r="G512" s="14"/>
      <c r="H512" s="13"/>
      <c r="I512" s="13"/>
      <c r="J512" s="14"/>
      <c r="K512" s="13"/>
      <c r="M512" s="13"/>
    </row>
    <row r="513" spans="2:13" ht="12.75" customHeight="1" x14ac:dyDescent="0.25">
      <c r="B513" s="13"/>
      <c r="D513" s="13"/>
      <c r="E513" s="13"/>
      <c r="F513" s="14"/>
      <c r="G513" s="14"/>
      <c r="H513" s="13"/>
      <c r="I513" s="13"/>
      <c r="J513" s="14"/>
      <c r="K513" s="13"/>
      <c r="M513" s="13"/>
    </row>
    <row r="514" spans="2:13" ht="12.75" customHeight="1" x14ac:dyDescent="0.25">
      <c r="B514" s="13"/>
      <c r="D514" s="13"/>
      <c r="E514" s="13"/>
      <c r="F514" s="14"/>
      <c r="G514" s="14"/>
      <c r="H514" s="13"/>
      <c r="I514" s="13"/>
      <c r="J514" s="14"/>
      <c r="K514" s="13"/>
      <c r="M514" s="13"/>
    </row>
    <row r="515" spans="2:13" ht="12.75" customHeight="1" x14ac:dyDescent="0.25">
      <c r="B515" s="13"/>
      <c r="D515" s="13"/>
      <c r="E515" s="13"/>
      <c r="F515" s="14"/>
      <c r="G515" s="14"/>
      <c r="H515" s="13"/>
      <c r="I515" s="13"/>
      <c r="J515" s="14"/>
      <c r="K515" s="13"/>
      <c r="M515" s="13"/>
    </row>
    <row r="516" spans="2:13" ht="12.75" customHeight="1" x14ac:dyDescent="0.25">
      <c r="B516" s="13"/>
      <c r="D516" s="13"/>
      <c r="E516" s="13"/>
      <c r="F516" s="14"/>
      <c r="G516" s="14"/>
      <c r="H516" s="13"/>
      <c r="I516" s="13"/>
      <c r="J516" s="14"/>
      <c r="K516" s="13"/>
      <c r="M516" s="13"/>
    </row>
    <row r="517" spans="2:13" ht="12.75" customHeight="1" x14ac:dyDescent="0.25">
      <c r="B517" s="13"/>
      <c r="D517" s="13"/>
      <c r="E517" s="13"/>
      <c r="F517" s="14"/>
      <c r="G517" s="14"/>
      <c r="H517" s="13"/>
      <c r="I517" s="13"/>
      <c r="J517" s="14"/>
      <c r="K517" s="13"/>
      <c r="M517" s="13"/>
    </row>
    <row r="518" spans="2:13" ht="12.75" customHeight="1" x14ac:dyDescent="0.25">
      <c r="B518" s="13"/>
      <c r="D518" s="13"/>
      <c r="E518" s="13"/>
      <c r="F518" s="14"/>
      <c r="G518" s="14"/>
      <c r="H518" s="13"/>
      <c r="I518" s="13"/>
      <c r="J518" s="14"/>
      <c r="K518" s="13"/>
      <c r="M518" s="13"/>
    </row>
    <row r="519" spans="2:13" ht="12.75" customHeight="1" x14ac:dyDescent="0.25">
      <c r="B519" s="13"/>
      <c r="D519" s="13"/>
      <c r="E519" s="13"/>
      <c r="F519" s="14"/>
      <c r="G519" s="14"/>
      <c r="H519" s="13"/>
      <c r="I519" s="13"/>
      <c r="J519" s="14"/>
      <c r="K519" s="13"/>
      <c r="M519" s="13"/>
    </row>
    <row r="520" spans="2:13" ht="12.75" customHeight="1" x14ac:dyDescent="0.25">
      <c r="B520" s="13"/>
      <c r="D520" s="13"/>
      <c r="E520" s="13"/>
      <c r="F520" s="14"/>
      <c r="G520" s="14"/>
      <c r="H520" s="13"/>
      <c r="I520" s="13"/>
      <c r="J520" s="14"/>
      <c r="K520" s="13"/>
      <c r="M520" s="13"/>
    </row>
    <row r="521" spans="2:13" ht="12.75" customHeight="1" x14ac:dyDescent="0.25">
      <c r="B521" s="13"/>
      <c r="D521" s="13"/>
      <c r="E521" s="13"/>
      <c r="F521" s="14"/>
      <c r="G521" s="14"/>
      <c r="H521" s="13"/>
      <c r="I521" s="13"/>
      <c r="J521" s="14"/>
      <c r="K521" s="13"/>
      <c r="M521" s="13"/>
    </row>
    <row r="522" spans="2:13" ht="12.75" customHeight="1" x14ac:dyDescent="0.25">
      <c r="B522" s="13"/>
      <c r="D522" s="13"/>
      <c r="E522" s="13"/>
      <c r="F522" s="14"/>
      <c r="G522" s="14"/>
      <c r="H522" s="13"/>
      <c r="I522" s="13"/>
      <c r="J522" s="14"/>
      <c r="K522" s="13"/>
      <c r="M522" s="13"/>
    </row>
    <row r="523" spans="2:13" ht="12.75" customHeight="1" x14ac:dyDescent="0.25">
      <c r="B523" s="13"/>
      <c r="D523" s="13"/>
      <c r="E523" s="13"/>
      <c r="F523" s="14"/>
      <c r="G523" s="14"/>
      <c r="H523" s="13"/>
      <c r="I523" s="13"/>
      <c r="J523" s="14"/>
      <c r="K523" s="13"/>
      <c r="M523" s="13"/>
    </row>
    <row r="524" spans="2:13" ht="12.75" customHeight="1" x14ac:dyDescent="0.25">
      <c r="B524" s="13"/>
      <c r="D524" s="13"/>
      <c r="E524" s="13"/>
      <c r="F524" s="14"/>
      <c r="G524" s="14"/>
      <c r="H524" s="13"/>
      <c r="I524" s="13"/>
      <c r="J524" s="14"/>
      <c r="K524" s="13"/>
      <c r="M524" s="13"/>
    </row>
    <row r="525" spans="2:13" ht="12.75" customHeight="1" x14ac:dyDescent="0.25">
      <c r="B525" s="13"/>
      <c r="D525" s="13"/>
      <c r="E525" s="13"/>
      <c r="F525" s="14"/>
      <c r="G525" s="14"/>
      <c r="H525" s="13"/>
      <c r="I525" s="13"/>
      <c r="J525" s="14"/>
      <c r="K525" s="13"/>
      <c r="M525" s="13"/>
    </row>
    <row r="526" spans="2:13" ht="12.75" customHeight="1" x14ac:dyDescent="0.25">
      <c r="B526" s="13"/>
      <c r="D526" s="13"/>
      <c r="E526" s="13"/>
      <c r="F526" s="14"/>
      <c r="G526" s="14"/>
      <c r="H526" s="13"/>
      <c r="I526" s="13"/>
      <c r="J526" s="14"/>
      <c r="K526" s="13"/>
      <c r="M526" s="13"/>
    </row>
    <row r="527" spans="2:13" ht="12.75" customHeight="1" x14ac:dyDescent="0.25">
      <c r="B527" s="13"/>
      <c r="D527" s="13"/>
      <c r="E527" s="13"/>
      <c r="F527" s="14"/>
      <c r="G527" s="14"/>
      <c r="H527" s="13"/>
      <c r="I527" s="13"/>
      <c r="J527" s="14"/>
      <c r="K527" s="13"/>
      <c r="M527" s="13"/>
    </row>
    <row r="528" spans="2:13" ht="12.75" customHeight="1" x14ac:dyDescent="0.25">
      <c r="B528" s="13"/>
      <c r="D528" s="13"/>
      <c r="E528" s="13"/>
      <c r="F528" s="14"/>
      <c r="G528" s="14"/>
      <c r="H528" s="13"/>
      <c r="I528" s="13"/>
      <c r="J528" s="14"/>
      <c r="K528" s="13"/>
      <c r="M528" s="13"/>
    </row>
    <row r="529" spans="2:13" ht="12.75" customHeight="1" x14ac:dyDescent="0.25">
      <c r="B529" s="13"/>
      <c r="D529" s="13"/>
      <c r="E529" s="13"/>
      <c r="F529" s="14"/>
      <c r="G529" s="14"/>
      <c r="H529" s="13"/>
      <c r="I529" s="13"/>
      <c r="J529" s="14"/>
      <c r="K529" s="13"/>
      <c r="M529" s="13"/>
    </row>
    <row r="530" spans="2:13" ht="12.75" customHeight="1" x14ac:dyDescent="0.25">
      <c r="B530" s="13"/>
      <c r="D530" s="13"/>
      <c r="E530" s="13"/>
      <c r="F530" s="14"/>
      <c r="G530" s="14"/>
      <c r="H530" s="13"/>
      <c r="I530" s="13"/>
      <c r="J530" s="14"/>
      <c r="K530" s="13"/>
      <c r="M530" s="13"/>
    </row>
    <row r="531" spans="2:13" ht="12.75" customHeight="1" x14ac:dyDescent="0.25">
      <c r="B531" s="13"/>
      <c r="D531" s="13"/>
      <c r="E531" s="13"/>
      <c r="F531" s="14"/>
      <c r="G531" s="14"/>
      <c r="H531" s="13"/>
      <c r="I531" s="13"/>
      <c r="J531" s="14"/>
      <c r="K531" s="13"/>
      <c r="M531" s="13"/>
    </row>
    <row r="532" spans="2:13" ht="12.75" customHeight="1" x14ac:dyDescent="0.25">
      <c r="B532" s="13"/>
      <c r="D532" s="13"/>
      <c r="E532" s="13"/>
      <c r="F532" s="14"/>
      <c r="G532" s="14"/>
      <c r="H532" s="13"/>
      <c r="I532" s="13"/>
      <c r="J532" s="14"/>
      <c r="K532" s="13"/>
      <c r="M532" s="13"/>
    </row>
    <row r="533" spans="2:13" ht="12.75" customHeight="1" x14ac:dyDescent="0.25">
      <c r="B533" s="13"/>
      <c r="D533" s="13"/>
      <c r="E533" s="13"/>
      <c r="F533" s="14"/>
      <c r="G533" s="14"/>
      <c r="H533" s="13"/>
      <c r="I533" s="13"/>
      <c r="J533" s="14"/>
      <c r="K533" s="13"/>
      <c r="M533" s="13"/>
    </row>
    <row r="534" spans="2:13" ht="12.75" customHeight="1" x14ac:dyDescent="0.25">
      <c r="B534" s="13"/>
      <c r="D534" s="13"/>
      <c r="E534" s="13"/>
      <c r="F534" s="14"/>
      <c r="G534" s="14"/>
      <c r="H534" s="13"/>
      <c r="I534" s="13"/>
      <c r="J534" s="14"/>
      <c r="K534" s="13"/>
      <c r="M534" s="13"/>
    </row>
    <row r="535" spans="2:13" ht="12.75" customHeight="1" x14ac:dyDescent="0.25">
      <c r="B535" s="13"/>
      <c r="D535" s="13"/>
      <c r="E535" s="13"/>
      <c r="F535" s="14"/>
      <c r="G535" s="14"/>
      <c r="H535" s="13"/>
      <c r="I535" s="13"/>
      <c r="J535" s="14"/>
      <c r="K535" s="13"/>
      <c r="M535" s="13"/>
    </row>
    <row r="536" spans="2:13" ht="12.75" customHeight="1" x14ac:dyDescent="0.25">
      <c r="B536" s="13"/>
      <c r="D536" s="13"/>
      <c r="E536" s="13"/>
      <c r="F536" s="14"/>
      <c r="G536" s="14"/>
      <c r="H536" s="13"/>
      <c r="I536" s="13"/>
      <c r="J536" s="14"/>
      <c r="K536" s="13"/>
      <c r="M536" s="13"/>
    </row>
    <row r="537" spans="2:13" ht="12.75" customHeight="1" x14ac:dyDescent="0.25">
      <c r="B537" s="13"/>
      <c r="D537" s="13"/>
      <c r="E537" s="13"/>
      <c r="F537" s="14"/>
      <c r="G537" s="14"/>
      <c r="H537" s="13"/>
      <c r="I537" s="13"/>
      <c r="J537" s="14"/>
      <c r="K537" s="13"/>
      <c r="M537" s="13"/>
    </row>
    <row r="538" spans="2:13" ht="12.75" customHeight="1" x14ac:dyDescent="0.25">
      <c r="B538" s="13"/>
      <c r="D538" s="13"/>
      <c r="E538" s="13"/>
      <c r="F538" s="14"/>
      <c r="G538" s="14"/>
      <c r="H538" s="13"/>
      <c r="I538" s="13"/>
      <c r="J538" s="14"/>
      <c r="K538" s="13"/>
      <c r="M538" s="13"/>
    </row>
    <row r="539" spans="2:13" ht="12.75" customHeight="1" x14ac:dyDescent="0.25">
      <c r="B539" s="13"/>
      <c r="D539" s="13"/>
      <c r="E539" s="13"/>
      <c r="F539" s="14"/>
      <c r="G539" s="14"/>
      <c r="H539" s="13"/>
      <c r="I539" s="13"/>
      <c r="J539" s="14"/>
      <c r="K539" s="13"/>
      <c r="M539" s="13"/>
    </row>
    <row r="540" spans="2:13" ht="12.75" customHeight="1" x14ac:dyDescent="0.25">
      <c r="B540" s="13"/>
      <c r="D540" s="13"/>
      <c r="E540" s="13"/>
      <c r="F540" s="14"/>
      <c r="G540" s="14"/>
      <c r="H540" s="13"/>
      <c r="I540" s="13"/>
      <c r="J540" s="14"/>
      <c r="K540" s="13"/>
      <c r="M540" s="13"/>
    </row>
    <row r="541" spans="2:13" ht="12.75" customHeight="1" x14ac:dyDescent="0.25">
      <c r="B541" s="13"/>
      <c r="D541" s="13"/>
      <c r="E541" s="13"/>
      <c r="F541" s="14"/>
      <c r="G541" s="14"/>
      <c r="H541" s="13"/>
      <c r="I541" s="13"/>
      <c r="J541" s="14"/>
      <c r="K541" s="13"/>
      <c r="M541" s="13"/>
    </row>
    <row r="542" spans="2:13" ht="12.75" customHeight="1" x14ac:dyDescent="0.25">
      <c r="B542" s="13"/>
      <c r="D542" s="13"/>
      <c r="E542" s="13"/>
      <c r="F542" s="14"/>
      <c r="G542" s="14"/>
      <c r="H542" s="13"/>
      <c r="I542" s="13"/>
      <c r="J542" s="14"/>
      <c r="K542" s="13"/>
      <c r="M542" s="13"/>
    </row>
    <row r="543" spans="2:13" ht="12.75" customHeight="1" x14ac:dyDescent="0.25">
      <c r="B543" s="13"/>
      <c r="D543" s="13"/>
      <c r="E543" s="13"/>
      <c r="F543" s="14"/>
      <c r="G543" s="14"/>
      <c r="H543" s="13"/>
      <c r="I543" s="13"/>
      <c r="J543" s="14"/>
      <c r="K543" s="13"/>
      <c r="M543" s="13"/>
    </row>
    <row r="544" spans="2:13" ht="12.75" customHeight="1" x14ac:dyDescent="0.25">
      <c r="B544" s="13"/>
      <c r="D544" s="13"/>
      <c r="E544" s="13"/>
      <c r="F544" s="14"/>
      <c r="G544" s="14"/>
      <c r="H544" s="13"/>
      <c r="I544" s="13"/>
      <c r="J544" s="14"/>
      <c r="K544" s="13"/>
      <c r="M544" s="13"/>
    </row>
    <row r="545" spans="2:13" ht="12.75" customHeight="1" x14ac:dyDescent="0.25">
      <c r="B545" s="13"/>
      <c r="D545" s="13"/>
      <c r="E545" s="13"/>
      <c r="F545" s="14"/>
      <c r="G545" s="14"/>
      <c r="H545" s="13"/>
      <c r="I545" s="13"/>
      <c r="J545" s="14"/>
      <c r="K545" s="13"/>
      <c r="M545" s="13"/>
    </row>
    <row r="546" spans="2:13" ht="12.75" customHeight="1" x14ac:dyDescent="0.25">
      <c r="B546" s="13"/>
      <c r="D546" s="13"/>
      <c r="E546" s="13"/>
      <c r="F546" s="14"/>
      <c r="G546" s="14"/>
      <c r="H546" s="13"/>
      <c r="I546" s="13"/>
      <c r="J546" s="14"/>
      <c r="K546" s="13"/>
      <c r="M546" s="13"/>
    </row>
    <row r="547" spans="2:13" ht="12.75" customHeight="1" x14ac:dyDescent="0.25">
      <c r="B547" s="13"/>
      <c r="D547" s="13"/>
      <c r="E547" s="13"/>
      <c r="F547" s="14"/>
      <c r="G547" s="14"/>
      <c r="H547" s="13"/>
      <c r="I547" s="13"/>
      <c r="J547" s="14"/>
      <c r="K547" s="13"/>
      <c r="M547" s="13"/>
    </row>
    <row r="548" spans="2:13" ht="12.75" customHeight="1" x14ac:dyDescent="0.25">
      <c r="B548" s="13"/>
      <c r="D548" s="13"/>
      <c r="E548" s="13"/>
      <c r="F548" s="14"/>
      <c r="G548" s="14"/>
      <c r="H548" s="13"/>
      <c r="I548" s="13"/>
      <c r="J548" s="14"/>
      <c r="K548" s="13"/>
      <c r="M548" s="13"/>
    </row>
    <row r="549" spans="2:13" ht="12.75" customHeight="1" x14ac:dyDescent="0.25">
      <c r="B549" s="13"/>
      <c r="D549" s="13"/>
      <c r="E549" s="13"/>
      <c r="F549" s="14"/>
      <c r="G549" s="14"/>
      <c r="H549" s="13"/>
      <c r="I549" s="13"/>
      <c r="J549" s="14"/>
      <c r="K549" s="13"/>
      <c r="M549" s="13"/>
    </row>
    <row r="550" spans="2:13" ht="12.75" customHeight="1" x14ac:dyDescent="0.25">
      <c r="B550" s="13"/>
      <c r="D550" s="13"/>
      <c r="E550" s="13"/>
      <c r="F550" s="14"/>
      <c r="G550" s="14"/>
      <c r="H550" s="13"/>
      <c r="I550" s="13"/>
      <c r="J550" s="14"/>
      <c r="K550" s="13"/>
      <c r="M550" s="13"/>
    </row>
    <row r="551" spans="2:13" ht="12.75" customHeight="1" x14ac:dyDescent="0.25">
      <c r="B551" s="13"/>
      <c r="D551" s="13"/>
      <c r="E551" s="13"/>
      <c r="F551" s="14"/>
      <c r="G551" s="14"/>
      <c r="H551" s="13"/>
      <c r="I551" s="13"/>
      <c r="J551" s="14"/>
      <c r="K551" s="13"/>
      <c r="M551" s="13"/>
    </row>
    <row r="552" spans="2:13" ht="12.75" customHeight="1" x14ac:dyDescent="0.25">
      <c r="B552" s="13"/>
      <c r="D552" s="13"/>
      <c r="E552" s="13"/>
      <c r="F552" s="14"/>
      <c r="G552" s="14"/>
      <c r="H552" s="13"/>
      <c r="I552" s="13"/>
      <c r="J552" s="14"/>
      <c r="K552" s="13"/>
      <c r="M552" s="13"/>
    </row>
    <row r="553" spans="2:13" ht="12.75" customHeight="1" x14ac:dyDescent="0.25">
      <c r="B553" s="13"/>
      <c r="D553" s="13"/>
      <c r="E553" s="13"/>
      <c r="F553" s="14"/>
      <c r="G553" s="14"/>
      <c r="H553" s="13"/>
      <c r="I553" s="13"/>
      <c r="J553" s="14"/>
      <c r="K553" s="13"/>
      <c r="M553" s="13"/>
    </row>
    <row r="554" spans="2:13" ht="12.75" customHeight="1" x14ac:dyDescent="0.25">
      <c r="B554" s="13"/>
      <c r="D554" s="13"/>
      <c r="E554" s="13"/>
      <c r="F554" s="14"/>
      <c r="G554" s="14"/>
      <c r="H554" s="13"/>
      <c r="I554" s="13"/>
      <c r="J554" s="14"/>
      <c r="K554" s="13"/>
      <c r="M554" s="13"/>
    </row>
    <row r="555" spans="2:13" ht="12.75" customHeight="1" x14ac:dyDescent="0.25">
      <c r="B555" s="13"/>
      <c r="D555" s="13"/>
      <c r="E555" s="13"/>
      <c r="F555" s="14"/>
      <c r="G555" s="14"/>
      <c r="H555" s="13"/>
      <c r="I555" s="13"/>
      <c r="J555" s="14"/>
      <c r="K555" s="13"/>
      <c r="M555" s="13"/>
    </row>
    <row r="556" spans="2:13" ht="12.75" customHeight="1" x14ac:dyDescent="0.25">
      <c r="B556" s="13"/>
      <c r="D556" s="13"/>
      <c r="E556" s="13"/>
      <c r="F556" s="14"/>
      <c r="G556" s="14"/>
      <c r="H556" s="13"/>
      <c r="I556" s="13"/>
      <c r="J556" s="14"/>
      <c r="K556" s="13"/>
      <c r="M556" s="13"/>
    </row>
    <row r="557" spans="2:13" ht="12.75" customHeight="1" x14ac:dyDescent="0.25">
      <c r="B557" s="13"/>
      <c r="D557" s="13"/>
      <c r="E557" s="13"/>
      <c r="F557" s="14"/>
      <c r="G557" s="14"/>
      <c r="H557" s="13"/>
      <c r="I557" s="13"/>
      <c r="J557" s="14"/>
      <c r="K557" s="13"/>
      <c r="M557" s="13"/>
    </row>
    <row r="558" spans="2:13" ht="12.75" customHeight="1" x14ac:dyDescent="0.25">
      <c r="B558" s="13"/>
      <c r="D558" s="13"/>
      <c r="E558" s="13"/>
      <c r="F558" s="14"/>
      <c r="G558" s="14"/>
      <c r="H558" s="13"/>
      <c r="I558" s="13"/>
      <c r="J558" s="14"/>
      <c r="K558" s="13"/>
      <c r="M558" s="13"/>
    </row>
    <row r="559" spans="2:13" ht="12.75" customHeight="1" x14ac:dyDescent="0.25">
      <c r="B559" s="13"/>
      <c r="D559" s="13"/>
      <c r="E559" s="13"/>
      <c r="F559" s="14"/>
      <c r="G559" s="14"/>
      <c r="H559" s="13"/>
      <c r="I559" s="13"/>
      <c r="J559" s="14"/>
      <c r="K559" s="13"/>
      <c r="M559" s="13"/>
    </row>
    <row r="560" spans="2:13" ht="12.75" customHeight="1" x14ac:dyDescent="0.25">
      <c r="B560" s="13"/>
      <c r="D560" s="13"/>
      <c r="E560" s="13"/>
      <c r="F560" s="14"/>
      <c r="G560" s="14"/>
      <c r="H560" s="13"/>
      <c r="I560" s="13"/>
      <c r="J560" s="14"/>
      <c r="K560" s="13"/>
      <c r="M560" s="13"/>
    </row>
    <row r="561" spans="2:13" ht="12.75" customHeight="1" x14ac:dyDescent="0.25">
      <c r="B561" s="13"/>
      <c r="D561" s="13"/>
      <c r="E561" s="13"/>
      <c r="F561" s="14"/>
      <c r="G561" s="14"/>
      <c r="H561" s="13"/>
      <c r="I561" s="13"/>
      <c r="J561" s="14"/>
      <c r="K561" s="13"/>
      <c r="M561" s="13"/>
    </row>
    <row r="562" spans="2:13" ht="12.75" customHeight="1" x14ac:dyDescent="0.25">
      <c r="B562" s="13"/>
      <c r="D562" s="13"/>
      <c r="E562" s="13"/>
      <c r="F562" s="14"/>
      <c r="G562" s="14"/>
      <c r="H562" s="13"/>
      <c r="I562" s="13"/>
      <c r="J562" s="14"/>
      <c r="K562" s="13"/>
      <c r="M562" s="13"/>
    </row>
    <row r="563" spans="2:13" ht="12.75" customHeight="1" x14ac:dyDescent="0.25">
      <c r="B563" s="13"/>
      <c r="D563" s="13"/>
      <c r="E563" s="13"/>
      <c r="F563" s="14"/>
      <c r="G563" s="14"/>
      <c r="H563" s="13"/>
      <c r="I563" s="13"/>
      <c r="J563" s="14"/>
      <c r="K563" s="13"/>
      <c r="M563" s="13"/>
    </row>
    <row r="564" spans="2:13" ht="12.75" customHeight="1" x14ac:dyDescent="0.25">
      <c r="B564" s="13"/>
      <c r="D564" s="13"/>
      <c r="E564" s="13"/>
      <c r="F564" s="14"/>
      <c r="G564" s="14"/>
      <c r="H564" s="13"/>
      <c r="I564" s="13"/>
      <c r="J564" s="14"/>
      <c r="K564" s="13"/>
      <c r="M564" s="13"/>
    </row>
    <row r="565" spans="2:13" ht="12.75" customHeight="1" x14ac:dyDescent="0.25">
      <c r="B565" s="13"/>
      <c r="D565" s="13"/>
      <c r="E565" s="13"/>
      <c r="F565" s="14"/>
      <c r="G565" s="14"/>
      <c r="H565" s="13"/>
      <c r="I565" s="13"/>
      <c r="J565" s="14"/>
      <c r="K565" s="13"/>
      <c r="M565" s="13"/>
    </row>
    <row r="566" spans="2:13" ht="12.75" customHeight="1" x14ac:dyDescent="0.25">
      <c r="B566" s="13"/>
      <c r="D566" s="13"/>
      <c r="E566" s="13"/>
      <c r="F566" s="14"/>
      <c r="G566" s="14"/>
      <c r="H566" s="13"/>
      <c r="I566" s="13"/>
      <c r="J566" s="14"/>
      <c r="K566" s="13"/>
      <c r="M566" s="13"/>
    </row>
    <row r="567" spans="2:13" ht="12.75" customHeight="1" x14ac:dyDescent="0.25">
      <c r="B567" s="13"/>
      <c r="D567" s="13"/>
      <c r="E567" s="13"/>
      <c r="F567" s="14"/>
      <c r="G567" s="14"/>
      <c r="H567" s="13"/>
      <c r="I567" s="13"/>
      <c r="J567" s="14"/>
      <c r="K567" s="13"/>
      <c r="M567" s="13"/>
    </row>
    <row r="568" spans="2:13" ht="12.75" customHeight="1" x14ac:dyDescent="0.25">
      <c r="B568" s="13"/>
      <c r="D568" s="13"/>
      <c r="E568" s="13"/>
      <c r="F568" s="14"/>
      <c r="G568" s="14"/>
      <c r="H568" s="13"/>
      <c r="I568" s="13"/>
      <c r="J568" s="14"/>
      <c r="K568" s="13"/>
      <c r="M568" s="13"/>
    </row>
    <row r="569" spans="2:13" ht="12.75" customHeight="1" x14ac:dyDescent="0.25">
      <c r="B569" s="13"/>
      <c r="D569" s="13"/>
      <c r="E569" s="13"/>
      <c r="F569" s="14"/>
      <c r="G569" s="14"/>
      <c r="H569" s="13"/>
      <c r="I569" s="13"/>
      <c r="J569" s="14"/>
      <c r="K569" s="13"/>
      <c r="M569" s="13"/>
    </row>
    <row r="570" spans="2:13" ht="12.75" customHeight="1" x14ac:dyDescent="0.25">
      <c r="B570" s="13"/>
      <c r="D570" s="13"/>
      <c r="E570" s="13"/>
      <c r="F570" s="14"/>
      <c r="G570" s="14"/>
      <c r="H570" s="13"/>
      <c r="I570" s="13"/>
      <c r="J570" s="14"/>
      <c r="K570" s="13"/>
      <c r="M570" s="13"/>
    </row>
    <row r="571" spans="2:13" ht="12.75" customHeight="1" x14ac:dyDescent="0.25">
      <c r="B571" s="13"/>
      <c r="D571" s="13"/>
      <c r="E571" s="13"/>
      <c r="F571" s="14"/>
      <c r="G571" s="14"/>
      <c r="H571" s="13"/>
      <c r="I571" s="13"/>
      <c r="J571" s="14"/>
      <c r="K571" s="13"/>
      <c r="M571" s="13"/>
    </row>
    <row r="572" spans="2:13" ht="12.75" customHeight="1" x14ac:dyDescent="0.25">
      <c r="B572" s="13"/>
      <c r="D572" s="13"/>
      <c r="E572" s="13"/>
      <c r="F572" s="14"/>
      <c r="G572" s="14"/>
      <c r="H572" s="13"/>
      <c r="I572" s="13"/>
      <c r="J572" s="14"/>
      <c r="K572" s="13"/>
      <c r="M572" s="13"/>
    </row>
    <row r="573" spans="2:13" ht="12.75" customHeight="1" x14ac:dyDescent="0.25">
      <c r="B573" s="13"/>
      <c r="D573" s="13"/>
      <c r="E573" s="13"/>
      <c r="F573" s="14"/>
      <c r="G573" s="14"/>
      <c r="H573" s="13"/>
      <c r="I573" s="13"/>
      <c r="J573" s="14"/>
      <c r="K573" s="13"/>
      <c r="M573" s="13"/>
    </row>
    <row r="574" spans="2:13" ht="12.75" customHeight="1" x14ac:dyDescent="0.25">
      <c r="B574" s="13"/>
      <c r="D574" s="13"/>
      <c r="E574" s="13"/>
      <c r="F574" s="14"/>
      <c r="G574" s="14"/>
      <c r="H574" s="13"/>
      <c r="I574" s="13"/>
      <c r="J574" s="14"/>
      <c r="K574" s="13"/>
      <c r="M574" s="13"/>
    </row>
    <row r="575" spans="2:13" ht="12.75" customHeight="1" x14ac:dyDescent="0.25">
      <c r="B575" s="13"/>
      <c r="D575" s="13"/>
      <c r="E575" s="13"/>
      <c r="F575" s="14"/>
      <c r="G575" s="14"/>
      <c r="H575" s="13"/>
      <c r="I575" s="13"/>
      <c r="J575" s="14"/>
      <c r="K575" s="13"/>
      <c r="M575" s="13"/>
    </row>
    <row r="576" spans="2:13" ht="12.75" customHeight="1" x14ac:dyDescent="0.25">
      <c r="B576" s="13"/>
      <c r="D576" s="13"/>
      <c r="E576" s="13"/>
      <c r="F576" s="14"/>
      <c r="G576" s="14"/>
      <c r="H576" s="13"/>
      <c r="I576" s="13"/>
      <c r="J576" s="14"/>
      <c r="K576" s="13"/>
      <c r="M576" s="13"/>
    </row>
    <row r="577" spans="2:13" ht="12.75" customHeight="1" x14ac:dyDescent="0.25">
      <c r="B577" s="13"/>
      <c r="D577" s="13"/>
      <c r="E577" s="13"/>
      <c r="F577" s="14"/>
      <c r="G577" s="14"/>
      <c r="H577" s="13"/>
      <c r="I577" s="13"/>
      <c r="J577" s="14"/>
      <c r="K577" s="13"/>
      <c r="M577" s="13"/>
    </row>
    <row r="578" spans="2:13" ht="12.75" customHeight="1" x14ac:dyDescent="0.25">
      <c r="B578" s="13"/>
      <c r="D578" s="13"/>
      <c r="E578" s="13"/>
      <c r="F578" s="14"/>
      <c r="G578" s="14"/>
      <c r="H578" s="13"/>
      <c r="I578" s="13"/>
      <c r="J578" s="14"/>
      <c r="K578" s="13"/>
      <c r="M578" s="13"/>
    </row>
    <row r="579" spans="2:13" ht="12.75" customHeight="1" x14ac:dyDescent="0.25">
      <c r="B579" s="13"/>
      <c r="D579" s="13"/>
      <c r="E579" s="13"/>
      <c r="F579" s="14"/>
      <c r="G579" s="14"/>
      <c r="H579" s="13"/>
      <c r="I579" s="13"/>
      <c r="J579" s="14"/>
      <c r="K579" s="13"/>
      <c r="M579" s="13"/>
    </row>
    <row r="580" spans="2:13" ht="12.75" customHeight="1" x14ac:dyDescent="0.25">
      <c r="B580" s="13"/>
      <c r="D580" s="13"/>
      <c r="E580" s="13"/>
      <c r="F580" s="14"/>
      <c r="G580" s="14"/>
      <c r="H580" s="13"/>
      <c r="I580" s="13"/>
      <c r="J580" s="14"/>
      <c r="K580" s="13"/>
      <c r="M580" s="13"/>
    </row>
    <row r="581" spans="2:13" ht="12.75" customHeight="1" x14ac:dyDescent="0.25">
      <c r="B581" s="13"/>
      <c r="D581" s="13"/>
      <c r="E581" s="13"/>
      <c r="F581" s="14"/>
      <c r="G581" s="14"/>
      <c r="H581" s="13"/>
      <c r="I581" s="13"/>
      <c r="J581" s="14"/>
      <c r="K581" s="13"/>
      <c r="M581" s="13"/>
    </row>
    <row r="582" spans="2:13" ht="12.75" customHeight="1" x14ac:dyDescent="0.25">
      <c r="B582" s="13"/>
      <c r="D582" s="13"/>
      <c r="E582" s="13"/>
      <c r="F582" s="14"/>
      <c r="G582" s="14"/>
      <c r="H582" s="13"/>
      <c r="I582" s="13"/>
      <c r="J582" s="14"/>
      <c r="K582" s="13"/>
      <c r="M582" s="13"/>
    </row>
    <row r="583" spans="2:13" ht="12.75" customHeight="1" x14ac:dyDescent="0.25">
      <c r="B583" s="13"/>
      <c r="D583" s="13"/>
      <c r="E583" s="13"/>
      <c r="F583" s="14"/>
      <c r="G583" s="14"/>
      <c r="H583" s="13"/>
      <c r="I583" s="13"/>
      <c r="J583" s="14"/>
      <c r="K583" s="13"/>
      <c r="M583" s="13"/>
    </row>
    <row r="584" spans="2:13" ht="12.75" customHeight="1" x14ac:dyDescent="0.25">
      <c r="B584" s="13"/>
      <c r="D584" s="13"/>
      <c r="E584" s="13"/>
      <c r="F584" s="14"/>
      <c r="G584" s="14"/>
      <c r="H584" s="13"/>
      <c r="I584" s="13"/>
      <c r="J584" s="14"/>
      <c r="K584" s="13"/>
      <c r="M584" s="13"/>
    </row>
    <row r="585" spans="2:13" ht="12.75" customHeight="1" x14ac:dyDescent="0.25">
      <c r="B585" s="13"/>
      <c r="D585" s="13"/>
      <c r="E585" s="13"/>
      <c r="F585" s="14"/>
      <c r="G585" s="14"/>
      <c r="H585" s="13"/>
      <c r="I585" s="13"/>
      <c r="J585" s="14"/>
      <c r="K585" s="13"/>
      <c r="M585" s="13"/>
    </row>
    <row r="586" spans="2:13" ht="12.75" customHeight="1" x14ac:dyDescent="0.25">
      <c r="B586" s="13"/>
      <c r="D586" s="13"/>
      <c r="E586" s="13"/>
      <c r="F586" s="14"/>
      <c r="G586" s="14"/>
      <c r="H586" s="13"/>
      <c r="I586" s="13"/>
      <c r="J586" s="14"/>
      <c r="K586" s="13"/>
      <c r="M586" s="13"/>
    </row>
    <row r="587" spans="2:13" ht="12.75" customHeight="1" x14ac:dyDescent="0.25">
      <c r="B587" s="13"/>
      <c r="D587" s="13"/>
      <c r="E587" s="13"/>
      <c r="F587" s="14"/>
      <c r="G587" s="14"/>
      <c r="H587" s="13"/>
      <c r="I587" s="13"/>
      <c r="J587" s="14"/>
      <c r="K587" s="13"/>
      <c r="M587" s="13"/>
    </row>
    <row r="588" spans="2:13" ht="12.75" customHeight="1" x14ac:dyDescent="0.25">
      <c r="B588" s="13"/>
      <c r="D588" s="13"/>
      <c r="E588" s="13"/>
      <c r="F588" s="14"/>
      <c r="G588" s="14"/>
      <c r="H588" s="13"/>
      <c r="I588" s="13"/>
      <c r="J588" s="14"/>
      <c r="K588" s="13"/>
      <c r="M588" s="13"/>
    </row>
    <row r="589" spans="2:13" ht="12.75" customHeight="1" x14ac:dyDescent="0.25">
      <c r="B589" s="13"/>
      <c r="D589" s="13"/>
      <c r="E589" s="13"/>
      <c r="F589" s="14"/>
      <c r="G589" s="14"/>
      <c r="H589" s="13"/>
      <c r="I589" s="13"/>
      <c r="J589" s="14"/>
      <c r="K589" s="13"/>
      <c r="M589" s="13"/>
    </row>
    <row r="590" spans="2:13" ht="12.75" customHeight="1" x14ac:dyDescent="0.25">
      <c r="B590" s="13"/>
      <c r="D590" s="13"/>
      <c r="E590" s="13"/>
      <c r="F590" s="14"/>
      <c r="G590" s="14"/>
      <c r="H590" s="13"/>
      <c r="I590" s="13"/>
      <c r="J590" s="14"/>
      <c r="K590" s="13"/>
      <c r="M590" s="13"/>
    </row>
    <row r="591" spans="2:13" ht="12.75" customHeight="1" x14ac:dyDescent="0.25">
      <c r="B591" s="13"/>
      <c r="D591" s="13"/>
      <c r="E591" s="13"/>
      <c r="F591" s="14"/>
      <c r="G591" s="14"/>
      <c r="H591" s="13"/>
      <c r="I591" s="13"/>
      <c r="J591" s="14"/>
      <c r="K591" s="13"/>
      <c r="M591" s="13"/>
    </row>
    <row r="592" spans="2:13" ht="12.75" customHeight="1" x14ac:dyDescent="0.25">
      <c r="B592" s="13"/>
      <c r="D592" s="13"/>
      <c r="E592" s="13"/>
      <c r="F592" s="14"/>
      <c r="G592" s="14"/>
      <c r="H592" s="13"/>
      <c r="I592" s="13"/>
      <c r="J592" s="14"/>
      <c r="K592" s="13"/>
      <c r="M592" s="13"/>
    </row>
    <row r="593" spans="2:13" ht="12.75" customHeight="1" x14ac:dyDescent="0.25">
      <c r="B593" s="13"/>
      <c r="D593" s="13"/>
      <c r="E593" s="13"/>
      <c r="F593" s="14"/>
      <c r="G593" s="14"/>
      <c r="H593" s="13"/>
      <c r="I593" s="13"/>
      <c r="J593" s="14"/>
      <c r="K593" s="13"/>
      <c r="M593" s="13"/>
    </row>
    <row r="594" spans="2:13" ht="12.75" customHeight="1" x14ac:dyDescent="0.25">
      <c r="B594" s="13"/>
      <c r="D594" s="13"/>
      <c r="E594" s="13"/>
      <c r="F594" s="14"/>
      <c r="G594" s="14"/>
      <c r="H594" s="13"/>
      <c r="I594" s="13"/>
      <c r="J594" s="14"/>
      <c r="K594" s="13"/>
      <c r="M594" s="13"/>
    </row>
    <row r="595" spans="2:13" ht="12.75" customHeight="1" x14ac:dyDescent="0.25">
      <c r="B595" s="13"/>
      <c r="D595" s="13"/>
      <c r="E595" s="13"/>
      <c r="F595" s="14"/>
      <c r="G595" s="14"/>
      <c r="H595" s="13"/>
      <c r="I595" s="13"/>
      <c r="J595" s="14"/>
      <c r="K595" s="13"/>
      <c r="M595" s="13"/>
    </row>
    <row r="596" spans="2:13" ht="12.75" customHeight="1" x14ac:dyDescent="0.25">
      <c r="B596" s="13"/>
      <c r="D596" s="13"/>
      <c r="E596" s="13"/>
      <c r="F596" s="14"/>
      <c r="G596" s="14"/>
      <c r="H596" s="13"/>
      <c r="I596" s="13"/>
      <c r="J596" s="14"/>
      <c r="K596" s="13"/>
      <c r="M596" s="13"/>
    </row>
    <row r="597" spans="2:13" ht="12.75" customHeight="1" x14ac:dyDescent="0.25">
      <c r="B597" s="13"/>
      <c r="D597" s="13"/>
      <c r="E597" s="13"/>
      <c r="F597" s="14"/>
      <c r="G597" s="14"/>
      <c r="H597" s="13"/>
      <c r="I597" s="13"/>
      <c r="J597" s="14"/>
      <c r="K597" s="13"/>
      <c r="M597" s="13"/>
    </row>
    <row r="598" spans="2:13" ht="12.75" customHeight="1" x14ac:dyDescent="0.25">
      <c r="B598" s="13"/>
      <c r="D598" s="13"/>
      <c r="E598" s="13"/>
      <c r="F598" s="14"/>
      <c r="G598" s="14"/>
      <c r="H598" s="13"/>
      <c r="I598" s="13"/>
      <c r="J598" s="14"/>
      <c r="K598" s="13"/>
      <c r="M598" s="13"/>
    </row>
    <row r="599" spans="2:13" ht="12.75" customHeight="1" x14ac:dyDescent="0.25">
      <c r="B599" s="13"/>
      <c r="D599" s="13"/>
      <c r="E599" s="13"/>
      <c r="F599" s="14"/>
      <c r="G599" s="14"/>
      <c r="H599" s="13"/>
      <c r="I599" s="13"/>
      <c r="J599" s="14"/>
      <c r="K599" s="13"/>
      <c r="M599" s="13"/>
    </row>
    <row r="600" spans="2:13" ht="12.75" customHeight="1" x14ac:dyDescent="0.25">
      <c r="B600" s="13"/>
      <c r="D600" s="13"/>
      <c r="E600" s="13"/>
      <c r="F600" s="14"/>
      <c r="G600" s="14"/>
      <c r="H600" s="13"/>
      <c r="I600" s="13"/>
      <c r="J600" s="14"/>
      <c r="K600" s="13"/>
      <c r="M600" s="13"/>
    </row>
    <row r="601" spans="2:13" ht="12.75" customHeight="1" x14ac:dyDescent="0.25">
      <c r="B601" s="13"/>
      <c r="D601" s="13"/>
      <c r="E601" s="13"/>
      <c r="F601" s="14"/>
      <c r="G601" s="14"/>
      <c r="H601" s="13"/>
      <c r="I601" s="13"/>
      <c r="J601" s="14"/>
      <c r="K601" s="13"/>
      <c r="M601" s="13"/>
    </row>
    <row r="602" spans="2:13" ht="12.75" customHeight="1" x14ac:dyDescent="0.25">
      <c r="B602" s="13"/>
      <c r="D602" s="13"/>
      <c r="E602" s="13"/>
      <c r="F602" s="14"/>
      <c r="G602" s="14"/>
      <c r="H602" s="13"/>
      <c r="I602" s="13"/>
      <c r="J602" s="14"/>
      <c r="K602" s="13"/>
      <c r="M602" s="13"/>
    </row>
    <row r="603" spans="2:13" ht="12.75" customHeight="1" x14ac:dyDescent="0.25">
      <c r="B603" s="13"/>
      <c r="D603" s="13"/>
      <c r="E603" s="13"/>
      <c r="F603" s="14"/>
      <c r="G603" s="14"/>
      <c r="H603" s="13"/>
      <c r="I603" s="13"/>
      <c r="J603" s="14"/>
      <c r="K603" s="13"/>
      <c r="M603" s="13"/>
    </row>
    <row r="604" spans="2:13" ht="12.75" customHeight="1" x14ac:dyDescent="0.25">
      <c r="B604" s="13"/>
      <c r="D604" s="13"/>
      <c r="E604" s="13"/>
      <c r="F604" s="14"/>
      <c r="G604" s="14"/>
      <c r="H604" s="13"/>
      <c r="I604" s="13"/>
      <c r="J604" s="14"/>
      <c r="K604" s="13"/>
      <c r="M604" s="13"/>
    </row>
    <row r="605" spans="2:13" ht="12.75" customHeight="1" x14ac:dyDescent="0.25">
      <c r="B605" s="13"/>
      <c r="D605" s="13"/>
      <c r="E605" s="13"/>
      <c r="F605" s="14"/>
      <c r="G605" s="14"/>
      <c r="H605" s="13"/>
      <c r="I605" s="13"/>
      <c r="J605" s="14"/>
      <c r="K605" s="13"/>
      <c r="M605" s="13"/>
    </row>
    <row r="606" spans="2:13" ht="12.75" customHeight="1" x14ac:dyDescent="0.25">
      <c r="B606" s="13"/>
      <c r="D606" s="13"/>
      <c r="E606" s="13"/>
      <c r="F606" s="14"/>
      <c r="G606" s="14"/>
      <c r="H606" s="13"/>
      <c r="I606" s="13"/>
      <c r="J606" s="14"/>
      <c r="K606" s="13"/>
      <c r="M606" s="13"/>
    </row>
    <row r="607" spans="2:13" ht="12.75" customHeight="1" x14ac:dyDescent="0.25">
      <c r="B607" s="13"/>
      <c r="D607" s="13"/>
      <c r="E607" s="13"/>
      <c r="F607" s="14"/>
      <c r="G607" s="14"/>
      <c r="H607" s="13"/>
      <c r="I607" s="13"/>
      <c r="J607" s="14"/>
      <c r="K607" s="13"/>
      <c r="M607" s="13"/>
    </row>
    <row r="608" spans="2:13" ht="12.75" customHeight="1" x14ac:dyDescent="0.25">
      <c r="B608" s="13"/>
      <c r="D608" s="13"/>
      <c r="E608" s="13"/>
      <c r="F608" s="14"/>
      <c r="G608" s="14"/>
      <c r="H608" s="13"/>
      <c r="I608" s="13"/>
      <c r="J608" s="14"/>
      <c r="K608" s="13"/>
      <c r="M608" s="13"/>
    </row>
    <row r="609" spans="2:13" ht="12.75" customHeight="1" x14ac:dyDescent="0.25">
      <c r="B609" s="13"/>
      <c r="D609" s="13"/>
      <c r="E609" s="13"/>
      <c r="F609" s="14"/>
      <c r="G609" s="14"/>
      <c r="H609" s="13"/>
      <c r="I609" s="13"/>
      <c r="J609" s="14"/>
      <c r="K609" s="13"/>
      <c r="M609" s="13"/>
    </row>
    <row r="610" spans="2:13" ht="12.75" customHeight="1" x14ac:dyDescent="0.25">
      <c r="B610" s="13"/>
      <c r="D610" s="13"/>
      <c r="E610" s="13"/>
      <c r="F610" s="14"/>
      <c r="G610" s="14"/>
      <c r="H610" s="13"/>
      <c r="I610" s="13"/>
      <c r="J610" s="14"/>
      <c r="K610" s="13"/>
      <c r="M610" s="13"/>
    </row>
    <row r="611" spans="2:13" ht="12.75" customHeight="1" x14ac:dyDescent="0.25">
      <c r="B611" s="13"/>
      <c r="D611" s="13"/>
      <c r="E611" s="13"/>
      <c r="F611" s="14"/>
      <c r="G611" s="14"/>
      <c r="H611" s="13"/>
      <c r="I611" s="13"/>
      <c r="J611" s="14"/>
      <c r="K611" s="13"/>
      <c r="M611" s="13"/>
    </row>
    <row r="612" spans="2:13" ht="12.75" customHeight="1" x14ac:dyDescent="0.25">
      <c r="B612" s="13"/>
      <c r="D612" s="13"/>
      <c r="E612" s="13"/>
      <c r="F612" s="14"/>
      <c r="G612" s="14"/>
      <c r="H612" s="13"/>
      <c r="I612" s="13"/>
      <c r="J612" s="14"/>
      <c r="K612" s="13"/>
      <c r="M612" s="13"/>
    </row>
    <row r="613" spans="2:13" ht="12.75" customHeight="1" x14ac:dyDescent="0.25">
      <c r="B613" s="13"/>
      <c r="D613" s="13"/>
      <c r="E613" s="13"/>
      <c r="F613" s="14"/>
      <c r="G613" s="14"/>
      <c r="H613" s="13"/>
      <c r="I613" s="13"/>
      <c r="J613" s="14"/>
      <c r="K613" s="13"/>
      <c r="M613" s="13"/>
    </row>
    <row r="614" spans="2:13" ht="12.75" customHeight="1" x14ac:dyDescent="0.25">
      <c r="B614" s="13"/>
      <c r="D614" s="13"/>
      <c r="E614" s="13"/>
      <c r="F614" s="14"/>
      <c r="G614" s="14"/>
      <c r="H614" s="13"/>
      <c r="I614" s="13"/>
      <c r="J614" s="14"/>
      <c r="K614" s="13"/>
      <c r="M614" s="13"/>
    </row>
    <row r="615" spans="2:13" ht="12.75" customHeight="1" x14ac:dyDescent="0.25">
      <c r="B615" s="13"/>
      <c r="D615" s="13"/>
      <c r="E615" s="13"/>
      <c r="F615" s="14"/>
      <c r="G615" s="14"/>
      <c r="H615" s="13"/>
      <c r="I615" s="13"/>
      <c r="J615" s="14"/>
      <c r="K615" s="13"/>
      <c r="M615" s="13"/>
    </row>
    <row r="616" spans="2:13" ht="12.75" customHeight="1" x14ac:dyDescent="0.25">
      <c r="B616" s="13"/>
      <c r="D616" s="13"/>
      <c r="E616" s="13"/>
      <c r="F616" s="14"/>
      <c r="G616" s="14"/>
      <c r="H616" s="13"/>
      <c r="I616" s="13"/>
      <c r="J616" s="14"/>
      <c r="K616" s="13"/>
      <c r="M616" s="13"/>
    </row>
    <row r="617" spans="2:13" ht="12.75" customHeight="1" x14ac:dyDescent="0.25">
      <c r="B617" s="13"/>
      <c r="D617" s="13"/>
      <c r="E617" s="13"/>
      <c r="F617" s="14"/>
      <c r="G617" s="14"/>
      <c r="H617" s="13"/>
      <c r="I617" s="13"/>
      <c r="J617" s="14"/>
      <c r="K617" s="13"/>
      <c r="M617" s="13"/>
    </row>
    <row r="618" spans="2:13" ht="12.75" customHeight="1" x14ac:dyDescent="0.25">
      <c r="B618" s="13"/>
      <c r="D618" s="13"/>
      <c r="E618" s="13"/>
      <c r="F618" s="14"/>
      <c r="G618" s="14"/>
      <c r="H618" s="13"/>
      <c r="I618" s="13"/>
      <c r="J618" s="14"/>
      <c r="K618" s="13"/>
      <c r="M618" s="13"/>
    </row>
    <row r="619" spans="2:13" ht="12.75" customHeight="1" x14ac:dyDescent="0.25">
      <c r="B619" s="13"/>
      <c r="D619" s="13"/>
      <c r="E619" s="13"/>
      <c r="F619" s="14"/>
      <c r="G619" s="14"/>
      <c r="H619" s="13"/>
      <c r="I619" s="13"/>
      <c r="J619" s="14"/>
      <c r="K619" s="13"/>
      <c r="M619" s="13"/>
    </row>
    <row r="620" spans="2:13" ht="12.75" customHeight="1" x14ac:dyDescent="0.25">
      <c r="B620" s="13"/>
      <c r="D620" s="13"/>
      <c r="E620" s="13"/>
      <c r="F620" s="14"/>
      <c r="G620" s="14"/>
      <c r="H620" s="13"/>
      <c r="I620" s="13"/>
      <c r="J620" s="14"/>
      <c r="K620" s="13"/>
      <c r="M620" s="13"/>
    </row>
    <row r="621" spans="2:13" ht="12.75" customHeight="1" x14ac:dyDescent="0.25">
      <c r="B621" s="13"/>
      <c r="D621" s="13"/>
      <c r="E621" s="13"/>
      <c r="F621" s="14"/>
      <c r="G621" s="14"/>
      <c r="H621" s="13"/>
      <c r="I621" s="13"/>
      <c r="J621" s="14"/>
      <c r="K621" s="13"/>
      <c r="M621" s="13"/>
    </row>
    <row r="622" spans="2:13" ht="12.75" customHeight="1" x14ac:dyDescent="0.25">
      <c r="B622" s="13"/>
      <c r="D622" s="13"/>
      <c r="E622" s="13"/>
      <c r="F622" s="14"/>
      <c r="G622" s="14"/>
      <c r="H622" s="13"/>
      <c r="I622" s="13"/>
      <c r="J622" s="14"/>
      <c r="K622" s="13"/>
      <c r="M622" s="13"/>
    </row>
    <row r="623" spans="2:13" ht="12.75" customHeight="1" x14ac:dyDescent="0.25">
      <c r="B623" s="13"/>
      <c r="D623" s="13"/>
      <c r="E623" s="13"/>
      <c r="F623" s="14"/>
      <c r="G623" s="14"/>
      <c r="H623" s="13"/>
      <c r="I623" s="13"/>
      <c r="J623" s="14"/>
      <c r="K623" s="13"/>
      <c r="M623" s="13"/>
    </row>
    <row r="624" spans="2:13" ht="12.75" customHeight="1" x14ac:dyDescent="0.25">
      <c r="B624" s="13"/>
      <c r="D624" s="13"/>
      <c r="E624" s="13"/>
      <c r="F624" s="14"/>
      <c r="G624" s="14"/>
      <c r="H624" s="13"/>
      <c r="I624" s="13"/>
      <c r="J624" s="14"/>
      <c r="K624" s="13"/>
      <c r="M624" s="13"/>
    </row>
    <row r="625" spans="2:13" ht="12.75" customHeight="1" x14ac:dyDescent="0.25">
      <c r="B625" s="13"/>
      <c r="D625" s="13"/>
      <c r="E625" s="13"/>
      <c r="F625" s="14"/>
      <c r="G625" s="14"/>
      <c r="H625" s="13"/>
      <c r="I625" s="13"/>
      <c r="J625" s="14"/>
      <c r="K625" s="13"/>
      <c r="M625" s="13"/>
    </row>
    <row r="626" spans="2:13" ht="12.75" customHeight="1" x14ac:dyDescent="0.25">
      <c r="B626" s="13"/>
      <c r="D626" s="13"/>
      <c r="E626" s="13"/>
      <c r="F626" s="14"/>
      <c r="G626" s="14"/>
      <c r="H626" s="13"/>
      <c r="I626" s="13"/>
      <c r="J626" s="14"/>
      <c r="K626" s="13"/>
      <c r="M626" s="13"/>
    </row>
    <row r="627" spans="2:13" ht="12.75" customHeight="1" x14ac:dyDescent="0.25">
      <c r="B627" s="13"/>
      <c r="D627" s="13"/>
      <c r="E627" s="13"/>
      <c r="F627" s="14"/>
      <c r="G627" s="14"/>
      <c r="H627" s="13"/>
      <c r="I627" s="13"/>
      <c r="J627" s="14"/>
      <c r="K627" s="13"/>
      <c r="M627" s="13"/>
    </row>
    <row r="628" spans="2:13" ht="12.75" customHeight="1" x14ac:dyDescent="0.25">
      <c r="B628" s="13"/>
      <c r="D628" s="13"/>
      <c r="E628" s="13"/>
      <c r="F628" s="14"/>
      <c r="G628" s="14"/>
      <c r="H628" s="13"/>
      <c r="I628" s="13"/>
      <c r="J628" s="14"/>
      <c r="K628" s="13"/>
      <c r="M628" s="13"/>
    </row>
    <row r="629" spans="2:13" ht="12.75" customHeight="1" x14ac:dyDescent="0.25">
      <c r="B629" s="13"/>
      <c r="D629" s="13"/>
      <c r="E629" s="13"/>
      <c r="F629" s="14"/>
      <c r="G629" s="14"/>
      <c r="H629" s="13"/>
      <c r="I629" s="13"/>
      <c r="J629" s="14"/>
      <c r="K629" s="13"/>
      <c r="M629" s="13"/>
    </row>
    <row r="630" spans="2:13" ht="12.75" customHeight="1" x14ac:dyDescent="0.25">
      <c r="B630" s="13"/>
      <c r="D630" s="13"/>
      <c r="E630" s="13"/>
      <c r="F630" s="14"/>
      <c r="G630" s="14"/>
      <c r="H630" s="13"/>
      <c r="I630" s="13"/>
      <c r="J630" s="14"/>
      <c r="K630" s="13"/>
      <c r="M630" s="13"/>
    </row>
    <row r="631" spans="2:13" ht="12.75" customHeight="1" x14ac:dyDescent="0.25">
      <c r="B631" s="13"/>
      <c r="D631" s="13"/>
      <c r="E631" s="13"/>
      <c r="F631" s="14"/>
      <c r="G631" s="14"/>
      <c r="H631" s="13"/>
      <c r="I631" s="13"/>
      <c r="J631" s="14"/>
      <c r="K631" s="13"/>
      <c r="M631" s="13"/>
    </row>
    <row r="632" spans="2:13" ht="12.75" customHeight="1" x14ac:dyDescent="0.25">
      <c r="B632" s="13"/>
      <c r="D632" s="13"/>
      <c r="E632" s="13"/>
      <c r="F632" s="14"/>
      <c r="G632" s="14"/>
      <c r="H632" s="13"/>
      <c r="I632" s="13"/>
      <c r="J632" s="14"/>
      <c r="K632" s="13"/>
      <c r="M632" s="13"/>
    </row>
    <row r="633" spans="2:13" ht="12.75" customHeight="1" x14ac:dyDescent="0.25">
      <c r="B633" s="13"/>
      <c r="D633" s="13"/>
      <c r="E633" s="13"/>
      <c r="F633" s="14"/>
      <c r="G633" s="14"/>
      <c r="H633" s="13"/>
      <c r="I633" s="13"/>
      <c r="J633" s="14"/>
      <c r="K633" s="13"/>
      <c r="M633" s="13"/>
    </row>
    <row r="634" spans="2:13" ht="12.75" customHeight="1" x14ac:dyDescent="0.25">
      <c r="B634" s="13"/>
      <c r="D634" s="13"/>
      <c r="E634" s="13"/>
      <c r="F634" s="14"/>
      <c r="G634" s="14"/>
      <c r="H634" s="13"/>
      <c r="I634" s="13"/>
      <c r="J634" s="14"/>
      <c r="K634" s="13"/>
      <c r="M634" s="13"/>
    </row>
    <row r="635" spans="2:13" ht="12.75" customHeight="1" x14ac:dyDescent="0.25">
      <c r="B635" s="13"/>
      <c r="D635" s="13"/>
      <c r="E635" s="13"/>
      <c r="F635" s="14"/>
      <c r="G635" s="14"/>
      <c r="H635" s="13"/>
      <c r="I635" s="13"/>
      <c r="J635" s="14"/>
      <c r="K635" s="13"/>
      <c r="M635" s="13"/>
    </row>
    <row r="636" spans="2:13" ht="12.75" customHeight="1" x14ac:dyDescent="0.25">
      <c r="B636" s="13"/>
      <c r="D636" s="13"/>
      <c r="E636" s="13"/>
      <c r="F636" s="14"/>
      <c r="G636" s="14"/>
      <c r="H636" s="13"/>
      <c r="I636" s="13"/>
      <c r="J636" s="14"/>
      <c r="K636" s="13"/>
      <c r="M636" s="13"/>
    </row>
    <row r="637" spans="2:13" ht="12.75" customHeight="1" x14ac:dyDescent="0.25">
      <c r="B637" s="13"/>
      <c r="D637" s="13"/>
      <c r="E637" s="13"/>
      <c r="F637" s="14"/>
      <c r="G637" s="14"/>
      <c r="H637" s="13"/>
      <c r="I637" s="13"/>
      <c r="J637" s="14"/>
      <c r="K637" s="13"/>
      <c r="M637" s="13"/>
    </row>
    <row r="638" spans="2:13" ht="12.75" customHeight="1" x14ac:dyDescent="0.25">
      <c r="B638" s="13"/>
      <c r="D638" s="13"/>
      <c r="E638" s="13"/>
      <c r="F638" s="14"/>
      <c r="G638" s="14"/>
      <c r="H638" s="13"/>
      <c r="I638" s="13"/>
      <c r="J638" s="14"/>
      <c r="K638" s="13"/>
      <c r="M638" s="13"/>
    </row>
    <row r="639" spans="2:13" ht="12.75" customHeight="1" x14ac:dyDescent="0.25">
      <c r="B639" s="13"/>
      <c r="D639" s="13"/>
      <c r="E639" s="13"/>
      <c r="F639" s="14"/>
      <c r="G639" s="14"/>
      <c r="H639" s="13"/>
      <c r="I639" s="13"/>
      <c r="J639" s="14"/>
      <c r="K639" s="13"/>
      <c r="M639" s="13"/>
    </row>
    <row r="640" spans="2:13" ht="12.75" customHeight="1" x14ac:dyDescent="0.25">
      <c r="B640" s="13"/>
      <c r="D640" s="13"/>
      <c r="E640" s="13"/>
      <c r="F640" s="14"/>
      <c r="G640" s="14"/>
      <c r="H640" s="13"/>
      <c r="I640" s="13"/>
      <c r="J640" s="14"/>
      <c r="K640" s="13"/>
      <c r="M640" s="13"/>
    </row>
    <row r="641" spans="2:13" ht="12.75" customHeight="1" x14ac:dyDescent="0.25">
      <c r="B641" s="13"/>
      <c r="D641" s="13"/>
      <c r="E641" s="13"/>
      <c r="F641" s="14"/>
      <c r="G641" s="14"/>
      <c r="H641" s="13"/>
      <c r="I641" s="13"/>
      <c r="J641" s="14"/>
      <c r="K641" s="13"/>
      <c r="M641" s="13"/>
    </row>
    <row r="642" spans="2:13" ht="12.75" customHeight="1" x14ac:dyDescent="0.25">
      <c r="B642" s="13"/>
      <c r="D642" s="13"/>
      <c r="E642" s="13"/>
      <c r="F642" s="14"/>
      <c r="G642" s="14"/>
      <c r="H642" s="13"/>
      <c r="I642" s="13"/>
      <c r="J642" s="14"/>
      <c r="K642" s="13"/>
      <c r="M642" s="13"/>
    </row>
    <row r="643" spans="2:13" ht="12.75" customHeight="1" x14ac:dyDescent="0.25">
      <c r="B643" s="13"/>
      <c r="D643" s="13"/>
      <c r="E643" s="13"/>
      <c r="F643" s="14"/>
      <c r="G643" s="14"/>
      <c r="H643" s="13"/>
      <c r="I643" s="13"/>
      <c r="J643" s="14"/>
      <c r="K643" s="13"/>
      <c r="M643" s="13"/>
    </row>
    <row r="644" spans="2:13" ht="12.75" customHeight="1" x14ac:dyDescent="0.25">
      <c r="B644" s="13"/>
      <c r="D644" s="13"/>
      <c r="E644" s="13"/>
      <c r="F644" s="14"/>
      <c r="G644" s="14"/>
      <c r="H644" s="13"/>
      <c r="I644" s="13"/>
      <c r="J644" s="14"/>
      <c r="K644" s="13"/>
      <c r="M644" s="13"/>
    </row>
    <row r="645" spans="2:13" ht="12.75" customHeight="1" x14ac:dyDescent="0.25">
      <c r="B645" s="13"/>
      <c r="D645" s="13"/>
      <c r="E645" s="13"/>
      <c r="F645" s="14"/>
      <c r="G645" s="14"/>
      <c r="H645" s="13"/>
      <c r="I645" s="13"/>
      <c r="J645" s="14"/>
      <c r="K645" s="13"/>
      <c r="M645" s="13"/>
    </row>
    <row r="646" spans="2:13" ht="12.75" customHeight="1" x14ac:dyDescent="0.25">
      <c r="B646" s="13"/>
      <c r="D646" s="13"/>
      <c r="E646" s="13"/>
      <c r="F646" s="14"/>
      <c r="G646" s="14"/>
      <c r="H646" s="13"/>
      <c r="I646" s="13"/>
      <c r="J646" s="14"/>
      <c r="K646" s="13"/>
      <c r="M646" s="13"/>
    </row>
    <row r="647" spans="2:13" ht="12.75" customHeight="1" x14ac:dyDescent="0.25">
      <c r="B647" s="13"/>
      <c r="D647" s="13"/>
      <c r="E647" s="13"/>
      <c r="F647" s="14"/>
      <c r="G647" s="14"/>
      <c r="H647" s="13"/>
      <c r="I647" s="13"/>
      <c r="J647" s="14"/>
      <c r="K647" s="13"/>
      <c r="M647" s="13"/>
    </row>
    <row r="648" spans="2:13" ht="12.75" customHeight="1" x14ac:dyDescent="0.25">
      <c r="B648" s="13"/>
      <c r="D648" s="13"/>
      <c r="E648" s="13"/>
      <c r="F648" s="14"/>
      <c r="G648" s="14"/>
      <c r="H648" s="13"/>
      <c r="I648" s="13"/>
      <c r="J648" s="14"/>
      <c r="K648" s="13"/>
      <c r="M648" s="13"/>
    </row>
    <row r="649" spans="2:13" ht="12.75" customHeight="1" x14ac:dyDescent="0.25">
      <c r="B649" s="13"/>
      <c r="D649" s="13"/>
      <c r="E649" s="13"/>
      <c r="F649" s="14"/>
      <c r="G649" s="14"/>
      <c r="H649" s="13"/>
      <c r="I649" s="13"/>
      <c r="J649" s="14"/>
      <c r="K649" s="13"/>
      <c r="M649" s="13"/>
    </row>
    <row r="650" spans="2:13" ht="12.75" customHeight="1" x14ac:dyDescent="0.25">
      <c r="B650" s="13"/>
      <c r="D650" s="13"/>
      <c r="E650" s="13"/>
      <c r="F650" s="14"/>
      <c r="G650" s="14"/>
      <c r="H650" s="13"/>
      <c r="I650" s="13"/>
      <c r="J650" s="14"/>
      <c r="K650" s="13"/>
      <c r="M650" s="13"/>
    </row>
    <row r="651" spans="2:13" ht="12.75" customHeight="1" x14ac:dyDescent="0.25">
      <c r="B651" s="13"/>
      <c r="D651" s="13"/>
      <c r="E651" s="13"/>
      <c r="F651" s="14"/>
      <c r="G651" s="14"/>
      <c r="H651" s="13"/>
      <c r="I651" s="13"/>
      <c r="J651" s="14"/>
      <c r="K651" s="13"/>
      <c r="M651" s="13"/>
    </row>
    <row r="652" spans="2:13" ht="12.75" customHeight="1" x14ac:dyDescent="0.25">
      <c r="B652" s="13"/>
      <c r="D652" s="13"/>
      <c r="E652" s="13"/>
      <c r="F652" s="14"/>
      <c r="G652" s="14"/>
      <c r="H652" s="13"/>
      <c r="I652" s="13"/>
      <c r="J652" s="14"/>
      <c r="K652" s="13"/>
      <c r="M652" s="13"/>
    </row>
    <row r="653" spans="2:13" ht="12.75" customHeight="1" x14ac:dyDescent="0.25">
      <c r="B653" s="13"/>
      <c r="D653" s="13"/>
      <c r="E653" s="13"/>
      <c r="F653" s="14"/>
      <c r="G653" s="14"/>
      <c r="H653" s="13"/>
      <c r="I653" s="13"/>
      <c r="J653" s="14"/>
      <c r="K653" s="13"/>
      <c r="M653" s="13"/>
    </row>
    <row r="654" spans="2:13" ht="12.75" customHeight="1" x14ac:dyDescent="0.25">
      <c r="B654" s="13"/>
      <c r="D654" s="13"/>
      <c r="E654" s="13"/>
      <c r="F654" s="14"/>
      <c r="G654" s="14"/>
      <c r="H654" s="13"/>
      <c r="I654" s="13"/>
      <c r="J654" s="14"/>
      <c r="K654" s="13"/>
      <c r="M654" s="13"/>
    </row>
    <row r="655" spans="2:13" ht="12.75" customHeight="1" x14ac:dyDescent="0.25">
      <c r="B655" s="13"/>
      <c r="D655" s="13"/>
      <c r="E655" s="13"/>
      <c r="F655" s="14"/>
      <c r="G655" s="14"/>
      <c r="H655" s="13"/>
      <c r="I655" s="13"/>
      <c r="J655" s="14"/>
      <c r="K655" s="13"/>
      <c r="M655" s="13"/>
    </row>
    <row r="656" spans="2:13" ht="12.75" customHeight="1" x14ac:dyDescent="0.25">
      <c r="B656" s="13"/>
      <c r="D656" s="13"/>
      <c r="E656" s="13"/>
      <c r="F656" s="14"/>
      <c r="G656" s="14"/>
      <c r="H656" s="13"/>
      <c r="I656" s="13"/>
      <c r="J656" s="14"/>
      <c r="K656" s="13"/>
      <c r="M656" s="13"/>
    </row>
    <row r="657" spans="2:13" ht="12.75" customHeight="1" x14ac:dyDescent="0.25">
      <c r="B657" s="13"/>
      <c r="D657" s="13"/>
      <c r="E657" s="13"/>
      <c r="F657" s="14"/>
      <c r="G657" s="14"/>
      <c r="H657" s="13"/>
      <c r="I657" s="13"/>
      <c r="J657" s="14"/>
      <c r="K657" s="13"/>
      <c r="M657" s="13"/>
    </row>
    <row r="658" spans="2:13" ht="12.75" customHeight="1" x14ac:dyDescent="0.25">
      <c r="B658" s="13"/>
      <c r="D658" s="13"/>
      <c r="E658" s="13"/>
      <c r="F658" s="14"/>
      <c r="G658" s="14"/>
      <c r="H658" s="13"/>
      <c r="I658" s="13"/>
      <c r="J658" s="14"/>
      <c r="K658" s="13"/>
      <c r="M658" s="13"/>
    </row>
    <row r="659" spans="2:13" ht="12.75" customHeight="1" x14ac:dyDescent="0.25">
      <c r="B659" s="13"/>
      <c r="D659" s="13"/>
      <c r="E659" s="13"/>
      <c r="F659" s="14"/>
      <c r="G659" s="14"/>
      <c r="H659" s="13"/>
      <c r="I659" s="13"/>
      <c r="J659" s="14"/>
      <c r="K659" s="13"/>
      <c r="M659" s="13"/>
    </row>
    <row r="660" spans="2:13" ht="12.75" customHeight="1" x14ac:dyDescent="0.25">
      <c r="B660" s="13"/>
      <c r="D660" s="13"/>
      <c r="E660" s="13"/>
      <c r="F660" s="14"/>
      <c r="G660" s="14"/>
      <c r="H660" s="13"/>
      <c r="I660" s="13"/>
      <c r="J660" s="14"/>
      <c r="K660" s="13"/>
      <c r="M660" s="13"/>
    </row>
    <row r="661" spans="2:13" ht="12.75" customHeight="1" x14ac:dyDescent="0.25">
      <c r="B661" s="13"/>
      <c r="D661" s="13"/>
      <c r="E661" s="13"/>
      <c r="F661" s="14"/>
      <c r="G661" s="14"/>
      <c r="H661" s="13"/>
      <c r="I661" s="13"/>
      <c r="J661" s="14"/>
      <c r="K661" s="13"/>
      <c r="M661" s="13"/>
    </row>
    <row r="662" spans="2:13" ht="12.75" customHeight="1" x14ac:dyDescent="0.25">
      <c r="B662" s="13"/>
      <c r="D662" s="13"/>
      <c r="E662" s="13"/>
      <c r="F662" s="14"/>
      <c r="G662" s="14"/>
      <c r="H662" s="13"/>
      <c r="I662" s="13"/>
      <c r="J662" s="14"/>
      <c r="K662" s="13"/>
      <c r="M662" s="13"/>
    </row>
    <row r="663" spans="2:13" ht="12.75" customHeight="1" x14ac:dyDescent="0.25">
      <c r="B663" s="13"/>
      <c r="D663" s="13"/>
      <c r="E663" s="13"/>
      <c r="F663" s="14"/>
      <c r="G663" s="14"/>
      <c r="H663" s="13"/>
      <c r="I663" s="13"/>
      <c r="J663" s="14"/>
      <c r="K663" s="13"/>
      <c r="M663" s="13"/>
    </row>
    <row r="664" spans="2:13" ht="12.75" customHeight="1" x14ac:dyDescent="0.25">
      <c r="B664" s="13"/>
      <c r="D664" s="13"/>
      <c r="E664" s="13"/>
      <c r="F664" s="14"/>
      <c r="G664" s="14"/>
      <c r="H664" s="13"/>
      <c r="I664" s="13"/>
      <c r="J664" s="14"/>
      <c r="K664" s="13"/>
      <c r="M664" s="13"/>
    </row>
    <row r="665" spans="2:13" ht="12.75" customHeight="1" x14ac:dyDescent="0.25">
      <c r="B665" s="13"/>
      <c r="D665" s="13"/>
      <c r="E665" s="13"/>
      <c r="F665" s="14"/>
      <c r="G665" s="14"/>
      <c r="H665" s="13"/>
      <c r="I665" s="13"/>
      <c r="J665" s="14"/>
      <c r="K665" s="13"/>
      <c r="M665" s="13"/>
    </row>
    <row r="666" spans="2:13" ht="12.75" customHeight="1" x14ac:dyDescent="0.25">
      <c r="B666" s="13"/>
      <c r="D666" s="13"/>
      <c r="E666" s="13"/>
      <c r="F666" s="14"/>
      <c r="G666" s="14"/>
      <c r="H666" s="13"/>
      <c r="I666" s="13"/>
      <c r="J666" s="14"/>
      <c r="K666" s="13"/>
      <c r="M666" s="13"/>
    </row>
    <row r="667" spans="2:13" ht="12.75" customHeight="1" x14ac:dyDescent="0.25">
      <c r="B667" s="13"/>
      <c r="D667" s="13"/>
      <c r="E667" s="13"/>
      <c r="F667" s="14"/>
      <c r="G667" s="14"/>
      <c r="H667" s="13"/>
      <c r="I667" s="13"/>
      <c r="J667" s="14"/>
      <c r="K667" s="13"/>
      <c r="M667" s="13"/>
    </row>
    <row r="668" spans="2:13" ht="12.75" customHeight="1" x14ac:dyDescent="0.25">
      <c r="B668" s="13"/>
      <c r="D668" s="13"/>
      <c r="E668" s="13"/>
      <c r="F668" s="14"/>
      <c r="G668" s="14"/>
      <c r="H668" s="13"/>
      <c r="I668" s="13"/>
      <c r="J668" s="14"/>
      <c r="K668" s="13"/>
      <c r="M668" s="13"/>
    </row>
    <row r="669" spans="2:13" ht="12.75" customHeight="1" x14ac:dyDescent="0.25">
      <c r="B669" s="13"/>
      <c r="D669" s="13"/>
      <c r="E669" s="13"/>
      <c r="F669" s="14"/>
      <c r="G669" s="14"/>
      <c r="H669" s="13"/>
      <c r="I669" s="13"/>
      <c r="J669" s="14"/>
      <c r="K669" s="13"/>
      <c r="M669" s="13"/>
    </row>
    <row r="670" spans="2:13" ht="12.75" customHeight="1" x14ac:dyDescent="0.25">
      <c r="B670" s="13"/>
      <c r="D670" s="13"/>
      <c r="E670" s="13"/>
      <c r="F670" s="14"/>
      <c r="G670" s="14"/>
      <c r="H670" s="13"/>
      <c r="I670" s="13"/>
      <c r="J670" s="14"/>
      <c r="K670" s="13"/>
      <c r="M670" s="13"/>
    </row>
    <row r="671" spans="2:13" ht="12.75" customHeight="1" x14ac:dyDescent="0.25">
      <c r="B671" s="13"/>
      <c r="D671" s="13"/>
      <c r="E671" s="13"/>
      <c r="F671" s="14"/>
      <c r="G671" s="14"/>
      <c r="H671" s="13"/>
      <c r="I671" s="13"/>
      <c r="J671" s="14"/>
      <c r="K671" s="13"/>
      <c r="M671" s="13"/>
    </row>
    <row r="672" spans="2:13" ht="12.75" customHeight="1" x14ac:dyDescent="0.25">
      <c r="B672" s="13"/>
      <c r="D672" s="13"/>
      <c r="E672" s="13"/>
      <c r="F672" s="14"/>
      <c r="G672" s="14"/>
      <c r="H672" s="13"/>
      <c r="I672" s="13"/>
      <c r="J672" s="14"/>
      <c r="K672" s="13"/>
      <c r="M672" s="13"/>
    </row>
    <row r="673" spans="2:13" ht="12.75" customHeight="1" x14ac:dyDescent="0.25">
      <c r="B673" s="13"/>
      <c r="D673" s="13"/>
      <c r="E673" s="13"/>
      <c r="F673" s="14"/>
      <c r="G673" s="14"/>
      <c r="H673" s="13"/>
      <c r="I673" s="13"/>
      <c r="J673" s="14"/>
      <c r="K673" s="13"/>
      <c r="M673" s="13"/>
    </row>
    <row r="674" spans="2:13" ht="12.75" customHeight="1" x14ac:dyDescent="0.25">
      <c r="B674" s="13"/>
      <c r="D674" s="13"/>
      <c r="E674" s="13"/>
      <c r="F674" s="14"/>
      <c r="G674" s="14"/>
      <c r="H674" s="13"/>
      <c r="I674" s="13"/>
      <c r="J674" s="14"/>
      <c r="K674" s="13"/>
      <c r="M674" s="13"/>
    </row>
    <row r="675" spans="2:13" ht="12.75" customHeight="1" x14ac:dyDescent="0.25">
      <c r="B675" s="13"/>
      <c r="D675" s="13"/>
      <c r="E675" s="13"/>
      <c r="F675" s="14"/>
      <c r="G675" s="14"/>
      <c r="H675" s="13"/>
      <c r="I675" s="13"/>
      <c r="J675" s="14"/>
      <c r="K675" s="13"/>
      <c r="M675" s="13"/>
    </row>
    <row r="676" spans="2:13" ht="12.75" customHeight="1" x14ac:dyDescent="0.25">
      <c r="B676" s="13"/>
      <c r="D676" s="13"/>
      <c r="E676" s="13"/>
      <c r="F676" s="14"/>
      <c r="G676" s="14"/>
      <c r="H676" s="13"/>
      <c r="I676" s="13"/>
      <c r="J676" s="14"/>
      <c r="K676" s="13"/>
      <c r="M676" s="13"/>
    </row>
    <row r="677" spans="2:13" ht="12.75" customHeight="1" x14ac:dyDescent="0.25">
      <c r="B677" s="13"/>
      <c r="D677" s="13"/>
      <c r="E677" s="13"/>
      <c r="F677" s="14"/>
      <c r="G677" s="14"/>
      <c r="H677" s="13"/>
      <c r="I677" s="13"/>
      <c r="J677" s="14"/>
      <c r="K677" s="13"/>
      <c r="M677" s="13"/>
    </row>
    <row r="678" spans="2:13" ht="12.75" customHeight="1" x14ac:dyDescent="0.25">
      <c r="B678" s="13"/>
      <c r="D678" s="13"/>
      <c r="E678" s="13"/>
      <c r="F678" s="14"/>
      <c r="G678" s="14"/>
      <c r="H678" s="13"/>
      <c r="I678" s="13"/>
      <c r="J678" s="14"/>
      <c r="K678" s="13"/>
      <c r="M678" s="13"/>
    </row>
    <row r="679" spans="2:13" ht="12.75" customHeight="1" x14ac:dyDescent="0.25">
      <c r="B679" s="13"/>
      <c r="D679" s="13"/>
      <c r="E679" s="13"/>
      <c r="F679" s="14"/>
      <c r="G679" s="14"/>
      <c r="H679" s="13"/>
      <c r="I679" s="13"/>
      <c r="J679" s="14"/>
      <c r="K679" s="13"/>
      <c r="M679" s="13"/>
    </row>
    <row r="680" spans="2:13" ht="12.75" customHeight="1" x14ac:dyDescent="0.25">
      <c r="B680" s="13"/>
      <c r="D680" s="13"/>
      <c r="E680" s="13"/>
      <c r="F680" s="14"/>
      <c r="G680" s="14"/>
      <c r="H680" s="13"/>
      <c r="I680" s="13"/>
      <c r="J680" s="14"/>
      <c r="K680" s="13"/>
      <c r="M680" s="13"/>
    </row>
    <row r="681" spans="2:13" ht="12.75" customHeight="1" x14ac:dyDescent="0.25">
      <c r="B681" s="13"/>
      <c r="D681" s="13"/>
      <c r="E681" s="13"/>
      <c r="F681" s="14"/>
      <c r="G681" s="14"/>
      <c r="H681" s="13"/>
      <c r="I681" s="13"/>
      <c r="J681" s="14"/>
      <c r="K681" s="13"/>
      <c r="M681" s="13"/>
    </row>
    <row r="682" spans="2:13" ht="12.75" customHeight="1" x14ac:dyDescent="0.25">
      <c r="B682" s="13"/>
      <c r="D682" s="13"/>
      <c r="E682" s="13"/>
      <c r="F682" s="14"/>
      <c r="G682" s="14"/>
      <c r="H682" s="13"/>
      <c r="I682" s="13"/>
      <c r="J682" s="14"/>
      <c r="K682" s="13"/>
      <c r="M682" s="13"/>
    </row>
    <row r="683" spans="2:13" ht="12.75" customHeight="1" x14ac:dyDescent="0.25">
      <c r="B683" s="13"/>
      <c r="D683" s="13"/>
      <c r="E683" s="13"/>
      <c r="F683" s="14"/>
      <c r="G683" s="14"/>
      <c r="H683" s="13"/>
      <c r="I683" s="13"/>
      <c r="J683" s="14"/>
      <c r="K683" s="13"/>
      <c r="M683" s="13"/>
    </row>
    <row r="684" spans="2:13" ht="12.75" customHeight="1" x14ac:dyDescent="0.25">
      <c r="B684" s="13"/>
      <c r="D684" s="13"/>
      <c r="E684" s="13"/>
      <c r="F684" s="14"/>
      <c r="G684" s="14"/>
      <c r="H684" s="13"/>
      <c r="I684" s="13"/>
      <c r="J684" s="14"/>
      <c r="K684" s="13"/>
      <c r="M684" s="13"/>
    </row>
    <row r="685" spans="2:13" ht="12.75" customHeight="1" x14ac:dyDescent="0.25">
      <c r="B685" s="13"/>
      <c r="D685" s="13"/>
      <c r="E685" s="13"/>
      <c r="F685" s="14"/>
      <c r="G685" s="14"/>
      <c r="H685" s="13"/>
      <c r="I685" s="13"/>
      <c r="J685" s="14"/>
      <c r="K685" s="13"/>
      <c r="M685" s="13"/>
    </row>
    <row r="686" spans="2:13" ht="12.75" customHeight="1" x14ac:dyDescent="0.25">
      <c r="B686" s="13"/>
      <c r="D686" s="13"/>
      <c r="E686" s="13"/>
      <c r="F686" s="14"/>
      <c r="G686" s="14"/>
      <c r="H686" s="13"/>
      <c r="I686" s="13"/>
      <c r="J686" s="14"/>
      <c r="K686" s="13"/>
      <c r="M686" s="13"/>
    </row>
    <row r="687" spans="2:13" ht="12.75" customHeight="1" x14ac:dyDescent="0.25">
      <c r="B687" s="13"/>
      <c r="D687" s="13"/>
      <c r="E687" s="13"/>
      <c r="F687" s="14"/>
      <c r="G687" s="14"/>
      <c r="H687" s="13"/>
      <c r="I687" s="13"/>
      <c r="J687" s="14"/>
      <c r="K687" s="13"/>
      <c r="M687" s="13"/>
    </row>
    <row r="688" spans="2:13" ht="12.75" customHeight="1" x14ac:dyDescent="0.25">
      <c r="B688" s="13"/>
      <c r="D688" s="13"/>
      <c r="E688" s="13"/>
      <c r="F688" s="14"/>
      <c r="G688" s="14"/>
      <c r="H688" s="13"/>
      <c r="I688" s="13"/>
      <c r="J688" s="14"/>
      <c r="K688" s="13"/>
      <c r="M688" s="13"/>
    </row>
    <row r="689" spans="2:13" ht="12.75" customHeight="1" x14ac:dyDescent="0.25">
      <c r="B689" s="13"/>
      <c r="D689" s="13"/>
      <c r="E689" s="13"/>
      <c r="F689" s="14"/>
      <c r="G689" s="14"/>
      <c r="H689" s="13"/>
      <c r="I689" s="13"/>
      <c r="J689" s="14"/>
      <c r="K689" s="13"/>
      <c r="M689" s="13"/>
    </row>
    <row r="690" spans="2:13" ht="12.75" customHeight="1" x14ac:dyDescent="0.25">
      <c r="B690" s="13"/>
      <c r="D690" s="13"/>
      <c r="E690" s="13"/>
      <c r="F690" s="14"/>
      <c r="G690" s="14"/>
      <c r="H690" s="13"/>
      <c r="I690" s="13"/>
      <c r="J690" s="14"/>
      <c r="K690" s="13"/>
      <c r="M690" s="13"/>
    </row>
    <row r="691" spans="2:13" ht="12.75" customHeight="1" x14ac:dyDescent="0.25">
      <c r="B691" s="13"/>
      <c r="D691" s="13"/>
      <c r="E691" s="13"/>
      <c r="F691" s="14"/>
      <c r="G691" s="14"/>
      <c r="H691" s="13"/>
      <c r="I691" s="13"/>
      <c r="J691" s="14"/>
      <c r="K691" s="13"/>
      <c r="M691" s="13"/>
    </row>
    <row r="692" spans="2:13" ht="12.75" customHeight="1" x14ac:dyDescent="0.25">
      <c r="B692" s="13"/>
      <c r="D692" s="13"/>
      <c r="E692" s="13"/>
      <c r="F692" s="14"/>
      <c r="G692" s="14"/>
      <c r="H692" s="13"/>
      <c r="I692" s="13"/>
      <c r="J692" s="14"/>
      <c r="K692" s="13"/>
      <c r="M692" s="13"/>
    </row>
    <row r="693" spans="2:13" ht="12.75" customHeight="1" x14ac:dyDescent="0.25">
      <c r="B693" s="13"/>
      <c r="D693" s="13"/>
      <c r="E693" s="13"/>
      <c r="F693" s="14"/>
      <c r="G693" s="14"/>
      <c r="H693" s="13"/>
      <c r="I693" s="13"/>
      <c r="J693" s="14"/>
      <c r="K693" s="13"/>
      <c r="M693" s="13"/>
    </row>
    <row r="694" spans="2:13" ht="12.75" customHeight="1" x14ac:dyDescent="0.25">
      <c r="B694" s="13"/>
      <c r="D694" s="13"/>
      <c r="E694" s="13"/>
      <c r="F694" s="14"/>
      <c r="G694" s="14"/>
      <c r="H694" s="13"/>
      <c r="I694" s="13"/>
      <c r="J694" s="14"/>
      <c r="K694" s="13"/>
      <c r="M694" s="13"/>
    </row>
    <row r="695" spans="2:13" ht="12.75" customHeight="1" x14ac:dyDescent="0.25">
      <c r="B695" s="13"/>
      <c r="D695" s="13"/>
      <c r="E695" s="13"/>
      <c r="F695" s="14"/>
      <c r="G695" s="14"/>
      <c r="H695" s="13"/>
      <c r="I695" s="13"/>
      <c r="J695" s="14"/>
      <c r="K695" s="13"/>
      <c r="M695" s="13"/>
    </row>
    <row r="696" spans="2:13" ht="12.75" customHeight="1" x14ac:dyDescent="0.25">
      <c r="B696" s="13"/>
      <c r="D696" s="13"/>
      <c r="E696" s="13"/>
      <c r="F696" s="14"/>
      <c r="G696" s="14"/>
      <c r="H696" s="13"/>
      <c r="I696" s="13"/>
      <c r="J696" s="14"/>
      <c r="K696" s="13"/>
      <c r="M696" s="13"/>
    </row>
    <row r="697" spans="2:13" ht="12.75" customHeight="1" x14ac:dyDescent="0.25">
      <c r="B697" s="13"/>
      <c r="D697" s="13"/>
      <c r="E697" s="13"/>
      <c r="F697" s="14"/>
      <c r="G697" s="14"/>
      <c r="H697" s="13"/>
      <c r="I697" s="13"/>
      <c r="J697" s="14"/>
      <c r="K697" s="13"/>
      <c r="M697" s="13"/>
    </row>
    <row r="698" spans="2:13" ht="12.75" customHeight="1" x14ac:dyDescent="0.25">
      <c r="B698" s="13"/>
      <c r="D698" s="13"/>
      <c r="E698" s="13"/>
      <c r="F698" s="14"/>
      <c r="G698" s="14"/>
      <c r="H698" s="13"/>
      <c r="I698" s="13"/>
      <c r="J698" s="14"/>
      <c r="K698" s="13"/>
      <c r="M698" s="13"/>
    </row>
    <row r="699" spans="2:13" ht="12.75" customHeight="1" x14ac:dyDescent="0.25">
      <c r="B699" s="13"/>
      <c r="D699" s="13"/>
      <c r="E699" s="13"/>
      <c r="F699" s="14"/>
      <c r="G699" s="14"/>
      <c r="H699" s="13"/>
      <c r="I699" s="13"/>
      <c r="J699" s="14"/>
      <c r="K699" s="13"/>
      <c r="M699" s="13"/>
    </row>
    <row r="700" spans="2:13" ht="12.75" customHeight="1" x14ac:dyDescent="0.25">
      <c r="B700" s="13"/>
      <c r="D700" s="13"/>
      <c r="E700" s="13"/>
      <c r="F700" s="14"/>
      <c r="G700" s="14"/>
      <c r="H700" s="13"/>
      <c r="I700" s="13"/>
      <c r="J700" s="14"/>
      <c r="K700" s="13"/>
      <c r="M700" s="13"/>
    </row>
    <row r="701" spans="2:13" ht="12.75" customHeight="1" x14ac:dyDescent="0.25">
      <c r="B701" s="13"/>
      <c r="D701" s="13"/>
      <c r="E701" s="13"/>
      <c r="F701" s="14"/>
      <c r="G701" s="14"/>
      <c r="H701" s="13"/>
      <c r="I701" s="13"/>
      <c r="J701" s="14"/>
      <c r="K701" s="13"/>
      <c r="M701" s="13"/>
    </row>
    <row r="702" spans="2:13" ht="12.75" customHeight="1" x14ac:dyDescent="0.25">
      <c r="B702" s="13"/>
      <c r="D702" s="13"/>
      <c r="E702" s="13"/>
      <c r="F702" s="14"/>
      <c r="G702" s="14"/>
      <c r="H702" s="13"/>
      <c r="I702" s="13"/>
      <c r="J702" s="14"/>
      <c r="K702" s="13"/>
      <c r="M702" s="13"/>
    </row>
    <row r="703" spans="2:13" ht="12.75" customHeight="1" x14ac:dyDescent="0.25">
      <c r="B703" s="13"/>
      <c r="D703" s="13"/>
      <c r="E703" s="13"/>
      <c r="F703" s="14"/>
      <c r="G703" s="14"/>
      <c r="H703" s="13"/>
      <c r="I703" s="13"/>
      <c r="J703" s="14"/>
      <c r="K703" s="13"/>
      <c r="M703" s="13"/>
    </row>
    <row r="704" spans="2:13" ht="12.75" customHeight="1" x14ac:dyDescent="0.25">
      <c r="B704" s="13"/>
      <c r="D704" s="13"/>
      <c r="E704" s="13"/>
      <c r="F704" s="14"/>
      <c r="G704" s="14"/>
      <c r="H704" s="13"/>
      <c r="I704" s="13"/>
      <c r="J704" s="14"/>
      <c r="K704" s="13"/>
      <c r="M704" s="13"/>
    </row>
    <row r="705" spans="2:13" ht="12.75" customHeight="1" x14ac:dyDescent="0.25">
      <c r="B705" s="13"/>
      <c r="D705" s="13"/>
      <c r="E705" s="13"/>
      <c r="F705" s="14"/>
      <c r="G705" s="14"/>
      <c r="H705" s="13"/>
      <c r="I705" s="13"/>
      <c r="J705" s="14"/>
      <c r="K705" s="13"/>
      <c r="M705" s="13"/>
    </row>
    <row r="706" spans="2:13" ht="12.75" customHeight="1" x14ac:dyDescent="0.25">
      <c r="B706" s="13"/>
      <c r="D706" s="13"/>
      <c r="E706" s="13"/>
      <c r="F706" s="14"/>
      <c r="G706" s="14"/>
      <c r="H706" s="13"/>
      <c r="I706" s="13"/>
      <c r="J706" s="14"/>
      <c r="K706" s="13"/>
      <c r="M706" s="13"/>
    </row>
    <row r="707" spans="2:13" ht="12.75" customHeight="1" x14ac:dyDescent="0.25">
      <c r="B707" s="13"/>
      <c r="D707" s="13"/>
      <c r="E707" s="13"/>
      <c r="F707" s="14"/>
      <c r="G707" s="14"/>
      <c r="H707" s="13"/>
      <c r="I707" s="13"/>
      <c r="J707" s="14"/>
      <c r="K707" s="13"/>
      <c r="M707" s="13"/>
    </row>
    <row r="708" spans="2:13" ht="12.75" customHeight="1" x14ac:dyDescent="0.25">
      <c r="B708" s="13"/>
      <c r="D708" s="13"/>
      <c r="E708" s="13"/>
      <c r="F708" s="14"/>
      <c r="G708" s="14"/>
      <c r="H708" s="13"/>
      <c r="I708" s="13"/>
      <c r="J708" s="14"/>
      <c r="K708" s="13"/>
      <c r="M708" s="13"/>
    </row>
    <row r="709" spans="2:13" ht="12.75" customHeight="1" x14ac:dyDescent="0.25">
      <c r="B709" s="13"/>
      <c r="D709" s="13"/>
      <c r="E709" s="13"/>
      <c r="F709" s="14"/>
      <c r="G709" s="14"/>
      <c r="H709" s="13"/>
      <c r="I709" s="13"/>
      <c r="J709" s="14"/>
      <c r="K709" s="13"/>
      <c r="M709" s="13"/>
    </row>
    <row r="710" spans="2:13" ht="12.75" customHeight="1" x14ac:dyDescent="0.25">
      <c r="B710" s="13"/>
      <c r="D710" s="13"/>
      <c r="E710" s="13"/>
      <c r="F710" s="14"/>
      <c r="G710" s="14"/>
      <c r="H710" s="13"/>
      <c r="I710" s="13"/>
      <c r="J710" s="14"/>
      <c r="K710" s="13"/>
      <c r="M710" s="13"/>
    </row>
    <row r="711" spans="2:13" ht="12.75" customHeight="1" x14ac:dyDescent="0.25">
      <c r="B711" s="13"/>
      <c r="D711" s="13"/>
      <c r="E711" s="13"/>
      <c r="F711" s="14"/>
      <c r="G711" s="14"/>
      <c r="H711" s="13"/>
      <c r="I711" s="13"/>
      <c r="J711" s="14"/>
      <c r="K711" s="13"/>
      <c r="M711" s="13"/>
    </row>
    <row r="712" spans="2:13" ht="12.75" customHeight="1" x14ac:dyDescent="0.25">
      <c r="B712" s="13"/>
      <c r="D712" s="13"/>
      <c r="E712" s="13"/>
      <c r="F712" s="14"/>
      <c r="G712" s="14"/>
      <c r="H712" s="13"/>
      <c r="I712" s="13"/>
      <c r="J712" s="14"/>
      <c r="K712" s="13"/>
      <c r="M712" s="13"/>
    </row>
    <row r="713" spans="2:13" ht="12.75" customHeight="1" x14ac:dyDescent="0.25">
      <c r="B713" s="13"/>
      <c r="D713" s="13"/>
      <c r="E713" s="13"/>
      <c r="F713" s="14"/>
      <c r="G713" s="14"/>
      <c r="H713" s="13"/>
      <c r="I713" s="13"/>
      <c r="J713" s="14"/>
      <c r="K713" s="13"/>
      <c r="M713" s="13"/>
    </row>
    <row r="714" spans="2:13" ht="12.75" customHeight="1" x14ac:dyDescent="0.25">
      <c r="B714" s="13"/>
      <c r="D714" s="13"/>
      <c r="E714" s="13"/>
      <c r="F714" s="14"/>
      <c r="G714" s="14"/>
      <c r="H714" s="13"/>
      <c r="I714" s="13"/>
      <c r="J714" s="14"/>
      <c r="K714" s="13"/>
      <c r="M714" s="13"/>
    </row>
    <row r="715" spans="2:13" ht="12.75" customHeight="1" x14ac:dyDescent="0.25">
      <c r="B715" s="13"/>
      <c r="D715" s="13"/>
      <c r="E715" s="13"/>
      <c r="F715" s="14"/>
      <c r="G715" s="14"/>
      <c r="H715" s="13"/>
      <c r="I715" s="13"/>
      <c r="J715" s="14"/>
      <c r="K715" s="13"/>
      <c r="M715" s="13"/>
    </row>
    <row r="716" spans="2:13" ht="12.75" customHeight="1" x14ac:dyDescent="0.25">
      <c r="B716" s="13"/>
      <c r="D716" s="13"/>
      <c r="E716" s="13"/>
      <c r="F716" s="14"/>
      <c r="G716" s="14"/>
      <c r="H716" s="13"/>
      <c r="I716" s="13"/>
      <c r="J716" s="14"/>
      <c r="K716" s="13"/>
      <c r="M716" s="13"/>
    </row>
    <row r="717" spans="2:13" ht="12.75" customHeight="1" x14ac:dyDescent="0.25">
      <c r="B717" s="13"/>
      <c r="D717" s="13"/>
      <c r="E717" s="13"/>
      <c r="F717" s="14"/>
      <c r="G717" s="14"/>
      <c r="H717" s="13"/>
      <c r="I717" s="13"/>
      <c r="J717" s="14"/>
      <c r="K717" s="13"/>
      <c r="M717" s="13"/>
    </row>
    <row r="718" spans="2:13" ht="12.75" customHeight="1" x14ac:dyDescent="0.25">
      <c r="B718" s="13"/>
      <c r="D718" s="13"/>
      <c r="E718" s="13"/>
      <c r="F718" s="14"/>
      <c r="G718" s="14"/>
      <c r="H718" s="13"/>
      <c r="I718" s="13"/>
      <c r="J718" s="14"/>
      <c r="K718" s="13"/>
      <c r="M718" s="13"/>
    </row>
    <row r="719" spans="2:13" ht="12.75" customHeight="1" x14ac:dyDescent="0.25">
      <c r="B719" s="13"/>
      <c r="D719" s="13"/>
      <c r="E719" s="13"/>
      <c r="F719" s="14"/>
      <c r="G719" s="14"/>
      <c r="H719" s="13"/>
      <c r="I719" s="13"/>
      <c r="J719" s="14"/>
      <c r="K719" s="13"/>
      <c r="M719" s="13"/>
    </row>
    <row r="720" spans="2:13" ht="12.75" customHeight="1" x14ac:dyDescent="0.25">
      <c r="B720" s="13"/>
      <c r="D720" s="13"/>
      <c r="E720" s="13"/>
      <c r="F720" s="14"/>
      <c r="G720" s="14"/>
      <c r="H720" s="13"/>
      <c r="I720" s="13"/>
      <c r="J720" s="14"/>
      <c r="K720" s="13"/>
      <c r="M720" s="13"/>
    </row>
    <row r="721" spans="2:13" ht="12.75" customHeight="1" x14ac:dyDescent="0.25">
      <c r="B721" s="13"/>
      <c r="D721" s="13"/>
      <c r="E721" s="13"/>
      <c r="F721" s="14"/>
      <c r="G721" s="14"/>
      <c r="H721" s="13"/>
      <c r="I721" s="13"/>
      <c r="J721" s="14"/>
      <c r="K721" s="13"/>
      <c r="M721" s="13"/>
    </row>
    <row r="722" spans="2:13" ht="12.75" customHeight="1" x14ac:dyDescent="0.25">
      <c r="B722" s="13"/>
      <c r="D722" s="13"/>
      <c r="E722" s="13"/>
      <c r="F722" s="14"/>
      <c r="G722" s="14"/>
      <c r="H722" s="13"/>
      <c r="I722" s="13"/>
      <c r="J722" s="14"/>
      <c r="K722" s="13"/>
      <c r="M722" s="13"/>
    </row>
    <row r="723" spans="2:13" ht="12.75" customHeight="1" x14ac:dyDescent="0.25">
      <c r="B723" s="13"/>
      <c r="D723" s="13"/>
      <c r="E723" s="13"/>
      <c r="F723" s="14"/>
      <c r="G723" s="14"/>
      <c r="H723" s="13"/>
      <c r="I723" s="13"/>
      <c r="J723" s="14"/>
      <c r="K723" s="13"/>
      <c r="M723" s="13"/>
    </row>
    <row r="724" spans="2:13" ht="12.75" customHeight="1" x14ac:dyDescent="0.25">
      <c r="B724" s="13"/>
      <c r="D724" s="13"/>
      <c r="E724" s="13"/>
      <c r="F724" s="14"/>
      <c r="G724" s="14"/>
      <c r="H724" s="13"/>
      <c r="I724" s="13"/>
      <c r="J724" s="14"/>
      <c r="K724" s="13"/>
      <c r="M724" s="13"/>
    </row>
    <row r="725" spans="2:13" ht="12.75" customHeight="1" x14ac:dyDescent="0.25">
      <c r="B725" s="13"/>
      <c r="D725" s="13"/>
      <c r="E725" s="13"/>
      <c r="F725" s="14"/>
      <c r="G725" s="14"/>
      <c r="H725" s="13"/>
      <c r="I725" s="13"/>
      <c r="J725" s="14"/>
      <c r="K725" s="13"/>
      <c r="M725" s="13"/>
    </row>
    <row r="726" spans="2:13" ht="12.75" customHeight="1" x14ac:dyDescent="0.25">
      <c r="B726" s="13"/>
      <c r="D726" s="13"/>
      <c r="E726" s="13"/>
      <c r="F726" s="14"/>
      <c r="G726" s="14"/>
      <c r="H726" s="13"/>
      <c r="I726" s="13"/>
      <c r="J726" s="14"/>
      <c r="K726" s="13"/>
      <c r="M726" s="13"/>
    </row>
    <row r="727" spans="2:13" ht="12.75" customHeight="1" x14ac:dyDescent="0.25">
      <c r="B727" s="13"/>
      <c r="D727" s="13"/>
      <c r="E727" s="13"/>
      <c r="F727" s="14"/>
      <c r="G727" s="14"/>
      <c r="H727" s="13"/>
      <c r="I727" s="13"/>
      <c r="J727" s="14"/>
      <c r="K727" s="13"/>
      <c r="M727" s="13"/>
    </row>
    <row r="728" spans="2:13" ht="12.75" customHeight="1" x14ac:dyDescent="0.25">
      <c r="B728" s="13"/>
      <c r="D728" s="13"/>
      <c r="E728" s="13"/>
      <c r="F728" s="14"/>
      <c r="G728" s="14"/>
      <c r="H728" s="13"/>
      <c r="I728" s="13"/>
      <c r="J728" s="14"/>
      <c r="K728" s="13"/>
      <c r="M728" s="13"/>
    </row>
    <row r="729" spans="2:13" ht="12.75" customHeight="1" x14ac:dyDescent="0.25">
      <c r="B729" s="13"/>
      <c r="D729" s="13"/>
      <c r="E729" s="13"/>
      <c r="F729" s="14"/>
      <c r="G729" s="14"/>
      <c r="H729" s="13"/>
      <c r="I729" s="13"/>
      <c r="J729" s="14"/>
      <c r="K729" s="13"/>
      <c r="M729" s="13"/>
    </row>
    <row r="730" spans="2:13" ht="12.75" customHeight="1" x14ac:dyDescent="0.25">
      <c r="B730" s="13"/>
      <c r="D730" s="13"/>
      <c r="E730" s="13"/>
      <c r="F730" s="14"/>
      <c r="G730" s="14"/>
      <c r="H730" s="13"/>
      <c r="I730" s="13"/>
      <c r="J730" s="14"/>
      <c r="K730" s="13"/>
      <c r="M730" s="13"/>
    </row>
    <row r="731" spans="2:13" ht="12.75" customHeight="1" x14ac:dyDescent="0.25">
      <c r="B731" s="13"/>
      <c r="D731" s="13"/>
      <c r="E731" s="13"/>
      <c r="F731" s="14"/>
      <c r="G731" s="14"/>
      <c r="H731" s="13"/>
      <c r="I731" s="13"/>
      <c r="J731" s="14"/>
      <c r="K731" s="13"/>
      <c r="M731" s="13"/>
    </row>
    <row r="732" spans="2:13" ht="12.75" customHeight="1" x14ac:dyDescent="0.25">
      <c r="B732" s="13"/>
      <c r="D732" s="13"/>
      <c r="E732" s="13"/>
      <c r="F732" s="14"/>
      <c r="G732" s="14"/>
      <c r="H732" s="13"/>
      <c r="I732" s="13"/>
      <c r="J732" s="14"/>
      <c r="K732" s="13"/>
      <c r="M732" s="13"/>
    </row>
    <row r="733" spans="2:13" ht="12.75" customHeight="1" x14ac:dyDescent="0.25">
      <c r="B733" s="13"/>
      <c r="D733" s="13"/>
      <c r="E733" s="13"/>
      <c r="F733" s="14"/>
      <c r="G733" s="14"/>
      <c r="H733" s="13"/>
      <c r="I733" s="13"/>
      <c r="J733" s="14"/>
      <c r="K733" s="13"/>
      <c r="M733" s="13"/>
    </row>
    <row r="734" spans="2:13" ht="12.75" customHeight="1" x14ac:dyDescent="0.25">
      <c r="B734" s="13"/>
      <c r="D734" s="13"/>
      <c r="E734" s="13"/>
      <c r="F734" s="14"/>
      <c r="G734" s="14"/>
      <c r="H734" s="13"/>
      <c r="I734" s="13"/>
      <c r="J734" s="14"/>
      <c r="K734" s="13"/>
      <c r="M734" s="13"/>
    </row>
    <row r="735" spans="2:13" ht="12.75" customHeight="1" x14ac:dyDescent="0.25">
      <c r="B735" s="13"/>
      <c r="D735" s="13"/>
      <c r="E735" s="13"/>
      <c r="F735" s="14"/>
      <c r="G735" s="14"/>
      <c r="H735" s="13"/>
      <c r="I735" s="13"/>
      <c r="J735" s="14"/>
      <c r="K735" s="13"/>
      <c r="M735" s="13"/>
    </row>
    <row r="736" spans="2:13" ht="12.75" customHeight="1" x14ac:dyDescent="0.25">
      <c r="B736" s="13"/>
      <c r="D736" s="13"/>
      <c r="E736" s="13"/>
      <c r="F736" s="14"/>
      <c r="G736" s="14"/>
      <c r="H736" s="13"/>
      <c r="I736" s="13"/>
      <c r="J736" s="14"/>
      <c r="K736" s="13"/>
      <c r="M736" s="13"/>
    </row>
    <row r="737" spans="2:13" ht="12.75" customHeight="1" x14ac:dyDescent="0.25">
      <c r="B737" s="13"/>
      <c r="D737" s="13"/>
      <c r="E737" s="13"/>
      <c r="F737" s="14"/>
      <c r="G737" s="14"/>
      <c r="H737" s="13"/>
      <c r="I737" s="13"/>
      <c r="J737" s="14"/>
      <c r="K737" s="13"/>
      <c r="M737" s="13"/>
    </row>
    <row r="738" spans="2:13" ht="12.75" customHeight="1" x14ac:dyDescent="0.25">
      <c r="B738" s="13"/>
      <c r="D738" s="13"/>
      <c r="E738" s="13"/>
      <c r="F738" s="14"/>
      <c r="G738" s="14"/>
      <c r="H738" s="13"/>
      <c r="I738" s="13"/>
      <c r="J738" s="14"/>
      <c r="K738" s="13"/>
      <c r="M738" s="13"/>
    </row>
    <row r="739" spans="2:13" ht="12.75" customHeight="1" x14ac:dyDescent="0.25">
      <c r="B739" s="13"/>
      <c r="D739" s="13"/>
      <c r="E739" s="13"/>
      <c r="F739" s="14"/>
      <c r="G739" s="14"/>
      <c r="H739" s="13"/>
      <c r="I739" s="13"/>
      <c r="J739" s="14"/>
      <c r="K739" s="13"/>
      <c r="M739" s="13"/>
    </row>
    <row r="740" spans="2:13" ht="12.75" customHeight="1" x14ac:dyDescent="0.25">
      <c r="B740" s="13"/>
      <c r="D740" s="13"/>
      <c r="E740" s="13"/>
      <c r="F740" s="14"/>
      <c r="G740" s="14"/>
      <c r="H740" s="13"/>
      <c r="I740" s="13"/>
      <c r="J740" s="14"/>
      <c r="K740" s="13"/>
      <c r="M740" s="13"/>
    </row>
    <row r="741" spans="2:13" ht="12.75" customHeight="1" x14ac:dyDescent="0.25">
      <c r="B741" s="13"/>
      <c r="D741" s="13"/>
      <c r="E741" s="13"/>
      <c r="F741" s="14"/>
      <c r="G741" s="14"/>
      <c r="H741" s="13"/>
      <c r="I741" s="13"/>
      <c r="J741" s="14"/>
      <c r="K741" s="13"/>
      <c r="M741" s="13"/>
    </row>
    <row r="742" spans="2:13" ht="12.75" customHeight="1" x14ac:dyDescent="0.25">
      <c r="B742" s="13"/>
      <c r="D742" s="13"/>
      <c r="E742" s="13"/>
      <c r="F742" s="14"/>
      <c r="G742" s="14"/>
      <c r="H742" s="13"/>
      <c r="I742" s="13"/>
      <c r="J742" s="14"/>
      <c r="K742" s="13"/>
      <c r="M742" s="13"/>
    </row>
    <row r="743" spans="2:13" ht="12.75" customHeight="1" x14ac:dyDescent="0.25">
      <c r="B743" s="13"/>
      <c r="D743" s="13"/>
      <c r="E743" s="13"/>
      <c r="F743" s="14"/>
      <c r="G743" s="14"/>
      <c r="H743" s="13"/>
      <c r="I743" s="13"/>
      <c r="J743" s="14"/>
      <c r="K743" s="13"/>
      <c r="M743" s="13"/>
    </row>
    <row r="744" spans="2:13" ht="12.75" customHeight="1" x14ac:dyDescent="0.25">
      <c r="B744" s="13"/>
      <c r="D744" s="13"/>
      <c r="E744" s="13"/>
      <c r="F744" s="14"/>
      <c r="G744" s="14"/>
      <c r="H744" s="13"/>
      <c r="I744" s="13"/>
      <c r="J744" s="14"/>
      <c r="K744" s="13"/>
      <c r="M744" s="13"/>
    </row>
    <row r="745" spans="2:13" ht="12.75" customHeight="1" x14ac:dyDescent="0.25">
      <c r="B745" s="13"/>
      <c r="D745" s="13"/>
      <c r="E745" s="13"/>
      <c r="F745" s="14"/>
      <c r="G745" s="14"/>
      <c r="H745" s="13"/>
      <c r="I745" s="13"/>
      <c r="J745" s="14"/>
      <c r="K745" s="13"/>
      <c r="M745" s="13"/>
    </row>
    <row r="746" spans="2:13" ht="12.75" customHeight="1" x14ac:dyDescent="0.25">
      <c r="B746" s="13"/>
      <c r="D746" s="13"/>
      <c r="E746" s="13"/>
      <c r="F746" s="14"/>
      <c r="G746" s="14"/>
      <c r="H746" s="13"/>
      <c r="I746" s="13"/>
      <c r="J746" s="14"/>
      <c r="K746" s="13"/>
      <c r="M746" s="13"/>
    </row>
    <row r="747" spans="2:13" ht="12.75" customHeight="1" x14ac:dyDescent="0.25">
      <c r="B747" s="13"/>
      <c r="D747" s="13"/>
      <c r="E747" s="13"/>
      <c r="F747" s="14"/>
      <c r="G747" s="14"/>
      <c r="H747" s="13"/>
      <c r="I747" s="13"/>
      <c r="J747" s="14"/>
      <c r="K747" s="13"/>
      <c r="M747" s="13"/>
    </row>
    <row r="748" spans="2:13" ht="12.75" customHeight="1" x14ac:dyDescent="0.25">
      <c r="B748" s="13"/>
      <c r="D748" s="13"/>
      <c r="E748" s="13"/>
      <c r="F748" s="14"/>
      <c r="G748" s="14"/>
      <c r="H748" s="13"/>
      <c r="I748" s="13"/>
      <c r="J748" s="14"/>
      <c r="K748" s="13"/>
      <c r="M748" s="13"/>
    </row>
    <row r="749" spans="2:13" ht="12.75" customHeight="1" x14ac:dyDescent="0.25">
      <c r="B749" s="13"/>
      <c r="D749" s="13"/>
      <c r="E749" s="13"/>
      <c r="F749" s="14"/>
      <c r="G749" s="14"/>
      <c r="H749" s="13"/>
      <c r="I749" s="13"/>
      <c r="J749" s="14"/>
      <c r="K749" s="13"/>
      <c r="M749" s="13"/>
    </row>
    <row r="750" spans="2:13" ht="12.75" customHeight="1" x14ac:dyDescent="0.25">
      <c r="B750" s="13"/>
      <c r="D750" s="13"/>
      <c r="E750" s="13"/>
      <c r="F750" s="14"/>
      <c r="G750" s="14"/>
      <c r="H750" s="13"/>
      <c r="I750" s="13"/>
      <c r="J750" s="14"/>
      <c r="K750" s="13"/>
      <c r="M750" s="13"/>
    </row>
    <row r="751" spans="2:13" ht="12.75" customHeight="1" x14ac:dyDescent="0.25">
      <c r="B751" s="13"/>
      <c r="D751" s="13"/>
      <c r="E751" s="13"/>
      <c r="F751" s="14"/>
      <c r="G751" s="14"/>
      <c r="H751" s="13"/>
      <c r="I751" s="13"/>
      <c r="J751" s="14"/>
      <c r="K751" s="13"/>
      <c r="M751" s="13"/>
    </row>
    <row r="752" spans="2:13" ht="12.75" customHeight="1" x14ac:dyDescent="0.25">
      <c r="B752" s="13"/>
      <c r="D752" s="13"/>
      <c r="E752" s="13"/>
      <c r="F752" s="14"/>
      <c r="G752" s="14"/>
      <c r="H752" s="13"/>
      <c r="I752" s="13"/>
      <c r="J752" s="14"/>
      <c r="K752" s="13"/>
      <c r="M752" s="13"/>
    </row>
    <row r="753" spans="2:13" ht="12.75" customHeight="1" x14ac:dyDescent="0.25">
      <c r="B753" s="13"/>
      <c r="D753" s="13"/>
      <c r="E753" s="13"/>
      <c r="F753" s="14"/>
      <c r="G753" s="14"/>
      <c r="H753" s="13"/>
      <c r="I753" s="13"/>
      <c r="J753" s="14"/>
      <c r="K753" s="13"/>
      <c r="M753" s="13"/>
    </row>
    <row r="754" spans="2:13" ht="12.75" customHeight="1" x14ac:dyDescent="0.25">
      <c r="B754" s="13"/>
      <c r="D754" s="13"/>
      <c r="E754" s="13"/>
      <c r="F754" s="14"/>
      <c r="G754" s="14"/>
      <c r="H754" s="13"/>
      <c r="I754" s="13"/>
      <c r="J754" s="14"/>
      <c r="K754" s="13"/>
      <c r="M754" s="13"/>
    </row>
    <row r="755" spans="2:13" ht="12.75" customHeight="1" x14ac:dyDescent="0.25">
      <c r="B755" s="13"/>
      <c r="D755" s="13"/>
      <c r="E755" s="13"/>
      <c r="F755" s="14"/>
      <c r="G755" s="14"/>
      <c r="H755" s="13"/>
      <c r="I755" s="13"/>
      <c r="J755" s="14"/>
      <c r="K755" s="13"/>
      <c r="M755" s="13"/>
    </row>
    <row r="756" spans="2:13" ht="12.75" customHeight="1" x14ac:dyDescent="0.25">
      <c r="B756" s="13"/>
      <c r="D756" s="13"/>
      <c r="E756" s="13"/>
      <c r="F756" s="14"/>
      <c r="G756" s="14"/>
      <c r="H756" s="13"/>
      <c r="I756" s="13"/>
      <c r="J756" s="14"/>
      <c r="K756" s="13"/>
      <c r="M756" s="13"/>
    </row>
    <row r="757" spans="2:13" ht="12.75" customHeight="1" x14ac:dyDescent="0.25">
      <c r="B757" s="13"/>
      <c r="D757" s="13"/>
      <c r="E757" s="13"/>
      <c r="F757" s="14"/>
      <c r="G757" s="14"/>
      <c r="H757" s="13"/>
      <c r="I757" s="13"/>
      <c r="J757" s="14"/>
      <c r="K757" s="13"/>
      <c r="M757" s="13"/>
    </row>
    <row r="758" spans="2:13" ht="12.75" customHeight="1" x14ac:dyDescent="0.25">
      <c r="B758" s="13"/>
      <c r="D758" s="13"/>
      <c r="E758" s="13"/>
      <c r="F758" s="14"/>
      <c r="G758" s="14"/>
      <c r="H758" s="13"/>
      <c r="I758" s="13"/>
      <c r="J758" s="14"/>
      <c r="K758" s="13"/>
      <c r="M758" s="13"/>
    </row>
    <row r="759" spans="2:13" ht="12.75" customHeight="1" x14ac:dyDescent="0.25">
      <c r="B759" s="13"/>
      <c r="D759" s="13"/>
      <c r="E759" s="13"/>
      <c r="F759" s="14"/>
      <c r="G759" s="14"/>
      <c r="H759" s="13"/>
      <c r="I759" s="13"/>
      <c r="J759" s="14"/>
      <c r="K759" s="13"/>
      <c r="M759" s="13"/>
    </row>
    <row r="760" spans="2:13" ht="12.75" customHeight="1" x14ac:dyDescent="0.25">
      <c r="B760" s="13"/>
      <c r="D760" s="13"/>
      <c r="E760" s="13"/>
      <c r="F760" s="14"/>
      <c r="G760" s="14"/>
      <c r="H760" s="13"/>
      <c r="I760" s="13"/>
      <c r="J760" s="14"/>
      <c r="K760" s="13"/>
      <c r="M760" s="13"/>
    </row>
    <row r="761" spans="2:13" ht="12.75" customHeight="1" x14ac:dyDescent="0.25">
      <c r="B761" s="13"/>
      <c r="D761" s="13"/>
      <c r="E761" s="13"/>
      <c r="F761" s="14"/>
      <c r="G761" s="14"/>
      <c r="H761" s="13"/>
      <c r="I761" s="13"/>
      <c r="J761" s="14"/>
      <c r="K761" s="13"/>
      <c r="M761" s="13"/>
    </row>
    <row r="762" spans="2:13" ht="12.75" customHeight="1" x14ac:dyDescent="0.25">
      <c r="B762" s="13"/>
      <c r="D762" s="13"/>
      <c r="E762" s="13"/>
      <c r="F762" s="14"/>
      <c r="G762" s="14"/>
      <c r="H762" s="13"/>
      <c r="I762" s="13"/>
      <c r="J762" s="14"/>
      <c r="K762" s="13"/>
      <c r="M762" s="13"/>
    </row>
    <row r="763" spans="2:13" ht="12.75" customHeight="1" x14ac:dyDescent="0.25">
      <c r="B763" s="13"/>
      <c r="D763" s="13"/>
      <c r="E763" s="13"/>
      <c r="F763" s="14"/>
      <c r="G763" s="14"/>
      <c r="H763" s="13"/>
      <c r="I763" s="13"/>
      <c r="J763" s="14"/>
      <c r="K763" s="13"/>
      <c r="M763" s="13"/>
    </row>
    <row r="764" spans="2:13" ht="12.75" customHeight="1" x14ac:dyDescent="0.25">
      <c r="B764" s="13"/>
      <c r="D764" s="13"/>
      <c r="E764" s="13"/>
      <c r="F764" s="14"/>
      <c r="G764" s="14"/>
      <c r="H764" s="13"/>
      <c r="I764" s="13"/>
      <c r="J764" s="14"/>
      <c r="K764" s="13"/>
      <c r="M764" s="13"/>
    </row>
    <row r="765" spans="2:13" ht="12.75" customHeight="1" x14ac:dyDescent="0.25">
      <c r="B765" s="13"/>
      <c r="D765" s="13"/>
      <c r="E765" s="13"/>
      <c r="F765" s="14"/>
      <c r="G765" s="14"/>
      <c r="H765" s="13"/>
      <c r="I765" s="13"/>
      <c r="J765" s="14"/>
      <c r="K765" s="13"/>
      <c r="M765" s="13"/>
    </row>
    <row r="766" spans="2:13" ht="12.75" customHeight="1" x14ac:dyDescent="0.25">
      <c r="B766" s="13"/>
      <c r="D766" s="13"/>
      <c r="E766" s="13"/>
      <c r="F766" s="14"/>
      <c r="G766" s="14"/>
      <c r="H766" s="13"/>
      <c r="I766" s="13"/>
      <c r="J766" s="14"/>
      <c r="K766" s="13"/>
      <c r="M766" s="13"/>
    </row>
    <row r="767" spans="2:13" ht="12.75" customHeight="1" x14ac:dyDescent="0.25">
      <c r="B767" s="13"/>
      <c r="D767" s="13"/>
      <c r="E767" s="13"/>
      <c r="F767" s="14"/>
      <c r="G767" s="14"/>
      <c r="H767" s="13"/>
      <c r="I767" s="13"/>
      <c r="J767" s="14"/>
      <c r="K767" s="13"/>
      <c r="M767" s="13"/>
    </row>
    <row r="768" spans="2:13" ht="12.75" customHeight="1" x14ac:dyDescent="0.25">
      <c r="B768" s="13"/>
      <c r="D768" s="13"/>
      <c r="E768" s="13"/>
      <c r="F768" s="14"/>
      <c r="G768" s="14"/>
      <c r="H768" s="13"/>
      <c r="I768" s="13"/>
      <c r="J768" s="14"/>
      <c r="K768" s="13"/>
      <c r="M768" s="13"/>
    </row>
    <row r="769" spans="2:13" ht="12.75" customHeight="1" x14ac:dyDescent="0.25">
      <c r="B769" s="13"/>
      <c r="D769" s="13"/>
      <c r="E769" s="13"/>
      <c r="F769" s="14"/>
      <c r="G769" s="14"/>
      <c r="H769" s="13"/>
      <c r="I769" s="13"/>
      <c r="J769" s="14"/>
      <c r="K769" s="13"/>
      <c r="M769" s="13"/>
    </row>
    <row r="770" spans="2:13" ht="12.75" customHeight="1" x14ac:dyDescent="0.25">
      <c r="B770" s="13"/>
      <c r="D770" s="13"/>
      <c r="E770" s="13"/>
      <c r="F770" s="14"/>
      <c r="G770" s="14"/>
      <c r="H770" s="13"/>
      <c r="I770" s="13"/>
      <c r="J770" s="14"/>
      <c r="K770" s="13"/>
      <c r="M770" s="13"/>
    </row>
    <row r="771" spans="2:13" ht="12.75" customHeight="1" x14ac:dyDescent="0.25">
      <c r="B771" s="13"/>
      <c r="D771" s="13"/>
      <c r="E771" s="13"/>
      <c r="F771" s="14"/>
      <c r="G771" s="14"/>
      <c r="H771" s="13"/>
      <c r="I771" s="13"/>
      <c r="J771" s="14"/>
      <c r="K771" s="13"/>
      <c r="M771" s="13"/>
    </row>
    <row r="772" spans="2:13" ht="12.75" customHeight="1" x14ac:dyDescent="0.25">
      <c r="B772" s="13"/>
      <c r="D772" s="13"/>
      <c r="E772" s="13"/>
      <c r="F772" s="14"/>
      <c r="G772" s="14"/>
      <c r="H772" s="13"/>
      <c r="I772" s="13"/>
      <c r="J772" s="14"/>
      <c r="K772" s="13"/>
      <c r="M772" s="13"/>
    </row>
    <row r="773" spans="2:13" ht="12.75" customHeight="1" x14ac:dyDescent="0.25">
      <c r="B773" s="13"/>
      <c r="D773" s="13"/>
      <c r="E773" s="13"/>
      <c r="F773" s="14"/>
      <c r="G773" s="14"/>
      <c r="H773" s="13"/>
      <c r="I773" s="13"/>
      <c r="J773" s="14"/>
      <c r="K773" s="13"/>
      <c r="M773" s="13"/>
    </row>
    <row r="774" spans="2:13" ht="12.75" customHeight="1" x14ac:dyDescent="0.25">
      <c r="B774" s="13"/>
      <c r="D774" s="13"/>
      <c r="E774" s="13"/>
      <c r="F774" s="14"/>
      <c r="G774" s="14"/>
      <c r="H774" s="13"/>
      <c r="I774" s="13"/>
      <c r="J774" s="14"/>
      <c r="K774" s="13"/>
      <c r="M774" s="13"/>
    </row>
    <row r="775" spans="2:13" ht="12.75" customHeight="1" x14ac:dyDescent="0.25">
      <c r="B775" s="13"/>
      <c r="D775" s="13"/>
      <c r="E775" s="13"/>
      <c r="F775" s="14"/>
      <c r="G775" s="14"/>
      <c r="H775" s="13"/>
      <c r="I775" s="13"/>
      <c r="J775" s="14"/>
      <c r="K775" s="13"/>
      <c r="M775" s="13"/>
    </row>
    <row r="776" spans="2:13" ht="12.75" customHeight="1" x14ac:dyDescent="0.25">
      <c r="B776" s="13"/>
      <c r="D776" s="13"/>
      <c r="E776" s="13"/>
      <c r="F776" s="14"/>
      <c r="G776" s="14"/>
      <c r="H776" s="13"/>
      <c r="I776" s="13"/>
      <c r="J776" s="14"/>
      <c r="K776" s="13"/>
      <c r="M776" s="13"/>
    </row>
    <row r="777" spans="2:13" ht="12.75" customHeight="1" x14ac:dyDescent="0.25">
      <c r="B777" s="13"/>
      <c r="D777" s="13"/>
      <c r="E777" s="13"/>
      <c r="F777" s="14"/>
      <c r="G777" s="14"/>
      <c r="H777" s="13"/>
      <c r="I777" s="13"/>
      <c r="J777" s="14"/>
      <c r="K777" s="13"/>
      <c r="M777" s="13"/>
    </row>
    <row r="778" spans="2:13" ht="12.75" customHeight="1" x14ac:dyDescent="0.25">
      <c r="B778" s="13"/>
      <c r="D778" s="13"/>
      <c r="E778" s="13"/>
      <c r="F778" s="14"/>
      <c r="G778" s="14"/>
      <c r="H778" s="13"/>
      <c r="I778" s="13"/>
      <c r="J778" s="14"/>
      <c r="K778" s="13"/>
      <c r="M778" s="13"/>
    </row>
    <row r="779" spans="2:13" ht="12.75" customHeight="1" x14ac:dyDescent="0.25">
      <c r="B779" s="13"/>
      <c r="D779" s="13"/>
      <c r="E779" s="13"/>
      <c r="F779" s="14"/>
      <c r="G779" s="14"/>
      <c r="H779" s="13"/>
      <c r="I779" s="13"/>
      <c r="J779" s="14"/>
      <c r="K779" s="13"/>
      <c r="M779" s="13"/>
    </row>
    <row r="780" spans="2:13" ht="12.75" customHeight="1" x14ac:dyDescent="0.25">
      <c r="B780" s="13"/>
      <c r="D780" s="13"/>
      <c r="E780" s="13"/>
      <c r="F780" s="14"/>
      <c r="G780" s="14"/>
      <c r="H780" s="13"/>
      <c r="I780" s="13"/>
      <c r="J780" s="14"/>
      <c r="K780" s="13"/>
      <c r="M780" s="13"/>
    </row>
    <row r="781" spans="2:13" ht="12.75" customHeight="1" x14ac:dyDescent="0.25">
      <c r="B781" s="13"/>
      <c r="D781" s="13"/>
      <c r="E781" s="13"/>
      <c r="F781" s="14"/>
      <c r="G781" s="14"/>
      <c r="H781" s="13"/>
      <c r="I781" s="13"/>
      <c r="J781" s="14"/>
      <c r="K781" s="13"/>
      <c r="M781" s="13"/>
    </row>
    <row r="782" spans="2:13" ht="12.75" customHeight="1" x14ac:dyDescent="0.25">
      <c r="B782" s="13"/>
      <c r="D782" s="13"/>
      <c r="E782" s="13"/>
      <c r="F782" s="14"/>
      <c r="G782" s="14"/>
      <c r="H782" s="13"/>
      <c r="I782" s="13"/>
      <c r="J782" s="14"/>
      <c r="K782" s="13"/>
      <c r="M782" s="13"/>
    </row>
    <row r="783" spans="2:13" ht="12.75" customHeight="1" x14ac:dyDescent="0.25">
      <c r="B783" s="13"/>
      <c r="D783" s="13"/>
      <c r="E783" s="13"/>
      <c r="F783" s="14"/>
      <c r="G783" s="14"/>
      <c r="H783" s="13"/>
      <c r="I783" s="13"/>
      <c r="J783" s="14"/>
      <c r="K783" s="13"/>
      <c r="M783" s="13"/>
    </row>
    <row r="784" spans="2:13" ht="12.75" customHeight="1" x14ac:dyDescent="0.25">
      <c r="B784" s="13"/>
      <c r="D784" s="13"/>
      <c r="E784" s="13"/>
      <c r="F784" s="14"/>
      <c r="G784" s="14"/>
      <c r="H784" s="13"/>
      <c r="I784" s="13"/>
      <c r="J784" s="14"/>
      <c r="K784" s="13"/>
      <c r="M784" s="13"/>
    </row>
    <row r="785" spans="2:13" ht="12.75" customHeight="1" x14ac:dyDescent="0.25">
      <c r="B785" s="13"/>
      <c r="D785" s="13"/>
      <c r="E785" s="13"/>
      <c r="F785" s="14"/>
      <c r="G785" s="14"/>
      <c r="H785" s="13"/>
      <c r="I785" s="13"/>
      <c r="J785" s="14"/>
      <c r="K785" s="13"/>
      <c r="M785" s="13"/>
    </row>
    <row r="786" spans="2:13" ht="12.75" customHeight="1" x14ac:dyDescent="0.25">
      <c r="B786" s="13"/>
      <c r="D786" s="13"/>
      <c r="E786" s="13"/>
      <c r="F786" s="14"/>
      <c r="G786" s="14"/>
      <c r="H786" s="13"/>
      <c r="I786" s="13"/>
      <c r="J786" s="14"/>
      <c r="K786" s="13"/>
      <c r="M786" s="13"/>
    </row>
    <row r="787" spans="2:13" ht="12.75" customHeight="1" x14ac:dyDescent="0.25">
      <c r="B787" s="13"/>
      <c r="D787" s="13"/>
      <c r="E787" s="13"/>
      <c r="F787" s="14"/>
      <c r="G787" s="14"/>
      <c r="H787" s="13"/>
      <c r="I787" s="13"/>
      <c r="J787" s="14"/>
      <c r="K787" s="13"/>
      <c r="M787" s="13"/>
    </row>
    <row r="788" spans="2:13" ht="12.75" customHeight="1" x14ac:dyDescent="0.25">
      <c r="B788" s="13"/>
      <c r="D788" s="13"/>
      <c r="E788" s="13"/>
      <c r="F788" s="14"/>
      <c r="G788" s="14"/>
      <c r="H788" s="13"/>
      <c r="I788" s="13"/>
      <c r="J788" s="14"/>
      <c r="K788" s="13"/>
      <c r="M788" s="13"/>
    </row>
    <row r="789" spans="2:13" ht="12.75" customHeight="1" x14ac:dyDescent="0.25">
      <c r="B789" s="13"/>
      <c r="D789" s="13"/>
      <c r="E789" s="13"/>
      <c r="F789" s="14"/>
      <c r="G789" s="14"/>
      <c r="H789" s="13"/>
      <c r="I789" s="13"/>
      <c r="J789" s="14"/>
      <c r="K789" s="13"/>
      <c r="M789" s="13"/>
    </row>
    <row r="790" spans="2:13" ht="12.75" customHeight="1" x14ac:dyDescent="0.25">
      <c r="B790" s="13"/>
      <c r="D790" s="13"/>
      <c r="E790" s="13"/>
      <c r="F790" s="14"/>
      <c r="G790" s="14"/>
      <c r="H790" s="13"/>
      <c r="I790" s="13"/>
      <c r="J790" s="14"/>
      <c r="K790" s="13"/>
      <c r="M790" s="13"/>
    </row>
    <row r="791" spans="2:13" ht="12.75" customHeight="1" x14ac:dyDescent="0.25">
      <c r="B791" s="13"/>
      <c r="D791" s="13"/>
      <c r="E791" s="13"/>
      <c r="F791" s="14"/>
      <c r="G791" s="14"/>
      <c r="H791" s="13"/>
      <c r="I791" s="13"/>
      <c r="J791" s="14"/>
      <c r="K791" s="13"/>
      <c r="M791" s="13"/>
    </row>
    <row r="792" spans="2:13" ht="12.75" customHeight="1" x14ac:dyDescent="0.25">
      <c r="B792" s="13"/>
      <c r="D792" s="13"/>
      <c r="E792" s="13"/>
      <c r="F792" s="14"/>
      <c r="G792" s="14"/>
      <c r="H792" s="13"/>
      <c r="I792" s="13"/>
      <c r="J792" s="14"/>
      <c r="K792" s="13"/>
      <c r="M792" s="13"/>
    </row>
    <row r="793" spans="2:13" ht="12.75" customHeight="1" x14ac:dyDescent="0.25">
      <c r="B793" s="13"/>
      <c r="D793" s="13"/>
      <c r="E793" s="13"/>
      <c r="F793" s="14"/>
      <c r="G793" s="14"/>
      <c r="H793" s="13"/>
      <c r="I793" s="13"/>
      <c r="J793" s="14"/>
      <c r="K793" s="13"/>
      <c r="M793" s="13"/>
    </row>
    <row r="794" spans="2:13" ht="12.75" customHeight="1" x14ac:dyDescent="0.25">
      <c r="B794" s="13"/>
      <c r="D794" s="13"/>
      <c r="E794" s="13"/>
      <c r="F794" s="14"/>
      <c r="G794" s="14"/>
      <c r="H794" s="13"/>
      <c r="I794" s="13"/>
      <c r="J794" s="14"/>
      <c r="K794" s="13"/>
      <c r="M794" s="13"/>
    </row>
    <row r="795" spans="2:13" ht="12.75" customHeight="1" x14ac:dyDescent="0.25">
      <c r="B795" s="13"/>
      <c r="D795" s="13"/>
      <c r="E795" s="13"/>
      <c r="F795" s="14"/>
      <c r="G795" s="14"/>
      <c r="H795" s="13"/>
      <c r="I795" s="13"/>
      <c r="J795" s="14"/>
      <c r="K795" s="13"/>
      <c r="M795" s="13"/>
    </row>
    <row r="796" spans="2:13" ht="12.75" customHeight="1" x14ac:dyDescent="0.25">
      <c r="B796" s="13"/>
      <c r="D796" s="13"/>
      <c r="E796" s="13"/>
      <c r="F796" s="14"/>
      <c r="G796" s="14"/>
      <c r="H796" s="13"/>
      <c r="I796" s="13"/>
      <c r="J796" s="14"/>
      <c r="K796" s="13"/>
      <c r="M796" s="13"/>
    </row>
    <row r="797" spans="2:13" ht="12.75" customHeight="1" x14ac:dyDescent="0.25">
      <c r="B797" s="13"/>
      <c r="D797" s="13"/>
      <c r="E797" s="13"/>
      <c r="F797" s="14"/>
      <c r="G797" s="14"/>
      <c r="H797" s="13"/>
      <c r="I797" s="13"/>
      <c r="J797" s="14"/>
      <c r="K797" s="13"/>
      <c r="M797" s="13"/>
    </row>
    <row r="798" spans="2:13" ht="12.75" customHeight="1" x14ac:dyDescent="0.25">
      <c r="B798" s="13"/>
      <c r="D798" s="13"/>
      <c r="E798" s="13"/>
      <c r="F798" s="14"/>
      <c r="G798" s="14"/>
      <c r="H798" s="13"/>
      <c r="I798" s="13"/>
      <c r="J798" s="14"/>
      <c r="K798" s="13"/>
      <c r="M798" s="13"/>
    </row>
    <row r="799" spans="2:13" ht="12.75" customHeight="1" x14ac:dyDescent="0.25">
      <c r="B799" s="13"/>
      <c r="D799" s="13"/>
      <c r="E799" s="13"/>
      <c r="F799" s="14"/>
      <c r="G799" s="14"/>
      <c r="H799" s="13"/>
      <c r="I799" s="13"/>
      <c r="J799" s="14"/>
      <c r="K799" s="13"/>
      <c r="M799" s="13"/>
    </row>
    <row r="800" spans="2:13" ht="12.75" customHeight="1" x14ac:dyDescent="0.25">
      <c r="B800" s="13"/>
      <c r="D800" s="13"/>
      <c r="E800" s="13"/>
      <c r="F800" s="14"/>
      <c r="G800" s="14"/>
      <c r="H800" s="13"/>
      <c r="I800" s="13"/>
      <c r="J800" s="14"/>
      <c r="K800" s="13"/>
      <c r="M800" s="13"/>
    </row>
    <row r="801" spans="2:13" ht="12.75" customHeight="1" x14ac:dyDescent="0.25">
      <c r="B801" s="13"/>
      <c r="D801" s="13"/>
      <c r="E801" s="13"/>
      <c r="F801" s="14"/>
      <c r="G801" s="14"/>
      <c r="H801" s="13"/>
      <c r="I801" s="13"/>
      <c r="J801" s="14"/>
      <c r="K801" s="13"/>
      <c r="M801" s="13"/>
    </row>
    <row r="802" spans="2:13" ht="12.75" customHeight="1" x14ac:dyDescent="0.25">
      <c r="B802" s="13"/>
      <c r="D802" s="13"/>
      <c r="E802" s="13"/>
      <c r="F802" s="14"/>
      <c r="G802" s="14"/>
      <c r="H802" s="13"/>
      <c r="I802" s="13"/>
      <c r="J802" s="14"/>
      <c r="K802" s="13"/>
      <c r="M802" s="13"/>
    </row>
    <row r="803" spans="2:13" ht="12.75" customHeight="1" x14ac:dyDescent="0.25">
      <c r="B803" s="13"/>
      <c r="D803" s="13"/>
      <c r="E803" s="13"/>
      <c r="F803" s="14"/>
      <c r="G803" s="14"/>
      <c r="H803" s="13"/>
      <c r="I803" s="13"/>
      <c r="J803" s="14"/>
      <c r="K803" s="13"/>
      <c r="M803" s="13"/>
    </row>
    <row r="804" spans="2:13" ht="12.75" customHeight="1" x14ac:dyDescent="0.25">
      <c r="B804" s="13"/>
      <c r="D804" s="13"/>
      <c r="E804" s="13"/>
      <c r="F804" s="14"/>
      <c r="G804" s="14"/>
      <c r="H804" s="13"/>
      <c r="I804" s="13"/>
      <c r="J804" s="14"/>
      <c r="K804" s="13"/>
      <c r="M804" s="13"/>
    </row>
    <row r="805" spans="2:13" ht="12.75" customHeight="1" x14ac:dyDescent="0.25">
      <c r="B805" s="13"/>
      <c r="D805" s="13"/>
      <c r="E805" s="13"/>
      <c r="F805" s="14"/>
      <c r="G805" s="14"/>
      <c r="H805" s="13"/>
      <c r="I805" s="13"/>
      <c r="J805" s="14"/>
      <c r="K805" s="13"/>
      <c r="M805" s="13"/>
    </row>
    <row r="806" spans="2:13" ht="12.75" customHeight="1" x14ac:dyDescent="0.25">
      <c r="B806" s="13"/>
      <c r="D806" s="13"/>
      <c r="E806" s="13"/>
      <c r="F806" s="14"/>
      <c r="G806" s="14"/>
      <c r="H806" s="13"/>
      <c r="I806" s="13"/>
      <c r="J806" s="14"/>
      <c r="K806" s="13"/>
      <c r="M806" s="13"/>
    </row>
    <row r="807" spans="2:13" ht="12.75" customHeight="1" x14ac:dyDescent="0.25">
      <c r="B807" s="13"/>
      <c r="D807" s="13"/>
      <c r="E807" s="13"/>
      <c r="F807" s="14"/>
      <c r="G807" s="14"/>
      <c r="H807" s="13"/>
      <c r="I807" s="13"/>
      <c r="J807" s="14"/>
      <c r="K807" s="13"/>
      <c r="M807" s="13"/>
    </row>
    <row r="808" spans="2:13" ht="12.75" customHeight="1" x14ac:dyDescent="0.25">
      <c r="B808" s="13"/>
      <c r="D808" s="13"/>
      <c r="E808" s="13"/>
      <c r="F808" s="14"/>
      <c r="G808" s="14"/>
      <c r="H808" s="13"/>
      <c r="I808" s="13"/>
      <c r="J808" s="14"/>
      <c r="K808" s="13"/>
      <c r="M808" s="13"/>
    </row>
    <row r="809" spans="2:13" ht="12.75" customHeight="1" x14ac:dyDescent="0.25">
      <c r="B809" s="13"/>
      <c r="D809" s="13"/>
      <c r="E809" s="13"/>
      <c r="F809" s="14"/>
      <c r="G809" s="14"/>
      <c r="H809" s="13"/>
      <c r="I809" s="13"/>
      <c r="J809" s="14"/>
      <c r="K809" s="13"/>
      <c r="M809" s="13"/>
    </row>
    <row r="810" spans="2:13" ht="12.75" customHeight="1" x14ac:dyDescent="0.25">
      <c r="B810" s="13"/>
      <c r="D810" s="13"/>
      <c r="E810" s="13"/>
      <c r="F810" s="14"/>
      <c r="G810" s="14"/>
      <c r="H810" s="13"/>
      <c r="I810" s="13"/>
      <c r="J810" s="14"/>
      <c r="K810" s="13"/>
      <c r="M810" s="13"/>
    </row>
    <row r="811" spans="2:13" ht="12.75" customHeight="1" x14ac:dyDescent="0.25">
      <c r="B811" s="13"/>
      <c r="D811" s="13"/>
      <c r="E811" s="13"/>
      <c r="F811" s="14"/>
      <c r="G811" s="14"/>
      <c r="H811" s="13"/>
      <c r="I811" s="13"/>
      <c r="J811" s="14"/>
      <c r="K811" s="13"/>
      <c r="M811" s="13"/>
    </row>
    <row r="812" spans="2:13" ht="12.75" customHeight="1" x14ac:dyDescent="0.25">
      <c r="B812" s="13"/>
      <c r="D812" s="13"/>
      <c r="E812" s="13"/>
      <c r="F812" s="14"/>
      <c r="G812" s="14"/>
      <c r="H812" s="13"/>
      <c r="I812" s="13"/>
      <c r="J812" s="14"/>
      <c r="K812" s="13"/>
      <c r="M812" s="13"/>
    </row>
    <row r="813" spans="2:13" ht="12.75" customHeight="1" x14ac:dyDescent="0.25">
      <c r="B813" s="13"/>
      <c r="D813" s="13"/>
      <c r="E813" s="13"/>
      <c r="F813" s="14"/>
      <c r="G813" s="14"/>
      <c r="H813" s="13"/>
      <c r="I813" s="13"/>
      <c r="J813" s="14"/>
      <c r="K813" s="13"/>
      <c r="M813" s="13"/>
    </row>
    <row r="814" spans="2:13" ht="12.75" customHeight="1" x14ac:dyDescent="0.25">
      <c r="B814" s="13"/>
      <c r="D814" s="13"/>
      <c r="E814" s="13"/>
      <c r="F814" s="14"/>
      <c r="G814" s="14"/>
      <c r="H814" s="13"/>
      <c r="I814" s="13"/>
      <c r="J814" s="14"/>
      <c r="K814" s="13"/>
      <c r="M814" s="13"/>
    </row>
    <row r="815" spans="2:13" ht="12.75" customHeight="1" x14ac:dyDescent="0.25">
      <c r="B815" s="13"/>
      <c r="D815" s="13"/>
      <c r="E815" s="13"/>
      <c r="F815" s="14"/>
      <c r="G815" s="14"/>
      <c r="H815" s="13"/>
      <c r="I815" s="13"/>
      <c r="J815" s="14"/>
      <c r="K815" s="13"/>
      <c r="M815" s="13"/>
    </row>
    <row r="816" spans="2:13" ht="12.75" customHeight="1" x14ac:dyDescent="0.25">
      <c r="B816" s="13"/>
      <c r="D816" s="13"/>
      <c r="E816" s="13"/>
      <c r="F816" s="14"/>
      <c r="G816" s="14"/>
      <c r="H816" s="13"/>
      <c r="I816" s="13"/>
      <c r="J816" s="14"/>
      <c r="K816" s="13"/>
      <c r="M816" s="13"/>
    </row>
    <row r="817" spans="2:13" ht="12.75" customHeight="1" x14ac:dyDescent="0.25">
      <c r="B817" s="13"/>
      <c r="D817" s="13"/>
      <c r="E817" s="13"/>
      <c r="F817" s="14"/>
      <c r="G817" s="14"/>
      <c r="H817" s="13"/>
      <c r="I817" s="13"/>
      <c r="J817" s="14"/>
      <c r="K817" s="13"/>
      <c r="M817" s="13"/>
    </row>
    <row r="818" spans="2:13" ht="12.75" customHeight="1" x14ac:dyDescent="0.25">
      <c r="B818" s="13"/>
      <c r="D818" s="13"/>
      <c r="E818" s="13"/>
      <c r="F818" s="14"/>
      <c r="G818" s="14"/>
      <c r="H818" s="13"/>
      <c r="I818" s="13"/>
      <c r="J818" s="14"/>
      <c r="K818" s="13"/>
      <c r="M818" s="13"/>
    </row>
    <row r="819" spans="2:13" ht="12.75" customHeight="1" x14ac:dyDescent="0.25">
      <c r="B819" s="13"/>
      <c r="D819" s="13"/>
      <c r="E819" s="13"/>
      <c r="F819" s="14"/>
      <c r="G819" s="14"/>
      <c r="H819" s="13"/>
      <c r="I819" s="13"/>
      <c r="J819" s="14"/>
      <c r="K819" s="13"/>
      <c r="M819" s="13"/>
    </row>
    <row r="820" spans="2:13" ht="12.75" customHeight="1" x14ac:dyDescent="0.25">
      <c r="B820" s="13"/>
      <c r="D820" s="13"/>
      <c r="E820" s="13"/>
      <c r="F820" s="14"/>
      <c r="G820" s="14"/>
      <c r="H820" s="13"/>
      <c r="I820" s="13"/>
      <c r="J820" s="14"/>
      <c r="K820" s="13"/>
      <c r="M820" s="13"/>
    </row>
    <row r="821" spans="2:13" ht="12.75" customHeight="1" x14ac:dyDescent="0.25">
      <c r="B821" s="13"/>
      <c r="D821" s="13"/>
      <c r="E821" s="13"/>
      <c r="F821" s="14"/>
      <c r="G821" s="14"/>
      <c r="H821" s="13"/>
      <c r="I821" s="13"/>
      <c r="J821" s="14"/>
      <c r="K821" s="13"/>
      <c r="M821" s="13"/>
    </row>
    <row r="822" spans="2:13" ht="12.75" customHeight="1" x14ac:dyDescent="0.25">
      <c r="B822" s="13"/>
      <c r="D822" s="13"/>
      <c r="E822" s="13"/>
      <c r="F822" s="14"/>
      <c r="G822" s="14"/>
      <c r="H822" s="13"/>
      <c r="I822" s="13"/>
      <c r="J822" s="14"/>
      <c r="K822" s="13"/>
      <c r="M822" s="13"/>
    </row>
    <row r="823" spans="2:13" ht="12.75" customHeight="1" x14ac:dyDescent="0.25">
      <c r="B823" s="13"/>
      <c r="D823" s="13"/>
      <c r="E823" s="13"/>
      <c r="F823" s="14"/>
      <c r="G823" s="14"/>
      <c r="H823" s="13"/>
      <c r="I823" s="13"/>
      <c r="J823" s="14"/>
      <c r="K823" s="13"/>
      <c r="M823" s="13"/>
    </row>
    <row r="824" spans="2:13" ht="12.75" customHeight="1" x14ac:dyDescent="0.25">
      <c r="B824" s="13"/>
      <c r="D824" s="13"/>
      <c r="E824" s="13"/>
      <c r="F824" s="14"/>
      <c r="G824" s="14"/>
      <c r="H824" s="13"/>
      <c r="I824" s="13"/>
      <c r="J824" s="14"/>
      <c r="K824" s="13"/>
      <c r="M824" s="13"/>
    </row>
    <row r="825" spans="2:13" ht="12.75" customHeight="1" x14ac:dyDescent="0.25">
      <c r="B825" s="13"/>
      <c r="D825" s="13"/>
      <c r="E825" s="13"/>
      <c r="F825" s="14"/>
      <c r="G825" s="14"/>
      <c r="H825" s="13"/>
      <c r="I825" s="13"/>
      <c r="J825" s="14"/>
      <c r="K825" s="13"/>
      <c r="M825" s="13"/>
    </row>
    <row r="826" spans="2:13" ht="12.75" customHeight="1" x14ac:dyDescent="0.25">
      <c r="B826" s="13"/>
      <c r="D826" s="13"/>
      <c r="E826" s="13"/>
      <c r="F826" s="14"/>
      <c r="G826" s="14"/>
      <c r="H826" s="13"/>
      <c r="I826" s="13"/>
      <c r="J826" s="14"/>
      <c r="K826" s="13"/>
      <c r="M826" s="13"/>
    </row>
    <row r="827" spans="2:13" ht="12.75" customHeight="1" x14ac:dyDescent="0.25">
      <c r="B827" s="13"/>
      <c r="D827" s="13"/>
      <c r="E827" s="13"/>
      <c r="F827" s="14"/>
      <c r="G827" s="14"/>
      <c r="H827" s="13"/>
      <c r="I827" s="13"/>
      <c r="J827" s="14"/>
      <c r="K827" s="13"/>
      <c r="M827" s="13"/>
    </row>
    <row r="828" spans="2:13" ht="12.75" customHeight="1" x14ac:dyDescent="0.25">
      <c r="B828" s="13"/>
      <c r="D828" s="13"/>
      <c r="E828" s="13"/>
      <c r="F828" s="14"/>
      <c r="G828" s="14"/>
      <c r="H828" s="13"/>
      <c r="I828" s="13"/>
      <c r="J828" s="14"/>
      <c r="K828" s="13"/>
      <c r="M828" s="13"/>
    </row>
    <row r="829" spans="2:13" ht="12.75" customHeight="1" x14ac:dyDescent="0.25">
      <c r="B829" s="13"/>
      <c r="D829" s="13"/>
      <c r="E829" s="13"/>
      <c r="F829" s="14"/>
      <c r="G829" s="14"/>
      <c r="H829" s="13"/>
      <c r="I829" s="13"/>
      <c r="J829" s="14"/>
      <c r="K829" s="13"/>
      <c r="M829" s="13"/>
    </row>
    <row r="830" spans="2:13" ht="12.75" customHeight="1" x14ac:dyDescent="0.25">
      <c r="B830" s="13"/>
      <c r="D830" s="13"/>
      <c r="E830" s="13"/>
      <c r="F830" s="14"/>
      <c r="G830" s="14"/>
      <c r="H830" s="13"/>
      <c r="I830" s="13"/>
      <c r="J830" s="14"/>
      <c r="K830" s="13"/>
      <c r="M830" s="13"/>
    </row>
    <row r="831" spans="2:13" ht="12.75" customHeight="1" x14ac:dyDescent="0.25">
      <c r="B831" s="13"/>
      <c r="D831" s="13"/>
      <c r="E831" s="13"/>
      <c r="F831" s="14"/>
      <c r="G831" s="14"/>
      <c r="H831" s="13"/>
      <c r="I831" s="13"/>
      <c r="J831" s="14"/>
      <c r="K831" s="13"/>
      <c r="M831" s="13"/>
    </row>
    <row r="832" spans="2:13" ht="12.75" customHeight="1" x14ac:dyDescent="0.25">
      <c r="B832" s="13"/>
      <c r="D832" s="13"/>
      <c r="E832" s="13"/>
      <c r="F832" s="14"/>
      <c r="G832" s="14"/>
      <c r="H832" s="13"/>
      <c r="I832" s="13"/>
      <c r="J832" s="14"/>
      <c r="K832" s="13"/>
      <c r="M832" s="13"/>
    </row>
    <row r="833" spans="2:13" ht="12.75" customHeight="1" x14ac:dyDescent="0.25">
      <c r="B833" s="13"/>
      <c r="D833" s="13"/>
      <c r="E833" s="13"/>
      <c r="F833" s="14"/>
      <c r="G833" s="14"/>
      <c r="H833" s="13"/>
      <c r="I833" s="13"/>
      <c r="J833" s="14"/>
      <c r="K833" s="13"/>
      <c r="M833" s="13"/>
    </row>
    <row r="834" spans="2:13" ht="12.75" customHeight="1" x14ac:dyDescent="0.25">
      <c r="B834" s="13"/>
      <c r="D834" s="13"/>
      <c r="E834" s="13"/>
      <c r="F834" s="14"/>
      <c r="G834" s="14"/>
      <c r="H834" s="13"/>
      <c r="I834" s="13"/>
      <c r="J834" s="14"/>
      <c r="K834" s="13"/>
      <c r="M834" s="13"/>
    </row>
    <row r="835" spans="2:13" ht="12.75" customHeight="1" x14ac:dyDescent="0.25">
      <c r="B835" s="13"/>
      <c r="D835" s="13"/>
      <c r="E835" s="13"/>
      <c r="F835" s="14"/>
      <c r="G835" s="14"/>
      <c r="H835" s="13"/>
      <c r="I835" s="13"/>
      <c r="J835" s="14"/>
      <c r="K835" s="13"/>
      <c r="M835" s="13"/>
    </row>
    <row r="836" spans="2:13" ht="12.75" customHeight="1" x14ac:dyDescent="0.25">
      <c r="B836" s="13"/>
      <c r="D836" s="13"/>
      <c r="E836" s="13"/>
      <c r="F836" s="14"/>
      <c r="G836" s="14"/>
      <c r="H836" s="13"/>
      <c r="I836" s="13"/>
      <c r="J836" s="14"/>
      <c r="K836" s="13"/>
      <c r="M836" s="13"/>
    </row>
    <row r="837" spans="2:13" ht="12.75" customHeight="1" x14ac:dyDescent="0.25">
      <c r="B837" s="13"/>
      <c r="D837" s="13"/>
      <c r="E837" s="13"/>
      <c r="F837" s="14"/>
      <c r="G837" s="14"/>
      <c r="H837" s="13"/>
      <c r="I837" s="13"/>
      <c r="J837" s="14"/>
      <c r="K837" s="13"/>
      <c r="M837" s="13"/>
    </row>
    <row r="838" spans="2:13" ht="12.75" customHeight="1" x14ac:dyDescent="0.25">
      <c r="B838" s="13"/>
      <c r="D838" s="13"/>
      <c r="E838" s="13"/>
      <c r="F838" s="14"/>
      <c r="G838" s="14"/>
      <c r="H838" s="13"/>
      <c r="I838" s="13"/>
      <c r="J838" s="14"/>
      <c r="K838" s="13"/>
      <c r="M838" s="13"/>
    </row>
    <row r="839" spans="2:13" ht="12.75" customHeight="1" x14ac:dyDescent="0.25">
      <c r="B839" s="13"/>
      <c r="D839" s="13"/>
      <c r="E839" s="13"/>
      <c r="F839" s="14"/>
      <c r="G839" s="14"/>
      <c r="H839" s="13"/>
      <c r="I839" s="13"/>
      <c r="J839" s="14"/>
      <c r="K839" s="13"/>
      <c r="M839" s="13"/>
    </row>
    <row r="840" spans="2:13" ht="12.75" customHeight="1" x14ac:dyDescent="0.25">
      <c r="B840" s="13"/>
      <c r="D840" s="13"/>
      <c r="E840" s="13"/>
      <c r="F840" s="14"/>
      <c r="G840" s="14"/>
      <c r="H840" s="13"/>
      <c r="I840" s="13"/>
      <c r="J840" s="14"/>
      <c r="K840" s="13"/>
      <c r="M840" s="13"/>
    </row>
    <row r="841" spans="2:13" ht="12.75" customHeight="1" x14ac:dyDescent="0.25">
      <c r="B841" s="13"/>
      <c r="D841" s="13"/>
      <c r="E841" s="13"/>
      <c r="F841" s="14"/>
      <c r="G841" s="14"/>
      <c r="H841" s="13"/>
      <c r="I841" s="13"/>
      <c r="J841" s="14"/>
      <c r="K841" s="13"/>
      <c r="M841" s="13"/>
    </row>
    <row r="842" spans="2:13" ht="12.75" customHeight="1" x14ac:dyDescent="0.25">
      <c r="B842" s="13"/>
      <c r="D842" s="13"/>
      <c r="E842" s="13"/>
      <c r="F842" s="14"/>
      <c r="G842" s="14"/>
      <c r="H842" s="13"/>
      <c r="I842" s="13"/>
      <c r="J842" s="14"/>
      <c r="K842" s="13"/>
      <c r="M842" s="13"/>
    </row>
    <row r="843" spans="2:13" ht="12.75" customHeight="1" x14ac:dyDescent="0.25">
      <c r="B843" s="13"/>
      <c r="D843" s="13"/>
      <c r="E843" s="13"/>
      <c r="F843" s="14"/>
      <c r="G843" s="14"/>
      <c r="H843" s="13"/>
      <c r="I843" s="13"/>
      <c r="J843" s="14"/>
      <c r="K843" s="13"/>
      <c r="M843" s="13"/>
    </row>
    <row r="844" spans="2:13" ht="12.75" customHeight="1" x14ac:dyDescent="0.25">
      <c r="B844" s="13"/>
      <c r="D844" s="13"/>
      <c r="E844" s="13"/>
      <c r="F844" s="14"/>
      <c r="G844" s="14"/>
      <c r="H844" s="13"/>
      <c r="I844" s="13"/>
      <c r="J844" s="14"/>
      <c r="K844" s="13"/>
      <c r="M844" s="13"/>
    </row>
    <row r="845" spans="2:13" ht="12.75" customHeight="1" x14ac:dyDescent="0.25">
      <c r="B845" s="13"/>
      <c r="D845" s="13"/>
      <c r="E845" s="13"/>
      <c r="F845" s="14"/>
      <c r="G845" s="14"/>
      <c r="H845" s="13"/>
      <c r="I845" s="13"/>
      <c r="J845" s="14"/>
      <c r="K845" s="13"/>
      <c r="M845" s="13"/>
    </row>
    <row r="846" spans="2:13" ht="12.75" customHeight="1" x14ac:dyDescent="0.25">
      <c r="B846" s="13"/>
      <c r="D846" s="13"/>
      <c r="E846" s="13"/>
      <c r="F846" s="14"/>
      <c r="G846" s="14"/>
      <c r="H846" s="13"/>
      <c r="I846" s="13"/>
      <c r="J846" s="14"/>
      <c r="K846" s="13"/>
      <c r="M846" s="13"/>
    </row>
    <row r="847" spans="2:13" ht="12.75" customHeight="1" x14ac:dyDescent="0.25">
      <c r="B847" s="13"/>
      <c r="D847" s="13"/>
      <c r="E847" s="13"/>
      <c r="F847" s="14"/>
      <c r="G847" s="14"/>
      <c r="H847" s="13"/>
      <c r="I847" s="13"/>
      <c r="J847" s="14"/>
      <c r="K847" s="13"/>
      <c r="M847" s="13"/>
    </row>
    <row r="848" spans="2:13" ht="12.75" customHeight="1" x14ac:dyDescent="0.25">
      <c r="B848" s="13"/>
      <c r="D848" s="13"/>
      <c r="E848" s="13"/>
      <c r="F848" s="14"/>
      <c r="G848" s="14"/>
      <c r="H848" s="13"/>
      <c r="I848" s="13"/>
      <c r="J848" s="14"/>
      <c r="K848" s="13"/>
      <c r="M848" s="13"/>
    </row>
    <row r="849" spans="2:13" ht="12.75" customHeight="1" x14ac:dyDescent="0.25">
      <c r="B849" s="13"/>
      <c r="D849" s="13"/>
      <c r="E849" s="13"/>
      <c r="F849" s="14"/>
      <c r="G849" s="14"/>
      <c r="H849" s="13"/>
      <c r="I849" s="13"/>
      <c r="J849" s="14"/>
      <c r="K849" s="13"/>
      <c r="M849" s="13"/>
    </row>
    <row r="850" spans="2:13" ht="12.75" customHeight="1" x14ac:dyDescent="0.25">
      <c r="B850" s="13"/>
      <c r="D850" s="13"/>
      <c r="E850" s="13"/>
      <c r="F850" s="14"/>
      <c r="G850" s="14"/>
      <c r="H850" s="13"/>
      <c r="I850" s="13"/>
      <c r="J850" s="14"/>
      <c r="K850" s="13"/>
      <c r="M850" s="13"/>
    </row>
    <row r="851" spans="2:13" ht="12.75" customHeight="1" x14ac:dyDescent="0.25">
      <c r="B851" s="13"/>
      <c r="D851" s="13"/>
      <c r="E851" s="13"/>
      <c r="F851" s="14"/>
      <c r="G851" s="14"/>
      <c r="H851" s="13"/>
      <c r="I851" s="13"/>
      <c r="J851" s="14"/>
      <c r="K851" s="13"/>
      <c r="M851" s="13"/>
    </row>
    <row r="852" spans="2:13" ht="12.75" customHeight="1" x14ac:dyDescent="0.25">
      <c r="B852" s="13"/>
      <c r="D852" s="13"/>
      <c r="E852" s="13"/>
      <c r="F852" s="14"/>
      <c r="G852" s="14"/>
      <c r="H852" s="13"/>
      <c r="I852" s="13"/>
      <c r="J852" s="14"/>
      <c r="K852" s="13"/>
      <c r="M852" s="13"/>
    </row>
    <row r="853" spans="2:13" ht="12.75" customHeight="1" x14ac:dyDescent="0.25">
      <c r="B853" s="13"/>
      <c r="D853" s="13"/>
      <c r="E853" s="13"/>
      <c r="F853" s="14"/>
      <c r="G853" s="14"/>
      <c r="H853" s="13"/>
      <c r="I853" s="13"/>
      <c r="J853" s="14"/>
      <c r="K853" s="13"/>
      <c r="M853" s="13"/>
    </row>
    <row r="854" spans="2:13" ht="12.75" customHeight="1" x14ac:dyDescent="0.25">
      <c r="B854" s="13"/>
      <c r="D854" s="13"/>
      <c r="E854" s="13"/>
      <c r="F854" s="14"/>
      <c r="G854" s="14"/>
      <c r="H854" s="13"/>
      <c r="I854" s="13"/>
      <c r="J854" s="14"/>
      <c r="K854" s="13"/>
      <c r="M854" s="13"/>
    </row>
    <row r="855" spans="2:13" ht="12.75" customHeight="1" x14ac:dyDescent="0.25">
      <c r="B855" s="13"/>
      <c r="D855" s="13"/>
      <c r="E855" s="13"/>
      <c r="F855" s="14"/>
      <c r="G855" s="14"/>
      <c r="H855" s="13"/>
      <c r="I855" s="13"/>
      <c r="J855" s="14"/>
      <c r="K855" s="13"/>
      <c r="M855" s="13"/>
    </row>
    <row r="856" spans="2:13" ht="12.75" customHeight="1" x14ac:dyDescent="0.25">
      <c r="B856" s="13"/>
      <c r="D856" s="13"/>
      <c r="E856" s="13"/>
      <c r="F856" s="14"/>
      <c r="G856" s="14"/>
      <c r="H856" s="13"/>
      <c r="I856" s="13"/>
      <c r="J856" s="14"/>
      <c r="K856" s="13"/>
      <c r="M856" s="13"/>
    </row>
    <row r="857" spans="2:13" ht="12.75" customHeight="1" x14ac:dyDescent="0.25">
      <c r="B857" s="13"/>
      <c r="D857" s="13"/>
      <c r="E857" s="13"/>
      <c r="F857" s="14"/>
      <c r="G857" s="14"/>
      <c r="H857" s="13"/>
      <c r="I857" s="13"/>
      <c r="J857" s="14"/>
      <c r="K857" s="13"/>
      <c r="M857" s="13"/>
    </row>
    <row r="858" spans="2:13" ht="12.75" customHeight="1" x14ac:dyDescent="0.25">
      <c r="B858" s="13"/>
      <c r="D858" s="13"/>
      <c r="E858" s="13"/>
      <c r="F858" s="14"/>
      <c r="G858" s="14"/>
      <c r="H858" s="13"/>
      <c r="I858" s="13"/>
      <c r="J858" s="14"/>
      <c r="K858" s="13"/>
      <c r="M858" s="13"/>
    </row>
    <row r="859" spans="2:13" ht="12.75" customHeight="1" x14ac:dyDescent="0.25">
      <c r="B859" s="13"/>
      <c r="D859" s="13"/>
      <c r="E859" s="13"/>
      <c r="F859" s="14"/>
      <c r="G859" s="14"/>
      <c r="H859" s="13"/>
      <c r="I859" s="13"/>
      <c r="J859" s="14"/>
      <c r="K859" s="13"/>
      <c r="M859" s="13"/>
    </row>
    <row r="860" spans="2:13" ht="12.75" customHeight="1" x14ac:dyDescent="0.25">
      <c r="B860" s="13"/>
      <c r="D860" s="13"/>
      <c r="E860" s="13"/>
      <c r="F860" s="14"/>
      <c r="G860" s="14"/>
      <c r="H860" s="13"/>
      <c r="I860" s="13"/>
      <c r="J860" s="14"/>
      <c r="K860" s="13"/>
      <c r="M860" s="13"/>
    </row>
    <row r="861" spans="2:13" ht="12.75" customHeight="1" x14ac:dyDescent="0.25">
      <c r="B861" s="13"/>
      <c r="D861" s="13"/>
      <c r="E861" s="13"/>
      <c r="F861" s="14"/>
      <c r="G861" s="14"/>
      <c r="H861" s="13"/>
      <c r="I861" s="13"/>
      <c r="J861" s="14"/>
      <c r="K861" s="13"/>
      <c r="M861" s="13"/>
    </row>
    <row r="862" spans="2:13" ht="12.75" customHeight="1" x14ac:dyDescent="0.25">
      <c r="B862" s="13"/>
      <c r="D862" s="13"/>
      <c r="E862" s="13"/>
      <c r="F862" s="14"/>
      <c r="G862" s="14"/>
      <c r="H862" s="13"/>
      <c r="I862" s="13"/>
      <c r="J862" s="14"/>
      <c r="K862" s="13"/>
      <c r="M862" s="13"/>
    </row>
    <row r="863" spans="2:13" ht="12.75" customHeight="1" x14ac:dyDescent="0.25">
      <c r="B863" s="13"/>
      <c r="D863" s="13"/>
      <c r="E863" s="13"/>
      <c r="F863" s="14"/>
      <c r="G863" s="14"/>
      <c r="H863" s="13"/>
      <c r="I863" s="13"/>
      <c r="J863" s="14"/>
      <c r="K863" s="13"/>
      <c r="M863" s="13"/>
    </row>
    <row r="864" spans="2:13" ht="12.75" customHeight="1" x14ac:dyDescent="0.25">
      <c r="B864" s="13"/>
      <c r="D864" s="13"/>
      <c r="E864" s="13"/>
      <c r="F864" s="14"/>
      <c r="G864" s="14"/>
      <c r="H864" s="13"/>
      <c r="I864" s="13"/>
      <c r="J864" s="14"/>
      <c r="K864" s="13"/>
      <c r="M864" s="13"/>
    </row>
    <row r="865" spans="2:13" ht="12.75" customHeight="1" x14ac:dyDescent="0.25">
      <c r="B865" s="13"/>
      <c r="D865" s="13"/>
      <c r="E865" s="13"/>
      <c r="F865" s="14"/>
      <c r="G865" s="14"/>
      <c r="H865" s="13"/>
      <c r="I865" s="13"/>
      <c r="J865" s="14"/>
      <c r="K865" s="13"/>
      <c r="M865" s="13"/>
    </row>
    <row r="866" spans="2:13" ht="12.75" customHeight="1" x14ac:dyDescent="0.25">
      <c r="B866" s="13"/>
      <c r="D866" s="13"/>
      <c r="E866" s="13"/>
      <c r="F866" s="14"/>
      <c r="G866" s="14"/>
      <c r="H866" s="13"/>
      <c r="I866" s="13"/>
      <c r="J866" s="14"/>
      <c r="K866" s="13"/>
      <c r="M866" s="13"/>
    </row>
    <row r="867" spans="2:13" ht="12.75" customHeight="1" x14ac:dyDescent="0.25">
      <c r="B867" s="13"/>
      <c r="D867" s="13"/>
      <c r="E867" s="13"/>
      <c r="F867" s="14"/>
      <c r="G867" s="14"/>
      <c r="H867" s="13"/>
      <c r="I867" s="13"/>
      <c r="J867" s="14"/>
      <c r="K867" s="13"/>
      <c r="M867" s="13"/>
    </row>
    <row r="868" spans="2:13" ht="12.75" customHeight="1" x14ac:dyDescent="0.25">
      <c r="B868" s="13"/>
      <c r="D868" s="13"/>
      <c r="E868" s="13"/>
      <c r="F868" s="14"/>
      <c r="G868" s="14"/>
      <c r="H868" s="13"/>
      <c r="I868" s="13"/>
      <c r="J868" s="14"/>
      <c r="K868" s="13"/>
      <c r="M868" s="13"/>
    </row>
    <row r="869" spans="2:13" ht="12.75" customHeight="1" x14ac:dyDescent="0.25">
      <c r="B869" s="13"/>
      <c r="D869" s="13"/>
      <c r="E869" s="13"/>
      <c r="F869" s="14"/>
      <c r="G869" s="14"/>
      <c r="H869" s="13"/>
      <c r="I869" s="13"/>
      <c r="J869" s="14"/>
      <c r="K869" s="13"/>
      <c r="M869" s="13"/>
    </row>
    <row r="870" spans="2:13" ht="12.75" customHeight="1" x14ac:dyDescent="0.25">
      <c r="B870" s="13"/>
      <c r="D870" s="13"/>
      <c r="E870" s="13"/>
      <c r="F870" s="14"/>
      <c r="G870" s="14"/>
      <c r="H870" s="13"/>
      <c r="I870" s="13"/>
      <c r="J870" s="14"/>
      <c r="K870" s="13"/>
      <c r="M870" s="13"/>
    </row>
    <row r="871" spans="2:13" ht="12.75" customHeight="1" x14ac:dyDescent="0.25">
      <c r="B871" s="13"/>
      <c r="D871" s="13"/>
      <c r="E871" s="13"/>
      <c r="F871" s="14"/>
      <c r="G871" s="14"/>
      <c r="H871" s="13"/>
      <c r="I871" s="13"/>
      <c r="J871" s="14"/>
      <c r="K871" s="13"/>
      <c r="M871" s="13"/>
    </row>
    <row r="872" spans="2:13" ht="12.75" customHeight="1" x14ac:dyDescent="0.25">
      <c r="B872" s="13"/>
      <c r="D872" s="13"/>
      <c r="E872" s="13"/>
      <c r="F872" s="14"/>
      <c r="G872" s="14"/>
      <c r="H872" s="13"/>
      <c r="I872" s="13"/>
      <c r="J872" s="14"/>
      <c r="K872" s="13"/>
      <c r="M872" s="13"/>
    </row>
    <row r="873" spans="2:13" ht="12.75" customHeight="1" x14ac:dyDescent="0.25">
      <c r="B873" s="13"/>
      <c r="D873" s="13"/>
      <c r="E873" s="13"/>
      <c r="F873" s="14"/>
      <c r="G873" s="14"/>
      <c r="H873" s="13"/>
      <c r="I873" s="13"/>
      <c r="J873" s="14"/>
      <c r="K873" s="13"/>
      <c r="M873" s="13"/>
    </row>
    <row r="874" spans="2:13" ht="12.75" customHeight="1" x14ac:dyDescent="0.25">
      <c r="B874" s="13"/>
      <c r="D874" s="13"/>
      <c r="E874" s="13"/>
      <c r="F874" s="14"/>
      <c r="G874" s="14"/>
      <c r="H874" s="13"/>
      <c r="I874" s="13"/>
      <c r="J874" s="14"/>
      <c r="K874" s="13"/>
      <c r="M874" s="13"/>
    </row>
    <row r="875" spans="2:13" ht="12.75" customHeight="1" x14ac:dyDescent="0.25">
      <c r="B875" s="13"/>
      <c r="D875" s="13"/>
      <c r="E875" s="13"/>
      <c r="F875" s="14"/>
      <c r="G875" s="14"/>
      <c r="H875" s="13"/>
      <c r="I875" s="13"/>
      <c r="J875" s="14"/>
      <c r="K875" s="13"/>
      <c r="M875" s="13"/>
    </row>
    <row r="876" spans="2:13" ht="12.75" customHeight="1" x14ac:dyDescent="0.25">
      <c r="B876" s="13"/>
      <c r="D876" s="13"/>
      <c r="E876" s="13"/>
      <c r="F876" s="14"/>
      <c r="G876" s="14"/>
      <c r="H876" s="13"/>
      <c r="I876" s="13"/>
      <c r="J876" s="14"/>
      <c r="K876" s="13"/>
      <c r="M876" s="13"/>
    </row>
    <row r="877" spans="2:13" ht="12.75" customHeight="1" x14ac:dyDescent="0.25">
      <c r="B877" s="13"/>
      <c r="D877" s="13"/>
      <c r="E877" s="13"/>
      <c r="F877" s="14"/>
      <c r="G877" s="14"/>
      <c r="H877" s="13"/>
      <c r="I877" s="13"/>
      <c r="J877" s="14"/>
      <c r="K877" s="13"/>
      <c r="M877" s="13"/>
    </row>
    <row r="878" spans="2:13" ht="12.75" customHeight="1" x14ac:dyDescent="0.25">
      <c r="B878" s="13"/>
      <c r="D878" s="13"/>
      <c r="E878" s="13"/>
      <c r="F878" s="14"/>
      <c r="G878" s="14"/>
      <c r="H878" s="13"/>
      <c r="I878" s="13"/>
      <c r="J878" s="14"/>
      <c r="K878" s="13"/>
      <c r="M878" s="13"/>
    </row>
    <row r="879" spans="2:13" ht="12.75" customHeight="1" x14ac:dyDescent="0.25">
      <c r="B879" s="13"/>
      <c r="D879" s="13"/>
      <c r="E879" s="13"/>
      <c r="F879" s="14"/>
      <c r="G879" s="14"/>
      <c r="H879" s="13"/>
      <c r="I879" s="13"/>
      <c r="J879" s="14"/>
      <c r="K879" s="13"/>
      <c r="M879" s="13"/>
    </row>
    <row r="880" spans="2:13" ht="12.75" customHeight="1" x14ac:dyDescent="0.25">
      <c r="B880" s="13"/>
      <c r="D880" s="13"/>
      <c r="E880" s="13"/>
      <c r="F880" s="14"/>
      <c r="G880" s="14"/>
      <c r="H880" s="13"/>
      <c r="I880" s="13"/>
      <c r="J880" s="14"/>
      <c r="K880" s="13"/>
      <c r="M880" s="13"/>
    </row>
    <row r="881" spans="2:13" ht="12.75" customHeight="1" x14ac:dyDescent="0.25">
      <c r="B881" s="13"/>
      <c r="D881" s="13"/>
      <c r="E881" s="13"/>
      <c r="F881" s="14"/>
      <c r="G881" s="14"/>
      <c r="H881" s="13"/>
      <c r="I881" s="13"/>
      <c r="J881" s="14"/>
      <c r="K881" s="13"/>
      <c r="M881" s="13"/>
    </row>
    <row r="882" spans="2:13" ht="12.75" customHeight="1" x14ac:dyDescent="0.25">
      <c r="B882" s="13"/>
      <c r="D882" s="13"/>
      <c r="E882" s="13"/>
      <c r="F882" s="14"/>
      <c r="G882" s="14"/>
      <c r="H882" s="13"/>
      <c r="I882" s="13"/>
      <c r="J882" s="14"/>
      <c r="K882" s="13"/>
      <c r="M882" s="13"/>
    </row>
    <row r="883" spans="2:13" ht="12.75" customHeight="1" x14ac:dyDescent="0.25">
      <c r="B883" s="13"/>
      <c r="D883" s="13"/>
      <c r="E883" s="13"/>
      <c r="F883" s="14"/>
      <c r="G883" s="14"/>
      <c r="H883" s="13"/>
      <c r="I883" s="13"/>
      <c r="J883" s="14"/>
      <c r="K883" s="13"/>
      <c r="M883" s="13"/>
    </row>
    <row r="884" spans="2:13" ht="12.75" customHeight="1" x14ac:dyDescent="0.25">
      <c r="B884" s="13"/>
      <c r="D884" s="13"/>
      <c r="E884" s="13"/>
      <c r="F884" s="14"/>
      <c r="G884" s="14"/>
      <c r="H884" s="13"/>
      <c r="I884" s="13"/>
      <c r="J884" s="14"/>
      <c r="K884" s="13"/>
      <c r="M884" s="13"/>
    </row>
    <row r="885" spans="2:13" ht="12.75" customHeight="1" x14ac:dyDescent="0.25">
      <c r="B885" s="13"/>
      <c r="D885" s="13"/>
      <c r="E885" s="13"/>
      <c r="F885" s="14"/>
      <c r="G885" s="14"/>
      <c r="H885" s="13"/>
      <c r="I885" s="13"/>
      <c r="J885" s="14"/>
      <c r="K885" s="13"/>
      <c r="M885" s="13"/>
    </row>
    <row r="886" spans="2:13" ht="12.75" customHeight="1" x14ac:dyDescent="0.25">
      <c r="B886" s="13"/>
      <c r="D886" s="13"/>
      <c r="E886" s="13"/>
      <c r="F886" s="14"/>
      <c r="G886" s="14"/>
      <c r="H886" s="13"/>
      <c r="I886" s="13"/>
      <c r="J886" s="14"/>
      <c r="K886" s="13"/>
      <c r="M886" s="13"/>
    </row>
    <row r="887" spans="2:13" ht="12.75" customHeight="1" x14ac:dyDescent="0.25">
      <c r="B887" s="13"/>
      <c r="D887" s="13"/>
      <c r="E887" s="13"/>
      <c r="F887" s="14"/>
      <c r="G887" s="14"/>
      <c r="H887" s="13"/>
      <c r="I887" s="13"/>
      <c r="J887" s="14"/>
      <c r="K887" s="13"/>
      <c r="M887" s="13"/>
    </row>
    <row r="888" spans="2:13" ht="12.75" customHeight="1" x14ac:dyDescent="0.25">
      <c r="B888" s="13"/>
      <c r="D888" s="13"/>
      <c r="E888" s="13"/>
      <c r="F888" s="14"/>
      <c r="G888" s="14"/>
      <c r="H888" s="13"/>
      <c r="I888" s="13"/>
      <c r="J888" s="14"/>
      <c r="K888" s="13"/>
      <c r="M888" s="13"/>
    </row>
    <row r="889" spans="2:13" ht="12.75" customHeight="1" x14ac:dyDescent="0.25">
      <c r="B889" s="13"/>
      <c r="D889" s="13"/>
      <c r="E889" s="13"/>
      <c r="F889" s="14"/>
      <c r="G889" s="14"/>
      <c r="H889" s="13"/>
      <c r="I889" s="13"/>
      <c r="J889" s="14"/>
      <c r="K889" s="13"/>
      <c r="M889" s="13"/>
    </row>
    <row r="890" spans="2:13" ht="12.75" customHeight="1" x14ac:dyDescent="0.25">
      <c r="B890" s="13"/>
      <c r="D890" s="13"/>
      <c r="E890" s="13"/>
      <c r="F890" s="14"/>
      <c r="G890" s="14"/>
      <c r="H890" s="13"/>
      <c r="I890" s="13"/>
      <c r="J890" s="14"/>
      <c r="K890" s="13"/>
      <c r="M890" s="13"/>
    </row>
    <row r="891" spans="2:13" ht="12.75" customHeight="1" x14ac:dyDescent="0.25">
      <c r="B891" s="13"/>
      <c r="D891" s="13"/>
      <c r="E891" s="13"/>
      <c r="F891" s="14"/>
      <c r="G891" s="14"/>
      <c r="H891" s="13"/>
      <c r="I891" s="13"/>
      <c r="J891" s="14"/>
      <c r="K891" s="13"/>
      <c r="M891" s="13"/>
    </row>
    <row r="892" spans="2:13" ht="12.75" customHeight="1" x14ac:dyDescent="0.25">
      <c r="B892" s="13"/>
      <c r="D892" s="13"/>
      <c r="E892" s="13"/>
      <c r="F892" s="14"/>
      <c r="G892" s="14"/>
      <c r="H892" s="13"/>
      <c r="I892" s="13"/>
      <c r="J892" s="14"/>
      <c r="K892" s="13"/>
      <c r="M892" s="13"/>
    </row>
    <row r="893" spans="2:13" ht="12.75" customHeight="1" x14ac:dyDescent="0.25">
      <c r="B893" s="13"/>
      <c r="D893" s="13"/>
      <c r="E893" s="13"/>
      <c r="F893" s="14"/>
      <c r="G893" s="14"/>
      <c r="H893" s="13"/>
      <c r="I893" s="13"/>
      <c r="J893" s="14"/>
      <c r="K893" s="13"/>
      <c r="M893" s="13"/>
    </row>
    <row r="894" spans="2:13" ht="12.75" customHeight="1" x14ac:dyDescent="0.25">
      <c r="B894" s="13"/>
      <c r="D894" s="13"/>
      <c r="E894" s="13"/>
      <c r="F894" s="14"/>
      <c r="G894" s="14"/>
      <c r="H894" s="13"/>
      <c r="I894" s="13"/>
      <c r="J894" s="14"/>
      <c r="K894" s="13"/>
      <c r="M894" s="13"/>
    </row>
    <row r="895" spans="2:13" ht="12.75" customHeight="1" x14ac:dyDescent="0.25">
      <c r="B895" s="13"/>
      <c r="D895" s="13"/>
      <c r="E895" s="13"/>
      <c r="F895" s="14"/>
      <c r="G895" s="14"/>
      <c r="H895" s="13"/>
      <c r="I895" s="13"/>
      <c r="J895" s="14"/>
      <c r="K895" s="13"/>
      <c r="M895" s="13"/>
    </row>
    <row r="896" spans="2:13" ht="12.75" customHeight="1" x14ac:dyDescent="0.25">
      <c r="B896" s="13"/>
      <c r="D896" s="13"/>
      <c r="E896" s="13"/>
      <c r="F896" s="14"/>
      <c r="G896" s="14"/>
      <c r="H896" s="13"/>
      <c r="I896" s="13"/>
      <c r="J896" s="14"/>
      <c r="K896" s="13"/>
      <c r="M896" s="13"/>
    </row>
    <row r="897" spans="2:13" ht="12.75" customHeight="1" x14ac:dyDescent="0.25">
      <c r="B897" s="13"/>
      <c r="D897" s="13"/>
      <c r="E897" s="13"/>
      <c r="F897" s="14"/>
      <c r="G897" s="14"/>
      <c r="H897" s="13"/>
      <c r="I897" s="13"/>
      <c r="J897" s="14"/>
      <c r="K897" s="13"/>
      <c r="M897" s="13"/>
    </row>
    <row r="898" spans="2:13" ht="12.75" customHeight="1" x14ac:dyDescent="0.25">
      <c r="B898" s="13"/>
      <c r="D898" s="13"/>
      <c r="E898" s="13"/>
      <c r="F898" s="14"/>
      <c r="G898" s="14"/>
      <c r="H898" s="13"/>
      <c r="I898" s="13"/>
      <c r="J898" s="14"/>
      <c r="K898" s="13"/>
      <c r="M898" s="13"/>
    </row>
    <row r="899" spans="2:13" ht="12.75" customHeight="1" x14ac:dyDescent="0.25">
      <c r="B899" s="13"/>
      <c r="D899" s="13"/>
      <c r="E899" s="13"/>
      <c r="F899" s="14"/>
      <c r="G899" s="14"/>
      <c r="H899" s="13"/>
      <c r="I899" s="13"/>
      <c r="J899" s="14"/>
      <c r="K899" s="13"/>
      <c r="M899" s="13"/>
    </row>
    <row r="900" spans="2:13" ht="12.75" customHeight="1" x14ac:dyDescent="0.25">
      <c r="B900" s="13"/>
      <c r="D900" s="13"/>
      <c r="E900" s="13"/>
      <c r="F900" s="14"/>
      <c r="G900" s="14"/>
      <c r="H900" s="13"/>
      <c r="I900" s="13"/>
      <c r="J900" s="14"/>
      <c r="K900" s="13"/>
      <c r="M900" s="13"/>
    </row>
    <row r="901" spans="2:13" ht="12.75" customHeight="1" x14ac:dyDescent="0.25">
      <c r="B901" s="13"/>
      <c r="D901" s="13"/>
      <c r="E901" s="13"/>
      <c r="F901" s="14"/>
      <c r="G901" s="14"/>
      <c r="H901" s="13"/>
      <c r="I901" s="13"/>
      <c r="J901" s="14"/>
      <c r="K901" s="13"/>
      <c r="M901" s="13"/>
    </row>
    <row r="902" spans="2:13" ht="12.75" customHeight="1" x14ac:dyDescent="0.25">
      <c r="B902" s="13"/>
      <c r="D902" s="13"/>
      <c r="E902" s="13"/>
      <c r="F902" s="14"/>
      <c r="G902" s="14"/>
      <c r="H902" s="13"/>
      <c r="I902" s="13"/>
      <c r="J902" s="14"/>
      <c r="K902" s="13"/>
      <c r="M902" s="13"/>
    </row>
    <row r="903" spans="2:13" ht="12.75" customHeight="1" x14ac:dyDescent="0.25">
      <c r="B903" s="13"/>
      <c r="D903" s="13"/>
      <c r="E903" s="13"/>
      <c r="F903" s="14"/>
      <c r="G903" s="14"/>
      <c r="H903" s="13"/>
      <c r="I903" s="13"/>
      <c r="J903" s="14"/>
      <c r="K903" s="13"/>
      <c r="M903" s="13"/>
    </row>
    <row r="904" spans="2:13" ht="12.75" customHeight="1" x14ac:dyDescent="0.25">
      <c r="B904" s="13"/>
      <c r="D904" s="13"/>
      <c r="E904" s="13"/>
      <c r="F904" s="14"/>
      <c r="G904" s="14"/>
      <c r="H904" s="13"/>
      <c r="I904" s="13"/>
      <c r="J904" s="14"/>
      <c r="K904" s="13"/>
      <c r="M904" s="13"/>
    </row>
    <row r="905" spans="2:13" ht="12.75" customHeight="1" x14ac:dyDescent="0.25">
      <c r="B905" s="13"/>
      <c r="D905" s="13"/>
      <c r="E905" s="13"/>
      <c r="F905" s="14"/>
      <c r="G905" s="14"/>
      <c r="H905" s="13"/>
      <c r="I905" s="13"/>
      <c r="J905" s="14"/>
      <c r="K905" s="13"/>
      <c r="M905" s="13"/>
    </row>
    <row r="906" spans="2:13" ht="12.75" customHeight="1" x14ac:dyDescent="0.25">
      <c r="B906" s="13"/>
      <c r="D906" s="13"/>
      <c r="E906" s="13"/>
      <c r="F906" s="14"/>
      <c r="G906" s="14"/>
      <c r="H906" s="13"/>
      <c r="I906" s="13"/>
      <c r="J906" s="14"/>
      <c r="K906" s="13"/>
      <c r="M906" s="13"/>
    </row>
    <row r="907" spans="2:13" ht="12.75" customHeight="1" x14ac:dyDescent="0.25">
      <c r="B907" s="13"/>
      <c r="D907" s="13"/>
      <c r="E907" s="13"/>
      <c r="F907" s="14"/>
      <c r="G907" s="14"/>
      <c r="H907" s="13"/>
      <c r="I907" s="13"/>
      <c r="J907" s="14"/>
      <c r="K907" s="13"/>
      <c r="M907" s="13"/>
    </row>
    <row r="908" spans="2:13" ht="12.75" customHeight="1" x14ac:dyDescent="0.25">
      <c r="B908" s="13"/>
      <c r="D908" s="13"/>
      <c r="E908" s="13"/>
      <c r="F908" s="14"/>
      <c r="G908" s="14"/>
      <c r="H908" s="13"/>
      <c r="I908" s="13"/>
      <c r="J908" s="14"/>
      <c r="K908" s="13"/>
      <c r="M908" s="13"/>
    </row>
    <row r="909" spans="2:13" ht="12.75" customHeight="1" x14ac:dyDescent="0.25">
      <c r="B909" s="13"/>
      <c r="D909" s="13"/>
      <c r="E909" s="13"/>
      <c r="F909" s="14"/>
      <c r="G909" s="14"/>
      <c r="H909" s="13"/>
      <c r="I909" s="13"/>
      <c r="J909" s="14"/>
      <c r="K909" s="13"/>
      <c r="M909" s="13"/>
    </row>
    <row r="910" spans="2:13" ht="12.75" customHeight="1" x14ac:dyDescent="0.25">
      <c r="B910" s="13"/>
      <c r="D910" s="13"/>
      <c r="E910" s="13"/>
      <c r="F910" s="14"/>
      <c r="G910" s="14"/>
      <c r="H910" s="13"/>
      <c r="I910" s="13"/>
      <c r="J910" s="14"/>
      <c r="K910" s="13"/>
      <c r="M910" s="13"/>
    </row>
    <row r="911" spans="2:13" ht="12.75" customHeight="1" x14ac:dyDescent="0.25">
      <c r="B911" s="13"/>
      <c r="D911" s="13"/>
      <c r="E911" s="13"/>
      <c r="F911" s="14"/>
      <c r="G911" s="14"/>
      <c r="H911" s="13"/>
      <c r="I911" s="13"/>
      <c r="J911" s="14"/>
      <c r="K911" s="13"/>
      <c r="M911" s="13"/>
    </row>
    <row r="912" spans="2:13" ht="12.75" customHeight="1" x14ac:dyDescent="0.25">
      <c r="B912" s="13"/>
      <c r="D912" s="13"/>
      <c r="E912" s="13"/>
      <c r="F912" s="14"/>
      <c r="G912" s="14"/>
      <c r="H912" s="13"/>
      <c r="I912" s="13"/>
      <c r="J912" s="14"/>
      <c r="K912" s="13"/>
      <c r="M912" s="13"/>
    </row>
    <row r="913" spans="2:13" ht="12.75" customHeight="1" x14ac:dyDescent="0.25">
      <c r="B913" s="13"/>
      <c r="D913" s="13"/>
      <c r="E913" s="13"/>
      <c r="F913" s="14"/>
      <c r="G913" s="14"/>
      <c r="H913" s="13"/>
      <c r="I913" s="13"/>
      <c r="J913" s="14"/>
      <c r="K913" s="13"/>
      <c r="M913" s="13"/>
    </row>
    <row r="914" spans="2:13" ht="12.75" customHeight="1" x14ac:dyDescent="0.25">
      <c r="B914" s="13"/>
      <c r="D914" s="13"/>
      <c r="E914" s="13"/>
      <c r="F914" s="14"/>
      <c r="G914" s="14"/>
      <c r="H914" s="13"/>
      <c r="I914" s="13"/>
      <c r="J914" s="14"/>
      <c r="K914" s="13"/>
      <c r="M914" s="13"/>
    </row>
    <row r="915" spans="2:13" ht="12.75" customHeight="1" x14ac:dyDescent="0.25">
      <c r="B915" s="13"/>
      <c r="D915" s="13"/>
      <c r="E915" s="13"/>
      <c r="F915" s="14"/>
      <c r="G915" s="14"/>
      <c r="H915" s="13"/>
      <c r="I915" s="13"/>
      <c r="J915" s="14"/>
      <c r="K915" s="13"/>
      <c r="M915" s="13"/>
    </row>
    <row r="916" spans="2:13" ht="12.75" customHeight="1" x14ac:dyDescent="0.25">
      <c r="B916" s="13"/>
      <c r="D916" s="13"/>
      <c r="E916" s="13"/>
      <c r="F916" s="14"/>
      <c r="G916" s="14"/>
      <c r="H916" s="13"/>
      <c r="I916" s="13"/>
      <c r="J916" s="14"/>
      <c r="K916" s="13"/>
      <c r="M916" s="13"/>
    </row>
    <row r="917" spans="2:13" ht="12.75" customHeight="1" x14ac:dyDescent="0.25">
      <c r="B917" s="13"/>
      <c r="D917" s="13"/>
      <c r="E917" s="13"/>
      <c r="F917" s="14"/>
      <c r="G917" s="14"/>
      <c r="H917" s="13"/>
      <c r="I917" s="13"/>
      <c r="J917" s="14"/>
      <c r="K917" s="13"/>
      <c r="M917" s="13"/>
    </row>
    <row r="918" spans="2:13" ht="12.75" customHeight="1" x14ac:dyDescent="0.25">
      <c r="B918" s="13"/>
      <c r="D918" s="13"/>
      <c r="E918" s="13"/>
      <c r="F918" s="14"/>
      <c r="G918" s="14"/>
      <c r="H918" s="13"/>
      <c r="I918" s="13"/>
      <c r="J918" s="14"/>
      <c r="K918" s="13"/>
      <c r="M918" s="13"/>
    </row>
    <row r="919" spans="2:13" ht="12.75" customHeight="1" x14ac:dyDescent="0.25">
      <c r="B919" s="13"/>
      <c r="D919" s="13"/>
      <c r="E919" s="13"/>
      <c r="F919" s="14"/>
      <c r="G919" s="14"/>
      <c r="H919" s="13"/>
      <c r="I919" s="13"/>
      <c r="J919" s="14"/>
      <c r="K919" s="13"/>
      <c r="M919" s="13"/>
    </row>
    <row r="920" spans="2:13" ht="12.75" customHeight="1" x14ac:dyDescent="0.25">
      <c r="B920" s="13"/>
      <c r="D920" s="13"/>
      <c r="E920" s="13"/>
      <c r="F920" s="14"/>
      <c r="G920" s="14"/>
      <c r="H920" s="13"/>
      <c r="I920" s="13"/>
      <c r="J920" s="14"/>
      <c r="K920" s="13"/>
      <c r="M920" s="13"/>
    </row>
    <row r="921" spans="2:13" ht="12.75" customHeight="1" x14ac:dyDescent="0.25">
      <c r="B921" s="13"/>
      <c r="D921" s="13"/>
      <c r="E921" s="13"/>
      <c r="F921" s="14"/>
      <c r="G921" s="14"/>
      <c r="H921" s="13"/>
      <c r="I921" s="13"/>
      <c r="J921" s="14"/>
      <c r="K921" s="13"/>
      <c r="M921" s="13"/>
    </row>
    <row r="922" spans="2:13" ht="12.75" customHeight="1" x14ac:dyDescent="0.25">
      <c r="B922" s="13"/>
      <c r="D922" s="13"/>
      <c r="E922" s="13"/>
      <c r="F922" s="14"/>
      <c r="G922" s="14"/>
      <c r="H922" s="13"/>
      <c r="I922" s="13"/>
      <c r="J922" s="14"/>
      <c r="K922" s="13"/>
      <c r="M922" s="13"/>
    </row>
    <row r="923" spans="2:13" ht="12.75" customHeight="1" x14ac:dyDescent="0.25">
      <c r="B923" s="13"/>
      <c r="D923" s="13"/>
      <c r="E923" s="13"/>
      <c r="F923" s="14"/>
      <c r="G923" s="14"/>
      <c r="H923" s="13"/>
      <c r="I923" s="13"/>
      <c r="J923" s="14"/>
      <c r="K923" s="13"/>
      <c r="M923" s="13"/>
    </row>
    <row r="924" spans="2:13" ht="12.75" customHeight="1" x14ac:dyDescent="0.25">
      <c r="B924" s="13"/>
      <c r="D924" s="13"/>
      <c r="E924" s="13"/>
      <c r="F924" s="14"/>
      <c r="G924" s="14"/>
      <c r="H924" s="13"/>
      <c r="I924" s="13"/>
      <c r="J924" s="14"/>
      <c r="K924" s="13"/>
      <c r="M924" s="13"/>
    </row>
    <row r="925" spans="2:13" ht="12.75" customHeight="1" x14ac:dyDescent="0.25">
      <c r="B925" s="13"/>
      <c r="D925" s="13"/>
      <c r="E925" s="13"/>
      <c r="F925" s="14"/>
      <c r="G925" s="14"/>
      <c r="H925" s="13"/>
      <c r="I925" s="13"/>
      <c r="J925" s="14"/>
      <c r="K925" s="13"/>
      <c r="M925" s="13"/>
    </row>
    <row r="926" spans="2:13" ht="12.75" customHeight="1" x14ac:dyDescent="0.25">
      <c r="B926" s="13"/>
      <c r="D926" s="13"/>
      <c r="E926" s="13"/>
      <c r="F926" s="14"/>
      <c r="G926" s="14"/>
      <c r="H926" s="13"/>
      <c r="I926" s="13"/>
      <c r="J926" s="14"/>
      <c r="K926" s="13"/>
      <c r="M926" s="13"/>
    </row>
    <row r="927" spans="2:13" ht="12.75" customHeight="1" x14ac:dyDescent="0.25">
      <c r="B927" s="13"/>
      <c r="D927" s="13"/>
      <c r="E927" s="13"/>
      <c r="F927" s="14"/>
      <c r="G927" s="14"/>
      <c r="H927" s="13"/>
      <c r="I927" s="13"/>
      <c r="J927" s="14"/>
      <c r="K927" s="13"/>
      <c r="M927" s="13"/>
    </row>
    <row r="928" spans="2:13" ht="12.75" customHeight="1" x14ac:dyDescent="0.25">
      <c r="B928" s="13"/>
      <c r="D928" s="13"/>
      <c r="E928" s="13"/>
      <c r="F928" s="14"/>
      <c r="G928" s="14"/>
      <c r="H928" s="13"/>
      <c r="I928" s="13"/>
      <c r="J928" s="14"/>
      <c r="K928" s="13"/>
      <c r="M928" s="13"/>
    </row>
    <row r="929" spans="2:13" ht="12.75" customHeight="1" x14ac:dyDescent="0.25">
      <c r="B929" s="13"/>
      <c r="D929" s="13"/>
      <c r="E929" s="13"/>
      <c r="F929" s="14"/>
      <c r="G929" s="14"/>
      <c r="H929" s="13"/>
      <c r="I929" s="13"/>
      <c r="J929" s="14"/>
      <c r="K929" s="13"/>
      <c r="M929" s="13"/>
    </row>
    <row r="930" spans="2:13" ht="12.75" customHeight="1" x14ac:dyDescent="0.25">
      <c r="B930" s="13"/>
      <c r="D930" s="13"/>
      <c r="E930" s="13"/>
      <c r="F930" s="14"/>
      <c r="G930" s="14"/>
      <c r="H930" s="13"/>
      <c r="I930" s="13"/>
      <c r="J930" s="14"/>
      <c r="K930" s="13"/>
      <c r="M930" s="13"/>
    </row>
    <row r="931" spans="2:13" ht="12.75" customHeight="1" x14ac:dyDescent="0.25">
      <c r="B931" s="13"/>
      <c r="D931" s="13"/>
      <c r="E931" s="13"/>
      <c r="F931" s="14"/>
      <c r="G931" s="14"/>
      <c r="H931" s="13"/>
      <c r="I931" s="13"/>
      <c r="J931" s="14"/>
      <c r="K931" s="13"/>
      <c r="M931" s="13"/>
    </row>
    <row r="932" spans="2:13" ht="12.75" customHeight="1" x14ac:dyDescent="0.25">
      <c r="B932" s="13"/>
      <c r="D932" s="13"/>
      <c r="E932" s="13"/>
      <c r="F932" s="14"/>
      <c r="G932" s="14"/>
      <c r="H932" s="13"/>
      <c r="I932" s="13"/>
      <c r="J932" s="14"/>
      <c r="K932" s="13"/>
      <c r="M932" s="13"/>
    </row>
    <row r="933" spans="2:13" ht="12.75" customHeight="1" x14ac:dyDescent="0.25">
      <c r="B933" s="13"/>
      <c r="D933" s="13"/>
      <c r="E933" s="13"/>
      <c r="F933" s="14"/>
      <c r="G933" s="14"/>
      <c r="H933" s="13"/>
      <c r="I933" s="13"/>
      <c r="J933" s="14"/>
      <c r="K933" s="13"/>
      <c r="M933" s="13"/>
    </row>
    <row r="934" spans="2:13" ht="12.75" customHeight="1" x14ac:dyDescent="0.25">
      <c r="B934" s="13"/>
      <c r="D934" s="13"/>
      <c r="E934" s="13"/>
      <c r="F934" s="14"/>
      <c r="G934" s="14"/>
      <c r="H934" s="13"/>
      <c r="I934" s="13"/>
      <c r="J934" s="14"/>
      <c r="K934" s="13"/>
      <c r="M934" s="13"/>
    </row>
    <row r="935" spans="2:13" ht="12.75" customHeight="1" x14ac:dyDescent="0.25">
      <c r="B935" s="13"/>
      <c r="D935" s="13"/>
      <c r="E935" s="13"/>
      <c r="F935" s="14"/>
      <c r="G935" s="14"/>
      <c r="H935" s="13"/>
      <c r="I935" s="13"/>
      <c r="J935" s="14"/>
      <c r="K935" s="13"/>
      <c r="M935" s="13"/>
    </row>
    <row r="936" spans="2:13" ht="12.75" customHeight="1" x14ac:dyDescent="0.25">
      <c r="B936" s="13"/>
      <c r="D936" s="13"/>
      <c r="E936" s="13"/>
      <c r="F936" s="14"/>
      <c r="G936" s="14"/>
      <c r="H936" s="13"/>
      <c r="I936" s="13"/>
      <c r="J936" s="14"/>
      <c r="K936" s="13"/>
      <c r="M936" s="13"/>
    </row>
    <row r="937" spans="2:13" ht="12.75" customHeight="1" x14ac:dyDescent="0.25">
      <c r="B937" s="13"/>
      <c r="D937" s="13"/>
      <c r="E937" s="13"/>
      <c r="F937" s="14"/>
      <c r="G937" s="14"/>
      <c r="H937" s="13"/>
      <c r="I937" s="13"/>
      <c r="J937" s="14"/>
      <c r="K937" s="13"/>
      <c r="M937" s="13"/>
    </row>
    <row r="938" spans="2:13" ht="12.75" customHeight="1" x14ac:dyDescent="0.25">
      <c r="B938" s="13"/>
      <c r="D938" s="13"/>
      <c r="E938" s="13"/>
      <c r="F938" s="14"/>
      <c r="G938" s="14"/>
      <c r="H938" s="13"/>
      <c r="I938" s="13"/>
      <c r="J938" s="14"/>
      <c r="K938" s="13"/>
      <c r="M938" s="13"/>
    </row>
    <row r="939" spans="2:13" ht="12.75" customHeight="1" x14ac:dyDescent="0.25">
      <c r="B939" s="13"/>
      <c r="D939" s="13"/>
      <c r="E939" s="13"/>
      <c r="F939" s="14"/>
      <c r="G939" s="14"/>
      <c r="H939" s="13"/>
      <c r="I939" s="13"/>
      <c r="J939" s="14"/>
      <c r="K939" s="13"/>
      <c r="M939" s="13"/>
    </row>
    <row r="940" spans="2:13" ht="12.75" customHeight="1" x14ac:dyDescent="0.25">
      <c r="B940" s="13"/>
      <c r="D940" s="13"/>
      <c r="E940" s="13"/>
      <c r="F940" s="14"/>
      <c r="G940" s="14"/>
      <c r="H940" s="13"/>
      <c r="I940" s="13"/>
      <c r="J940" s="14"/>
      <c r="K940" s="13"/>
      <c r="M940" s="13"/>
    </row>
    <row r="941" spans="2:13" ht="12.75" customHeight="1" x14ac:dyDescent="0.25">
      <c r="B941" s="13"/>
      <c r="D941" s="13"/>
      <c r="E941" s="13"/>
      <c r="F941" s="14"/>
      <c r="G941" s="14"/>
      <c r="H941" s="13"/>
      <c r="I941" s="13"/>
      <c r="J941" s="14"/>
      <c r="K941" s="13"/>
      <c r="M941" s="13"/>
    </row>
    <row r="942" spans="2:13" ht="12.75" customHeight="1" x14ac:dyDescent="0.25">
      <c r="B942" s="13"/>
      <c r="D942" s="13"/>
      <c r="E942" s="13"/>
      <c r="F942" s="14"/>
      <c r="G942" s="14"/>
      <c r="H942" s="13"/>
      <c r="I942" s="13"/>
      <c r="J942" s="14"/>
      <c r="K942" s="13"/>
      <c r="M942" s="13"/>
    </row>
    <row r="943" spans="2:13" ht="12.75" customHeight="1" x14ac:dyDescent="0.25">
      <c r="B943" s="13"/>
      <c r="D943" s="13"/>
      <c r="E943" s="13"/>
      <c r="F943" s="14"/>
      <c r="G943" s="14"/>
      <c r="H943" s="13"/>
      <c r="I943" s="13"/>
      <c r="J943" s="14"/>
      <c r="K943" s="13"/>
      <c r="M943" s="13"/>
    </row>
    <row r="944" spans="2:13" ht="12.75" customHeight="1" x14ac:dyDescent="0.25">
      <c r="B944" s="13"/>
      <c r="D944" s="13"/>
      <c r="E944" s="13"/>
      <c r="F944" s="14"/>
      <c r="G944" s="14"/>
      <c r="H944" s="13"/>
      <c r="I944" s="13"/>
      <c r="J944" s="14"/>
      <c r="K944" s="13"/>
      <c r="M944" s="13"/>
    </row>
    <row r="945" spans="2:13" ht="12.75" customHeight="1" x14ac:dyDescent="0.25">
      <c r="B945" s="13"/>
      <c r="D945" s="13"/>
      <c r="E945" s="13"/>
      <c r="F945" s="14"/>
      <c r="G945" s="14"/>
      <c r="H945" s="13"/>
      <c r="I945" s="13"/>
      <c r="J945" s="14"/>
      <c r="K945" s="13"/>
      <c r="M945" s="13"/>
    </row>
    <row r="946" spans="2:13" ht="12.75" customHeight="1" x14ac:dyDescent="0.25">
      <c r="B946" s="13"/>
      <c r="D946" s="13"/>
      <c r="E946" s="13"/>
      <c r="F946" s="14"/>
      <c r="G946" s="14"/>
      <c r="H946" s="13"/>
      <c r="I946" s="13"/>
      <c r="J946" s="14"/>
      <c r="K946" s="13"/>
      <c r="M946" s="13"/>
    </row>
    <row r="947" spans="2:13" ht="12.75" customHeight="1" x14ac:dyDescent="0.25">
      <c r="B947" s="13"/>
      <c r="D947" s="13"/>
      <c r="E947" s="13"/>
      <c r="F947" s="14"/>
      <c r="G947" s="14"/>
      <c r="H947" s="13"/>
      <c r="I947" s="13"/>
      <c r="J947" s="14"/>
      <c r="K947" s="13"/>
      <c r="M947" s="13"/>
    </row>
    <row r="948" spans="2:13" ht="12.75" customHeight="1" x14ac:dyDescent="0.25">
      <c r="B948" s="13"/>
      <c r="D948" s="13"/>
      <c r="E948" s="13"/>
      <c r="F948" s="14"/>
      <c r="G948" s="14"/>
      <c r="H948" s="13"/>
      <c r="I948" s="13"/>
      <c r="J948" s="14"/>
      <c r="K948" s="13"/>
      <c r="M948" s="13"/>
    </row>
    <row r="949" spans="2:13" ht="12.75" customHeight="1" x14ac:dyDescent="0.25">
      <c r="B949" s="13"/>
      <c r="D949" s="13"/>
      <c r="E949" s="13"/>
      <c r="F949" s="14"/>
      <c r="G949" s="14"/>
      <c r="H949" s="13"/>
      <c r="I949" s="13"/>
      <c r="J949" s="14"/>
      <c r="K949" s="13"/>
      <c r="M949" s="13"/>
    </row>
    <row r="950" spans="2:13" ht="12.75" customHeight="1" x14ac:dyDescent="0.25">
      <c r="B950" s="13"/>
      <c r="D950" s="13"/>
      <c r="E950" s="13"/>
      <c r="F950" s="14"/>
      <c r="G950" s="14"/>
      <c r="H950" s="13"/>
      <c r="I950" s="13"/>
      <c r="J950" s="14"/>
      <c r="K950" s="13"/>
      <c r="M950" s="13"/>
    </row>
    <row r="951" spans="2:13" ht="12.75" customHeight="1" x14ac:dyDescent="0.25">
      <c r="B951" s="13"/>
      <c r="D951" s="13"/>
      <c r="E951" s="13"/>
      <c r="F951" s="14"/>
      <c r="G951" s="14"/>
      <c r="H951" s="13"/>
      <c r="I951" s="13"/>
      <c r="J951" s="14"/>
      <c r="K951" s="13"/>
      <c r="M951" s="13"/>
    </row>
    <row r="952" spans="2:13" ht="12.75" customHeight="1" x14ac:dyDescent="0.25">
      <c r="B952" s="13"/>
      <c r="D952" s="13"/>
      <c r="E952" s="13"/>
      <c r="F952" s="14"/>
      <c r="G952" s="14"/>
      <c r="H952" s="13"/>
      <c r="I952" s="13"/>
      <c r="J952" s="14"/>
      <c r="K952" s="13"/>
      <c r="M952" s="13"/>
    </row>
    <row r="953" spans="2:13" ht="12.75" customHeight="1" x14ac:dyDescent="0.25">
      <c r="B953" s="13"/>
      <c r="D953" s="13"/>
      <c r="E953" s="13"/>
      <c r="F953" s="14"/>
      <c r="G953" s="14"/>
      <c r="H953" s="13"/>
      <c r="I953" s="13"/>
      <c r="J953" s="14"/>
      <c r="K953" s="13"/>
      <c r="M953" s="13"/>
    </row>
    <row r="954" spans="2:13" ht="12.75" customHeight="1" x14ac:dyDescent="0.25">
      <c r="B954" s="13"/>
      <c r="D954" s="13"/>
      <c r="E954" s="13"/>
      <c r="F954" s="14"/>
      <c r="G954" s="14"/>
      <c r="H954" s="13"/>
      <c r="I954" s="13"/>
      <c r="J954" s="14"/>
      <c r="K954" s="13"/>
      <c r="M954" s="13"/>
    </row>
    <row r="955" spans="2:13" ht="12.75" customHeight="1" x14ac:dyDescent="0.25">
      <c r="B955" s="13"/>
      <c r="D955" s="13"/>
      <c r="E955" s="13"/>
      <c r="F955" s="14"/>
      <c r="G955" s="14"/>
      <c r="H955" s="13"/>
      <c r="I955" s="13"/>
      <c r="J955" s="14"/>
      <c r="K955" s="13"/>
      <c r="M955" s="13"/>
    </row>
    <row r="956" spans="2:13" ht="12.75" customHeight="1" x14ac:dyDescent="0.25">
      <c r="B956" s="13"/>
      <c r="D956" s="13"/>
      <c r="E956" s="13"/>
      <c r="F956" s="14"/>
      <c r="G956" s="14"/>
      <c r="H956" s="13"/>
      <c r="I956" s="13"/>
      <c r="J956" s="14"/>
      <c r="K956" s="13"/>
      <c r="M956" s="13"/>
    </row>
    <row r="957" spans="2:13" ht="12.75" customHeight="1" x14ac:dyDescent="0.25">
      <c r="B957" s="13"/>
      <c r="D957" s="13"/>
      <c r="E957" s="13"/>
      <c r="F957" s="14"/>
      <c r="G957" s="14"/>
      <c r="H957" s="13"/>
      <c r="I957" s="13"/>
      <c r="J957" s="14"/>
      <c r="K957" s="13"/>
      <c r="M957" s="13"/>
    </row>
    <row r="958" spans="2:13" ht="12.75" customHeight="1" x14ac:dyDescent="0.25">
      <c r="B958" s="13"/>
      <c r="D958" s="13"/>
      <c r="E958" s="13"/>
      <c r="F958" s="14"/>
      <c r="G958" s="14"/>
      <c r="H958" s="13"/>
      <c r="I958" s="13"/>
      <c r="J958" s="14"/>
      <c r="K958" s="13"/>
      <c r="M958" s="13"/>
    </row>
    <row r="959" spans="2:13" ht="12.75" customHeight="1" x14ac:dyDescent="0.25">
      <c r="B959" s="13"/>
      <c r="D959" s="13"/>
      <c r="E959" s="13"/>
      <c r="F959" s="14"/>
      <c r="G959" s="14"/>
      <c r="H959" s="13"/>
      <c r="I959" s="13"/>
      <c r="J959" s="14"/>
      <c r="K959" s="13"/>
      <c r="M959" s="13"/>
    </row>
    <row r="960" spans="2:13" ht="12.75" customHeight="1" x14ac:dyDescent="0.25">
      <c r="B960" s="13"/>
      <c r="D960" s="13"/>
      <c r="E960" s="13"/>
      <c r="F960" s="14"/>
      <c r="G960" s="14"/>
      <c r="H960" s="13"/>
      <c r="I960" s="13"/>
      <c r="J960" s="14"/>
      <c r="K960" s="13"/>
      <c r="M960" s="13"/>
    </row>
    <row r="961" spans="2:13" ht="12.75" customHeight="1" x14ac:dyDescent="0.25">
      <c r="B961" s="13"/>
      <c r="D961" s="13"/>
      <c r="E961" s="13"/>
      <c r="F961" s="14"/>
      <c r="G961" s="14"/>
      <c r="H961" s="13"/>
      <c r="I961" s="13"/>
      <c r="J961" s="14"/>
      <c r="K961" s="13"/>
      <c r="M961" s="13"/>
    </row>
    <row r="962" spans="2:13" ht="12.75" customHeight="1" x14ac:dyDescent="0.25">
      <c r="B962" s="13"/>
      <c r="D962" s="13"/>
      <c r="E962" s="13"/>
      <c r="F962" s="14"/>
      <c r="G962" s="14"/>
      <c r="H962" s="13"/>
      <c r="I962" s="13"/>
      <c r="J962" s="14"/>
      <c r="K962" s="13"/>
      <c r="M962" s="13"/>
    </row>
    <row r="963" spans="2:13" ht="12.75" customHeight="1" x14ac:dyDescent="0.25">
      <c r="B963" s="13"/>
      <c r="D963" s="13"/>
      <c r="E963" s="13"/>
      <c r="F963" s="14"/>
      <c r="G963" s="14"/>
      <c r="H963" s="13"/>
      <c r="I963" s="13"/>
      <c r="J963" s="14"/>
      <c r="K963" s="13"/>
      <c r="M963" s="13"/>
    </row>
    <row r="964" spans="2:13" ht="12.75" customHeight="1" x14ac:dyDescent="0.25">
      <c r="B964" s="13"/>
      <c r="D964" s="13"/>
      <c r="E964" s="13"/>
      <c r="F964" s="14"/>
      <c r="G964" s="14"/>
      <c r="H964" s="13"/>
      <c r="I964" s="13"/>
      <c r="J964" s="14"/>
      <c r="K964" s="13"/>
      <c r="M964" s="13"/>
    </row>
    <row r="965" spans="2:13" ht="12.75" customHeight="1" x14ac:dyDescent="0.25">
      <c r="B965" s="13"/>
      <c r="D965" s="13"/>
      <c r="E965" s="13"/>
      <c r="F965" s="14"/>
      <c r="G965" s="14"/>
      <c r="H965" s="13"/>
      <c r="I965" s="13"/>
      <c r="J965" s="14"/>
      <c r="K965" s="13"/>
      <c r="M965" s="13"/>
    </row>
    <row r="966" spans="2:13" ht="12.75" customHeight="1" x14ac:dyDescent="0.25">
      <c r="B966" s="13"/>
      <c r="D966" s="13"/>
      <c r="E966" s="13"/>
      <c r="F966" s="14"/>
      <c r="G966" s="14"/>
      <c r="H966" s="13"/>
      <c r="I966" s="13"/>
      <c r="J966" s="14"/>
      <c r="K966" s="13"/>
      <c r="M966" s="13"/>
    </row>
    <row r="967" spans="2:13" ht="12.75" customHeight="1" x14ac:dyDescent="0.25">
      <c r="B967" s="13"/>
      <c r="D967" s="13"/>
      <c r="E967" s="13"/>
      <c r="F967" s="14"/>
      <c r="G967" s="14"/>
      <c r="H967" s="13"/>
      <c r="I967" s="13"/>
      <c r="J967" s="14"/>
      <c r="K967" s="13"/>
      <c r="M967" s="13"/>
    </row>
    <row r="968" spans="2:13" ht="12.75" customHeight="1" x14ac:dyDescent="0.25">
      <c r="B968" s="13"/>
      <c r="D968" s="13"/>
      <c r="E968" s="13"/>
      <c r="F968" s="14"/>
      <c r="G968" s="14"/>
      <c r="H968" s="13"/>
      <c r="I968" s="13"/>
      <c r="J968" s="14"/>
      <c r="K968" s="13"/>
      <c r="M968" s="13"/>
    </row>
    <row r="969" spans="2:13" ht="12.75" customHeight="1" x14ac:dyDescent="0.25">
      <c r="B969" s="13"/>
      <c r="D969" s="13"/>
      <c r="E969" s="13"/>
      <c r="F969" s="14"/>
      <c r="G969" s="14"/>
      <c r="H969" s="13"/>
      <c r="I969" s="13"/>
      <c r="J969" s="14"/>
      <c r="K969" s="13"/>
      <c r="M969" s="13"/>
    </row>
    <row r="970" spans="2:13" ht="12.75" customHeight="1" x14ac:dyDescent="0.25">
      <c r="B970" s="13"/>
      <c r="D970" s="13"/>
      <c r="E970" s="13"/>
      <c r="F970" s="14"/>
      <c r="G970" s="14"/>
      <c r="H970" s="13"/>
      <c r="I970" s="13"/>
      <c r="J970" s="14"/>
      <c r="K970" s="13"/>
      <c r="M970" s="13"/>
    </row>
    <row r="971" spans="2:13" ht="12.75" customHeight="1" x14ac:dyDescent="0.25">
      <c r="B971" s="13"/>
      <c r="D971" s="13"/>
      <c r="E971" s="13"/>
      <c r="F971" s="14"/>
      <c r="G971" s="14"/>
      <c r="H971" s="13"/>
      <c r="I971" s="13"/>
      <c r="J971" s="14"/>
      <c r="K971" s="13"/>
      <c r="M971" s="13"/>
    </row>
    <row r="972" spans="2:13" ht="12.75" customHeight="1" x14ac:dyDescent="0.25">
      <c r="B972" s="13"/>
      <c r="D972" s="13"/>
      <c r="E972" s="13"/>
      <c r="F972" s="14"/>
      <c r="G972" s="14"/>
      <c r="H972" s="13"/>
      <c r="I972" s="13"/>
      <c r="J972" s="14"/>
      <c r="K972" s="13"/>
      <c r="M972" s="13"/>
    </row>
    <row r="973" spans="2:13" ht="12.75" customHeight="1" x14ac:dyDescent="0.25">
      <c r="B973" s="13"/>
      <c r="D973" s="13"/>
      <c r="E973" s="13"/>
      <c r="F973" s="14"/>
      <c r="G973" s="14"/>
      <c r="H973" s="13"/>
      <c r="I973" s="13"/>
      <c r="J973" s="14"/>
      <c r="K973" s="13"/>
      <c r="M973" s="13"/>
    </row>
    <row r="974" spans="2:13" ht="12.75" customHeight="1" x14ac:dyDescent="0.25">
      <c r="B974" s="13"/>
      <c r="D974" s="13"/>
      <c r="E974" s="13"/>
      <c r="F974" s="14"/>
      <c r="G974" s="14"/>
      <c r="H974" s="13"/>
      <c r="I974" s="13"/>
      <c r="J974" s="14"/>
      <c r="K974" s="13"/>
      <c r="M974" s="13"/>
    </row>
    <row r="975" spans="2:13" ht="12.75" customHeight="1" x14ac:dyDescent="0.25">
      <c r="B975" s="13"/>
      <c r="D975" s="13"/>
      <c r="E975" s="13"/>
      <c r="F975" s="14"/>
      <c r="G975" s="14"/>
      <c r="H975" s="13"/>
      <c r="I975" s="13"/>
      <c r="J975" s="14"/>
      <c r="K975" s="13"/>
      <c r="M975" s="13"/>
    </row>
    <row r="976" spans="2:13" ht="12.75" customHeight="1" x14ac:dyDescent="0.25">
      <c r="B976" s="13"/>
      <c r="D976" s="13"/>
      <c r="E976" s="13"/>
      <c r="F976" s="14"/>
      <c r="G976" s="14"/>
      <c r="H976" s="13"/>
      <c r="I976" s="13"/>
      <c r="J976" s="14"/>
      <c r="K976" s="13"/>
      <c r="M976" s="13"/>
    </row>
    <row r="977" spans="2:13" ht="12.75" customHeight="1" x14ac:dyDescent="0.25">
      <c r="B977" s="13"/>
      <c r="D977" s="13"/>
      <c r="E977" s="13"/>
      <c r="F977" s="14"/>
      <c r="G977" s="14"/>
      <c r="H977" s="13"/>
      <c r="I977" s="13"/>
      <c r="J977" s="14"/>
      <c r="K977" s="13"/>
      <c r="M977" s="13"/>
    </row>
    <row r="978" spans="2:13" ht="12.75" customHeight="1" x14ac:dyDescent="0.25">
      <c r="B978" s="13"/>
      <c r="D978" s="13"/>
      <c r="E978" s="13"/>
      <c r="F978" s="14"/>
      <c r="G978" s="14"/>
      <c r="H978" s="13"/>
      <c r="I978" s="13"/>
      <c r="J978" s="14"/>
      <c r="K978" s="13"/>
      <c r="M978" s="13"/>
    </row>
    <row r="979" spans="2:13" ht="12.75" customHeight="1" x14ac:dyDescent="0.25">
      <c r="B979" s="13"/>
      <c r="D979" s="13"/>
      <c r="E979" s="13"/>
      <c r="F979" s="14"/>
      <c r="G979" s="14"/>
      <c r="H979" s="13"/>
      <c r="I979" s="13"/>
      <c r="J979" s="14"/>
      <c r="K979" s="13"/>
      <c r="M979" s="13"/>
    </row>
    <row r="980" spans="2:13" ht="12.75" customHeight="1" x14ac:dyDescent="0.25">
      <c r="B980" s="13"/>
      <c r="D980" s="13"/>
      <c r="E980" s="13"/>
      <c r="F980" s="14"/>
      <c r="G980" s="14"/>
      <c r="H980" s="13"/>
      <c r="I980" s="13"/>
      <c r="J980" s="14"/>
      <c r="K980" s="13"/>
      <c r="M980" s="13"/>
    </row>
    <row r="981" spans="2:13" ht="12.75" customHeight="1" x14ac:dyDescent="0.25">
      <c r="B981" s="13"/>
      <c r="D981" s="13"/>
      <c r="E981" s="13"/>
      <c r="F981" s="14"/>
      <c r="G981" s="14"/>
      <c r="H981" s="13"/>
      <c r="I981" s="13"/>
      <c r="J981" s="14"/>
      <c r="K981" s="13"/>
      <c r="M981" s="13"/>
    </row>
    <row r="982" spans="2:13" ht="12.75" customHeight="1" x14ac:dyDescent="0.25">
      <c r="B982" s="13"/>
      <c r="D982" s="13"/>
      <c r="E982" s="13"/>
      <c r="F982" s="14"/>
      <c r="G982" s="14"/>
      <c r="H982" s="13"/>
      <c r="I982" s="13"/>
      <c r="J982" s="14"/>
      <c r="K982" s="13"/>
      <c r="M982" s="13"/>
    </row>
    <row r="983" spans="2:13" ht="12.75" customHeight="1" x14ac:dyDescent="0.25">
      <c r="B983" s="13"/>
      <c r="D983" s="13"/>
      <c r="E983" s="13"/>
      <c r="F983" s="14"/>
      <c r="G983" s="14"/>
      <c r="H983" s="13"/>
      <c r="I983" s="13"/>
      <c r="J983" s="14"/>
      <c r="K983" s="13"/>
      <c r="M983" s="13"/>
    </row>
    <row r="984" spans="2:13" ht="12.75" customHeight="1" x14ac:dyDescent="0.25">
      <c r="B984" s="13"/>
      <c r="D984" s="13"/>
      <c r="E984" s="13"/>
      <c r="F984" s="14"/>
      <c r="G984" s="14"/>
      <c r="H984" s="13"/>
      <c r="I984" s="13"/>
      <c r="J984" s="14"/>
      <c r="K984" s="13"/>
      <c r="M984" s="13"/>
    </row>
    <row r="985" spans="2:13" ht="12.75" customHeight="1" x14ac:dyDescent="0.25">
      <c r="B985" s="13"/>
      <c r="D985" s="13"/>
      <c r="E985" s="13"/>
      <c r="F985" s="14"/>
      <c r="G985" s="14"/>
      <c r="H985" s="13"/>
      <c r="I985" s="13"/>
      <c r="J985" s="14"/>
      <c r="K985" s="13"/>
      <c r="M985" s="13"/>
    </row>
    <row r="986" spans="2:13" ht="12.75" customHeight="1" x14ac:dyDescent="0.25">
      <c r="B986" s="13"/>
      <c r="D986" s="13"/>
      <c r="E986" s="13"/>
      <c r="F986" s="14"/>
      <c r="G986" s="14"/>
      <c r="H986" s="13"/>
      <c r="I986" s="13"/>
      <c r="J986" s="14"/>
      <c r="K986" s="13"/>
      <c r="M986" s="13"/>
    </row>
    <row r="987" spans="2:13" ht="12.75" customHeight="1" x14ac:dyDescent="0.25">
      <c r="B987" s="13"/>
      <c r="D987" s="13"/>
      <c r="E987" s="13"/>
      <c r="F987" s="14"/>
      <c r="G987" s="14"/>
      <c r="H987" s="13"/>
      <c r="I987" s="13"/>
      <c r="J987" s="14"/>
      <c r="K987" s="13"/>
      <c r="M987" s="13"/>
    </row>
    <row r="988" spans="2:13" ht="12.75" customHeight="1" x14ac:dyDescent="0.25">
      <c r="B988" s="13"/>
      <c r="D988" s="13"/>
      <c r="E988" s="13"/>
      <c r="F988" s="14"/>
      <c r="G988" s="14"/>
      <c r="H988" s="13"/>
      <c r="I988" s="13"/>
      <c r="J988" s="14"/>
      <c r="K988" s="13"/>
      <c r="M988" s="13"/>
    </row>
    <row r="989" spans="2:13" ht="12.75" customHeight="1" x14ac:dyDescent="0.25">
      <c r="B989" s="13"/>
      <c r="D989" s="13"/>
      <c r="E989" s="13"/>
      <c r="F989" s="14"/>
      <c r="G989" s="14"/>
      <c r="H989" s="13"/>
      <c r="I989" s="13"/>
      <c r="J989" s="14"/>
      <c r="K989" s="13"/>
      <c r="M989" s="13"/>
    </row>
    <row r="990" spans="2:13" ht="12.75" customHeight="1" x14ac:dyDescent="0.25">
      <c r="B990" s="13"/>
      <c r="D990" s="13"/>
      <c r="E990" s="13"/>
      <c r="F990" s="14"/>
      <c r="G990" s="14"/>
      <c r="H990" s="13"/>
      <c r="I990" s="13"/>
      <c r="J990" s="14"/>
      <c r="K990" s="13"/>
      <c r="M990" s="13"/>
    </row>
    <row r="991" spans="2:13" ht="12.75" customHeight="1" x14ac:dyDescent="0.25">
      <c r="B991" s="13"/>
      <c r="D991" s="13"/>
      <c r="E991" s="13"/>
      <c r="F991" s="14"/>
      <c r="G991" s="14"/>
      <c r="H991" s="13"/>
      <c r="I991" s="13"/>
      <c r="J991" s="14"/>
      <c r="K991" s="13"/>
      <c r="M991" s="13"/>
    </row>
    <row r="992" spans="2:13" ht="12.75" customHeight="1" x14ac:dyDescent="0.25">
      <c r="B992" s="13"/>
      <c r="D992" s="13"/>
      <c r="E992" s="13"/>
      <c r="F992" s="14"/>
      <c r="G992" s="14"/>
      <c r="H992" s="13"/>
      <c r="I992" s="13"/>
      <c r="J992" s="14"/>
      <c r="K992" s="13"/>
      <c r="M992" s="13"/>
    </row>
    <row r="993" spans="2:13" ht="12.75" customHeight="1" x14ac:dyDescent="0.25">
      <c r="B993" s="13"/>
      <c r="D993" s="13"/>
      <c r="E993" s="13"/>
      <c r="F993" s="14"/>
      <c r="G993" s="14"/>
      <c r="H993" s="13"/>
      <c r="I993" s="13"/>
      <c r="J993" s="14"/>
      <c r="K993" s="13"/>
      <c r="M993" s="13"/>
    </row>
    <row r="994" spans="2:13" ht="12.75" customHeight="1" x14ac:dyDescent="0.25">
      <c r="B994" s="13"/>
      <c r="D994" s="13"/>
      <c r="E994" s="13"/>
      <c r="F994" s="14"/>
      <c r="G994" s="14"/>
      <c r="H994" s="13"/>
      <c r="I994" s="13"/>
      <c r="J994" s="14"/>
      <c r="K994" s="13"/>
      <c r="M994" s="13"/>
    </row>
    <row r="995" spans="2:13" ht="12.75" customHeight="1" x14ac:dyDescent="0.25">
      <c r="B995" s="13"/>
      <c r="D995" s="13"/>
      <c r="E995" s="13"/>
      <c r="F995" s="14"/>
      <c r="G995" s="14"/>
      <c r="H995" s="13"/>
      <c r="I995" s="13"/>
      <c r="J995" s="14"/>
      <c r="K995" s="13"/>
      <c r="M995" s="13"/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7"/>
  <sheetViews>
    <sheetView topLeftCell="A52" zoomScale="55" zoomScaleNormal="55" workbookViewId="0">
      <selection activeCell="H62" sqref="H62"/>
    </sheetView>
  </sheetViews>
  <sheetFormatPr defaultRowHeight="13.2" x14ac:dyDescent="0.25"/>
  <cols>
    <col min="1" max="1" width="37.33203125" style="44" customWidth="1"/>
    <col min="2" max="2" width="14.5546875" style="44" customWidth="1"/>
    <col min="3" max="3" width="19" style="44" customWidth="1"/>
    <col min="4" max="4" width="13.6640625" style="44" customWidth="1"/>
    <col min="5" max="5" width="8.88671875" style="44"/>
    <col min="6" max="6" width="54.109375" style="44" customWidth="1"/>
    <col min="7" max="7" width="16.109375" style="44" customWidth="1"/>
    <col min="8" max="8" width="21.109375" style="44" customWidth="1"/>
  </cols>
  <sheetData>
    <row r="1" spans="1:8" ht="53.4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31.2" x14ac:dyDescent="0.25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1'!I2</f>
        <v>P1-Install USB</v>
      </c>
      <c r="G2" s="226">
        <f>'LP Optimization 2'!E2</f>
        <v>1.0681703604114981E-2</v>
      </c>
      <c r="H2" s="217">
        <f>'LP Optimization 1'!M2</f>
        <v>4000</v>
      </c>
    </row>
    <row r="3" spans="1:8" ht="46.8" x14ac:dyDescent="0.25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1'!I3</f>
        <v>P2-Replicate Servers</v>
      </c>
      <c r="G3" s="226">
        <f>'LP Optimization 1'!E3</f>
        <v>0</v>
      </c>
      <c r="H3" s="217">
        <f>'LP Optimization 1'!M3</f>
        <v>0</v>
      </c>
    </row>
    <row r="4" spans="1:8" ht="31.2" x14ac:dyDescent="0.25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1'!I4</f>
        <v>P18-Regular Software Patches</v>
      </c>
      <c r="G4" s="226">
        <f>'LP Optimization 1'!E4</f>
        <v>5.0350393313196894E-3</v>
      </c>
      <c r="H4" s="217">
        <f>'LP Optimization 1'!M4</f>
        <v>0</v>
      </c>
    </row>
    <row r="5" spans="1:8" ht="31.2" x14ac:dyDescent="0.25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1'!I5</f>
        <v>P4-Education and Assessment of Security Personal</v>
      </c>
      <c r="G5" s="226">
        <f>'LP Optimization 1'!E5</f>
        <v>6.2378403220160559E-3</v>
      </c>
      <c r="H5" s="217">
        <f>'LP Optimization 1'!M5</f>
        <v>36000</v>
      </c>
    </row>
    <row r="6" spans="1:8" ht="62.4" x14ac:dyDescent="0.25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1'!I6</f>
        <v>P5-Functional Isolation</v>
      </c>
      <c r="G6" s="226">
        <f>'LP Optimization 1'!E6</f>
        <v>7.2007311086486068E-3</v>
      </c>
      <c r="H6" s="217">
        <f>'LP Optimization 1'!M6</f>
        <v>0</v>
      </c>
    </row>
    <row r="7" spans="1:8" ht="31.2" x14ac:dyDescent="0.25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1'!I7</f>
        <v>P33-Limit Transfer of Executables</v>
      </c>
      <c r="G7" s="226">
        <f>'LP Optimization 1'!E7</f>
        <v>9.845049378712176E-3</v>
      </c>
      <c r="H7" s="217">
        <f>'LP Optimization 1'!M7</f>
        <v>0</v>
      </c>
    </row>
    <row r="8" spans="1:8" ht="15.6" x14ac:dyDescent="0.25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1'!I8</f>
        <v>P9-FHM System</v>
      </c>
      <c r="G8" s="226">
        <f>'LP Optimization 1'!E8</f>
        <v>0</v>
      </c>
      <c r="H8" s="217">
        <f>'LP Optimization 1'!M8</f>
        <v>0</v>
      </c>
    </row>
    <row r="9" spans="1:8" ht="46.8" x14ac:dyDescent="0.25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1'!I9</f>
        <v>P8-Disaster Recovery on Cloud</v>
      </c>
      <c r="G9" s="226">
        <f>'LP Optimization 1'!E9</f>
        <v>0</v>
      </c>
      <c r="H9" s="217">
        <f>'LP Optimization 1'!M9</f>
        <v>0</v>
      </c>
    </row>
    <row r="10" spans="1:8" ht="62.4" x14ac:dyDescent="0.25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1'!I10</f>
        <v>P10-Increase Bandwidth</v>
      </c>
      <c r="G10" s="226">
        <f>'LP Optimization 1'!E10</f>
        <v>0</v>
      </c>
      <c r="H10" s="217">
        <f>'LP Optimization 1'!M10</f>
        <v>0</v>
      </c>
    </row>
    <row r="11" spans="1:8" ht="31.2" x14ac:dyDescent="0.25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1'!I11</f>
        <v>P13-Backup Tapes</v>
      </c>
      <c r="G11" s="226">
        <f>'LP Optimization 1'!E11</f>
        <v>4.2384668579881057E-3</v>
      </c>
      <c r="H11" s="217">
        <f>'LP Optimization 1'!M11</f>
        <v>1500</v>
      </c>
    </row>
    <row r="12" spans="1:8" ht="31.2" x14ac:dyDescent="0.25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1'!I12</f>
        <v>P6-AntiVirus</v>
      </c>
      <c r="G12" s="226">
        <f>'LP Optimization 1'!E12</f>
        <v>4.8787360697017963E-3</v>
      </c>
      <c r="H12" s="217">
        <f>'LP Optimization 1'!M12</f>
        <v>3750</v>
      </c>
    </row>
    <row r="13" spans="1:8" ht="46.8" x14ac:dyDescent="0.25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1'!I13</f>
        <v>P3-Add validation to forms</v>
      </c>
      <c r="G13" s="226">
        <f>'LP Optimization 1'!E13</f>
        <v>0</v>
      </c>
      <c r="H13" s="217">
        <f>'LP Optimization 1'!M13</f>
        <v>0</v>
      </c>
    </row>
    <row r="14" spans="1:8" ht="46.8" x14ac:dyDescent="0.25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1'!I14</f>
        <v>P27-Identity and Access Management System</v>
      </c>
      <c r="G14" s="226">
        <f>'LP Optimization 1'!E14</f>
        <v>0</v>
      </c>
      <c r="H14" s="217">
        <f>'LP Optimization 1'!M14</f>
        <v>0</v>
      </c>
    </row>
    <row r="15" spans="1:8" ht="46.8" x14ac:dyDescent="0.25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1'!I15</f>
        <v>P6-AntiVirus</v>
      </c>
      <c r="G15" s="226">
        <f>'LP Optimization 1'!E15</f>
        <v>4.4775142827016987E-2</v>
      </c>
      <c r="H15" s="217">
        <f>'LP Optimization 1'!M15</f>
        <v>3750</v>
      </c>
    </row>
    <row r="16" spans="1:8" ht="15.6" x14ac:dyDescent="0.25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1'!I16</f>
        <v>P17-Strong Passwords</v>
      </c>
      <c r="G16" s="226">
        <f>'LP Optimization 1'!E16</f>
        <v>0</v>
      </c>
      <c r="H16" s="217">
        <f>'LP Optimization 1'!M16</f>
        <v>0</v>
      </c>
    </row>
    <row r="17" spans="1:8" ht="31.2" x14ac:dyDescent="0.25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1'!I17</f>
        <v>P22-Increase Physical Security</v>
      </c>
      <c r="G17" s="226">
        <f>'LP Optimization 1'!E17</f>
        <v>0</v>
      </c>
      <c r="H17" s="217">
        <f>'LP Optimization 1'!M17</f>
        <v>0</v>
      </c>
    </row>
    <row r="18" spans="1:8" ht="93.6" x14ac:dyDescent="0.25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1'!I18</f>
        <v>P29-Intrusion Detection System</v>
      </c>
      <c r="G18" s="226">
        <f>'LP Optimization 1'!E18</f>
        <v>0</v>
      </c>
      <c r="H18" s="217">
        <f>'LP Optimization 1'!M18</f>
        <v>0</v>
      </c>
    </row>
    <row r="19" spans="1:8" ht="46.8" x14ac:dyDescent="0.25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1'!I19</f>
        <v>P30-Digital Signatures</v>
      </c>
      <c r="G19" s="226">
        <f>'LP Optimization 1'!E19</f>
        <v>0</v>
      </c>
      <c r="H19" s="217">
        <f>'LP Optimization 1'!M19</f>
        <v>0</v>
      </c>
    </row>
    <row r="20" spans="1:8" ht="46.8" x14ac:dyDescent="0.25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1'!I20</f>
        <v>P28-Cryptologic Solutions(Digital Signatures)</v>
      </c>
      <c r="G20" s="226">
        <f>'LP Optimization 1'!E20</f>
        <v>0</v>
      </c>
      <c r="H20" s="217">
        <f>'LP Optimization 1'!M20</f>
        <v>0</v>
      </c>
    </row>
    <row r="21" spans="1:8" ht="46.8" x14ac:dyDescent="0.25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1'!I21</f>
        <v>P24-Auditing</v>
      </c>
      <c r="G21" s="226">
        <f>'LP Optimization 1'!E21</f>
        <v>0</v>
      </c>
      <c r="H21" s="217">
        <f>'LP Optimization 1'!M21</f>
        <v>0</v>
      </c>
    </row>
    <row r="22" spans="1:8" ht="46.8" x14ac:dyDescent="0.25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1'!I22</f>
        <v>P24-Auditing</v>
      </c>
      <c r="G22" s="226">
        <f>'LP Optimization 1'!E22</f>
        <v>0</v>
      </c>
      <c r="H22" s="217">
        <f>'LP Optimization 1'!M22</f>
        <v>0</v>
      </c>
    </row>
    <row r="23" spans="1:8" ht="46.8" x14ac:dyDescent="0.25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1'!I23</f>
        <v>P28-Cryptologic Solutions(Encryption)</v>
      </c>
      <c r="G23" s="226">
        <f>'LP Optimization 1'!E23</f>
        <v>0</v>
      </c>
      <c r="H23" s="217">
        <f>'LP Optimization 1'!M23</f>
        <v>0</v>
      </c>
    </row>
    <row r="24" spans="1:8" ht="31.2" x14ac:dyDescent="0.25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1'!Q2</f>
        <v>Non</v>
      </c>
      <c r="G24" s="226">
        <f>'LP Optimization 1'!F2</f>
        <v>0</v>
      </c>
      <c r="H24" s="217">
        <f>'LP Optimization 1'!U2</f>
        <v>0</v>
      </c>
    </row>
    <row r="25" spans="1:8" ht="46.8" x14ac:dyDescent="0.25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1'!Q3</f>
        <v>P8-Disaster Recovery on Cloud</v>
      </c>
      <c r="G25" s="226">
        <f>'LP Optimization 1'!F3</f>
        <v>0</v>
      </c>
      <c r="H25" s="217">
        <f>'LP Optimization 1'!U3</f>
        <v>0</v>
      </c>
    </row>
    <row r="26" spans="1:8" ht="31.2" x14ac:dyDescent="0.25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1'!Q4</f>
        <v>P23-Service Level Software Agreement</v>
      </c>
      <c r="G26" s="226">
        <f>'LP Optimization 1'!F4</f>
        <v>0</v>
      </c>
      <c r="H26" s="217">
        <f>'LP Optimization 1'!U4</f>
        <v>0</v>
      </c>
    </row>
    <row r="27" spans="1:8" ht="31.2" x14ac:dyDescent="0.25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1'!Q5</f>
        <v>P15-Improvement in Data Distribution and Governance</v>
      </c>
      <c r="G27" s="226">
        <f>'LP Optimization 1'!F5</f>
        <v>0</v>
      </c>
      <c r="H27" s="217">
        <f>'LP Optimization 1'!U5</f>
        <v>0</v>
      </c>
    </row>
    <row r="28" spans="1:8" ht="62.4" x14ac:dyDescent="0.25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1'!Q6</f>
        <v>P26-Mandatory vacations</v>
      </c>
      <c r="G28" s="226">
        <f>'LP Optimization 1'!F6</f>
        <v>4.8004874057657387E-3</v>
      </c>
      <c r="H28" s="217">
        <f>'LP Optimization 1'!U6</f>
        <v>0</v>
      </c>
    </row>
    <row r="29" spans="1:8" ht="31.2" x14ac:dyDescent="0.25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1'!Q7</f>
        <v>P19-Use of 64 bit OS's</v>
      </c>
      <c r="G29" s="226">
        <f>'LP Optimization 1'!F7</f>
        <v>9.845049378712176E-3</v>
      </c>
      <c r="H29" s="217">
        <f>'LP Optimization 1'!U7</f>
        <v>0</v>
      </c>
    </row>
    <row r="30" spans="1:8" ht="15.6" x14ac:dyDescent="0.25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1'!Q8</f>
        <v>P8-Disaster Recovery on Cloud</v>
      </c>
      <c r="G30" s="226">
        <f>'LP Optimization 1'!F8</f>
        <v>0</v>
      </c>
      <c r="H30" s="217">
        <f>'LP Optimization 1'!U8</f>
        <v>0</v>
      </c>
    </row>
    <row r="31" spans="1:8" ht="46.8" x14ac:dyDescent="0.25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1'!Q9</f>
        <v>P9-FHM System</v>
      </c>
      <c r="G31" s="226">
        <f>'LP Optimization 1'!F9</f>
        <v>0</v>
      </c>
      <c r="H31" s="217">
        <f>'LP Optimization 1'!U9</f>
        <v>0</v>
      </c>
    </row>
    <row r="32" spans="1:8" ht="62.4" x14ac:dyDescent="0.25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1'!Q10</f>
        <v>P12-Traffic Management</v>
      </c>
      <c r="G32" s="226">
        <f>'LP Optimization 1'!F10</f>
        <v>0</v>
      </c>
      <c r="H32" s="217">
        <f>'LP Optimization 1'!U10</f>
        <v>0</v>
      </c>
    </row>
    <row r="33" spans="1:8" ht="31.2" x14ac:dyDescent="0.25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1'!Q11</f>
        <v>Non</v>
      </c>
      <c r="G33" s="226">
        <f>'LP Optimization 1'!F11</f>
        <v>0</v>
      </c>
      <c r="H33" s="217">
        <f>'LP Optimization 1'!U11</f>
        <v>0</v>
      </c>
    </row>
    <row r="34" spans="1:8" ht="31.2" x14ac:dyDescent="0.25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1'!Q12</f>
        <v>P7-Anti spam</v>
      </c>
      <c r="G34" s="226">
        <f>'LP Optimization 1'!F12</f>
        <v>3.2524907131345308E-3</v>
      </c>
      <c r="H34" s="217">
        <f>'LP Optimization 1'!U12</f>
        <v>2500</v>
      </c>
    </row>
    <row r="35" spans="1:8" ht="46.8" x14ac:dyDescent="0.25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1'!Q13</f>
        <v>P15-Improvement in Data Distribution and Governance Systems</v>
      </c>
      <c r="G35" s="226">
        <f>'LP Optimization 1'!F13</f>
        <v>0</v>
      </c>
      <c r="H35" s="217">
        <f>'LP Optimization 1'!U13</f>
        <v>0</v>
      </c>
    </row>
    <row r="36" spans="1:8" ht="46.8" x14ac:dyDescent="0.25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1'!Q14</f>
        <v>Non</v>
      </c>
      <c r="G36" s="226">
        <f>'LP Optimization 1'!F14</f>
        <v>0</v>
      </c>
      <c r="H36" s="217">
        <f>'LP Optimization 1'!U14</f>
        <v>0</v>
      </c>
    </row>
    <row r="37" spans="1:8" ht="46.8" x14ac:dyDescent="0.25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1'!Q15</f>
        <v>P7-Anti spam</v>
      </c>
      <c r="G37" s="226">
        <f>'LP Optimization 1'!F15</f>
        <v>4.4775142827016987E-2</v>
      </c>
      <c r="H37" s="217">
        <f>'LP Optimization 1'!U15</f>
        <v>2500</v>
      </c>
    </row>
    <row r="38" spans="1:8" ht="15.6" x14ac:dyDescent="0.25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1'!Q16</f>
        <v>P14-Firewall</v>
      </c>
      <c r="G38" s="226">
        <f>'LP Optimization 1'!F16</f>
        <v>0</v>
      </c>
      <c r="H38" s="217">
        <f>'LP Optimization 1'!U16</f>
        <v>0</v>
      </c>
    </row>
    <row r="39" spans="1:8" ht="31.2" x14ac:dyDescent="0.25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1'!Q17</f>
        <v>P33-Limit Transfer of Executables</v>
      </c>
      <c r="G39" s="226">
        <f>'LP Optimization 1'!F17</f>
        <v>8.1032962121138283E-4</v>
      </c>
      <c r="H39" s="217">
        <f>'LP Optimization 1'!U17</f>
        <v>0</v>
      </c>
    </row>
    <row r="40" spans="1:8" ht="93.6" x14ac:dyDescent="0.25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1'!Q18</f>
        <v>P31-Trusted Communication Channels</v>
      </c>
      <c r="G40" s="226">
        <f>'LP Optimization 1'!F18</f>
        <v>0</v>
      </c>
      <c r="H40" s="217">
        <f>'LP Optimization 1'!U18</f>
        <v>0</v>
      </c>
    </row>
    <row r="41" spans="1:8" ht="46.8" x14ac:dyDescent="0.25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1'!Q19</f>
        <v>P27-Identity and Access Management System</v>
      </c>
      <c r="G41" s="226">
        <f>'LP Optimization 1'!F19</f>
        <v>3.041874242229467E-2</v>
      </c>
      <c r="H41" s="217">
        <f>'LP Optimization 1'!U19</f>
        <v>5000</v>
      </c>
    </row>
    <row r="42" spans="1:8" ht="46.8" x14ac:dyDescent="0.25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1'!Q20</f>
        <v>P21-Load Unload Drivers</v>
      </c>
      <c r="G42" s="226">
        <f>'LP Optimization 1'!F20</f>
        <v>8.1964956538325816E-3</v>
      </c>
      <c r="H42" s="217">
        <f>'LP Optimization 1'!U20</f>
        <v>0</v>
      </c>
    </row>
    <row r="43" spans="1:8" ht="46.8" x14ac:dyDescent="0.25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1'!Q21</f>
        <v>P22-Increase Physical Security</v>
      </c>
      <c r="G43" s="226">
        <f>'LP Optimization 1'!F21</f>
        <v>5.9149303330451449E-3</v>
      </c>
      <c r="H43" s="217">
        <f>'LP Optimization 1'!U21</f>
        <v>0</v>
      </c>
    </row>
    <row r="44" spans="1:8" ht="46.8" x14ac:dyDescent="0.25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1'!Q22</f>
        <v>Non</v>
      </c>
      <c r="G44" s="226">
        <f>'LP Optimization 1'!F22</f>
        <v>0</v>
      </c>
      <c r="H44" s="217">
        <f>'LP Optimization 1'!U22</f>
        <v>0</v>
      </c>
    </row>
    <row r="45" spans="1:8" ht="46.8" x14ac:dyDescent="0.25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1'!Q23</f>
        <v>P32-Integrity Check</v>
      </c>
      <c r="G45" s="226">
        <f>'LP Optimization 1'!F23</f>
        <v>1.731758220238995E-2</v>
      </c>
      <c r="H45" s="217">
        <f>'LP Optimization 1'!U23</f>
        <v>1000</v>
      </c>
    </row>
    <row r="46" spans="1:8" ht="31.2" x14ac:dyDescent="0.25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1'!Y2</f>
        <v>Non</v>
      </c>
      <c r="G46" s="226">
        <f>'LP Optimization 1'!G2</f>
        <v>0</v>
      </c>
      <c r="H46" s="217">
        <f>'LP Optimization 1'!AC2</f>
        <v>0</v>
      </c>
    </row>
    <row r="47" spans="1:8" ht="46.8" x14ac:dyDescent="0.25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1'!Y3</f>
        <v>Non</v>
      </c>
      <c r="G47" s="226">
        <f>'LP Optimization 1'!G3</f>
        <v>0</v>
      </c>
      <c r="H47" s="217">
        <f>'LP Optimization 1'!AC3</f>
        <v>0</v>
      </c>
    </row>
    <row r="48" spans="1:8" ht="31.2" x14ac:dyDescent="0.25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1'!Y4</f>
        <v>Non</v>
      </c>
      <c r="G48" s="226">
        <f>'LP Optimization 1'!G4</f>
        <v>0</v>
      </c>
      <c r="H48" s="217">
        <f>'LP Optimization 1'!AC4</f>
        <v>0</v>
      </c>
    </row>
    <row r="49" spans="1:8" ht="31.2" x14ac:dyDescent="0.25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1'!Y5</f>
        <v>Non</v>
      </c>
      <c r="G49" s="226">
        <f>'LP Optimization 1'!G5</f>
        <v>0</v>
      </c>
      <c r="H49" s="217">
        <f>'LP Optimization 1'!AC5</f>
        <v>0</v>
      </c>
    </row>
    <row r="50" spans="1:8" ht="62.4" x14ac:dyDescent="0.25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1'!Y6</f>
        <v>P25-Pre Employment Screening</v>
      </c>
      <c r="G50" s="226">
        <f>'LP Optimization 1'!G6</f>
        <v>1.2001218514414345E-2</v>
      </c>
      <c r="H50" s="217">
        <f>'LP Optimization 1'!AC6</f>
        <v>0</v>
      </c>
    </row>
    <row r="51" spans="1:8" ht="31.2" x14ac:dyDescent="0.25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1'!Y7</f>
        <v>Non</v>
      </c>
      <c r="G51" s="226">
        <f>'LP Optimization 1'!G7</f>
        <v>0</v>
      </c>
      <c r="H51" s="217">
        <f>'LP Optimization 1'!AC7</f>
        <v>0</v>
      </c>
    </row>
    <row r="52" spans="1:8" ht="15.6" x14ac:dyDescent="0.25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1'!Y8</f>
        <v>Non</v>
      </c>
      <c r="G52" s="226">
        <f>'LP Optimization 1'!G8</f>
        <v>0</v>
      </c>
      <c r="H52" s="217">
        <f>'LP Optimization 1'!AC8</f>
        <v>0</v>
      </c>
    </row>
    <row r="53" spans="1:8" ht="46.8" x14ac:dyDescent="0.25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1'!Y9</f>
        <v>Non</v>
      </c>
      <c r="G53" s="226">
        <f>'LP Optimization 1'!G9</f>
        <v>0</v>
      </c>
      <c r="H53" s="217">
        <f>'LP Optimization 1'!AC9</f>
        <v>0</v>
      </c>
    </row>
    <row r="54" spans="1:8" ht="62.4" x14ac:dyDescent="0.25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1'!Y10</f>
        <v>P11-Bandwidth Throtting Techniques</v>
      </c>
      <c r="G54" s="226">
        <f>'LP Optimization 1'!G10</f>
        <v>0</v>
      </c>
      <c r="H54" s="217">
        <f>'LP Optimization 1'!AC10</f>
        <v>0</v>
      </c>
    </row>
    <row r="55" spans="1:8" ht="31.2" x14ac:dyDescent="0.25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1'!Y11</f>
        <v>Non</v>
      </c>
      <c r="G55" s="226">
        <f>'LP Optimization 1'!G11</f>
        <v>0</v>
      </c>
      <c r="H55" s="217">
        <f>'LP Optimization 1'!AC11</f>
        <v>0</v>
      </c>
    </row>
    <row r="56" spans="1:8" ht="31.2" x14ac:dyDescent="0.25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1'!Y12</f>
        <v>Non</v>
      </c>
      <c r="G56" s="226">
        <f>'LP Optimization 1'!G12</f>
        <v>0</v>
      </c>
      <c r="H56" s="217">
        <f>'LP Optimization 1'!AC12</f>
        <v>0</v>
      </c>
    </row>
    <row r="57" spans="1:8" ht="46.8" x14ac:dyDescent="0.25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1'!Y13</f>
        <v>Non</v>
      </c>
      <c r="G57" s="226">
        <f>'LP Optimization 1'!G13</f>
        <v>0</v>
      </c>
      <c r="H57" s="217">
        <f>'LP Optimization 1'!AC13</f>
        <v>0</v>
      </c>
    </row>
    <row r="58" spans="1:8" ht="46.8" x14ac:dyDescent="0.25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1'!Y14</f>
        <v>Non</v>
      </c>
      <c r="G58" s="226">
        <f>'LP Optimization 1'!G14</f>
        <v>0</v>
      </c>
      <c r="H58" s="217">
        <f>'LP Optimization 1'!AC14</f>
        <v>0</v>
      </c>
    </row>
    <row r="59" spans="1:8" ht="46.8" x14ac:dyDescent="0.25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1'!Y15</f>
        <v>Non</v>
      </c>
      <c r="G59" s="226">
        <f>'LP Optimization 1'!G15</f>
        <v>0</v>
      </c>
      <c r="H59" s="217">
        <f>'LP Optimization 1'!AC15</f>
        <v>0</v>
      </c>
    </row>
    <row r="60" spans="1:8" ht="15.6" x14ac:dyDescent="0.25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1'!Y16</f>
        <v>Non</v>
      </c>
      <c r="G60" s="226">
        <f>'LP Optimization 1'!G16</f>
        <v>0</v>
      </c>
      <c r="H60" s="217">
        <f>'LP Optimization 1'!AC16</f>
        <v>0</v>
      </c>
    </row>
    <row r="61" spans="1:8" ht="31.2" x14ac:dyDescent="0.25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1'!Y17</f>
        <v>Non</v>
      </c>
      <c r="G61" s="226">
        <f>'LP Optimization 1'!G17</f>
        <v>0</v>
      </c>
      <c r="H61" s="217">
        <f>'LP Optimization 1'!AC17</f>
        <v>0</v>
      </c>
    </row>
    <row r="62" spans="1:8" ht="93.6" x14ac:dyDescent="0.25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1'!Y18</f>
        <v>Non</v>
      </c>
      <c r="G62" s="226">
        <f>'LP Optimization 1'!G18</f>
        <v>0</v>
      </c>
      <c r="H62" s="217">
        <f>'LP Optimization 1'!AC18</f>
        <v>0</v>
      </c>
    </row>
    <row r="63" spans="1:8" ht="46.8" x14ac:dyDescent="0.25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1'!Y19</f>
        <v>P16-Pretty Good Privacy</v>
      </c>
      <c r="G63" s="226">
        <f>'LP Optimization 1'!G19</f>
        <v>0</v>
      </c>
      <c r="H63" s="217">
        <f>'LP Optimization 1'!AC19</f>
        <v>0</v>
      </c>
    </row>
    <row r="64" spans="1:8" ht="46.8" x14ac:dyDescent="0.25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1'!Y20</f>
        <v>P20-Turn off AutoRun</v>
      </c>
      <c r="G64" s="226">
        <f>'LP Optimization 1'!G20</f>
        <v>5.4643304358883886E-3</v>
      </c>
      <c r="H64" s="217">
        <f>'LP Optimization 1'!AC20</f>
        <v>0</v>
      </c>
    </row>
    <row r="65" spans="1:8" ht="46.8" x14ac:dyDescent="0.25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1'!Y21</f>
        <v>Non</v>
      </c>
      <c r="G65" s="226">
        <f>'LP Optimization 1'!G21</f>
        <v>0</v>
      </c>
      <c r="H65" s="217">
        <f>'LP Optimization 1'!AC21</f>
        <v>0</v>
      </c>
    </row>
    <row r="66" spans="1:8" ht="46.8" x14ac:dyDescent="0.25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1'!Y22</f>
        <v>Non</v>
      </c>
      <c r="G66" s="226">
        <f>'LP Optimization 1'!G22</f>
        <v>0</v>
      </c>
      <c r="H66" s="217">
        <f>'LP Optimization 1'!AC22</f>
        <v>0</v>
      </c>
    </row>
    <row r="67" spans="1:8" ht="46.8" x14ac:dyDescent="0.25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1'!Y23</f>
        <v>Non</v>
      </c>
      <c r="G67" s="226">
        <f>'LP Optimization 1'!G23</f>
        <v>0</v>
      </c>
      <c r="H67" s="217">
        <f>'LP Optimization 1'!AC23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3"/>
  <sheetViews>
    <sheetView topLeftCell="A16" zoomScale="40" zoomScaleNormal="40" workbookViewId="0">
      <selection activeCell="AN15" sqref="AN15"/>
    </sheetView>
  </sheetViews>
  <sheetFormatPr defaultRowHeight="13.2" x14ac:dyDescent="0.25"/>
  <cols>
    <col min="1" max="1" width="23.6640625" customWidth="1"/>
    <col min="3" max="3" width="11" customWidth="1"/>
    <col min="4" max="4" width="12.88671875" customWidth="1"/>
  </cols>
  <sheetData>
    <row r="1" spans="1:4" ht="37.950000000000003" customHeight="1" x14ac:dyDescent="0.3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6.4" x14ac:dyDescent="0.25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6.4" x14ac:dyDescent="0.25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0</v>
      </c>
    </row>
    <row r="4" spans="1:4" ht="26.4" x14ac:dyDescent="0.25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0</v>
      </c>
    </row>
    <row r="5" spans="1:4" ht="26.4" x14ac:dyDescent="0.25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6.4" x14ac:dyDescent="0.25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6.4" x14ac:dyDescent="0.25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6.4" x14ac:dyDescent="0.25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0</v>
      </c>
    </row>
    <row r="9" spans="1:4" ht="26.4" x14ac:dyDescent="0.25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0</v>
      </c>
    </row>
    <row r="10" spans="1:4" ht="26.4" x14ac:dyDescent="0.25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0</v>
      </c>
    </row>
    <row r="11" spans="1:4" ht="26.4" x14ac:dyDescent="0.25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1500</v>
      </c>
    </row>
    <row r="12" spans="1:4" ht="26.4" x14ac:dyDescent="0.25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6.4" x14ac:dyDescent="0.25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0</v>
      </c>
    </row>
    <row r="14" spans="1:4" ht="26.4" x14ac:dyDescent="0.25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0</v>
      </c>
    </row>
    <row r="15" spans="1:4" ht="26.4" x14ac:dyDescent="0.25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6.4" x14ac:dyDescent="0.25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0</v>
      </c>
    </row>
    <row r="17" spans="1:4" ht="26.4" x14ac:dyDescent="0.25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0</v>
      </c>
    </row>
    <row r="18" spans="1:4" ht="26.4" x14ac:dyDescent="0.25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0</v>
      </c>
    </row>
    <row r="19" spans="1:4" ht="26.4" x14ac:dyDescent="0.25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5000</v>
      </c>
    </row>
    <row r="20" spans="1:4" ht="26.4" x14ac:dyDescent="0.25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0</v>
      </c>
    </row>
    <row r="21" spans="1:4" ht="26.4" x14ac:dyDescent="0.25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0</v>
      </c>
    </row>
    <row r="22" spans="1:4" ht="26.4" x14ac:dyDescent="0.25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0</v>
      </c>
    </row>
    <row r="23" spans="1:4" ht="26.4" x14ac:dyDescent="0.25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3"/>
  <sheetViews>
    <sheetView tabSelected="1" zoomScale="70" zoomScaleNormal="70" workbookViewId="0">
      <selection activeCell="G31" sqref="G31"/>
    </sheetView>
  </sheetViews>
  <sheetFormatPr defaultRowHeight="13.2" x14ac:dyDescent="0.25"/>
  <cols>
    <col min="1" max="1" width="57.5546875" bestFit="1" customWidth="1"/>
    <col min="2" max="2" width="19.33203125" customWidth="1"/>
    <col min="3" max="3" width="23.33203125" customWidth="1"/>
  </cols>
  <sheetData>
    <row r="1" spans="1:3" ht="43.2" x14ac:dyDescent="0.3">
      <c r="A1" s="230" t="s">
        <v>305</v>
      </c>
      <c r="B1" s="227" t="s">
        <v>321</v>
      </c>
      <c r="C1" s="227" t="s">
        <v>309</v>
      </c>
    </row>
    <row r="2" spans="1:3" x14ac:dyDescent="0.25">
      <c r="A2" s="229" t="str">
        <f>Precautions!A1</f>
        <v>P1-Install USB</v>
      </c>
      <c r="B2" s="229">
        <v>1.0681703604114981E-2</v>
      </c>
      <c r="C2" s="229">
        <v>4000</v>
      </c>
    </row>
    <row r="3" spans="1:3" x14ac:dyDescent="0.25">
      <c r="A3" s="229" t="str">
        <f>Precautions!A2</f>
        <v>P2-Replicate Servers</v>
      </c>
      <c r="B3" s="229">
        <v>0</v>
      </c>
      <c r="C3" s="229">
        <v>0</v>
      </c>
    </row>
    <row r="4" spans="1:3" x14ac:dyDescent="0.25">
      <c r="A4" s="229" t="str">
        <f>Precautions!A3</f>
        <v>P3-Add validation to forms</v>
      </c>
      <c r="B4" s="229">
        <v>0</v>
      </c>
      <c r="C4" s="229">
        <v>0</v>
      </c>
    </row>
    <row r="5" spans="1:3" x14ac:dyDescent="0.25">
      <c r="A5" s="229" t="str">
        <f>Precautions!A4</f>
        <v>P4-Education and Assessment of Security Personal</v>
      </c>
      <c r="B5" s="229">
        <v>6.2378403220160559E-3</v>
      </c>
      <c r="C5" s="229">
        <v>36000</v>
      </c>
    </row>
    <row r="6" spans="1:3" x14ac:dyDescent="0.25">
      <c r="A6" s="229" t="str">
        <f>Precautions!A5</f>
        <v>P5-Functional Isolation</v>
      </c>
      <c r="B6" s="229">
        <v>7.2007311086486068E-3</v>
      </c>
      <c r="C6" s="229">
        <v>0</v>
      </c>
    </row>
    <row r="7" spans="1:3" x14ac:dyDescent="0.25">
      <c r="A7" s="229" t="str">
        <f>Precautions!A6</f>
        <v>P6-AntiVirus</v>
      </c>
      <c r="B7" s="229">
        <v>4.9653878896718781E-2</v>
      </c>
      <c r="C7" s="229">
        <v>7500</v>
      </c>
    </row>
    <row r="8" spans="1:3" x14ac:dyDescent="0.25">
      <c r="A8" s="229" t="str">
        <f>Precautions!A7</f>
        <v>P7-Anti spam</v>
      </c>
      <c r="B8" s="229">
        <v>4.8027633540151521E-2</v>
      </c>
      <c r="C8" s="229">
        <v>5000</v>
      </c>
    </row>
    <row r="9" spans="1:3" x14ac:dyDescent="0.25">
      <c r="A9" s="229" t="str">
        <f>Precautions!A8</f>
        <v>P8-Disaster Recovery on Cloud</v>
      </c>
      <c r="B9" s="229">
        <v>0</v>
      </c>
      <c r="C9" s="229">
        <v>0</v>
      </c>
    </row>
    <row r="10" spans="1:3" x14ac:dyDescent="0.25">
      <c r="A10" s="229" t="str">
        <f>Precautions!A9</f>
        <v>P9-FHM System</v>
      </c>
      <c r="B10" s="229">
        <v>0</v>
      </c>
      <c r="C10" s="229">
        <v>0</v>
      </c>
    </row>
    <row r="11" spans="1:3" x14ac:dyDescent="0.25">
      <c r="A11" s="229" t="str">
        <f>Precautions!A10</f>
        <v>P10-Increase Bandwidth</v>
      </c>
      <c r="B11" s="229">
        <v>0</v>
      </c>
      <c r="C11" s="229">
        <v>0</v>
      </c>
    </row>
    <row r="12" spans="1:3" x14ac:dyDescent="0.25">
      <c r="A12" s="229" t="str">
        <f>Precautions!A11</f>
        <v>P11-Bandwidth throttling techniques</v>
      </c>
      <c r="B12" s="229">
        <v>0</v>
      </c>
      <c r="C12" s="229">
        <v>0</v>
      </c>
    </row>
    <row r="13" spans="1:3" x14ac:dyDescent="0.25">
      <c r="A13" s="229" t="str">
        <f>Precautions!A12</f>
        <v>P12-Traffic Management</v>
      </c>
      <c r="B13" s="229">
        <v>0</v>
      </c>
      <c r="C13" s="229">
        <v>0</v>
      </c>
    </row>
    <row r="14" spans="1:3" x14ac:dyDescent="0.25">
      <c r="A14" s="229" t="str">
        <f>Precautions!A13</f>
        <v>P13-Backup Tapes</v>
      </c>
      <c r="B14" s="229">
        <v>4.2384668579881057E-3</v>
      </c>
      <c r="C14" s="229">
        <v>1500</v>
      </c>
    </row>
    <row r="15" spans="1:3" x14ac:dyDescent="0.25">
      <c r="A15" s="229" t="str">
        <f>Precautions!A14</f>
        <v>P14-Firewall</v>
      </c>
      <c r="B15" s="229">
        <v>0</v>
      </c>
      <c r="C15" s="229">
        <v>0</v>
      </c>
    </row>
    <row r="16" spans="1:3" x14ac:dyDescent="0.25">
      <c r="A16" s="229" t="str">
        <f>Precautions!A15</f>
        <v>P15-Improvement in Data Distribution and Data Governance Policies</v>
      </c>
      <c r="B16" s="229">
        <v>0</v>
      </c>
      <c r="C16" s="229">
        <v>0</v>
      </c>
    </row>
    <row r="17" spans="1:3" x14ac:dyDescent="0.25">
      <c r="A17" s="229" t="str">
        <f>Precautions!A16</f>
        <v>P16-Pretty Good Privacy</v>
      </c>
      <c r="B17" s="229">
        <v>0</v>
      </c>
      <c r="C17" s="229">
        <v>0</v>
      </c>
    </row>
    <row r="18" spans="1:3" x14ac:dyDescent="0.25">
      <c r="A18" s="229" t="str">
        <f>Precautions!A17</f>
        <v>P17-Strong passwords</v>
      </c>
      <c r="B18" s="229">
        <v>0</v>
      </c>
      <c r="C18" s="229">
        <v>0</v>
      </c>
    </row>
    <row r="19" spans="1:3" x14ac:dyDescent="0.25">
      <c r="A19" s="229" t="str">
        <f>Precautions!A18</f>
        <v>P18-Regular software patches</v>
      </c>
      <c r="B19" s="229">
        <v>0</v>
      </c>
      <c r="C19" s="229">
        <v>0</v>
      </c>
    </row>
    <row r="20" spans="1:3" x14ac:dyDescent="0.25">
      <c r="A20" s="229" t="str">
        <f>Precautions!A19</f>
        <v>P19-Use of 64 bit OS</v>
      </c>
      <c r="B20" s="229">
        <v>0</v>
      </c>
      <c r="C20" s="229">
        <v>0</v>
      </c>
    </row>
    <row r="21" spans="1:3" x14ac:dyDescent="0.25">
      <c r="A21" s="229" t="str">
        <f>Precautions!A20</f>
        <v>P20-Turnoff Auto-Run</v>
      </c>
      <c r="B21" s="229">
        <v>0</v>
      </c>
      <c r="C21" s="229">
        <v>0</v>
      </c>
    </row>
    <row r="22" spans="1:3" x14ac:dyDescent="0.25">
      <c r="A22" s="229" t="str">
        <f>Precautions!A21</f>
        <v>P21-Load – Un-Load Drivers</v>
      </c>
      <c r="B22" s="229">
        <v>0</v>
      </c>
      <c r="C22" s="229">
        <v>0</v>
      </c>
    </row>
    <row r="23" spans="1:3" x14ac:dyDescent="0.25">
      <c r="A23" s="229" t="str">
        <f>Precautions!A22</f>
        <v>P22-Increase Physical Security</v>
      </c>
      <c r="B23" s="229">
        <v>5.9149303330451449E-3</v>
      </c>
      <c r="C23" s="229">
        <v>0</v>
      </c>
    </row>
    <row r="24" spans="1:3" x14ac:dyDescent="0.25">
      <c r="A24" s="229" t="str">
        <f>Precautions!A23</f>
        <v>P23-Service level software agreement, PAAS</v>
      </c>
      <c r="B24" s="229">
        <v>0</v>
      </c>
      <c r="C24" s="229">
        <v>0</v>
      </c>
    </row>
    <row r="25" spans="1:3" x14ac:dyDescent="0.25">
      <c r="A25" s="229" t="str">
        <f>Precautions!A24</f>
        <v>P24-Auditing</v>
      </c>
      <c r="B25" s="229">
        <v>0</v>
      </c>
      <c r="C25" s="229">
        <v>0</v>
      </c>
    </row>
    <row r="26" spans="1:3" x14ac:dyDescent="0.25">
      <c r="A26" s="229" t="str">
        <f>Precautions!A25</f>
        <v>P25-Pre-employment screening</v>
      </c>
      <c r="B26" s="229">
        <v>0</v>
      </c>
      <c r="C26" s="229">
        <v>0</v>
      </c>
    </row>
    <row r="27" spans="1:3" x14ac:dyDescent="0.25">
      <c r="A27" s="229" t="str">
        <f>Precautions!A26</f>
        <v>P26-Mandatory vacations</v>
      </c>
      <c r="B27" s="229">
        <v>4.8004874057657387E-3</v>
      </c>
      <c r="C27" s="229">
        <v>0</v>
      </c>
    </row>
    <row r="28" spans="1:3" x14ac:dyDescent="0.25">
      <c r="A28" s="229" t="str">
        <f>Precautions!A27</f>
        <v>P27-Identity and Access Management (IAM) Systems</v>
      </c>
      <c r="B28" s="229">
        <v>0</v>
      </c>
      <c r="C28" s="229">
        <v>0</v>
      </c>
    </row>
    <row r="29" spans="1:3" x14ac:dyDescent="0.25">
      <c r="A29" s="229" t="str">
        <f>Precautions!A28</f>
        <v>P28-Encryption Solutions</v>
      </c>
      <c r="B29" s="229">
        <v>0</v>
      </c>
      <c r="C29" s="229">
        <v>0</v>
      </c>
    </row>
    <row r="30" spans="1:3" x14ac:dyDescent="0.25">
      <c r="A30" s="229" t="str">
        <f>Precautions!A29</f>
        <v>P29-Intrusion Detection and Prevention Systems</v>
      </c>
      <c r="B30" s="229">
        <v>0</v>
      </c>
      <c r="C30" s="229">
        <v>0</v>
      </c>
    </row>
    <row r="31" spans="1:3" x14ac:dyDescent="0.25">
      <c r="A31" s="229" t="str">
        <f>Precautions!A30</f>
        <v>P30-Digital Signatures</v>
      </c>
      <c r="B31" s="229">
        <v>0</v>
      </c>
      <c r="C31" s="229">
        <v>0</v>
      </c>
    </row>
    <row r="32" spans="1:3" x14ac:dyDescent="0.25">
      <c r="A32" s="229" t="str">
        <f>Precautions!A31</f>
        <v>P31-Trusted Communication Channels</v>
      </c>
      <c r="B32" s="229">
        <v>0</v>
      </c>
      <c r="C32" s="229">
        <v>0</v>
      </c>
    </row>
    <row r="33" spans="1:3" x14ac:dyDescent="0.25">
      <c r="A33" s="229" t="str">
        <f>Precautions!A32</f>
        <v>P32-Integrity Check</v>
      </c>
      <c r="B33" s="229">
        <v>1.731758220238995E-2</v>
      </c>
      <c r="C33" s="229">
        <v>1000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I976"/>
  <sheetViews>
    <sheetView topLeftCell="D1" zoomScale="115" zoomScaleNormal="115" workbookViewId="0">
      <pane ySplit="1" topLeftCell="A22" activePane="bottomLeft" state="frozen"/>
      <selection activeCell="B1" sqref="B1"/>
      <selection pane="bottomLeft" activeCell="I2" sqref="I2:AF23"/>
    </sheetView>
  </sheetViews>
  <sheetFormatPr defaultColWidth="17.33203125" defaultRowHeight="15" customHeight="1" x14ac:dyDescent="0.25"/>
  <cols>
    <col min="1" max="1" width="33.109375" customWidth="1"/>
    <col min="2" max="2" width="9" customWidth="1"/>
    <col min="3" max="3" width="15.88671875" customWidth="1"/>
    <col min="4" max="4" width="18.5546875" customWidth="1"/>
    <col min="5" max="5" width="17.109375" customWidth="1"/>
    <col min="6" max="6" width="15.88671875" customWidth="1"/>
    <col min="7" max="7" width="18.109375" customWidth="1"/>
    <col min="8" max="8" width="9.6640625" customWidth="1"/>
    <col min="9" max="9" width="20.44140625" customWidth="1"/>
    <col min="10" max="10" width="9" customWidth="1"/>
    <col min="11" max="11" width="8.6640625" customWidth="1"/>
    <col min="12" max="12" width="6.6640625" customWidth="1"/>
    <col min="13" max="13" width="9.33203125" customWidth="1"/>
    <col min="14" max="14" width="7.5546875" customWidth="1"/>
    <col min="15" max="15" width="6.33203125" customWidth="1"/>
    <col min="16" max="16" width="8.6640625" customWidth="1"/>
    <col min="17" max="17" width="15.33203125" customWidth="1"/>
    <col min="18" max="18" width="5.44140625" customWidth="1"/>
    <col min="19" max="21" width="8.6640625" customWidth="1"/>
    <col min="22" max="22" width="6" customWidth="1"/>
    <col min="23" max="23" width="5" customWidth="1"/>
    <col min="24" max="24" width="6.5546875" customWidth="1"/>
    <col min="25" max="25" width="11" customWidth="1"/>
    <col min="26" max="26" width="6.6640625" customWidth="1"/>
    <col min="27" max="27" width="7.33203125" customWidth="1"/>
    <col min="28" max="28" width="5.88671875" customWidth="1"/>
    <col min="29" max="29" width="5.6640625" customWidth="1"/>
    <col min="30" max="30" width="6.88671875" customWidth="1"/>
    <col min="31" max="31" width="6.33203125" customWidth="1"/>
    <col min="32" max="32" width="6" customWidth="1"/>
    <col min="33" max="33" width="21.6640625" customWidth="1"/>
    <col min="34" max="35" width="22.33203125" bestFit="1" customWidth="1"/>
  </cols>
  <sheetData>
    <row r="1" spans="1:35" ht="95.4" x14ac:dyDescent="0.25">
      <c r="A1" s="236"/>
      <c r="B1" s="237" t="s">
        <v>2</v>
      </c>
      <c r="C1" s="237" t="s">
        <v>3</v>
      </c>
      <c r="D1" s="238" t="s">
        <v>117</v>
      </c>
      <c r="E1" s="239" t="s">
        <v>223</v>
      </c>
      <c r="F1" s="239" t="s">
        <v>224</v>
      </c>
      <c r="G1" s="239" t="s">
        <v>225</v>
      </c>
      <c r="H1" s="239" t="s">
        <v>100</v>
      </c>
      <c r="I1" s="240" t="s">
        <v>226</v>
      </c>
      <c r="J1" s="240" t="s">
        <v>247</v>
      </c>
      <c r="K1" s="240" t="s">
        <v>227</v>
      </c>
      <c r="L1" s="240" t="s">
        <v>228</v>
      </c>
      <c r="M1" s="240" t="s">
        <v>229</v>
      </c>
      <c r="N1" s="240" t="s">
        <v>230</v>
      </c>
      <c r="O1" s="240" t="s">
        <v>231</v>
      </c>
      <c r="P1" s="240" t="s">
        <v>232</v>
      </c>
      <c r="Q1" s="241" t="s">
        <v>233</v>
      </c>
      <c r="R1" s="241" t="s">
        <v>248</v>
      </c>
      <c r="S1" s="241" t="s">
        <v>234</v>
      </c>
      <c r="T1" s="241" t="s">
        <v>235</v>
      </c>
      <c r="U1" s="241" t="s">
        <v>236</v>
      </c>
      <c r="V1" s="241" t="s">
        <v>237</v>
      </c>
      <c r="W1" s="241" t="s">
        <v>238</v>
      </c>
      <c r="X1" s="241" t="s">
        <v>239</v>
      </c>
      <c r="Y1" s="242" t="s">
        <v>240</v>
      </c>
      <c r="Z1" s="242" t="s">
        <v>249</v>
      </c>
      <c r="AA1" s="242" t="s">
        <v>241</v>
      </c>
      <c r="AB1" s="242" t="s">
        <v>242</v>
      </c>
      <c r="AC1" s="242" t="s">
        <v>243</v>
      </c>
      <c r="AD1" s="242" t="s">
        <v>244</v>
      </c>
      <c r="AE1" s="242" t="s">
        <v>245</v>
      </c>
      <c r="AF1" s="242" t="s">
        <v>246</v>
      </c>
    </row>
    <row r="2" spans="1:35" ht="12.75" customHeight="1" x14ac:dyDescent="0.25">
      <c r="A2" s="243" t="str">
        <f xml:space="preserve"> Threats!A1</f>
        <v>T1-Power Loss</v>
      </c>
      <c r="B2" s="244">
        <f>'AHP Likelihood Calculation'!AD34</f>
        <v>0.24294982396184614</v>
      </c>
      <c r="C2" s="245">
        <f>'AHP Severity Calculation'!AD34</f>
        <v>4.3966706499003187E-2</v>
      </c>
      <c r="D2" s="246">
        <f>B2*C2</f>
        <v>1.0681703604114981E-2</v>
      </c>
      <c r="E2" s="247">
        <f>D2*J2*L2</f>
        <v>1.0681703604114981E-2</v>
      </c>
      <c r="F2" s="248">
        <f>D2*R2*T2</f>
        <v>0</v>
      </c>
      <c r="G2" s="248">
        <f>D2*Z2*AB2</f>
        <v>0</v>
      </c>
      <c r="H2" s="249" t="b">
        <f>OR(L2&gt;=1,T2&gt;=1,AB2&gt;=1)</f>
        <v>1</v>
      </c>
      <c r="I2" s="250" t="s">
        <v>167</v>
      </c>
      <c r="J2" s="251">
        <v>1</v>
      </c>
      <c r="K2" s="252">
        <v>4000</v>
      </c>
      <c r="L2" s="253">
        <v>1</v>
      </c>
      <c r="M2" s="254">
        <f t="shared" ref="M2:M23" si="0">K2*L2</f>
        <v>4000</v>
      </c>
      <c r="N2" s="254">
        <v>1</v>
      </c>
      <c r="O2" s="254">
        <v>1</v>
      </c>
      <c r="P2" s="255"/>
      <c r="Q2" s="256" t="s">
        <v>181</v>
      </c>
      <c r="R2" s="256">
        <v>0</v>
      </c>
      <c r="S2" s="257">
        <v>0</v>
      </c>
      <c r="T2" s="258">
        <v>0</v>
      </c>
      <c r="U2" s="257">
        <f>S2*T2</f>
        <v>0</v>
      </c>
      <c r="V2" s="259"/>
      <c r="W2" s="259"/>
      <c r="X2" s="260"/>
      <c r="Y2" s="261" t="s">
        <v>181</v>
      </c>
      <c r="Z2" s="262">
        <v>0</v>
      </c>
      <c r="AA2" s="262">
        <v>0</v>
      </c>
      <c r="AB2" s="263">
        <v>0</v>
      </c>
      <c r="AC2" s="264">
        <f>AA2*AB2</f>
        <v>0</v>
      </c>
      <c r="AD2" s="264"/>
      <c r="AE2" s="264"/>
      <c r="AF2" s="264"/>
      <c r="AG2" s="334">
        <f>IF(L2=0,D2*J2, D2*J2*L2)</f>
        <v>1.0681703604114981E-2</v>
      </c>
      <c r="AH2" s="334">
        <f>IF(T2=0,D2*R2, D2*R2*T2)</f>
        <v>0</v>
      </c>
      <c r="AI2" s="334">
        <f>IF(AB2=0,D2*Z2, D2*Z2*AB2)</f>
        <v>0</v>
      </c>
    </row>
    <row r="3" spans="1:35" ht="36" customHeight="1" x14ac:dyDescent="0.25">
      <c r="A3" s="243" t="str">
        <f xml:space="preserve"> Threats!A2</f>
        <v>T2-Hardware Failure</v>
      </c>
      <c r="B3" s="244">
        <f>'AHP Likelihood Calculation'!AD35</f>
        <v>2.3492987243136903E-2</v>
      </c>
      <c r="C3" s="245">
        <f>'AHP Severity Calculation'!AD35</f>
        <v>0.28784126587276643</v>
      </c>
      <c r="D3" s="246">
        <f t="shared" ref="D3:D23" si="1">B3*C3</f>
        <v>6.7622511871972789E-3</v>
      </c>
      <c r="E3" s="247">
        <f t="shared" ref="E3:E23" si="2">D3*J3*L3</f>
        <v>1.352450237439456E-2</v>
      </c>
      <c r="F3" s="248">
        <f t="shared" ref="F3:F23" si="3">D3*R3*T3</f>
        <v>0</v>
      </c>
      <c r="G3" s="248">
        <f t="shared" ref="G3:G23" si="4">D3*Z3*AB3</f>
        <v>0</v>
      </c>
      <c r="H3" s="249" t="b">
        <f t="shared" ref="H3:H23" si="5">OR(L3&gt;=1,T3&gt;=1,AB3&gt;=1)</f>
        <v>1</v>
      </c>
      <c r="I3" s="266" t="s">
        <v>168</v>
      </c>
      <c r="J3" s="267">
        <v>0.4</v>
      </c>
      <c r="K3" s="268">
        <v>10000</v>
      </c>
      <c r="L3" s="269">
        <v>5</v>
      </c>
      <c r="M3" s="254">
        <f t="shared" si="0"/>
        <v>50000</v>
      </c>
      <c r="N3" s="254"/>
      <c r="O3" s="254"/>
      <c r="P3" s="255"/>
      <c r="Q3" s="256" t="s">
        <v>173</v>
      </c>
      <c r="R3" s="256">
        <v>0.6</v>
      </c>
      <c r="S3" s="257">
        <v>10000</v>
      </c>
      <c r="T3" s="270">
        <v>0</v>
      </c>
      <c r="U3" s="257">
        <f t="shared" ref="U3:U23" si="6">S3*T3</f>
        <v>0</v>
      </c>
      <c r="V3" s="259"/>
      <c r="W3" s="259">
        <v>0</v>
      </c>
      <c r="X3" s="260"/>
      <c r="Y3" s="271" t="s">
        <v>181</v>
      </c>
      <c r="Z3" s="262">
        <v>0</v>
      </c>
      <c r="AA3" s="262">
        <v>0</v>
      </c>
      <c r="AB3" s="272">
        <v>0</v>
      </c>
      <c r="AC3" s="264">
        <f t="shared" ref="AC3:AC23" si="7">AA3*AB3</f>
        <v>0</v>
      </c>
      <c r="AD3" s="262"/>
      <c r="AE3" s="262"/>
      <c r="AF3" s="262"/>
      <c r="AG3" s="334">
        <f t="shared" ref="AG3:AG23" si="8">IF(L3=0,D3*J3, D3*J3*L3)</f>
        <v>1.352450237439456E-2</v>
      </c>
      <c r="AH3" s="334">
        <f t="shared" ref="AH3:AH23" si="9">IF(T3=0,D3*R3, D3*R3*T3)</f>
        <v>4.057350712318367E-3</v>
      </c>
      <c r="AI3" s="334">
        <f t="shared" ref="AI3:AI23" si="10">IF(AB3=0,D3*Z3, D3*Z3*AB3)</f>
        <v>0</v>
      </c>
    </row>
    <row r="4" spans="1:35" ht="39.75" customHeight="1" x14ac:dyDescent="0.25">
      <c r="A4" s="243" t="str">
        <f xml:space="preserve"> Threats!A3</f>
        <v>T3-Software Crash</v>
      </c>
      <c r="B4" s="244">
        <f>'AHP Likelihood Calculation'!AD36</f>
        <v>8.9952409245753914E-2</v>
      </c>
      <c r="C4" s="245">
        <f>'AHP Severity Calculation'!AD36</f>
        <v>0.11194895997868699</v>
      </c>
      <c r="D4" s="246">
        <f t="shared" si="1"/>
        <v>1.0070078662639379E-2</v>
      </c>
      <c r="E4" s="247">
        <f t="shared" si="2"/>
        <v>5.0350393313196894E-3</v>
      </c>
      <c r="F4" s="248">
        <f t="shared" si="3"/>
        <v>5.0350393313196894E-3</v>
      </c>
      <c r="G4" s="248">
        <f t="shared" si="4"/>
        <v>0</v>
      </c>
      <c r="H4" s="249" t="b">
        <f t="shared" si="5"/>
        <v>1</v>
      </c>
      <c r="I4" s="266" t="s">
        <v>169</v>
      </c>
      <c r="J4" s="267">
        <v>0.5</v>
      </c>
      <c r="K4" s="268">
        <v>0</v>
      </c>
      <c r="L4" s="269">
        <v>1</v>
      </c>
      <c r="M4" s="254">
        <f t="shared" si="0"/>
        <v>0</v>
      </c>
      <c r="N4" s="254">
        <v>1</v>
      </c>
      <c r="O4" s="254">
        <v>1</v>
      </c>
      <c r="P4" s="255"/>
      <c r="Q4" s="256" t="s">
        <v>182</v>
      </c>
      <c r="R4" s="256">
        <v>0.5</v>
      </c>
      <c r="S4" s="257">
        <v>15000</v>
      </c>
      <c r="T4" s="270">
        <v>1</v>
      </c>
      <c r="U4" s="257">
        <f t="shared" si="6"/>
        <v>15000</v>
      </c>
      <c r="V4" s="259"/>
      <c r="W4" s="259">
        <v>1</v>
      </c>
      <c r="X4" s="260"/>
      <c r="Y4" s="271" t="s">
        <v>181</v>
      </c>
      <c r="Z4" s="262">
        <v>0</v>
      </c>
      <c r="AA4" s="262">
        <v>0</v>
      </c>
      <c r="AB4" s="272">
        <v>0</v>
      </c>
      <c r="AC4" s="264">
        <f t="shared" si="7"/>
        <v>0</v>
      </c>
      <c r="AD4" s="262"/>
      <c r="AE4" s="262"/>
      <c r="AF4" s="262"/>
      <c r="AG4" s="334">
        <f t="shared" si="8"/>
        <v>5.0350393313196894E-3</v>
      </c>
      <c r="AH4" s="334">
        <f t="shared" si="9"/>
        <v>5.0350393313196894E-3</v>
      </c>
      <c r="AI4" s="334">
        <f t="shared" si="10"/>
        <v>0</v>
      </c>
    </row>
    <row r="5" spans="1:35" ht="63" customHeight="1" x14ac:dyDescent="0.25">
      <c r="A5" s="243" t="str">
        <f xml:space="preserve"> Threats!A4</f>
        <v>T4-Operator Errors</v>
      </c>
      <c r="B5" s="244">
        <f>'AHP Likelihood Calculation'!AD37</f>
        <v>6.7227326913070706E-2</v>
      </c>
      <c r="C5" s="245">
        <f>'AHP Severity Calculation'!AD37</f>
        <v>0.15464545466959659</v>
      </c>
      <c r="D5" s="246">
        <f t="shared" si="1"/>
        <v>1.0396400536693426E-2</v>
      </c>
      <c r="E5" s="247">
        <f t="shared" si="2"/>
        <v>6.2378403220160559E-3</v>
      </c>
      <c r="F5" s="248">
        <f t="shared" si="3"/>
        <v>0</v>
      </c>
      <c r="G5" s="248">
        <f t="shared" si="4"/>
        <v>0</v>
      </c>
      <c r="H5" s="249" t="b">
        <f t="shared" si="5"/>
        <v>1</v>
      </c>
      <c r="I5" s="266" t="s">
        <v>170</v>
      </c>
      <c r="J5" s="267">
        <v>0.2</v>
      </c>
      <c r="K5" s="268">
        <v>12000</v>
      </c>
      <c r="L5" s="269">
        <v>3</v>
      </c>
      <c r="M5" s="254">
        <f t="shared" si="0"/>
        <v>36000</v>
      </c>
      <c r="N5" s="254">
        <v>3</v>
      </c>
      <c r="O5" s="254">
        <v>3</v>
      </c>
      <c r="P5" s="255"/>
      <c r="Q5" s="256" t="s">
        <v>185</v>
      </c>
      <c r="R5" s="256">
        <v>0.1333</v>
      </c>
      <c r="S5" s="257">
        <v>20000</v>
      </c>
      <c r="T5" s="270">
        <v>0</v>
      </c>
      <c r="U5" s="257">
        <f t="shared" si="6"/>
        <v>0</v>
      </c>
      <c r="V5" s="259"/>
      <c r="W5" s="259"/>
      <c r="X5" s="260">
        <v>60000</v>
      </c>
      <c r="Y5" s="271" t="s">
        <v>181</v>
      </c>
      <c r="Z5" s="262">
        <v>0</v>
      </c>
      <c r="AA5" s="262">
        <v>0</v>
      </c>
      <c r="AB5" s="272">
        <v>0</v>
      </c>
      <c r="AC5" s="264">
        <f t="shared" si="7"/>
        <v>0</v>
      </c>
      <c r="AD5" s="264"/>
      <c r="AE5" s="264"/>
      <c r="AF5" s="264"/>
      <c r="AG5" s="334">
        <f t="shared" si="8"/>
        <v>6.2378403220160559E-3</v>
      </c>
      <c r="AH5" s="334">
        <f t="shared" si="9"/>
        <v>1.3858401915412338E-3</v>
      </c>
      <c r="AI5" s="334">
        <f t="shared" si="10"/>
        <v>0</v>
      </c>
    </row>
    <row r="6" spans="1:35" ht="55.5" customHeight="1" x14ac:dyDescent="0.25">
      <c r="A6" s="243" t="str">
        <f xml:space="preserve"> Threats!A5</f>
        <v>T5-Malicious Inside Action</v>
      </c>
      <c r="B6" s="244">
        <f>'AHP Likelihood Calculation'!AD38</f>
        <v>4.4492642577803276E-2</v>
      </c>
      <c r="C6" s="245">
        <f>'AHP Severity Calculation'!AD38</f>
        <v>0.53946980080709239</v>
      </c>
      <c r="D6" s="246">
        <f t="shared" si="1"/>
        <v>2.4002437028828691E-2</v>
      </c>
      <c r="E6" s="247">
        <f t="shared" si="2"/>
        <v>7.2007311086486068E-3</v>
      </c>
      <c r="F6" s="248">
        <f t="shared" si="3"/>
        <v>4.8004874057657387E-3</v>
      </c>
      <c r="G6" s="248">
        <f t="shared" si="4"/>
        <v>1.2001218514414345E-2</v>
      </c>
      <c r="H6" s="249" t="b">
        <f t="shared" si="5"/>
        <v>1</v>
      </c>
      <c r="I6" s="266" t="s">
        <v>171</v>
      </c>
      <c r="J6" s="267">
        <v>0.3</v>
      </c>
      <c r="K6" s="268">
        <v>0</v>
      </c>
      <c r="L6" s="269">
        <v>1</v>
      </c>
      <c r="M6" s="254">
        <f t="shared" si="0"/>
        <v>0</v>
      </c>
      <c r="N6" s="254"/>
      <c r="O6" s="254">
        <v>1</v>
      </c>
      <c r="P6" s="255"/>
      <c r="Q6" s="256" t="s">
        <v>183</v>
      </c>
      <c r="R6" s="256">
        <v>0.2</v>
      </c>
      <c r="S6" s="257">
        <v>0</v>
      </c>
      <c r="T6" s="270">
        <v>1</v>
      </c>
      <c r="U6" s="257">
        <f t="shared" si="6"/>
        <v>0</v>
      </c>
      <c r="V6" s="259"/>
      <c r="W6" s="259">
        <v>1</v>
      </c>
      <c r="X6" s="260"/>
      <c r="Y6" s="273" t="s">
        <v>166</v>
      </c>
      <c r="Z6" s="274">
        <v>0.5</v>
      </c>
      <c r="AA6" s="262">
        <v>0</v>
      </c>
      <c r="AB6" s="272">
        <v>1</v>
      </c>
      <c r="AC6" s="264">
        <f t="shared" si="7"/>
        <v>0</v>
      </c>
      <c r="AD6" s="264">
        <v>1</v>
      </c>
      <c r="AE6" s="264">
        <v>1</v>
      </c>
      <c r="AF6" s="264"/>
      <c r="AG6" s="334">
        <f t="shared" si="8"/>
        <v>7.2007311086486068E-3</v>
      </c>
      <c r="AH6" s="334">
        <f t="shared" si="9"/>
        <v>4.8004874057657387E-3</v>
      </c>
      <c r="AI6" s="334">
        <f t="shared" si="10"/>
        <v>1.2001218514414345E-2</v>
      </c>
    </row>
    <row r="7" spans="1:35" ht="24.75" customHeight="1" x14ac:dyDescent="0.25">
      <c r="A7" s="243" t="str">
        <f xml:space="preserve"> Threats!A6</f>
        <v>T6-Trojan and Worms</v>
      </c>
      <c r="B7" s="244">
        <f>'AHP Likelihood Calculation'!AD39</f>
        <v>0.10407757204157696</v>
      </c>
      <c r="C7" s="245">
        <f>'AHP Severity Calculation'!AD39</f>
        <v>0.18918676109737209</v>
      </c>
      <c r="D7" s="246">
        <f t="shared" si="1"/>
        <v>1.9690098757424352E-2</v>
      </c>
      <c r="E7" s="247">
        <f t="shared" si="2"/>
        <v>9.845049378712176E-3</v>
      </c>
      <c r="F7" s="248">
        <f t="shared" si="3"/>
        <v>9.845049378712176E-3</v>
      </c>
      <c r="G7" s="248">
        <f t="shared" si="4"/>
        <v>0</v>
      </c>
      <c r="H7" s="249" t="b">
        <f t="shared" si="5"/>
        <v>1</v>
      </c>
      <c r="I7" s="275" t="s">
        <v>186</v>
      </c>
      <c r="J7" s="276">
        <v>0.5</v>
      </c>
      <c r="K7" s="268">
        <v>0</v>
      </c>
      <c r="L7" s="269">
        <v>1</v>
      </c>
      <c r="M7" s="254">
        <f t="shared" si="0"/>
        <v>0</v>
      </c>
      <c r="N7" s="254"/>
      <c r="O7" s="254">
        <v>1</v>
      </c>
      <c r="P7" s="255"/>
      <c r="Q7" s="256" t="s">
        <v>214</v>
      </c>
      <c r="R7" s="256">
        <v>0.5</v>
      </c>
      <c r="S7" s="257">
        <v>0</v>
      </c>
      <c r="T7" s="270">
        <v>1</v>
      </c>
      <c r="U7" s="257">
        <f t="shared" si="6"/>
        <v>0</v>
      </c>
      <c r="V7" s="259"/>
      <c r="W7" s="259">
        <v>1</v>
      </c>
      <c r="X7" s="260"/>
      <c r="Y7" s="271" t="s">
        <v>181</v>
      </c>
      <c r="Z7" s="262">
        <v>0</v>
      </c>
      <c r="AA7" s="262">
        <v>0</v>
      </c>
      <c r="AB7" s="272">
        <v>0</v>
      </c>
      <c r="AC7" s="264">
        <f t="shared" si="7"/>
        <v>0</v>
      </c>
      <c r="AD7" s="262"/>
      <c r="AE7" s="262"/>
      <c r="AF7" s="262"/>
      <c r="AG7" s="334">
        <f t="shared" si="8"/>
        <v>9.845049378712176E-3</v>
      </c>
      <c r="AH7" s="334">
        <f t="shared" si="9"/>
        <v>9.845049378712176E-3</v>
      </c>
      <c r="AI7" s="334">
        <f t="shared" si="10"/>
        <v>0</v>
      </c>
    </row>
    <row r="8" spans="1:35" ht="37.5" customHeight="1" x14ac:dyDescent="0.25">
      <c r="A8" s="243" t="str">
        <f xml:space="preserve"> Threats!A7</f>
        <v>T7-Fire</v>
      </c>
      <c r="B8" s="244">
        <f>'AHP Likelihood Calculation'!AD40</f>
        <v>1.6665052229327772E-2</v>
      </c>
      <c r="C8" s="245">
        <f>'AHP Severity Calculation'!AD40</f>
        <v>0.87252940058624795</v>
      </c>
      <c r="D8" s="246">
        <f t="shared" si="1"/>
        <v>1.4540748032393875E-2</v>
      </c>
      <c r="E8" s="247">
        <f t="shared" si="2"/>
        <v>1.0178523622675711E-2</v>
      </c>
      <c r="F8" s="248">
        <f t="shared" si="3"/>
        <v>4.3622244097181627E-3</v>
      </c>
      <c r="G8" s="248">
        <f t="shared" si="4"/>
        <v>0</v>
      </c>
      <c r="H8" s="249" t="b">
        <f t="shared" si="5"/>
        <v>1</v>
      </c>
      <c r="I8" s="266" t="s">
        <v>172</v>
      </c>
      <c r="J8" s="267">
        <v>0.7</v>
      </c>
      <c r="K8" s="268">
        <v>4500</v>
      </c>
      <c r="L8" s="269">
        <v>1</v>
      </c>
      <c r="M8" s="254">
        <f t="shared" si="0"/>
        <v>4500</v>
      </c>
      <c r="N8" s="254"/>
      <c r="O8" s="254">
        <v>1</v>
      </c>
      <c r="P8" s="255"/>
      <c r="Q8" s="256" t="s">
        <v>173</v>
      </c>
      <c r="R8" s="256">
        <v>0.3</v>
      </c>
      <c r="S8" s="257">
        <v>6000</v>
      </c>
      <c r="T8" s="270">
        <v>1</v>
      </c>
      <c r="U8" s="257">
        <f t="shared" si="6"/>
        <v>6000</v>
      </c>
      <c r="V8" s="259"/>
      <c r="W8" s="259">
        <v>1</v>
      </c>
      <c r="X8" s="260"/>
      <c r="Y8" s="271" t="s">
        <v>181</v>
      </c>
      <c r="Z8" s="262">
        <v>0</v>
      </c>
      <c r="AA8" s="262">
        <v>0</v>
      </c>
      <c r="AB8" s="272">
        <v>0</v>
      </c>
      <c r="AC8" s="264">
        <f t="shared" si="7"/>
        <v>0</v>
      </c>
      <c r="AD8" s="264"/>
      <c r="AE8" s="264"/>
      <c r="AF8" s="264"/>
      <c r="AG8" s="334">
        <f t="shared" si="8"/>
        <v>1.0178523622675711E-2</v>
      </c>
      <c r="AH8" s="334">
        <f t="shared" si="9"/>
        <v>4.3622244097181627E-3</v>
      </c>
      <c r="AI8" s="334">
        <f t="shared" si="10"/>
        <v>0</v>
      </c>
    </row>
    <row r="9" spans="1:35" ht="39" customHeight="1" x14ac:dyDescent="0.25">
      <c r="A9" s="243" t="str">
        <f xml:space="preserve"> Threats!A8</f>
        <v>T8-Other Enviromental Disasters</v>
      </c>
      <c r="B9" s="244">
        <f>'AHP Likelihood Calculation'!AD41</f>
        <v>1.2039520225759709E-2</v>
      </c>
      <c r="C9" s="245">
        <f>'AHP Severity Calculation'!AD41</f>
        <v>0.8848645706413496</v>
      </c>
      <c r="D9" s="246">
        <f t="shared" si="1"/>
        <v>1.065334489529471E-2</v>
      </c>
      <c r="E9" s="247">
        <f t="shared" si="2"/>
        <v>7.4573414267062963E-3</v>
      </c>
      <c r="F9" s="248">
        <f t="shared" si="3"/>
        <v>3.1960034685884131E-3</v>
      </c>
      <c r="G9" s="248">
        <f t="shared" si="4"/>
        <v>0</v>
      </c>
      <c r="H9" s="249" t="b">
        <f t="shared" si="5"/>
        <v>1</v>
      </c>
      <c r="I9" s="266" t="s">
        <v>173</v>
      </c>
      <c r="J9" s="267">
        <v>0.7</v>
      </c>
      <c r="K9" s="268">
        <v>6000</v>
      </c>
      <c r="L9" s="269">
        <v>1</v>
      </c>
      <c r="M9" s="254">
        <f t="shared" si="0"/>
        <v>6000</v>
      </c>
      <c r="N9" s="254"/>
      <c r="O9" s="268">
        <v>1</v>
      </c>
      <c r="P9" s="255"/>
      <c r="Q9" s="256" t="s">
        <v>172</v>
      </c>
      <c r="R9" s="256">
        <v>0.3</v>
      </c>
      <c r="S9" s="257">
        <v>4500</v>
      </c>
      <c r="T9" s="270">
        <v>1</v>
      </c>
      <c r="U9" s="257">
        <f t="shared" si="6"/>
        <v>4500</v>
      </c>
      <c r="V9" s="259"/>
      <c r="W9" s="259">
        <v>1</v>
      </c>
      <c r="X9" s="260"/>
      <c r="Y9" s="271" t="s">
        <v>181</v>
      </c>
      <c r="Z9" s="262">
        <v>0</v>
      </c>
      <c r="AA9" s="262">
        <v>0</v>
      </c>
      <c r="AB9" s="272">
        <v>0</v>
      </c>
      <c r="AC9" s="264">
        <f t="shared" si="7"/>
        <v>0</v>
      </c>
      <c r="AD9" s="264"/>
      <c r="AE9" s="264"/>
      <c r="AF9" s="264"/>
      <c r="AG9" s="334">
        <f t="shared" si="8"/>
        <v>7.4573414267062963E-3</v>
      </c>
      <c r="AH9" s="334">
        <f t="shared" si="9"/>
        <v>3.1960034685884131E-3</v>
      </c>
      <c r="AI9" s="334">
        <f t="shared" si="10"/>
        <v>0</v>
      </c>
    </row>
    <row r="10" spans="1:35" ht="51.75" customHeight="1" x14ac:dyDescent="0.25">
      <c r="A10" s="243" t="str">
        <f xml:space="preserve"> Threats!A9</f>
        <v>T9-Availability Threats(DDOS)</v>
      </c>
      <c r="B10" s="244">
        <f>'AHP Likelihood Calculation'!AD42</f>
        <v>2.3550794265172554E-2</v>
      </c>
      <c r="C10" s="245">
        <f>'AHP Severity Calculation'!AD42</f>
        <v>0.30468505993323342</v>
      </c>
      <c r="D10" s="246">
        <f t="shared" si="1"/>
        <v>7.1755751621593493E-3</v>
      </c>
      <c r="E10" s="247">
        <f t="shared" si="2"/>
        <v>1.7221380389182439E-3</v>
      </c>
      <c r="F10" s="248">
        <f t="shared" si="3"/>
        <v>2.1526725486478047E-3</v>
      </c>
      <c r="G10" s="248">
        <f t="shared" si="4"/>
        <v>2.1526725486478047E-3</v>
      </c>
      <c r="H10" s="249" t="b">
        <f t="shared" si="5"/>
        <v>1</v>
      </c>
      <c r="I10" s="250" t="s">
        <v>190</v>
      </c>
      <c r="J10" s="267">
        <v>0.04</v>
      </c>
      <c r="K10" s="268">
        <v>1000</v>
      </c>
      <c r="L10" s="253">
        <v>6</v>
      </c>
      <c r="M10" s="254">
        <f t="shared" si="0"/>
        <v>6000</v>
      </c>
      <c r="N10" s="254"/>
      <c r="O10" s="254">
        <v>10</v>
      </c>
      <c r="P10" s="255"/>
      <c r="Q10" s="256" t="s">
        <v>218</v>
      </c>
      <c r="R10" s="256">
        <v>0.3</v>
      </c>
      <c r="S10" s="257">
        <v>5000</v>
      </c>
      <c r="T10" s="258">
        <v>1</v>
      </c>
      <c r="U10" s="257">
        <f t="shared" si="6"/>
        <v>5000</v>
      </c>
      <c r="V10" s="259"/>
      <c r="W10" s="259">
        <v>1</v>
      </c>
      <c r="X10" s="260"/>
      <c r="Y10" s="273" t="s">
        <v>219</v>
      </c>
      <c r="Z10" s="274">
        <v>0.1</v>
      </c>
      <c r="AA10" s="262">
        <v>2000</v>
      </c>
      <c r="AB10" s="263">
        <v>3</v>
      </c>
      <c r="AC10" s="264">
        <f t="shared" si="7"/>
        <v>6000</v>
      </c>
      <c r="AD10" s="264"/>
      <c r="AE10" s="264"/>
      <c r="AF10" s="264">
        <v>6000</v>
      </c>
      <c r="AG10" s="334">
        <f t="shared" si="8"/>
        <v>1.7221380389182439E-3</v>
      </c>
      <c r="AH10" s="334">
        <f t="shared" si="9"/>
        <v>2.1526725486478047E-3</v>
      </c>
      <c r="AI10" s="334">
        <f t="shared" si="10"/>
        <v>2.1526725486478047E-3</v>
      </c>
    </row>
    <row r="11" spans="1:35" ht="19.5" customHeight="1" x14ac:dyDescent="0.25">
      <c r="A11" s="243" t="str">
        <f xml:space="preserve"> Threats!A10</f>
        <v>T10-Disk Failure</v>
      </c>
      <c r="B11" s="244">
        <f>'AHP Likelihood Calculation'!AD43</f>
        <v>7.291793331983723E-2</v>
      </c>
      <c r="C11" s="245">
        <f>'AHP Severity Calculation'!AD43</f>
        <v>0.11625307150154933</v>
      </c>
      <c r="D11" s="246">
        <f t="shared" si="1"/>
        <v>8.4769337159762443E-3</v>
      </c>
      <c r="E11" s="247">
        <f t="shared" si="2"/>
        <v>8.4769337159762096E-3</v>
      </c>
      <c r="F11" s="248">
        <f t="shared" si="3"/>
        <v>0</v>
      </c>
      <c r="G11" s="248">
        <f t="shared" si="4"/>
        <v>0</v>
      </c>
      <c r="H11" s="249" t="b">
        <f t="shared" si="5"/>
        <v>1</v>
      </c>
      <c r="I11" s="266" t="s">
        <v>165</v>
      </c>
      <c r="J11" s="267">
        <v>0.16666666666666599</v>
      </c>
      <c r="K11" s="268">
        <v>500</v>
      </c>
      <c r="L11" s="253">
        <v>6</v>
      </c>
      <c r="M11" s="254">
        <f t="shared" si="0"/>
        <v>3000</v>
      </c>
      <c r="N11" s="254"/>
      <c r="O11" s="254"/>
      <c r="P11" s="255">
        <v>3000</v>
      </c>
      <c r="Q11" s="256" t="s">
        <v>181</v>
      </c>
      <c r="R11" s="256">
        <v>0</v>
      </c>
      <c r="S11" s="257">
        <v>0</v>
      </c>
      <c r="T11" s="258">
        <v>0</v>
      </c>
      <c r="U11" s="257">
        <f t="shared" si="6"/>
        <v>0</v>
      </c>
      <c r="V11" s="259"/>
      <c r="W11" s="259"/>
      <c r="X11" s="260"/>
      <c r="Y11" s="271" t="s">
        <v>181</v>
      </c>
      <c r="Z11" s="262">
        <v>0</v>
      </c>
      <c r="AA11" s="262">
        <v>0</v>
      </c>
      <c r="AB11" s="263">
        <v>0</v>
      </c>
      <c r="AC11" s="264">
        <f t="shared" si="7"/>
        <v>0</v>
      </c>
      <c r="AD11" s="264"/>
      <c r="AE11" s="264"/>
      <c r="AF11" s="264"/>
      <c r="AG11" s="334">
        <f t="shared" si="8"/>
        <v>8.4769337159762096E-3</v>
      </c>
      <c r="AH11" s="334">
        <f t="shared" si="9"/>
        <v>0</v>
      </c>
      <c r="AI11" s="334">
        <f t="shared" si="10"/>
        <v>0</v>
      </c>
    </row>
    <row r="12" spans="1:35" ht="17.25" customHeight="1" x14ac:dyDescent="0.25">
      <c r="A12" s="243" t="str">
        <f xml:space="preserve"> Threats!A11</f>
        <v>T11-Data Corruption</v>
      </c>
      <c r="B12" s="244">
        <f>'AHP Likelihood Calculation'!AD44</f>
        <v>9.3795170093336891E-2</v>
      </c>
      <c r="C12" s="245">
        <f>'AHP Severity Calculation'!AD44</f>
        <v>8.6691316565072896E-2</v>
      </c>
      <c r="D12" s="246">
        <f t="shared" si="1"/>
        <v>8.1312267828363271E-3</v>
      </c>
      <c r="E12" s="247">
        <f t="shared" si="2"/>
        <v>4.8787360697017963E-3</v>
      </c>
      <c r="F12" s="248">
        <f t="shared" si="3"/>
        <v>3.2524907131345308E-3</v>
      </c>
      <c r="G12" s="248">
        <f t="shared" si="4"/>
        <v>0</v>
      </c>
      <c r="H12" s="249" t="b">
        <f t="shared" si="5"/>
        <v>1</v>
      </c>
      <c r="I12" s="266" t="s">
        <v>176</v>
      </c>
      <c r="J12" s="267">
        <v>2.4E-2</v>
      </c>
      <c r="K12" s="267">
        <v>150</v>
      </c>
      <c r="L12" s="277">
        <v>25</v>
      </c>
      <c r="M12" s="254">
        <f t="shared" si="0"/>
        <v>3750</v>
      </c>
      <c r="N12" s="254">
        <v>25</v>
      </c>
      <c r="O12" s="254">
        <v>25</v>
      </c>
      <c r="P12" s="255"/>
      <c r="Q12" s="256" t="s">
        <v>184</v>
      </c>
      <c r="R12" s="256">
        <v>1.6E-2</v>
      </c>
      <c r="S12" s="257">
        <v>100</v>
      </c>
      <c r="T12" s="258">
        <v>25</v>
      </c>
      <c r="U12" s="257">
        <f t="shared" si="6"/>
        <v>2500</v>
      </c>
      <c r="V12" s="259">
        <v>25</v>
      </c>
      <c r="W12" s="259">
        <v>25</v>
      </c>
      <c r="X12" s="260"/>
      <c r="Y12" s="271" t="s">
        <v>181</v>
      </c>
      <c r="Z12" s="262">
        <v>0</v>
      </c>
      <c r="AA12" s="262">
        <v>0</v>
      </c>
      <c r="AB12" s="263">
        <v>0</v>
      </c>
      <c r="AC12" s="264">
        <f t="shared" si="7"/>
        <v>0</v>
      </c>
      <c r="AD12" s="264"/>
      <c r="AE12" s="264"/>
      <c r="AF12" s="264"/>
      <c r="AG12" s="334">
        <f t="shared" si="8"/>
        <v>4.8787360697017963E-3</v>
      </c>
      <c r="AH12" s="334">
        <f t="shared" si="9"/>
        <v>3.2524907131345308E-3</v>
      </c>
      <c r="AI12" s="334">
        <f t="shared" si="10"/>
        <v>0</v>
      </c>
    </row>
    <row r="13" spans="1:35" ht="75.75" customHeight="1" x14ac:dyDescent="0.25">
      <c r="A13" s="243" t="str">
        <f xml:space="preserve"> Threats!A12</f>
        <v>T12-Inaccurrate Data</v>
      </c>
      <c r="B13" s="244">
        <f>'AHP Likelihood Calculation'!AD45</f>
        <v>7.3606513466022649E-2</v>
      </c>
      <c r="C13" s="245">
        <f>'AHP Severity Calculation'!AD45</f>
        <v>3.8115520774887481E-2</v>
      </c>
      <c r="D13" s="246">
        <f t="shared" si="1"/>
        <v>2.8055505931812216E-3</v>
      </c>
      <c r="E13" s="247">
        <f t="shared" si="2"/>
        <v>0</v>
      </c>
      <c r="F13" s="248">
        <f t="shared" si="3"/>
        <v>1.4027752965906108E-3</v>
      </c>
      <c r="G13" s="248">
        <f t="shared" si="4"/>
        <v>0</v>
      </c>
      <c r="H13" s="279" t="b">
        <f t="shared" si="5"/>
        <v>1</v>
      </c>
      <c r="I13" s="280" t="s">
        <v>174</v>
      </c>
      <c r="J13" s="281">
        <v>0.5</v>
      </c>
      <c r="K13" s="281">
        <v>18000</v>
      </c>
      <c r="L13" s="282">
        <v>0</v>
      </c>
      <c r="M13" s="254">
        <f t="shared" si="0"/>
        <v>0</v>
      </c>
      <c r="N13" s="283"/>
      <c r="O13" s="284">
        <v>1</v>
      </c>
      <c r="P13" s="285"/>
      <c r="Q13" s="286" t="s">
        <v>215</v>
      </c>
      <c r="R13" s="286">
        <v>0.125</v>
      </c>
      <c r="S13" s="287">
        <v>800</v>
      </c>
      <c r="T13" s="288">
        <v>4</v>
      </c>
      <c r="U13" s="257">
        <f t="shared" si="6"/>
        <v>3200</v>
      </c>
      <c r="V13" s="289"/>
      <c r="W13" s="289">
        <v>4</v>
      </c>
      <c r="X13" s="260"/>
      <c r="Y13" s="271" t="s">
        <v>181</v>
      </c>
      <c r="Z13" s="262"/>
      <c r="AA13" s="262">
        <v>0</v>
      </c>
      <c r="AB13" s="263">
        <v>0</v>
      </c>
      <c r="AC13" s="264">
        <f t="shared" si="7"/>
        <v>0</v>
      </c>
      <c r="AD13" s="264"/>
      <c r="AE13" s="264"/>
      <c r="AF13" s="264"/>
      <c r="AG13" s="334">
        <f t="shared" si="8"/>
        <v>1.4027752965906108E-3</v>
      </c>
      <c r="AH13" s="334">
        <f t="shared" si="9"/>
        <v>1.4027752965906108E-3</v>
      </c>
      <c r="AI13" s="334">
        <f t="shared" si="10"/>
        <v>0</v>
      </c>
    </row>
    <row r="14" spans="1:35" ht="25.5" customHeight="1" x14ac:dyDescent="0.25">
      <c r="A14" s="243" t="str">
        <f xml:space="preserve"> Threats!A13</f>
        <v>T13-Un-authorized Access</v>
      </c>
      <c r="B14" s="244">
        <f>'AHP Likelihood Calculation'!AD46</f>
        <v>0.26976623313860026</v>
      </c>
      <c r="C14" s="245">
        <f>'AHP Severity Calculation'!AD46</f>
        <v>0.15672515952125432</v>
      </c>
      <c r="D14" s="246">
        <f t="shared" si="1"/>
        <v>4.227915592209501E-2</v>
      </c>
      <c r="E14" s="247">
        <f t="shared" si="2"/>
        <v>4.227915592209501E-2</v>
      </c>
      <c r="F14" s="248">
        <f t="shared" si="3"/>
        <v>0</v>
      </c>
      <c r="G14" s="248">
        <f t="shared" si="4"/>
        <v>0</v>
      </c>
      <c r="H14" s="290" t="b">
        <f t="shared" si="5"/>
        <v>1</v>
      </c>
      <c r="I14" s="250" t="s">
        <v>187</v>
      </c>
      <c r="J14" s="291">
        <v>1</v>
      </c>
      <c r="K14" s="291">
        <v>10000</v>
      </c>
      <c r="L14" s="292">
        <v>1</v>
      </c>
      <c r="M14" s="254">
        <f t="shared" si="0"/>
        <v>10000</v>
      </c>
      <c r="N14" s="254"/>
      <c r="O14" s="254">
        <v>1</v>
      </c>
      <c r="P14" s="255"/>
      <c r="Q14" s="293" t="s">
        <v>181</v>
      </c>
      <c r="R14" s="259">
        <v>0</v>
      </c>
      <c r="S14" s="294">
        <v>0</v>
      </c>
      <c r="T14" s="258">
        <v>0</v>
      </c>
      <c r="U14" s="257">
        <f t="shared" si="6"/>
        <v>0</v>
      </c>
      <c r="V14" s="259"/>
      <c r="W14" s="259">
        <v>1</v>
      </c>
      <c r="X14" s="260"/>
      <c r="Y14" s="271" t="s">
        <v>181</v>
      </c>
      <c r="Z14" s="262">
        <v>0</v>
      </c>
      <c r="AA14" s="262">
        <v>0</v>
      </c>
      <c r="AB14" s="263">
        <v>0</v>
      </c>
      <c r="AC14" s="264">
        <f t="shared" si="7"/>
        <v>0</v>
      </c>
      <c r="AD14" s="264"/>
      <c r="AE14" s="264"/>
      <c r="AF14" s="264"/>
      <c r="AG14" s="334">
        <f t="shared" si="8"/>
        <v>4.227915592209501E-2</v>
      </c>
      <c r="AH14" s="334">
        <f t="shared" si="9"/>
        <v>0</v>
      </c>
      <c r="AI14" s="334">
        <f t="shared" si="10"/>
        <v>0</v>
      </c>
    </row>
    <row r="15" spans="1:35" ht="27" customHeight="1" x14ac:dyDescent="0.25">
      <c r="A15" s="243" t="str">
        <f xml:space="preserve"> Threats!A14</f>
        <v>T14-Virus and Spyware</v>
      </c>
      <c r="B15" s="244">
        <f>'AHP Likelihood Calculation'!AD47</f>
        <v>0.70636436643241918</v>
      </c>
      <c r="C15" s="245">
        <f>'AHP Severity Calculation'!AD47</f>
        <v>0.126776335146008</v>
      </c>
      <c r="D15" s="246">
        <f t="shared" si="1"/>
        <v>8.9550285654033973E-2</v>
      </c>
      <c r="E15" s="247">
        <f t="shared" si="2"/>
        <v>4.4775142827016987E-2</v>
      </c>
      <c r="F15" s="248">
        <f t="shared" si="3"/>
        <v>4.4775142827016987E-2</v>
      </c>
      <c r="G15" s="248">
        <f t="shared" si="4"/>
        <v>0</v>
      </c>
      <c r="H15" s="249" t="b">
        <f t="shared" si="5"/>
        <v>1</v>
      </c>
      <c r="I15" s="266" t="s">
        <v>176</v>
      </c>
      <c r="J15" s="267">
        <v>0.02</v>
      </c>
      <c r="K15" s="267">
        <v>150</v>
      </c>
      <c r="L15" s="277">
        <v>25</v>
      </c>
      <c r="M15" s="254">
        <f t="shared" si="0"/>
        <v>3750</v>
      </c>
      <c r="N15" s="284">
        <v>25</v>
      </c>
      <c r="O15" s="284">
        <v>25</v>
      </c>
      <c r="P15" s="295"/>
      <c r="Q15" s="256" t="s">
        <v>184</v>
      </c>
      <c r="R15" s="256">
        <v>0.02</v>
      </c>
      <c r="S15" s="257">
        <v>100</v>
      </c>
      <c r="T15" s="296">
        <v>25</v>
      </c>
      <c r="U15" s="257">
        <f t="shared" si="6"/>
        <v>2500</v>
      </c>
      <c r="V15" s="297">
        <v>25</v>
      </c>
      <c r="W15" s="297">
        <v>25</v>
      </c>
      <c r="X15" s="260"/>
      <c r="Y15" s="271" t="s">
        <v>181</v>
      </c>
      <c r="Z15" s="262">
        <v>0</v>
      </c>
      <c r="AA15" s="262">
        <v>0</v>
      </c>
      <c r="AB15" s="263">
        <v>0</v>
      </c>
      <c r="AC15" s="264">
        <f t="shared" si="7"/>
        <v>0</v>
      </c>
      <c r="AD15" s="264"/>
      <c r="AE15" s="264"/>
      <c r="AF15" s="264"/>
      <c r="AG15" s="334">
        <f t="shared" si="8"/>
        <v>4.4775142827016987E-2</v>
      </c>
      <c r="AH15" s="334">
        <f t="shared" si="9"/>
        <v>4.4775142827016987E-2</v>
      </c>
      <c r="AI15" s="334">
        <f t="shared" si="10"/>
        <v>0</v>
      </c>
    </row>
    <row r="16" spans="1:35" ht="16.5" customHeight="1" x14ac:dyDescent="0.25">
      <c r="A16" s="243" t="str">
        <f xml:space="preserve"> Threats!A15</f>
        <v>T15-Hacking</v>
      </c>
      <c r="B16" s="244">
        <f>'AHP Likelihood Calculation'!AD48</f>
        <v>9.5674681970019146E-2</v>
      </c>
      <c r="C16" s="245">
        <f>'AHP Severity Calculation'!AD48</f>
        <v>0.34590291338687784</v>
      </c>
      <c r="D16" s="246">
        <f t="shared" si="1"/>
        <v>3.3094151230792616E-2</v>
      </c>
      <c r="E16" s="247">
        <f t="shared" si="2"/>
        <v>1.3237660492317047E-2</v>
      </c>
      <c r="F16" s="248">
        <f t="shared" si="3"/>
        <v>1.985649073847557E-2</v>
      </c>
      <c r="G16" s="248">
        <f t="shared" si="4"/>
        <v>0</v>
      </c>
      <c r="H16" s="249" t="b">
        <f t="shared" si="5"/>
        <v>1</v>
      </c>
      <c r="I16" s="266" t="s">
        <v>178</v>
      </c>
      <c r="J16" s="267">
        <v>0.4</v>
      </c>
      <c r="K16" s="277">
        <v>2000</v>
      </c>
      <c r="L16" s="277">
        <v>1</v>
      </c>
      <c r="M16" s="254">
        <f t="shared" si="0"/>
        <v>2000</v>
      </c>
      <c r="N16" s="254"/>
      <c r="O16" s="254">
        <v>1</v>
      </c>
      <c r="P16" s="255"/>
      <c r="Q16" s="256" t="s">
        <v>175</v>
      </c>
      <c r="R16" s="256">
        <v>0.6</v>
      </c>
      <c r="S16" s="257">
        <v>8000</v>
      </c>
      <c r="T16" s="258">
        <v>1</v>
      </c>
      <c r="U16" s="257">
        <f t="shared" si="6"/>
        <v>8000</v>
      </c>
      <c r="V16" s="259"/>
      <c r="W16" s="259">
        <v>1</v>
      </c>
      <c r="X16" s="260"/>
      <c r="Y16" s="271" t="s">
        <v>181</v>
      </c>
      <c r="Z16" s="262">
        <v>0</v>
      </c>
      <c r="AA16" s="262">
        <v>0</v>
      </c>
      <c r="AB16" s="263">
        <v>0</v>
      </c>
      <c r="AC16" s="264">
        <f t="shared" si="7"/>
        <v>0</v>
      </c>
      <c r="AD16" s="264"/>
      <c r="AE16" s="264"/>
      <c r="AF16" s="264"/>
      <c r="AG16" s="334">
        <f t="shared" si="8"/>
        <v>1.3237660492317047E-2</v>
      </c>
      <c r="AH16" s="334">
        <f t="shared" si="9"/>
        <v>1.985649073847557E-2</v>
      </c>
      <c r="AI16" s="334">
        <f t="shared" si="10"/>
        <v>0</v>
      </c>
    </row>
    <row r="17" spans="1:35" ht="38.25" customHeight="1" x14ac:dyDescent="0.25">
      <c r="A17" s="243" t="str">
        <f xml:space="preserve"> Threats!A16</f>
        <v>T16-Media Leakage</v>
      </c>
      <c r="B17" s="244">
        <f>'AHP Likelihood Calculation'!AD49</f>
        <v>5.8604824167280453E-2</v>
      </c>
      <c r="C17" s="245">
        <f>'AHP Severity Calculation'!AD49</f>
        <v>2.7654024484345997E-2</v>
      </c>
      <c r="D17" s="246">
        <f t="shared" si="1"/>
        <v>1.6206592424227657E-3</v>
      </c>
      <c r="E17" s="247">
        <f t="shared" si="2"/>
        <v>8.1032962121138283E-4</v>
      </c>
      <c r="F17" s="248">
        <f t="shared" si="3"/>
        <v>8.1032962121138283E-4</v>
      </c>
      <c r="G17" s="248">
        <f t="shared" si="4"/>
        <v>0</v>
      </c>
      <c r="H17" s="249" t="b">
        <f t="shared" si="5"/>
        <v>1</v>
      </c>
      <c r="I17" s="266" t="s">
        <v>177</v>
      </c>
      <c r="J17" s="267">
        <v>0.5</v>
      </c>
      <c r="K17" s="267">
        <v>500</v>
      </c>
      <c r="L17" s="277">
        <v>1</v>
      </c>
      <c r="M17" s="254">
        <f t="shared" si="0"/>
        <v>500</v>
      </c>
      <c r="N17" s="254"/>
      <c r="O17" s="254">
        <v>1</v>
      </c>
      <c r="P17" s="255"/>
      <c r="Q17" s="256" t="s">
        <v>186</v>
      </c>
      <c r="R17" s="256">
        <v>0.5</v>
      </c>
      <c r="S17" s="257">
        <v>0</v>
      </c>
      <c r="T17" s="258">
        <v>1</v>
      </c>
      <c r="U17" s="257">
        <f t="shared" si="6"/>
        <v>0</v>
      </c>
      <c r="V17" s="259"/>
      <c r="W17" s="259">
        <v>1</v>
      </c>
      <c r="X17" s="260"/>
      <c r="Y17" s="271" t="s">
        <v>181</v>
      </c>
      <c r="Z17" s="262">
        <v>0</v>
      </c>
      <c r="AA17" s="262">
        <v>0</v>
      </c>
      <c r="AB17" s="263">
        <v>0</v>
      </c>
      <c r="AC17" s="264">
        <f t="shared" si="7"/>
        <v>0</v>
      </c>
      <c r="AD17" s="264"/>
      <c r="AE17" s="264"/>
      <c r="AF17" s="264"/>
      <c r="AG17" s="334">
        <f t="shared" si="8"/>
        <v>8.1032962121138283E-4</v>
      </c>
      <c r="AH17" s="334">
        <f t="shared" si="9"/>
        <v>8.1032962121138283E-4</v>
      </c>
      <c r="AI17" s="334">
        <f t="shared" si="10"/>
        <v>0</v>
      </c>
    </row>
    <row r="18" spans="1:35" ht="42" customHeight="1" x14ac:dyDescent="0.25">
      <c r="A18" s="243" t="str">
        <f xml:space="preserve"> Threats!A17</f>
        <v>T17-Communication Preventers(Botnet, Dialer)</v>
      </c>
      <c r="B18" s="244">
        <f>'AHP Likelihood Calculation'!AD50</f>
        <v>0.27124323692319202</v>
      </c>
      <c r="C18" s="245">
        <f>'AHP Severity Calculation'!AD50</f>
        <v>9.6281664532711891E-2</v>
      </c>
      <c r="D18" s="246">
        <f t="shared" si="1"/>
        <v>2.6115750344205668E-2</v>
      </c>
      <c r="E18" s="247">
        <f t="shared" si="2"/>
        <v>1.3057875172102834E-2</v>
      </c>
      <c r="F18" s="248">
        <f t="shared" si="3"/>
        <v>1.3057875172102834E-2</v>
      </c>
      <c r="G18" s="248">
        <f t="shared" si="4"/>
        <v>0</v>
      </c>
      <c r="H18" s="249" t="b">
        <f t="shared" si="5"/>
        <v>1</v>
      </c>
      <c r="I18" s="266" t="s">
        <v>220</v>
      </c>
      <c r="J18" s="267">
        <v>0.5</v>
      </c>
      <c r="K18" s="267">
        <v>5000</v>
      </c>
      <c r="L18" s="277">
        <v>1</v>
      </c>
      <c r="M18" s="254">
        <f t="shared" si="0"/>
        <v>5000</v>
      </c>
      <c r="N18" s="254"/>
      <c r="O18" s="254">
        <v>1</v>
      </c>
      <c r="P18" s="255"/>
      <c r="Q18" s="256" t="s">
        <v>221</v>
      </c>
      <c r="R18" s="256">
        <v>0.1</v>
      </c>
      <c r="S18" s="257">
        <v>2000</v>
      </c>
      <c r="T18" s="258">
        <v>5</v>
      </c>
      <c r="U18" s="257">
        <f t="shared" si="6"/>
        <v>10000</v>
      </c>
      <c r="V18" s="259"/>
      <c r="W18" s="259"/>
      <c r="X18" s="260">
        <v>10000</v>
      </c>
      <c r="Y18" s="271" t="s">
        <v>181</v>
      </c>
      <c r="Z18" s="262">
        <v>0</v>
      </c>
      <c r="AA18" s="262">
        <v>0</v>
      </c>
      <c r="AB18" s="263">
        <v>0</v>
      </c>
      <c r="AC18" s="264">
        <f t="shared" si="7"/>
        <v>0</v>
      </c>
      <c r="AD18" s="264"/>
      <c r="AE18" s="264"/>
      <c r="AF18" s="264"/>
      <c r="AG18" s="334">
        <f t="shared" si="8"/>
        <v>1.3057875172102834E-2</v>
      </c>
      <c r="AH18" s="334">
        <f t="shared" si="9"/>
        <v>1.3057875172102834E-2</v>
      </c>
      <c r="AI18" s="334">
        <f t="shared" si="10"/>
        <v>0</v>
      </c>
    </row>
    <row r="19" spans="1:35" ht="39.75" customHeight="1" x14ac:dyDescent="0.25">
      <c r="A19" s="243" t="str">
        <f xml:space="preserve"> Threats!A18</f>
        <v>T18-Authentication Threats</v>
      </c>
      <c r="B19" s="244">
        <f>'AHP Likelihood Calculation'!AD51</f>
        <v>0.58184563157288882</v>
      </c>
      <c r="C19" s="245">
        <f>'AHP Severity Calculation'!AD51</f>
        <v>0.10455949403646614</v>
      </c>
      <c r="D19" s="246">
        <f t="shared" si="1"/>
        <v>6.083748484458934E-2</v>
      </c>
      <c r="E19" s="247">
        <f t="shared" si="2"/>
        <v>2.4334993937835739E-2</v>
      </c>
      <c r="F19" s="248">
        <f t="shared" si="3"/>
        <v>3.041874242229467E-2</v>
      </c>
      <c r="G19" s="248">
        <f t="shared" si="4"/>
        <v>6.0837484844589278E-3</v>
      </c>
      <c r="H19" s="249" t="b">
        <f t="shared" si="5"/>
        <v>1</v>
      </c>
      <c r="I19" s="266" t="s">
        <v>179</v>
      </c>
      <c r="J19" s="267">
        <v>0.4</v>
      </c>
      <c r="K19" s="267">
        <v>7500</v>
      </c>
      <c r="L19" s="277">
        <v>1</v>
      </c>
      <c r="M19" s="254">
        <f t="shared" si="0"/>
        <v>7500</v>
      </c>
      <c r="N19" s="254"/>
      <c r="O19" s="254">
        <v>1</v>
      </c>
      <c r="P19" s="255"/>
      <c r="Q19" s="298" t="s">
        <v>187</v>
      </c>
      <c r="R19" s="256">
        <v>0.5</v>
      </c>
      <c r="S19" s="257">
        <v>5000</v>
      </c>
      <c r="T19" s="258">
        <v>1</v>
      </c>
      <c r="U19" s="257">
        <f t="shared" si="6"/>
        <v>5000</v>
      </c>
      <c r="V19" s="259">
        <v>1</v>
      </c>
      <c r="W19" s="259">
        <v>1</v>
      </c>
      <c r="X19" s="260"/>
      <c r="Y19" s="273" t="s">
        <v>222</v>
      </c>
      <c r="Z19" s="274">
        <v>3.3333333333333298E-2</v>
      </c>
      <c r="AA19" s="262">
        <v>5000</v>
      </c>
      <c r="AB19" s="263">
        <v>3</v>
      </c>
      <c r="AC19" s="264">
        <f t="shared" si="7"/>
        <v>15000</v>
      </c>
      <c r="AD19" s="264"/>
      <c r="AE19" s="264"/>
      <c r="AF19" s="264">
        <v>15000</v>
      </c>
      <c r="AG19" s="334">
        <f t="shared" si="8"/>
        <v>2.4334993937835739E-2</v>
      </c>
      <c r="AH19" s="334">
        <f t="shared" si="9"/>
        <v>3.041874242229467E-2</v>
      </c>
      <c r="AI19" s="334">
        <f t="shared" si="10"/>
        <v>6.0837484844589278E-3</v>
      </c>
    </row>
    <row r="20" spans="1:35" ht="39" customHeight="1" x14ac:dyDescent="0.25">
      <c r="A20" s="243" t="str">
        <f xml:space="preserve"> Threats!A19</f>
        <v>T19-Non Repudiation Threats</v>
      </c>
      <c r="B20" s="244">
        <f>'AHP Likelihood Calculation'!AD52</f>
        <v>0.28643382192337691</v>
      </c>
      <c r="C20" s="245">
        <f>'AHP Severity Calculation'!AD52</f>
        <v>9.5385565838487743E-2</v>
      </c>
      <c r="D20" s="246">
        <f t="shared" si="1"/>
        <v>2.7321652179441942E-2</v>
      </c>
      <c r="E20" s="247">
        <f t="shared" si="2"/>
        <v>1.3660826089720971E-2</v>
      </c>
      <c r="F20" s="248">
        <f t="shared" si="3"/>
        <v>8.1964956538325816E-3</v>
      </c>
      <c r="G20" s="248">
        <f t="shared" si="4"/>
        <v>5.4643304358883886E-3</v>
      </c>
      <c r="H20" s="249" t="b">
        <f t="shared" si="5"/>
        <v>1</v>
      </c>
      <c r="I20" s="266" t="s">
        <v>195</v>
      </c>
      <c r="J20" s="267">
        <v>0.5</v>
      </c>
      <c r="K20" s="267">
        <v>10000</v>
      </c>
      <c r="L20" s="277">
        <v>1</v>
      </c>
      <c r="M20" s="254">
        <f t="shared" si="0"/>
        <v>10000</v>
      </c>
      <c r="N20" s="254"/>
      <c r="O20" s="254">
        <v>1</v>
      </c>
      <c r="P20" s="255"/>
      <c r="Q20" s="256" t="s">
        <v>189</v>
      </c>
      <c r="R20" s="299">
        <v>0.3</v>
      </c>
      <c r="S20" s="257">
        <v>0</v>
      </c>
      <c r="T20" s="258">
        <v>1</v>
      </c>
      <c r="U20" s="257">
        <f t="shared" si="6"/>
        <v>0</v>
      </c>
      <c r="V20" s="259"/>
      <c r="W20" s="259">
        <v>1</v>
      </c>
      <c r="X20" s="260"/>
      <c r="Y20" s="271" t="s">
        <v>180</v>
      </c>
      <c r="Z20" s="262">
        <v>0.2</v>
      </c>
      <c r="AA20" s="262">
        <v>0</v>
      </c>
      <c r="AB20" s="263">
        <v>1</v>
      </c>
      <c r="AC20" s="264">
        <f t="shared" si="7"/>
        <v>0</v>
      </c>
      <c r="AD20" s="264"/>
      <c r="AE20" s="264">
        <v>1</v>
      </c>
      <c r="AF20" s="264"/>
      <c r="AG20" s="334">
        <f t="shared" si="8"/>
        <v>1.3660826089720971E-2</v>
      </c>
      <c r="AH20" s="334">
        <f t="shared" si="9"/>
        <v>8.1964956538325816E-3</v>
      </c>
      <c r="AI20" s="334">
        <f t="shared" si="10"/>
        <v>5.4643304358883886E-3</v>
      </c>
    </row>
    <row r="21" spans="1:35" ht="26.25" customHeight="1" x14ac:dyDescent="0.25">
      <c r="A21" s="243" t="str">
        <f xml:space="preserve"> Threats!A20</f>
        <v>T20-Separation of Duties</v>
      </c>
      <c r="B21" s="244">
        <f>'AHP Likelihood Calculation'!AD53</f>
        <v>0.3317214128842092</v>
      </c>
      <c r="C21" s="245">
        <f>'AHP Severity Calculation'!AD53</f>
        <v>4.4577543861404362E-2</v>
      </c>
      <c r="D21" s="246">
        <f t="shared" si="1"/>
        <v>1.4787325832612861E-2</v>
      </c>
      <c r="E21" s="247">
        <f t="shared" si="2"/>
        <v>8.872395499567717E-3</v>
      </c>
      <c r="F21" s="248">
        <f t="shared" si="3"/>
        <v>5.9149303330451449E-3</v>
      </c>
      <c r="G21" s="248">
        <f t="shared" si="4"/>
        <v>0</v>
      </c>
      <c r="H21" s="249" t="b">
        <f t="shared" si="5"/>
        <v>1</v>
      </c>
      <c r="I21" s="250" t="s">
        <v>217</v>
      </c>
      <c r="J21" s="267">
        <v>0.6</v>
      </c>
      <c r="K21" s="267">
        <v>10000</v>
      </c>
      <c r="L21" s="277">
        <v>1</v>
      </c>
      <c r="M21" s="254">
        <f t="shared" si="0"/>
        <v>10000</v>
      </c>
      <c r="N21" s="254"/>
      <c r="O21" s="254">
        <v>1</v>
      </c>
      <c r="P21" s="255"/>
      <c r="Q21" s="273" t="s">
        <v>177</v>
      </c>
      <c r="R21" s="299">
        <v>0.4</v>
      </c>
      <c r="S21" s="257">
        <v>0</v>
      </c>
      <c r="T21" s="258">
        <v>1</v>
      </c>
      <c r="U21" s="257">
        <f t="shared" si="6"/>
        <v>0</v>
      </c>
      <c r="V21" s="259"/>
      <c r="W21" s="259">
        <v>1</v>
      </c>
      <c r="X21" s="260"/>
      <c r="Y21" s="271" t="s">
        <v>181</v>
      </c>
      <c r="Z21" s="262">
        <v>0</v>
      </c>
      <c r="AA21" s="262">
        <v>0</v>
      </c>
      <c r="AB21" s="263">
        <v>0</v>
      </c>
      <c r="AC21" s="264">
        <f t="shared" si="7"/>
        <v>0</v>
      </c>
      <c r="AD21" s="264"/>
      <c r="AE21" s="264"/>
      <c r="AF21" s="264"/>
      <c r="AG21" s="334">
        <f t="shared" si="8"/>
        <v>8.872395499567717E-3</v>
      </c>
      <c r="AH21" s="334">
        <f t="shared" si="9"/>
        <v>5.9149303330451449E-3</v>
      </c>
      <c r="AI21" s="334">
        <f t="shared" si="10"/>
        <v>0</v>
      </c>
    </row>
    <row r="22" spans="1:35" ht="54.75" customHeight="1" x14ac:dyDescent="0.25">
      <c r="A22" s="243" t="str">
        <f xml:space="preserve"> Threats!A21</f>
        <v>T21-Configuration Threats</v>
      </c>
      <c r="B22" s="244">
        <f>'AHP Likelihood Calculation'!AD54</f>
        <v>0.38319826966022075</v>
      </c>
      <c r="C22" s="245">
        <f>'AHP Severity Calculation'!AD54</f>
        <v>9.1000920292543475E-2</v>
      </c>
      <c r="D22" s="246">
        <f t="shared" si="1"/>
        <v>3.4871395193590331E-2</v>
      </c>
      <c r="E22" s="247">
        <f t="shared" si="2"/>
        <v>3.4871395193590331E-2</v>
      </c>
      <c r="F22" s="248">
        <f t="shared" si="3"/>
        <v>0</v>
      </c>
      <c r="G22" s="248">
        <f t="shared" si="4"/>
        <v>0</v>
      </c>
      <c r="H22" s="290" t="b">
        <f t="shared" si="5"/>
        <v>1</v>
      </c>
      <c r="I22" s="250" t="s">
        <v>217</v>
      </c>
      <c r="J22" s="291">
        <v>1</v>
      </c>
      <c r="K22" s="291">
        <v>10000</v>
      </c>
      <c r="L22" s="292">
        <v>1</v>
      </c>
      <c r="M22" s="254">
        <f t="shared" si="0"/>
        <v>10000</v>
      </c>
      <c r="N22" s="254"/>
      <c r="O22" s="254">
        <v>1</v>
      </c>
      <c r="P22" s="255"/>
      <c r="Q22" s="293" t="s">
        <v>181</v>
      </c>
      <c r="R22" s="259">
        <v>0</v>
      </c>
      <c r="S22" s="294">
        <v>0</v>
      </c>
      <c r="T22" s="258">
        <v>0</v>
      </c>
      <c r="U22" s="257">
        <f t="shared" si="6"/>
        <v>0</v>
      </c>
      <c r="V22" s="259"/>
      <c r="W22" s="259">
        <v>1</v>
      </c>
      <c r="X22" s="260"/>
      <c r="Y22" s="271" t="s">
        <v>181</v>
      </c>
      <c r="Z22" s="262">
        <v>0</v>
      </c>
      <c r="AA22" s="262">
        <v>0</v>
      </c>
      <c r="AB22" s="263">
        <v>0</v>
      </c>
      <c r="AC22" s="264">
        <f t="shared" si="7"/>
        <v>0</v>
      </c>
      <c r="AD22" s="264"/>
      <c r="AE22" s="264"/>
      <c r="AF22" s="264"/>
      <c r="AG22" s="334">
        <f t="shared" si="8"/>
        <v>3.4871395193590331E-2</v>
      </c>
      <c r="AH22" s="334">
        <f t="shared" si="9"/>
        <v>0</v>
      </c>
      <c r="AI22" s="334">
        <f t="shared" si="10"/>
        <v>0</v>
      </c>
    </row>
    <row r="23" spans="1:35" ht="41.25" customHeight="1" x14ac:dyDescent="0.25">
      <c r="A23" s="243" t="str">
        <f xml:space="preserve"> Threats!A22</f>
        <v>T22- Communications Threats</v>
      </c>
      <c r="B23" s="244">
        <f>'AHP Likelihood Calculation'!AD55</f>
        <v>0.29315402277471436</v>
      </c>
      <c r="C23" s="245">
        <f>'AHP Severity Calculation'!AD55</f>
        <v>0.11814664549698722</v>
      </c>
      <c r="D23" s="246">
        <f t="shared" si="1"/>
        <v>3.46351644047799E-2</v>
      </c>
      <c r="E23" s="247">
        <f t="shared" si="2"/>
        <v>1.731758220238995E-2</v>
      </c>
      <c r="F23" s="248">
        <f t="shared" si="3"/>
        <v>1.731758220238995E-2</v>
      </c>
      <c r="G23" s="248">
        <f t="shared" si="4"/>
        <v>0</v>
      </c>
      <c r="H23" s="249" t="b">
        <f t="shared" si="5"/>
        <v>1</v>
      </c>
      <c r="I23" s="266" t="s">
        <v>216</v>
      </c>
      <c r="J23" s="267">
        <v>0.25</v>
      </c>
      <c r="K23" s="267">
        <v>7500</v>
      </c>
      <c r="L23" s="277">
        <v>2</v>
      </c>
      <c r="M23" s="254">
        <f t="shared" si="0"/>
        <v>15000</v>
      </c>
      <c r="N23" s="284"/>
      <c r="O23" s="284">
        <v>2</v>
      </c>
      <c r="P23" s="295"/>
      <c r="Q23" s="256" t="s">
        <v>188</v>
      </c>
      <c r="R23" s="256">
        <v>0.5</v>
      </c>
      <c r="S23" s="257">
        <v>1000</v>
      </c>
      <c r="T23" s="296">
        <v>1</v>
      </c>
      <c r="U23" s="257">
        <f t="shared" si="6"/>
        <v>1000</v>
      </c>
      <c r="V23" s="259"/>
      <c r="W23" s="259">
        <v>1</v>
      </c>
      <c r="X23" s="260"/>
      <c r="Y23" s="271" t="s">
        <v>181</v>
      </c>
      <c r="Z23" s="262">
        <v>1</v>
      </c>
      <c r="AA23" s="262">
        <v>0</v>
      </c>
      <c r="AB23" s="263">
        <v>0</v>
      </c>
      <c r="AC23" s="264">
        <f t="shared" si="7"/>
        <v>0</v>
      </c>
      <c r="AD23" s="264"/>
      <c r="AE23" s="264"/>
      <c r="AF23" s="264"/>
      <c r="AG23" s="334">
        <f t="shared" si="8"/>
        <v>1.731758220238995E-2</v>
      </c>
      <c r="AH23" s="334">
        <f t="shared" si="9"/>
        <v>1.731758220238995E-2</v>
      </c>
      <c r="AI23" s="334">
        <f t="shared" si="10"/>
        <v>3.46351644047799E-2</v>
      </c>
    </row>
    <row r="24" spans="1:35" ht="53.25" customHeight="1" x14ac:dyDescent="0.25">
      <c r="A24" s="300"/>
      <c r="B24" s="301"/>
      <c r="C24" s="300"/>
      <c r="D24" s="332">
        <f>SUM(D2:D23)</f>
        <v>0.49849937380730425</v>
      </c>
      <c r="E24" s="332">
        <f t="shared" ref="E24:G24" si="11">SUM(E2:E23)</f>
        <v>0.29845589595103228</v>
      </c>
      <c r="F24" s="332">
        <f t="shared" si="11"/>
        <v>0.17439433152284622</v>
      </c>
      <c r="G24" s="332">
        <f t="shared" si="11"/>
        <v>2.5701969983409467E-2</v>
      </c>
      <c r="H24" s="26">
        <f>COUNTIF(H2:H23, "TRUE")</f>
        <v>22</v>
      </c>
      <c r="I24" s="301"/>
      <c r="J24" s="301"/>
      <c r="K24" s="301"/>
      <c r="L24" s="326">
        <f>SUM(L2:L23)</f>
        <v>86</v>
      </c>
      <c r="M24" s="326">
        <f>SUM(M2:M23)</f>
        <v>187000</v>
      </c>
      <c r="N24" s="300"/>
      <c r="O24" s="300"/>
      <c r="P24" s="300"/>
      <c r="Q24" s="300"/>
      <c r="R24" s="300"/>
      <c r="S24" s="300"/>
      <c r="T24" s="326">
        <f>SUM(T2:T23)</f>
        <v>71</v>
      </c>
      <c r="U24" s="300">
        <f>SUM(U2:U23)</f>
        <v>62700</v>
      </c>
      <c r="V24" s="300"/>
      <c r="W24" s="300"/>
      <c r="X24" s="300"/>
      <c r="Y24" s="300"/>
      <c r="Z24" s="300"/>
      <c r="AA24" s="300"/>
      <c r="AB24" s="326">
        <f>SUM(AB2:AB23)</f>
        <v>8</v>
      </c>
      <c r="AC24" s="304">
        <f>SUM(AC2:AC23)</f>
        <v>21000</v>
      </c>
      <c r="AD24" s="300"/>
      <c r="AE24" s="300"/>
      <c r="AF24" s="300"/>
      <c r="AG24" s="334">
        <f>SUM(AG2:AG23)</f>
        <v>0.29985867124762289</v>
      </c>
      <c r="AH24" s="334">
        <f>SUM(AH2:AH23)</f>
        <v>0.17983752242670581</v>
      </c>
      <c r="AI24" s="334">
        <f>SUM(AI2:AI23)</f>
        <v>6.033713438818937E-2</v>
      </c>
    </row>
    <row r="25" spans="1:35" ht="12.75" customHeight="1" x14ac:dyDescent="0.25">
      <c r="B25" s="14"/>
      <c r="D25" s="333"/>
      <c r="E25" s="333"/>
      <c r="F25" s="333"/>
      <c r="G25" s="329">
        <f>E24 +F24+G24</f>
        <v>0.49855219745728796</v>
      </c>
      <c r="H25" s="279">
        <f>H24*G25</f>
        <v>10.968148344060335</v>
      </c>
      <c r="I25" s="14"/>
      <c r="J25" s="14"/>
      <c r="K25" s="14"/>
      <c r="M25" s="14"/>
      <c r="AB25" s="327"/>
      <c r="AG25" s="334"/>
      <c r="AH25" s="334"/>
      <c r="AI25" s="334">
        <f>AG24+AH24+AI24</f>
        <v>0.54003332806251803</v>
      </c>
    </row>
    <row r="26" spans="1:35" ht="12.75" customHeight="1" x14ac:dyDescent="0.25">
      <c r="B26" s="14"/>
      <c r="D26" s="14"/>
      <c r="E26" s="14"/>
      <c r="F26" s="14"/>
      <c r="G26" s="14"/>
      <c r="H26" s="14"/>
      <c r="I26" s="14"/>
      <c r="J26" s="14"/>
      <c r="K26" s="14"/>
      <c r="M26" s="14"/>
      <c r="AB26">
        <f>G25*AB25</f>
        <v>0</v>
      </c>
    </row>
    <row r="27" spans="1:35" ht="12.75" customHeight="1" x14ac:dyDescent="0.25">
      <c r="B27" s="14"/>
      <c r="D27" s="14"/>
      <c r="E27" s="14"/>
      <c r="F27" s="14"/>
      <c r="G27" s="14"/>
      <c r="H27" s="14"/>
      <c r="I27" s="14"/>
      <c r="J27" s="14"/>
      <c r="K27" s="14"/>
      <c r="M27" s="14"/>
    </row>
    <row r="28" spans="1:35" ht="66" customHeight="1" x14ac:dyDescent="0.25">
      <c r="A28" s="321" t="s">
        <v>308</v>
      </c>
      <c r="B28" s="322">
        <v>1</v>
      </c>
      <c r="C28" s="321" t="s">
        <v>360</v>
      </c>
      <c r="D28" s="330">
        <f>G25</f>
        <v>0.49855219745728796</v>
      </c>
      <c r="E28" s="321" t="s">
        <v>361</v>
      </c>
      <c r="F28" s="331">
        <f>D24</f>
        <v>0.49849937380730425</v>
      </c>
      <c r="G28" s="321" t="s">
        <v>366</v>
      </c>
      <c r="H28" s="331">
        <f>F28*B28</f>
        <v>0.49849937380730425</v>
      </c>
      <c r="I28" s="15" t="s">
        <v>365</v>
      </c>
      <c r="J28" s="15">
        <f>M24+U24+AC24</f>
        <v>270700</v>
      </c>
      <c r="K28" s="15"/>
      <c r="L28" s="3"/>
      <c r="M28" s="3"/>
      <c r="N28" s="3"/>
      <c r="O28" s="3"/>
      <c r="P28" s="3"/>
      <c r="R28" s="26"/>
    </row>
    <row r="29" spans="1:35" ht="12.75" customHeight="1" x14ac:dyDescent="0.25">
      <c r="B29" s="14"/>
      <c r="D29" s="14"/>
      <c r="E29" s="14"/>
      <c r="F29" s="14"/>
      <c r="G29" s="14"/>
      <c r="H29" s="14"/>
      <c r="I29" s="14"/>
      <c r="J29" s="14"/>
      <c r="L29" s="14"/>
    </row>
    <row r="30" spans="1:35" ht="12.75" customHeight="1" x14ac:dyDescent="0.25">
      <c r="B30" s="14"/>
      <c r="D30" s="14"/>
      <c r="E30" s="14"/>
      <c r="F30" s="14"/>
      <c r="G30" s="14"/>
      <c r="H30" s="14"/>
      <c r="I30" s="14"/>
      <c r="J30" s="14"/>
      <c r="L30" s="14"/>
    </row>
    <row r="31" spans="1:35" ht="12.75" customHeight="1" x14ac:dyDescent="0.25">
      <c r="B31" s="14"/>
      <c r="D31" s="14"/>
      <c r="E31" s="14"/>
      <c r="F31" s="14"/>
      <c r="G31" s="14"/>
      <c r="H31" s="14"/>
      <c r="I31" s="14"/>
      <c r="J31" s="14"/>
      <c r="L31" s="14"/>
    </row>
    <row r="32" spans="1:35" ht="12.75" customHeight="1" x14ac:dyDescent="0.25">
      <c r="B32" s="14"/>
      <c r="D32" s="14"/>
      <c r="E32" s="14"/>
      <c r="F32" s="14"/>
      <c r="G32" s="14"/>
      <c r="H32" s="14"/>
      <c r="I32" s="14"/>
      <c r="J32" s="14"/>
      <c r="L32" s="14"/>
    </row>
    <row r="33" spans="2:13" ht="12.75" customHeight="1" x14ac:dyDescent="0.25">
      <c r="B33" s="14"/>
      <c r="D33" s="14"/>
      <c r="E33" s="14"/>
      <c r="F33" s="14"/>
      <c r="G33" s="14"/>
      <c r="H33" s="14"/>
      <c r="I33" s="14"/>
      <c r="J33" s="14"/>
      <c r="K33" s="14"/>
      <c r="M33" s="14"/>
    </row>
    <row r="34" spans="2:13" ht="12.75" customHeight="1" x14ac:dyDescent="0.25">
      <c r="B34" s="14"/>
      <c r="D34" s="14"/>
      <c r="E34" s="14"/>
      <c r="F34" s="14"/>
      <c r="G34" s="14"/>
      <c r="H34" s="14"/>
      <c r="I34" s="14"/>
      <c r="J34" s="14"/>
      <c r="K34" s="14"/>
      <c r="M34" s="14"/>
    </row>
    <row r="35" spans="2:13" ht="12.75" customHeight="1" x14ac:dyDescent="0.25">
      <c r="B35" s="14"/>
      <c r="D35" s="14"/>
      <c r="E35" s="14"/>
      <c r="F35" s="14"/>
      <c r="G35" s="14"/>
      <c r="H35" s="14"/>
      <c r="I35" s="14"/>
      <c r="J35" s="14"/>
      <c r="K35" s="14"/>
      <c r="M35" s="14"/>
    </row>
    <row r="36" spans="2:13" ht="12.75" customHeight="1" x14ac:dyDescent="0.25">
      <c r="B36" s="14"/>
      <c r="D36" s="14"/>
      <c r="E36" s="14"/>
      <c r="F36" s="14"/>
      <c r="G36" s="14"/>
      <c r="H36" s="14"/>
      <c r="I36" s="14"/>
      <c r="J36" s="14"/>
      <c r="K36" s="14"/>
      <c r="M36" s="14"/>
    </row>
    <row r="37" spans="2:13" ht="12.75" customHeight="1" x14ac:dyDescent="0.25">
      <c r="B37" s="14"/>
      <c r="D37" s="14"/>
      <c r="E37" s="14"/>
      <c r="F37" s="14"/>
      <c r="G37" s="14"/>
      <c r="H37" s="14"/>
      <c r="I37" s="14"/>
      <c r="J37" s="14"/>
      <c r="K37" s="14"/>
      <c r="M37" s="14"/>
    </row>
    <row r="38" spans="2:13" ht="12.75" customHeight="1" x14ac:dyDescent="0.25">
      <c r="B38" s="14"/>
      <c r="D38" s="14"/>
      <c r="E38" s="14"/>
      <c r="F38" s="14"/>
      <c r="G38" s="14"/>
      <c r="H38" s="14"/>
      <c r="I38" s="14"/>
      <c r="J38" s="14"/>
      <c r="K38" s="14"/>
      <c r="M38" s="14"/>
    </row>
    <row r="39" spans="2:13" ht="12.75" customHeight="1" x14ac:dyDescent="0.25">
      <c r="B39" s="14"/>
      <c r="D39" s="14"/>
      <c r="E39" s="14"/>
      <c r="F39" s="14"/>
      <c r="G39" s="14"/>
      <c r="H39" s="14"/>
      <c r="I39" s="14"/>
      <c r="J39" s="14"/>
      <c r="K39" s="14"/>
      <c r="M39" s="14"/>
    </row>
    <row r="40" spans="2:13" ht="12.75" customHeight="1" x14ac:dyDescent="0.25">
      <c r="B40" s="14"/>
      <c r="C40" s="328"/>
      <c r="D40" s="14"/>
      <c r="E40" s="14"/>
      <c r="F40" s="14"/>
      <c r="G40" s="14"/>
      <c r="H40" s="14"/>
      <c r="I40" s="14"/>
      <c r="J40" s="14"/>
      <c r="K40" s="14"/>
      <c r="M40" s="14"/>
    </row>
    <row r="41" spans="2:13" ht="12.75" customHeight="1" x14ac:dyDescent="0.25">
      <c r="B41" s="14"/>
      <c r="D41" s="14"/>
      <c r="E41" s="14"/>
      <c r="F41" s="14"/>
      <c r="G41" s="14"/>
      <c r="H41" s="14"/>
      <c r="I41" s="14"/>
      <c r="J41" s="14"/>
      <c r="K41" s="14"/>
      <c r="M41" s="14"/>
    </row>
    <row r="42" spans="2:13" ht="12.75" customHeight="1" x14ac:dyDescent="0.25">
      <c r="B42" s="14"/>
      <c r="D42" s="14"/>
      <c r="E42" s="14"/>
      <c r="F42" s="14"/>
      <c r="G42" s="14"/>
      <c r="H42" s="14"/>
      <c r="I42" s="14"/>
      <c r="J42" s="14"/>
      <c r="K42" s="14"/>
      <c r="M42" s="14"/>
    </row>
    <row r="43" spans="2:13" ht="12.75" customHeight="1" x14ac:dyDescent="0.25">
      <c r="B43" s="14"/>
      <c r="D43" s="14"/>
      <c r="E43" s="14"/>
      <c r="F43" s="14"/>
      <c r="G43" s="14"/>
      <c r="H43" s="14"/>
      <c r="I43" s="14"/>
      <c r="J43" s="14"/>
      <c r="K43" s="14"/>
      <c r="M43" s="14"/>
    </row>
    <row r="44" spans="2:13" ht="12.75" customHeight="1" x14ac:dyDescent="0.25">
      <c r="B44" s="14"/>
      <c r="D44" s="14"/>
      <c r="E44" s="14"/>
      <c r="F44" s="14"/>
      <c r="G44" s="14"/>
      <c r="H44" s="14"/>
      <c r="I44" s="14"/>
      <c r="J44" s="14"/>
      <c r="K44" s="14"/>
      <c r="M44" s="14"/>
    </row>
    <row r="45" spans="2:13" ht="12.75" customHeight="1" x14ac:dyDescent="0.25">
      <c r="B45" s="14"/>
      <c r="D45" s="14"/>
      <c r="E45" s="14"/>
      <c r="F45" s="14"/>
      <c r="G45" s="14"/>
      <c r="H45" s="14"/>
      <c r="I45" s="14"/>
      <c r="J45" s="14"/>
      <c r="K45" s="14"/>
      <c r="M45" s="14"/>
    </row>
    <row r="46" spans="2:13" ht="12.75" customHeight="1" x14ac:dyDescent="0.25">
      <c r="B46" s="14"/>
      <c r="D46" s="14"/>
      <c r="E46" s="14"/>
      <c r="F46" s="14"/>
      <c r="G46" s="14"/>
      <c r="H46" s="14"/>
      <c r="I46" s="14"/>
      <c r="J46" s="14"/>
      <c r="K46" s="14"/>
      <c r="M46" s="14"/>
    </row>
    <row r="47" spans="2:13" ht="12.75" customHeight="1" x14ac:dyDescent="0.25">
      <c r="B47" s="14"/>
      <c r="D47" s="14"/>
      <c r="E47" s="14"/>
      <c r="F47" s="14"/>
      <c r="G47" s="14"/>
      <c r="H47" s="14"/>
      <c r="I47" s="14"/>
      <c r="J47" s="14"/>
      <c r="K47" s="14"/>
      <c r="M47" s="14"/>
    </row>
    <row r="48" spans="2:13" ht="12.75" customHeight="1" x14ac:dyDescent="0.25">
      <c r="B48" s="14"/>
      <c r="D48" s="14"/>
      <c r="E48" s="14"/>
      <c r="F48" s="14"/>
      <c r="G48" s="14"/>
      <c r="H48" s="14"/>
      <c r="I48" s="14"/>
      <c r="J48" s="14"/>
      <c r="K48" s="14"/>
      <c r="M48" s="14"/>
    </row>
    <row r="49" spans="2:13" ht="12.75" customHeight="1" x14ac:dyDescent="0.25">
      <c r="B49" s="14"/>
      <c r="D49" s="14"/>
      <c r="E49" s="14"/>
      <c r="F49" s="14"/>
      <c r="G49" s="14"/>
      <c r="H49" s="14"/>
      <c r="I49" s="14"/>
      <c r="J49" s="14"/>
      <c r="K49" s="14"/>
      <c r="M49" s="14"/>
    </row>
    <row r="50" spans="2:13" ht="12.75" customHeight="1" x14ac:dyDescent="0.25">
      <c r="B50" s="14"/>
      <c r="D50" s="14"/>
      <c r="E50" s="14"/>
      <c r="F50" s="14"/>
      <c r="G50" s="14"/>
      <c r="H50" s="14"/>
      <c r="I50" s="14"/>
      <c r="J50" s="14"/>
      <c r="K50" s="14"/>
      <c r="M50" s="14"/>
    </row>
    <row r="51" spans="2:13" ht="12.75" customHeight="1" x14ac:dyDescent="0.25">
      <c r="B51" s="14"/>
      <c r="D51" s="14"/>
      <c r="E51" s="14"/>
      <c r="F51" s="14"/>
      <c r="G51" s="14"/>
      <c r="H51" s="14"/>
      <c r="I51" s="14"/>
      <c r="J51" s="14"/>
      <c r="K51" s="14"/>
      <c r="M51" s="14"/>
    </row>
    <row r="52" spans="2:13" ht="12.75" customHeight="1" x14ac:dyDescent="0.25">
      <c r="B52" s="14"/>
      <c r="D52" s="14"/>
      <c r="E52" s="14"/>
      <c r="F52" s="14"/>
      <c r="G52" s="14"/>
      <c r="H52" s="14"/>
      <c r="I52" s="14"/>
      <c r="J52" s="14"/>
      <c r="K52" s="14"/>
      <c r="M52" s="14"/>
    </row>
    <row r="53" spans="2:13" ht="12.75" customHeight="1" x14ac:dyDescent="0.25">
      <c r="B53" s="14"/>
      <c r="D53" s="14"/>
      <c r="E53" s="14"/>
      <c r="F53" s="14"/>
      <c r="G53" s="14"/>
      <c r="H53" s="14"/>
      <c r="I53" s="14"/>
      <c r="J53" s="14"/>
      <c r="K53" s="14"/>
      <c r="M53" s="14"/>
    </row>
    <row r="54" spans="2:13" ht="12.75" customHeight="1" x14ac:dyDescent="0.25">
      <c r="B54" s="14"/>
      <c r="D54" s="14"/>
      <c r="E54" s="14"/>
      <c r="F54" s="14"/>
      <c r="G54" s="14"/>
      <c r="H54" s="14"/>
      <c r="I54" s="14"/>
      <c r="J54" s="14"/>
      <c r="K54" s="14"/>
      <c r="M54" s="14"/>
    </row>
    <row r="55" spans="2:13" ht="12.75" customHeight="1" x14ac:dyDescent="0.25">
      <c r="B55" s="14"/>
      <c r="D55" s="14"/>
      <c r="E55" s="14"/>
      <c r="F55" s="14"/>
      <c r="G55" s="14"/>
      <c r="H55" s="14"/>
      <c r="I55" s="14"/>
      <c r="J55" s="14"/>
      <c r="K55" s="14"/>
      <c r="M55" s="14"/>
    </row>
    <row r="56" spans="2:13" ht="12.75" customHeight="1" x14ac:dyDescent="0.25">
      <c r="B56" s="14"/>
      <c r="D56" s="14"/>
      <c r="E56" s="14"/>
      <c r="F56" s="14"/>
      <c r="G56" s="14"/>
      <c r="H56" s="14"/>
      <c r="I56" s="14"/>
      <c r="J56" s="14"/>
      <c r="K56" s="14"/>
      <c r="M56" s="14"/>
    </row>
    <row r="57" spans="2:13" ht="12.75" customHeight="1" x14ac:dyDescent="0.25">
      <c r="B57" s="14"/>
      <c r="D57" s="14"/>
      <c r="E57" s="14"/>
      <c r="F57" s="14"/>
      <c r="G57" s="14"/>
      <c r="H57" s="14"/>
      <c r="I57" s="14"/>
      <c r="J57" s="14"/>
      <c r="K57" s="14"/>
      <c r="M57" s="14"/>
    </row>
    <row r="58" spans="2:13" ht="12.75" customHeight="1" x14ac:dyDescent="0.25">
      <c r="B58" s="14"/>
      <c r="D58" s="14"/>
      <c r="E58" s="14"/>
      <c r="F58" s="14"/>
      <c r="G58" s="14"/>
      <c r="H58" s="14"/>
      <c r="I58" s="14"/>
      <c r="J58" s="14"/>
      <c r="K58" s="14"/>
      <c r="M58" s="14"/>
    </row>
    <row r="59" spans="2:13" ht="12.75" customHeight="1" x14ac:dyDescent="0.25">
      <c r="B59" s="14"/>
      <c r="D59" s="14"/>
      <c r="E59" s="14"/>
      <c r="F59" s="14"/>
      <c r="G59" s="14"/>
      <c r="H59" s="14"/>
      <c r="I59" s="14"/>
      <c r="J59" s="14"/>
      <c r="K59" s="14"/>
      <c r="M59" s="14"/>
    </row>
    <row r="60" spans="2:13" ht="12.75" customHeight="1" x14ac:dyDescent="0.25">
      <c r="B60" s="14"/>
      <c r="D60" s="14"/>
      <c r="E60" s="14"/>
      <c r="F60" s="14"/>
      <c r="G60" s="14"/>
      <c r="H60" s="14"/>
      <c r="I60" s="14"/>
      <c r="J60" s="14"/>
      <c r="K60" s="14"/>
      <c r="M60" s="14"/>
    </row>
    <row r="61" spans="2:13" ht="12.75" customHeight="1" x14ac:dyDescent="0.25">
      <c r="B61" s="14"/>
      <c r="D61" s="14"/>
      <c r="E61" s="14"/>
      <c r="F61" s="14"/>
      <c r="G61" s="14"/>
      <c r="H61" s="14"/>
      <c r="I61" s="14"/>
      <c r="J61" s="14"/>
      <c r="K61" s="14"/>
      <c r="M61" s="14"/>
    </row>
    <row r="62" spans="2:13" ht="12.75" customHeight="1" x14ac:dyDescent="0.25">
      <c r="B62" s="14"/>
      <c r="D62" s="14"/>
      <c r="E62" s="14"/>
      <c r="F62" s="14"/>
      <c r="G62" s="14"/>
      <c r="H62" s="14"/>
      <c r="I62" s="14"/>
      <c r="J62" s="14"/>
      <c r="K62" s="14"/>
      <c r="M62" s="14"/>
    </row>
    <row r="63" spans="2:13" ht="12.75" customHeight="1" x14ac:dyDescent="0.25">
      <c r="B63" s="14"/>
      <c r="D63" s="14"/>
      <c r="E63" s="14"/>
      <c r="F63" s="14"/>
      <c r="G63" s="14"/>
      <c r="H63" s="14"/>
      <c r="I63" s="14"/>
      <c r="J63" s="14"/>
      <c r="K63" s="14"/>
      <c r="M63" s="14"/>
    </row>
    <row r="64" spans="2:13" ht="12.75" customHeight="1" x14ac:dyDescent="0.25">
      <c r="B64" s="14"/>
      <c r="D64" s="14"/>
      <c r="E64" s="14"/>
      <c r="F64" s="14"/>
      <c r="G64" s="14"/>
      <c r="H64" s="14"/>
      <c r="I64" s="14"/>
      <c r="J64" s="14"/>
      <c r="K64" s="14"/>
      <c r="M64" s="14"/>
    </row>
    <row r="65" spans="2:13" ht="12.75" customHeight="1" x14ac:dyDescent="0.25">
      <c r="B65" s="14"/>
      <c r="D65" s="14"/>
      <c r="E65" s="14"/>
      <c r="F65" s="14"/>
      <c r="G65" s="14"/>
      <c r="H65" s="14"/>
      <c r="I65" s="14"/>
      <c r="J65" s="14"/>
      <c r="K65" s="14"/>
      <c r="M65" s="14"/>
    </row>
    <row r="66" spans="2:13" ht="12.75" customHeight="1" x14ac:dyDescent="0.25">
      <c r="B66" s="14"/>
      <c r="D66" s="14"/>
      <c r="E66" s="14"/>
      <c r="F66" s="14"/>
      <c r="G66" s="14"/>
      <c r="H66" s="14"/>
      <c r="I66" s="14"/>
      <c r="J66" s="14"/>
      <c r="K66" s="14"/>
      <c r="M66" s="14"/>
    </row>
    <row r="67" spans="2:13" ht="12.75" customHeight="1" x14ac:dyDescent="0.25">
      <c r="B67" s="14"/>
      <c r="D67" s="14"/>
      <c r="E67" s="14"/>
      <c r="F67" s="14"/>
      <c r="G67" s="14"/>
      <c r="H67" s="14"/>
      <c r="I67" s="14"/>
      <c r="J67" s="14"/>
      <c r="K67" s="14"/>
      <c r="M67" s="14"/>
    </row>
    <row r="68" spans="2:13" ht="12.75" customHeight="1" x14ac:dyDescent="0.25">
      <c r="B68" s="14"/>
      <c r="D68" s="14"/>
      <c r="E68" s="14"/>
      <c r="F68" s="14"/>
      <c r="G68" s="14"/>
      <c r="H68" s="14"/>
      <c r="I68" s="14"/>
      <c r="J68" s="14"/>
      <c r="K68" s="14"/>
      <c r="M68" s="14"/>
    </row>
    <row r="69" spans="2:13" ht="12.75" customHeight="1" x14ac:dyDescent="0.25">
      <c r="B69" s="14"/>
      <c r="D69" s="14"/>
      <c r="E69" s="14"/>
      <c r="F69" s="14"/>
      <c r="G69" s="14"/>
      <c r="H69" s="14"/>
      <c r="I69" s="14"/>
      <c r="J69" s="14"/>
      <c r="K69" s="14"/>
      <c r="M69" s="14"/>
    </row>
    <row r="70" spans="2:13" ht="12.75" customHeight="1" x14ac:dyDescent="0.25">
      <c r="B70" s="14"/>
      <c r="D70" s="14"/>
      <c r="E70" s="14"/>
      <c r="F70" s="14"/>
      <c r="G70" s="14"/>
      <c r="H70" s="14"/>
      <c r="I70" s="14"/>
      <c r="J70" s="14"/>
      <c r="K70" s="14"/>
      <c r="M70" s="14"/>
    </row>
    <row r="71" spans="2:13" ht="12.75" customHeight="1" x14ac:dyDescent="0.25">
      <c r="B71" s="14"/>
      <c r="D71" s="14"/>
      <c r="E71" s="14"/>
      <c r="F71" s="14"/>
      <c r="G71" s="14"/>
      <c r="H71" s="14"/>
      <c r="I71" s="14"/>
      <c r="J71" s="14"/>
      <c r="K71" s="14"/>
      <c r="M71" s="14"/>
    </row>
    <row r="72" spans="2:13" ht="12.75" customHeight="1" x14ac:dyDescent="0.25">
      <c r="B72" s="14"/>
      <c r="D72" s="14"/>
      <c r="E72" s="14"/>
      <c r="F72" s="14"/>
      <c r="G72" s="14"/>
      <c r="H72" s="14"/>
      <c r="I72" s="14"/>
      <c r="J72" s="14"/>
      <c r="K72" s="14"/>
      <c r="M72" s="14"/>
    </row>
    <row r="73" spans="2:13" ht="12.75" customHeight="1" x14ac:dyDescent="0.25">
      <c r="B73" s="14"/>
      <c r="D73" s="14"/>
      <c r="E73" s="14"/>
      <c r="F73" s="14"/>
      <c r="G73" s="14"/>
      <c r="H73" s="14"/>
      <c r="I73" s="14"/>
      <c r="J73" s="14"/>
      <c r="K73" s="14"/>
      <c r="M73" s="14"/>
    </row>
    <row r="74" spans="2:13" ht="12.75" customHeight="1" x14ac:dyDescent="0.25">
      <c r="B74" s="14"/>
      <c r="D74" s="14"/>
      <c r="E74" s="14"/>
      <c r="F74" s="14"/>
      <c r="G74" s="14"/>
      <c r="H74" s="14"/>
      <c r="I74" s="14"/>
      <c r="J74" s="14"/>
      <c r="K74" s="14"/>
      <c r="M74" s="14"/>
    </row>
    <row r="75" spans="2:13" ht="12.75" customHeight="1" x14ac:dyDescent="0.25">
      <c r="B75" s="14"/>
      <c r="D75" s="14"/>
      <c r="E75" s="14"/>
      <c r="F75" s="14"/>
      <c r="G75" s="14"/>
      <c r="H75" s="14"/>
      <c r="I75" s="14"/>
      <c r="J75" s="14"/>
      <c r="K75" s="14"/>
      <c r="M75" s="14"/>
    </row>
    <row r="76" spans="2:13" ht="12.75" customHeight="1" x14ac:dyDescent="0.25">
      <c r="B76" s="14"/>
      <c r="D76" s="14"/>
      <c r="E76" s="14"/>
      <c r="F76" s="14"/>
      <c r="G76" s="14"/>
      <c r="H76" s="14"/>
      <c r="I76" s="14"/>
      <c r="J76" s="14"/>
      <c r="K76" s="14"/>
      <c r="M76" s="14"/>
    </row>
    <row r="77" spans="2:13" ht="12.75" customHeight="1" x14ac:dyDescent="0.25">
      <c r="B77" s="14"/>
      <c r="D77" s="14"/>
      <c r="E77" s="14"/>
      <c r="F77" s="14"/>
      <c r="G77" s="14"/>
      <c r="H77" s="14"/>
      <c r="I77" s="14"/>
      <c r="J77" s="14"/>
      <c r="K77" s="14"/>
      <c r="M77" s="14"/>
    </row>
    <row r="78" spans="2:13" ht="12.75" customHeight="1" x14ac:dyDescent="0.25">
      <c r="B78" s="14"/>
      <c r="D78" s="14"/>
      <c r="E78" s="14"/>
      <c r="F78" s="14"/>
      <c r="G78" s="14"/>
      <c r="H78" s="14"/>
      <c r="I78" s="14"/>
      <c r="J78" s="14"/>
      <c r="K78" s="14"/>
      <c r="M78" s="14"/>
    </row>
    <row r="79" spans="2:13" ht="12.75" customHeight="1" x14ac:dyDescent="0.25">
      <c r="B79" s="14"/>
      <c r="D79" s="14"/>
      <c r="E79" s="14"/>
      <c r="F79" s="14"/>
      <c r="G79" s="14"/>
      <c r="H79" s="14"/>
      <c r="I79" s="14"/>
      <c r="J79" s="14"/>
      <c r="K79" s="14"/>
      <c r="M79" s="14"/>
    </row>
    <row r="80" spans="2:13" ht="12.75" customHeight="1" x14ac:dyDescent="0.25">
      <c r="B80" s="14"/>
      <c r="D80" s="14"/>
      <c r="E80" s="14"/>
      <c r="F80" s="14"/>
      <c r="G80" s="14"/>
      <c r="H80" s="14"/>
      <c r="I80" s="14"/>
      <c r="J80" s="14"/>
      <c r="K80" s="14"/>
      <c r="M80" s="14"/>
    </row>
    <row r="81" spans="2:13" ht="12.75" customHeight="1" x14ac:dyDescent="0.25">
      <c r="B81" s="14"/>
      <c r="D81" s="14"/>
      <c r="E81" s="14"/>
      <c r="F81" s="14"/>
      <c r="G81" s="14"/>
      <c r="H81" s="14"/>
      <c r="I81" s="14"/>
      <c r="J81" s="14"/>
      <c r="K81" s="14"/>
      <c r="M81" s="14"/>
    </row>
    <row r="82" spans="2:13" ht="12.75" customHeight="1" x14ac:dyDescent="0.25">
      <c r="B82" s="14"/>
      <c r="D82" s="14"/>
      <c r="E82" s="14"/>
      <c r="F82" s="14"/>
      <c r="G82" s="14"/>
      <c r="H82" s="14"/>
      <c r="I82" s="14"/>
      <c r="J82" s="14"/>
      <c r="K82" s="14"/>
      <c r="M82" s="14"/>
    </row>
    <row r="83" spans="2:13" ht="12.75" customHeight="1" x14ac:dyDescent="0.25">
      <c r="B83" s="14"/>
      <c r="D83" s="14"/>
      <c r="E83" s="14"/>
      <c r="F83" s="14"/>
      <c r="G83" s="14"/>
      <c r="H83" s="14"/>
      <c r="I83" s="14"/>
      <c r="J83" s="14"/>
      <c r="K83" s="14"/>
      <c r="M83" s="14"/>
    </row>
    <row r="84" spans="2:13" ht="12.75" customHeight="1" x14ac:dyDescent="0.25">
      <c r="B84" s="14"/>
      <c r="D84" s="14"/>
      <c r="E84" s="14"/>
      <c r="F84" s="14"/>
      <c r="G84" s="14"/>
      <c r="H84" s="14"/>
      <c r="I84" s="14"/>
      <c r="J84" s="14"/>
      <c r="K84" s="14"/>
      <c r="M84" s="14"/>
    </row>
    <row r="85" spans="2:13" ht="12.75" customHeight="1" x14ac:dyDescent="0.25">
      <c r="B85" s="14"/>
      <c r="D85" s="14"/>
      <c r="E85" s="14"/>
      <c r="F85" s="14"/>
      <c r="G85" s="14"/>
      <c r="H85" s="14"/>
      <c r="I85" s="14"/>
      <c r="J85" s="14"/>
      <c r="K85" s="14"/>
      <c r="M85" s="14"/>
    </row>
    <row r="86" spans="2:13" ht="12.75" customHeight="1" x14ac:dyDescent="0.25">
      <c r="B86" s="14"/>
      <c r="D86" s="14"/>
      <c r="E86" s="14"/>
      <c r="F86" s="14"/>
      <c r="G86" s="14"/>
      <c r="H86" s="14"/>
      <c r="I86" s="14"/>
      <c r="J86" s="14"/>
      <c r="K86" s="14"/>
      <c r="M86" s="14"/>
    </row>
    <row r="87" spans="2:13" ht="12.75" customHeight="1" x14ac:dyDescent="0.25">
      <c r="B87" s="14"/>
      <c r="D87" s="14"/>
      <c r="E87" s="14"/>
      <c r="F87" s="14"/>
      <c r="G87" s="14"/>
      <c r="H87" s="14"/>
      <c r="I87" s="14"/>
      <c r="J87" s="14"/>
      <c r="K87" s="14"/>
      <c r="M87" s="14"/>
    </row>
    <row r="88" spans="2:13" ht="12.75" customHeight="1" x14ac:dyDescent="0.25">
      <c r="B88" s="14"/>
      <c r="D88" s="14"/>
      <c r="E88" s="14"/>
      <c r="F88" s="14"/>
      <c r="G88" s="14"/>
      <c r="H88" s="14"/>
      <c r="I88" s="14"/>
      <c r="J88" s="14"/>
      <c r="K88" s="14"/>
      <c r="M88" s="14"/>
    </row>
    <row r="89" spans="2:13" ht="12.75" customHeight="1" x14ac:dyDescent="0.25">
      <c r="B89" s="14"/>
      <c r="D89" s="14"/>
      <c r="E89" s="14"/>
      <c r="F89" s="14"/>
      <c r="G89" s="14"/>
      <c r="H89" s="14"/>
      <c r="I89" s="14"/>
      <c r="J89" s="14"/>
      <c r="K89" s="14"/>
      <c r="M89" s="14"/>
    </row>
    <row r="90" spans="2:13" ht="12.75" customHeight="1" x14ac:dyDescent="0.25">
      <c r="B90" s="14"/>
      <c r="D90" s="14"/>
      <c r="E90" s="14"/>
      <c r="F90" s="14"/>
      <c r="G90" s="14"/>
      <c r="H90" s="14"/>
      <c r="I90" s="14"/>
      <c r="J90" s="14"/>
      <c r="K90" s="14"/>
      <c r="M90" s="14"/>
    </row>
    <row r="91" spans="2:13" ht="12.75" customHeight="1" x14ac:dyDescent="0.25">
      <c r="B91" s="14"/>
      <c r="D91" s="14"/>
      <c r="E91" s="14"/>
      <c r="F91" s="14"/>
      <c r="G91" s="14"/>
      <c r="H91" s="14"/>
      <c r="I91" s="14"/>
      <c r="J91" s="14"/>
      <c r="K91" s="14"/>
      <c r="M91" s="14"/>
    </row>
    <row r="92" spans="2:13" ht="12.75" customHeight="1" x14ac:dyDescent="0.25">
      <c r="B92" s="14"/>
      <c r="D92" s="14"/>
      <c r="E92" s="14"/>
      <c r="F92" s="14"/>
      <c r="G92" s="14"/>
      <c r="H92" s="14"/>
      <c r="I92" s="14"/>
      <c r="J92" s="14"/>
      <c r="K92" s="14"/>
      <c r="M92" s="14"/>
    </row>
    <row r="93" spans="2:13" ht="12.75" customHeight="1" x14ac:dyDescent="0.25">
      <c r="B93" s="14"/>
      <c r="D93" s="14"/>
      <c r="E93" s="14"/>
      <c r="F93" s="14"/>
      <c r="G93" s="14"/>
      <c r="H93" s="14"/>
      <c r="I93" s="14"/>
      <c r="J93" s="14"/>
      <c r="K93" s="14"/>
      <c r="M93" s="14"/>
    </row>
    <row r="94" spans="2:13" ht="12.75" customHeight="1" x14ac:dyDescent="0.25">
      <c r="B94" s="14"/>
      <c r="D94" s="14"/>
      <c r="E94" s="14"/>
      <c r="F94" s="14"/>
      <c r="G94" s="14"/>
      <c r="H94" s="14"/>
      <c r="I94" s="14"/>
      <c r="J94" s="14"/>
      <c r="K94" s="14"/>
      <c r="M94" s="14"/>
    </row>
    <row r="95" spans="2:13" ht="12.75" customHeight="1" x14ac:dyDescent="0.25">
      <c r="B95" s="14"/>
      <c r="D95" s="14"/>
      <c r="E95" s="14"/>
      <c r="F95" s="14"/>
      <c r="G95" s="14"/>
      <c r="H95" s="14"/>
      <c r="I95" s="14"/>
      <c r="J95" s="14"/>
      <c r="K95" s="14"/>
      <c r="M95" s="14"/>
    </row>
    <row r="96" spans="2:13" ht="12.75" customHeight="1" x14ac:dyDescent="0.25">
      <c r="B96" s="14"/>
      <c r="D96" s="14"/>
      <c r="E96" s="14"/>
      <c r="F96" s="14"/>
      <c r="G96" s="14"/>
      <c r="H96" s="14"/>
      <c r="I96" s="14"/>
      <c r="J96" s="14"/>
      <c r="K96" s="14"/>
      <c r="M96" s="14"/>
    </row>
    <row r="97" spans="2:13" ht="12.75" customHeight="1" x14ac:dyDescent="0.25">
      <c r="B97" s="14"/>
      <c r="D97" s="14"/>
      <c r="E97" s="14"/>
      <c r="F97" s="14"/>
      <c r="G97" s="14"/>
      <c r="H97" s="14"/>
      <c r="I97" s="14"/>
      <c r="J97" s="14"/>
      <c r="K97" s="14"/>
      <c r="M97" s="14"/>
    </row>
    <row r="98" spans="2:13" ht="12.75" customHeight="1" x14ac:dyDescent="0.25">
      <c r="B98" s="14"/>
      <c r="D98" s="14"/>
      <c r="E98" s="14"/>
      <c r="F98" s="14"/>
      <c r="G98" s="14"/>
      <c r="H98" s="14"/>
      <c r="I98" s="14"/>
      <c r="J98" s="14"/>
      <c r="K98" s="14"/>
      <c r="M98" s="14"/>
    </row>
    <row r="99" spans="2:13" ht="12.75" customHeight="1" x14ac:dyDescent="0.25">
      <c r="B99" s="14"/>
      <c r="D99" s="14"/>
      <c r="E99" s="14"/>
      <c r="F99" s="14"/>
      <c r="G99" s="14"/>
      <c r="H99" s="14"/>
      <c r="I99" s="14"/>
      <c r="J99" s="14"/>
      <c r="K99" s="14"/>
      <c r="M99" s="14"/>
    </row>
    <row r="100" spans="2:13" ht="12.75" customHeight="1" x14ac:dyDescent="0.25">
      <c r="B100" s="14"/>
      <c r="D100" s="14"/>
      <c r="E100" s="14"/>
      <c r="F100" s="14"/>
      <c r="G100" s="14"/>
      <c r="H100" s="14"/>
      <c r="I100" s="14"/>
      <c r="J100" s="14"/>
      <c r="K100" s="14"/>
      <c r="M100" s="14"/>
    </row>
    <row r="101" spans="2:13" ht="12.75" customHeight="1" x14ac:dyDescent="0.25">
      <c r="B101" s="14"/>
      <c r="D101" s="14"/>
      <c r="E101" s="14"/>
      <c r="F101" s="14"/>
      <c r="G101" s="14"/>
      <c r="H101" s="14"/>
      <c r="I101" s="14"/>
      <c r="J101" s="14"/>
      <c r="K101" s="14"/>
      <c r="M101" s="14"/>
    </row>
    <row r="102" spans="2:13" ht="12.75" customHeight="1" x14ac:dyDescent="0.25">
      <c r="B102" s="14"/>
      <c r="D102" s="14"/>
      <c r="E102" s="14"/>
      <c r="F102" s="14"/>
      <c r="G102" s="14"/>
      <c r="H102" s="14"/>
      <c r="I102" s="14"/>
      <c r="J102" s="14"/>
      <c r="K102" s="14"/>
      <c r="M102" s="14"/>
    </row>
    <row r="103" spans="2:13" ht="12.75" customHeight="1" x14ac:dyDescent="0.25">
      <c r="B103" s="14"/>
      <c r="D103" s="14"/>
      <c r="E103" s="14"/>
      <c r="F103" s="14"/>
      <c r="G103" s="14"/>
      <c r="H103" s="14"/>
      <c r="I103" s="14"/>
      <c r="J103" s="14"/>
      <c r="K103" s="14"/>
      <c r="M103" s="14"/>
    </row>
    <row r="104" spans="2:13" ht="12.75" customHeight="1" x14ac:dyDescent="0.25">
      <c r="B104" s="14"/>
      <c r="D104" s="14"/>
      <c r="E104" s="14"/>
      <c r="F104" s="14"/>
      <c r="G104" s="14"/>
      <c r="H104" s="14"/>
      <c r="I104" s="14"/>
      <c r="J104" s="14"/>
      <c r="K104" s="14"/>
      <c r="M104" s="14"/>
    </row>
    <row r="105" spans="2:13" ht="12.75" customHeight="1" x14ac:dyDescent="0.25">
      <c r="B105" s="14"/>
      <c r="D105" s="14"/>
      <c r="E105" s="14"/>
      <c r="F105" s="14"/>
      <c r="G105" s="14"/>
      <c r="H105" s="14"/>
      <c r="I105" s="14"/>
      <c r="J105" s="14"/>
      <c r="K105" s="14"/>
      <c r="M105" s="14"/>
    </row>
    <row r="106" spans="2:13" ht="12.75" customHeight="1" x14ac:dyDescent="0.25">
      <c r="B106" s="14"/>
      <c r="D106" s="14"/>
      <c r="E106" s="14"/>
      <c r="F106" s="14"/>
      <c r="G106" s="14"/>
      <c r="H106" s="14"/>
      <c r="I106" s="14"/>
      <c r="J106" s="14"/>
      <c r="K106" s="14"/>
      <c r="M106" s="14"/>
    </row>
    <row r="107" spans="2:13" ht="12.75" customHeight="1" x14ac:dyDescent="0.25">
      <c r="B107" s="14"/>
      <c r="D107" s="14"/>
      <c r="E107" s="14"/>
      <c r="F107" s="14"/>
      <c r="G107" s="14"/>
      <c r="H107" s="14"/>
      <c r="I107" s="14"/>
      <c r="J107" s="14"/>
      <c r="K107" s="14"/>
      <c r="M107" s="14"/>
    </row>
    <row r="108" spans="2:13" ht="12.75" customHeight="1" x14ac:dyDescent="0.25">
      <c r="B108" s="14"/>
      <c r="D108" s="14"/>
      <c r="E108" s="14"/>
      <c r="F108" s="14"/>
      <c r="G108" s="14"/>
      <c r="H108" s="14"/>
      <c r="I108" s="14"/>
      <c r="J108" s="14"/>
      <c r="K108" s="14"/>
      <c r="M108" s="14"/>
    </row>
    <row r="109" spans="2:13" ht="12.75" customHeight="1" x14ac:dyDescent="0.25">
      <c r="B109" s="14"/>
      <c r="D109" s="14"/>
      <c r="E109" s="14"/>
      <c r="F109" s="14"/>
      <c r="G109" s="14"/>
      <c r="H109" s="14"/>
      <c r="I109" s="14"/>
      <c r="J109" s="14"/>
      <c r="K109" s="14"/>
      <c r="M109" s="14"/>
    </row>
    <row r="110" spans="2:13" ht="12.75" customHeight="1" x14ac:dyDescent="0.25">
      <c r="B110" s="14"/>
      <c r="D110" s="14"/>
      <c r="E110" s="14"/>
      <c r="F110" s="14"/>
      <c r="G110" s="14"/>
      <c r="H110" s="14"/>
      <c r="I110" s="14"/>
      <c r="J110" s="14"/>
      <c r="K110" s="14"/>
      <c r="M110" s="14"/>
    </row>
    <row r="111" spans="2:13" ht="12.75" customHeight="1" x14ac:dyDescent="0.25">
      <c r="B111" s="14"/>
      <c r="D111" s="14"/>
      <c r="E111" s="14"/>
      <c r="F111" s="14"/>
      <c r="G111" s="14"/>
      <c r="H111" s="14"/>
      <c r="I111" s="14"/>
      <c r="J111" s="14"/>
      <c r="K111" s="14"/>
      <c r="M111" s="14"/>
    </row>
    <row r="112" spans="2:13" ht="12.75" customHeight="1" x14ac:dyDescent="0.25">
      <c r="B112" s="14"/>
      <c r="D112" s="14"/>
      <c r="E112" s="14"/>
      <c r="F112" s="14"/>
      <c r="G112" s="14"/>
      <c r="H112" s="14"/>
      <c r="I112" s="14"/>
      <c r="J112" s="14"/>
      <c r="K112" s="14"/>
      <c r="M112" s="14"/>
    </row>
    <row r="113" spans="2:13" ht="12.75" customHeight="1" x14ac:dyDescent="0.25">
      <c r="B113" s="14"/>
      <c r="D113" s="14"/>
      <c r="E113" s="14"/>
      <c r="F113" s="14"/>
      <c r="G113" s="14"/>
      <c r="H113" s="14"/>
      <c r="I113" s="14"/>
      <c r="J113" s="14"/>
      <c r="K113" s="14"/>
      <c r="M113" s="14"/>
    </row>
    <row r="114" spans="2:13" ht="12.75" customHeight="1" x14ac:dyDescent="0.25">
      <c r="B114" s="14"/>
      <c r="D114" s="14"/>
      <c r="E114" s="14"/>
      <c r="F114" s="14"/>
      <c r="G114" s="14"/>
      <c r="H114" s="14"/>
      <c r="I114" s="14"/>
      <c r="J114" s="14"/>
      <c r="K114" s="14"/>
      <c r="M114" s="14"/>
    </row>
    <row r="115" spans="2:13" ht="12.75" customHeight="1" x14ac:dyDescent="0.25">
      <c r="B115" s="14"/>
      <c r="D115" s="14"/>
      <c r="E115" s="14"/>
      <c r="F115" s="14"/>
      <c r="G115" s="14"/>
      <c r="H115" s="14"/>
      <c r="I115" s="14"/>
      <c r="J115" s="14"/>
      <c r="K115" s="14"/>
      <c r="M115" s="14"/>
    </row>
    <row r="116" spans="2:13" ht="12.75" customHeight="1" x14ac:dyDescent="0.25">
      <c r="B116" s="14"/>
      <c r="D116" s="14"/>
      <c r="E116" s="14"/>
      <c r="F116" s="14"/>
      <c r="G116" s="14"/>
      <c r="H116" s="14"/>
      <c r="I116" s="14"/>
      <c r="J116" s="14"/>
      <c r="K116" s="14"/>
      <c r="M116" s="14"/>
    </row>
    <row r="117" spans="2:13" ht="12.75" customHeight="1" x14ac:dyDescent="0.25">
      <c r="B117" s="14"/>
      <c r="D117" s="14"/>
      <c r="E117" s="14"/>
      <c r="F117" s="14"/>
      <c r="G117" s="14"/>
      <c r="H117" s="14"/>
      <c r="I117" s="14"/>
      <c r="J117" s="14"/>
      <c r="K117" s="14"/>
      <c r="M117" s="14"/>
    </row>
    <row r="118" spans="2:13" ht="12.75" customHeight="1" x14ac:dyDescent="0.25">
      <c r="B118" s="14"/>
      <c r="D118" s="14"/>
      <c r="E118" s="14"/>
      <c r="F118" s="14"/>
      <c r="G118" s="14"/>
      <c r="H118" s="14"/>
      <c r="I118" s="14"/>
      <c r="J118" s="14"/>
      <c r="K118" s="14"/>
      <c r="M118" s="14"/>
    </row>
    <row r="119" spans="2:13" ht="12.75" customHeight="1" x14ac:dyDescent="0.25">
      <c r="B119" s="14"/>
      <c r="D119" s="14"/>
      <c r="E119" s="14"/>
      <c r="F119" s="14"/>
      <c r="G119" s="14"/>
      <c r="H119" s="14"/>
      <c r="I119" s="14"/>
      <c r="J119" s="14"/>
      <c r="K119" s="14"/>
      <c r="M119" s="14"/>
    </row>
    <row r="120" spans="2:13" ht="12.75" customHeight="1" x14ac:dyDescent="0.25">
      <c r="B120" s="14"/>
      <c r="D120" s="14"/>
      <c r="E120" s="14"/>
      <c r="F120" s="14"/>
      <c r="G120" s="14"/>
      <c r="H120" s="14"/>
      <c r="I120" s="14"/>
      <c r="J120" s="14"/>
      <c r="K120" s="14"/>
      <c r="M120" s="14"/>
    </row>
    <row r="121" spans="2:13" ht="12.75" customHeight="1" x14ac:dyDescent="0.25">
      <c r="B121" s="14"/>
      <c r="D121" s="14"/>
      <c r="E121" s="14"/>
      <c r="F121" s="14"/>
      <c r="G121" s="14"/>
      <c r="H121" s="14"/>
      <c r="I121" s="14"/>
      <c r="J121" s="14"/>
      <c r="K121" s="14"/>
      <c r="M121" s="14"/>
    </row>
    <row r="122" spans="2:13" ht="12.75" customHeight="1" x14ac:dyDescent="0.25">
      <c r="B122" s="14"/>
      <c r="D122" s="14"/>
      <c r="E122" s="14"/>
      <c r="F122" s="14"/>
      <c r="G122" s="14"/>
      <c r="H122" s="14"/>
      <c r="I122" s="14"/>
      <c r="J122" s="14"/>
      <c r="K122" s="14"/>
      <c r="M122" s="14"/>
    </row>
    <row r="123" spans="2:13" ht="12.75" customHeight="1" x14ac:dyDescent="0.25">
      <c r="B123" s="14"/>
      <c r="D123" s="14"/>
      <c r="E123" s="14"/>
      <c r="F123" s="14"/>
      <c r="G123" s="14"/>
      <c r="H123" s="14"/>
      <c r="I123" s="14"/>
      <c r="J123" s="14"/>
      <c r="K123" s="14"/>
      <c r="M123" s="14"/>
    </row>
    <row r="124" spans="2:13" ht="12.75" customHeight="1" x14ac:dyDescent="0.25">
      <c r="B124" s="14"/>
      <c r="D124" s="14"/>
      <c r="E124" s="14"/>
      <c r="F124" s="14"/>
      <c r="G124" s="14"/>
      <c r="H124" s="14"/>
      <c r="I124" s="14"/>
      <c r="J124" s="14"/>
      <c r="K124" s="14"/>
      <c r="M124" s="14"/>
    </row>
    <row r="125" spans="2:13" ht="12.75" customHeight="1" x14ac:dyDescent="0.25">
      <c r="B125" s="14"/>
      <c r="D125" s="14"/>
      <c r="E125" s="14"/>
      <c r="F125" s="14"/>
      <c r="G125" s="14"/>
      <c r="H125" s="14"/>
      <c r="I125" s="14"/>
      <c r="J125" s="14"/>
      <c r="K125" s="14"/>
      <c r="M125" s="14"/>
    </row>
    <row r="126" spans="2:13" ht="12.75" customHeight="1" x14ac:dyDescent="0.25">
      <c r="B126" s="14"/>
      <c r="D126" s="14"/>
      <c r="E126" s="14"/>
      <c r="F126" s="14"/>
      <c r="G126" s="14"/>
      <c r="H126" s="14"/>
      <c r="I126" s="14"/>
      <c r="J126" s="14"/>
      <c r="K126" s="14"/>
      <c r="M126" s="14"/>
    </row>
    <row r="127" spans="2:13" ht="12.75" customHeight="1" x14ac:dyDescent="0.25">
      <c r="B127" s="14"/>
      <c r="D127" s="14"/>
      <c r="E127" s="14"/>
      <c r="F127" s="14"/>
      <c r="G127" s="14"/>
      <c r="H127" s="14"/>
      <c r="I127" s="14"/>
      <c r="J127" s="14"/>
      <c r="K127" s="14"/>
      <c r="M127" s="14"/>
    </row>
    <row r="128" spans="2:13" ht="12.75" customHeight="1" x14ac:dyDescent="0.25">
      <c r="B128" s="14"/>
      <c r="D128" s="14"/>
      <c r="E128" s="14"/>
      <c r="F128" s="14"/>
      <c r="G128" s="14"/>
      <c r="H128" s="14"/>
      <c r="I128" s="14"/>
      <c r="J128" s="14"/>
      <c r="K128" s="14"/>
      <c r="M128" s="14"/>
    </row>
    <row r="129" spans="2:13" ht="12.75" customHeight="1" x14ac:dyDescent="0.25">
      <c r="B129" s="14"/>
      <c r="D129" s="14"/>
      <c r="E129" s="14"/>
      <c r="F129" s="14"/>
      <c r="G129" s="14"/>
      <c r="H129" s="14"/>
      <c r="I129" s="14"/>
      <c r="J129" s="14"/>
      <c r="K129" s="14"/>
      <c r="M129" s="14"/>
    </row>
    <row r="130" spans="2:13" ht="12.75" customHeight="1" x14ac:dyDescent="0.25">
      <c r="B130" s="14"/>
      <c r="D130" s="14"/>
      <c r="E130" s="14"/>
      <c r="F130" s="14"/>
      <c r="G130" s="14"/>
      <c r="H130" s="14"/>
      <c r="I130" s="14"/>
      <c r="J130" s="14"/>
      <c r="K130" s="14"/>
      <c r="M130" s="14"/>
    </row>
    <row r="131" spans="2:13" ht="12.75" customHeight="1" x14ac:dyDescent="0.25">
      <c r="B131" s="14"/>
      <c r="D131" s="14"/>
      <c r="E131" s="14"/>
      <c r="F131" s="14"/>
      <c r="G131" s="14"/>
      <c r="H131" s="14"/>
      <c r="I131" s="14"/>
      <c r="J131" s="14"/>
      <c r="K131" s="14"/>
      <c r="M131" s="14"/>
    </row>
    <row r="132" spans="2:13" ht="12.75" customHeight="1" x14ac:dyDescent="0.25">
      <c r="B132" s="14"/>
      <c r="D132" s="14"/>
      <c r="E132" s="14"/>
      <c r="F132" s="14"/>
      <c r="G132" s="14"/>
      <c r="H132" s="14"/>
      <c r="I132" s="14"/>
      <c r="J132" s="14"/>
      <c r="K132" s="14"/>
      <c r="M132" s="14"/>
    </row>
    <row r="133" spans="2:13" ht="12.75" customHeight="1" x14ac:dyDescent="0.25">
      <c r="B133" s="14"/>
      <c r="D133" s="14"/>
      <c r="E133" s="14"/>
      <c r="F133" s="14"/>
      <c r="G133" s="14"/>
      <c r="H133" s="14"/>
      <c r="I133" s="14"/>
      <c r="J133" s="14"/>
      <c r="K133" s="14"/>
      <c r="M133" s="14"/>
    </row>
    <row r="134" spans="2:13" ht="12.75" customHeight="1" x14ac:dyDescent="0.25">
      <c r="B134" s="14"/>
      <c r="D134" s="14"/>
      <c r="E134" s="14"/>
      <c r="F134" s="14"/>
      <c r="G134" s="14"/>
      <c r="H134" s="14"/>
      <c r="I134" s="14"/>
      <c r="J134" s="14"/>
      <c r="K134" s="14"/>
      <c r="M134" s="14"/>
    </row>
    <row r="135" spans="2:13" ht="12.75" customHeight="1" x14ac:dyDescent="0.25">
      <c r="B135" s="14"/>
      <c r="D135" s="14"/>
      <c r="E135" s="14"/>
      <c r="F135" s="14"/>
      <c r="G135" s="14"/>
      <c r="H135" s="14"/>
      <c r="I135" s="14"/>
      <c r="J135" s="14"/>
      <c r="K135" s="14"/>
      <c r="M135" s="14"/>
    </row>
    <row r="136" spans="2:13" ht="12.75" customHeight="1" x14ac:dyDescent="0.25">
      <c r="B136" s="14"/>
      <c r="D136" s="14"/>
      <c r="E136" s="14"/>
      <c r="F136" s="14"/>
      <c r="G136" s="14"/>
      <c r="H136" s="14"/>
      <c r="I136" s="14"/>
      <c r="J136" s="14"/>
      <c r="K136" s="14"/>
      <c r="M136" s="14"/>
    </row>
    <row r="137" spans="2:13" ht="12.75" customHeight="1" x14ac:dyDescent="0.25">
      <c r="B137" s="14"/>
      <c r="D137" s="14"/>
      <c r="E137" s="14"/>
      <c r="F137" s="14"/>
      <c r="G137" s="14"/>
      <c r="H137" s="14"/>
      <c r="I137" s="14"/>
      <c r="J137" s="14"/>
      <c r="K137" s="14"/>
      <c r="M137" s="14"/>
    </row>
    <row r="138" spans="2:13" ht="12.75" customHeight="1" x14ac:dyDescent="0.25">
      <c r="B138" s="14"/>
      <c r="D138" s="14"/>
      <c r="E138" s="14"/>
      <c r="F138" s="14"/>
      <c r="G138" s="14"/>
      <c r="H138" s="14"/>
      <c r="I138" s="14"/>
      <c r="J138" s="14"/>
      <c r="K138" s="14"/>
      <c r="M138" s="14"/>
    </row>
    <row r="139" spans="2:13" ht="12.75" customHeight="1" x14ac:dyDescent="0.25">
      <c r="B139" s="14"/>
      <c r="D139" s="14"/>
      <c r="E139" s="14"/>
      <c r="F139" s="14"/>
      <c r="G139" s="14"/>
      <c r="H139" s="14"/>
      <c r="I139" s="14"/>
      <c r="J139" s="14"/>
      <c r="K139" s="14"/>
      <c r="M139" s="14"/>
    </row>
    <row r="140" spans="2:13" ht="12.75" customHeight="1" x14ac:dyDescent="0.25">
      <c r="B140" s="14"/>
      <c r="D140" s="14"/>
      <c r="E140" s="14"/>
      <c r="F140" s="14"/>
      <c r="G140" s="14"/>
      <c r="H140" s="14"/>
      <c r="I140" s="14"/>
      <c r="J140" s="14"/>
      <c r="K140" s="14"/>
      <c r="M140" s="14"/>
    </row>
    <row r="141" spans="2:13" ht="12.75" customHeight="1" x14ac:dyDescent="0.25">
      <c r="B141" s="14"/>
      <c r="D141" s="14"/>
      <c r="E141" s="14"/>
      <c r="F141" s="14"/>
      <c r="G141" s="14"/>
      <c r="H141" s="14"/>
      <c r="I141" s="14"/>
      <c r="J141" s="14"/>
      <c r="K141" s="14"/>
      <c r="M141" s="14"/>
    </row>
    <row r="142" spans="2:13" ht="12.75" customHeight="1" x14ac:dyDescent="0.25">
      <c r="B142" s="14"/>
      <c r="D142" s="14"/>
      <c r="E142" s="14"/>
      <c r="F142" s="14"/>
      <c r="G142" s="14"/>
      <c r="H142" s="14"/>
      <c r="I142" s="14"/>
      <c r="J142" s="14"/>
      <c r="K142" s="14"/>
      <c r="M142" s="14"/>
    </row>
    <row r="143" spans="2:13" ht="12.75" customHeight="1" x14ac:dyDescent="0.25">
      <c r="B143" s="14"/>
      <c r="D143" s="14"/>
      <c r="E143" s="14"/>
      <c r="F143" s="14"/>
      <c r="G143" s="14"/>
      <c r="H143" s="14"/>
      <c r="I143" s="14"/>
      <c r="J143" s="14"/>
      <c r="K143" s="14"/>
      <c r="M143" s="14"/>
    </row>
    <row r="144" spans="2:13" ht="12.75" customHeight="1" x14ac:dyDescent="0.25">
      <c r="B144" s="14"/>
      <c r="D144" s="14"/>
      <c r="E144" s="14"/>
      <c r="F144" s="14"/>
      <c r="G144" s="14"/>
      <c r="H144" s="14"/>
      <c r="I144" s="14"/>
      <c r="J144" s="14"/>
      <c r="K144" s="14"/>
      <c r="M144" s="14"/>
    </row>
    <row r="145" spans="2:13" ht="12.75" customHeight="1" x14ac:dyDescent="0.25">
      <c r="B145" s="14"/>
      <c r="D145" s="14"/>
      <c r="E145" s="14"/>
      <c r="F145" s="14"/>
      <c r="G145" s="14"/>
      <c r="H145" s="14"/>
      <c r="I145" s="14"/>
      <c r="J145" s="14"/>
      <c r="K145" s="14"/>
      <c r="M145" s="14"/>
    </row>
    <row r="146" spans="2:13" ht="12.75" customHeight="1" x14ac:dyDescent="0.25">
      <c r="B146" s="14"/>
      <c r="D146" s="14"/>
      <c r="E146" s="14"/>
      <c r="F146" s="14"/>
      <c r="G146" s="14"/>
      <c r="H146" s="14"/>
      <c r="I146" s="14"/>
      <c r="J146" s="14"/>
      <c r="K146" s="14"/>
      <c r="M146" s="14"/>
    </row>
    <row r="147" spans="2:13" ht="12.75" customHeight="1" x14ac:dyDescent="0.25">
      <c r="B147" s="14"/>
      <c r="D147" s="14"/>
      <c r="E147" s="14"/>
      <c r="F147" s="14"/>
      <c r="G147" s="14"/>
      <c r="H147" s="14"/>
      <c r="I147" s="14"/>
      <c r="J147" s="14"/>
      <c r="K147" s="14"/>
      <c r="M147" s="14"/>
    </row>
    <row r="148" spans="2:13" ht="12.75" customHeight="1" x14ac:dyDescent="0.25">
      <c r="B148" s="14"/>
      <c r="D148" s="14"/>
      <c r="E148" s="14"/>
      <c r="F148" s="14"/>
      <c r="G148" s="14"/>
      <c r="H148" s="14"/>
      <c r="I148" s="14"/>
      <c r="J148" s="14"/>
      <c r="K148" s="14"/>
      <c r="M148" s="14"/>
    </row>
    <row r="149" spans="2:13" ht="12.75" customHeight="1" x14ac:dyDescent="0.25">
      <c r="B149" s="14"/>
      <c r="D149" s="14"/>
      <c r="E149" s="14"/>
      <c r="F149" s="14"/>
      <c r="G149" s="14"/>
      <c r="H149" s="14"/>
      <c r="I149" s="14"/>
      <c r="J149" s="14"/>
      <c r="K149" s="14"/>
      <c r="M149" s="14"/>
    </row>
    <row r="150" spans="2:13" ht="12.75" customHeight="1" x14ac:dyDescent="0.25">
      <c r="B150" s="14"/>
      <c r="D150" s="14"/>
      <c r="E150" s="14"/>
      <c r="F150" s="14"/>
      <c r="G150" s="14"/>
      <c r="H150" s="14"/>
      <c r="I150" s="14"/>
      <c r="J150" s="14"/>
      <c r="K150" s="14"/>
      <c r="M150" s="14"/>
    </row>
    <row r="151" spans="2:13" ht="12.75" customHeight="1" x14ac:dyDescent="0.25">
      <c r="B151" s="14"/>
      <c r="D151" s="14"/>
      <c r="E151" s="14"/>
      <c r="F151" s="14"/>
      <c r="G151" s="14"/>
      <c r="H151" s="14"/>
      <c r="I151" s="14"/>
      <c r="J151" s="14"/>
      <c r="K151" s="14"/>
      <c r="M151" s="14"/>
    </row>
    <row r="152" spans="2:13" ht="12.75" customHeight="1" x14ac:dyDescent="0.25">
      <c r="B152" s="14"/>
      <c r="D152" s="14"/>
      <c r="E152" s="14"/>
      <c r="F152" s="14"/>
      <c r="G152" s="14"/>
      <c r="H152" s="14"/>
      <c r="I152" s="14"/>
      <c r="J152" s="14"/>
      <c r="K152" s="14"/>
      <c r="M152" s="14"/>
    </row>
    <row r="153" spans="2:13" ht="12.75" customHeight="1" x14ac:dyDescent="0.25">
      <c r="B153" s="14"/>
      <c r="D153" s="14"/>
      <c r="E153" s="14"/>
      <c r="F153" s="14"/>
      <c r="G153" s="14"/>
      <c r="H153" s="14"/>
      <c r="I153" s="14"/>
      <c r="J153" s="14"/>
      <c r="K153" s="14"/>
      <c r="M153" s="14"/>
    </row>
    <row r="154" spans="2:13" ht="12.75" customHeight="1" x14ac:dyDescent="0.25">
      <c r="B154" s="14"/>
      <c r="D154" s="14"/>
      <c r="E154" s="14"/>
      <c r="F154" s="14"/>
      <c r="G154" s="14"/>
      <c r="H154" s="14"/>
      <c r="I154" s="14"/>
      <c r="J154" s="14"/>
      <c r="K154" s="14"/>
      <c r="M154" s="14"/>
    </row>
    <row r="155" spans="2:13" ht="12.75" customHeight="1" x14ac:dyDescent="0.25">
      <c r="B155" s="14"/>
      <c r="D155" s="14"/>
      <c r="E155" s="14"/>
      <c r="F155" s="14"/>
      <c r="G155" s="14"/>
      <c r="H155" s="14"/>
      <c r="I155" s="14"/>
      <c r="J155" s="14"/>
      <c r="K155" s="14"/>
      <c r="M155" s="14"/>
    </row>
    <row r="156" spans="2:13" ht="12.75" customHeight="1" x14ac:dyDescent="0.25">
      <c r="B156" s="14"/>
      <c r="D156" s="14"/>
      <c r="E156" s="14"/>
      <c r="F156" s="14"/>
      <c r="G156" s="14"/>
      <c r="H156" s="14"/>
      <c r="I156" s="14"/>
      <c r="J156" s="14"/>
      <c r="K156" s="14"/>
      <c r="M156" s="14"/>
    </row>
    <row r="157" spans="2:13" ht="12.75" customHeight="1" x14ac:dyDescent="0.25">
      <c r="B157" s="14"/>
      <c r="D157" s="14"/>
      <c r="E157" s="14"/>
      <c r="F157" s="14"/>
      <c r="G157" s="14"/>
      <c r="H157" s="14"/>
      <c r="I157" s="14"/>
      <c r="J157" s="14"/>
      <c r="K157" s="14"/>
      <c r="M157" s="14"/>
    </row>
    <row r="158" spans="2:13" ht="12.75" customHeight="1" x14ac:dyDescent="0.25">
      <c r="B158" s="14"/>
      <c r="D158" s="14"/>
      <c r="E158" s="14"/>
      <c r="F158" s="14"/>
      <c r="G158" s="14"/>
      <c r="H158" s="14"/>
      <c r="I158" s="14"/>
      <c r="J158" s="14"/>
      <c r="K158" s="14"/>
      <c r="M158" s="14"/>
    </row>
    <row r="159" spans="2:13" ht="12.75" customHeight="1" x14ac:dyDescent="0.25">
      <c r="B159" s="14"/>
      <c r="D159" s="14"/>
      <c r="E159" s="14"/>
      <c r="F159" s="14"/>
      <c r="G159" s="14"/>
      <c r="H159" s="14"/>
      <c r="I159" s="14"/>
      <c r="J159" s="14"/>
      <c r="K159" s="14"/>
      <c r="M159" s="14"/>
    </row>
    <row r="160" spans="2:13" ht="12.75" customHeight="1" x14ac:dyDescent="0.25">
      <c r="B160" s="14"/>
      <c r="D160" s="14"/>
      <c r="E160" s="14"/>
      <c r="F160" s="14"/>
      <c r="G160" s="14"/>
      <c r="H160" s="14"/>
      <c r="I160" s="14"/>
      <c r="J160" s="14"/>
      <c r="K160" s="14"/>
      <c r="M160" s="14"/>
    </row>
    <row r="161" spans="2:13" ht="12.75" customHeight="1" x14ac:dyDescent="0.25">
      <c r="B161" s="14"/>
      <c r="D161" s="14"/>
      <c r="E161" s="14"/>
      <c r="F161" s="14"/>
      <c r="G161" s="14"/>
      <c r="H161" s="14"/>
      <c r="I161" s="14"/>
      <c r="J161" s="14"/>
      <c r="K161" s="14"/>
      <c r="M161" s="14"/>
    </row>
    <row r="162" spans="2:13" ht="12.75" customHeight="1" x14ac:dyDescent="0.25">
      <c r="B162" s="14"/>
      <c r="D162" s="14"/>
      <c r="E162" s="14"/>
      <c r="F162" s="14"/>
      <c r="G162" s="14"/>
      <c r="H162" s="14"/>
      <c r="I162" s="14"/>
      <c r="J162" s="14"/>
      <c r="K162" s="14"/>
      <c r="M162" s="14"/>
    </row>
    <row r="163" spans="2:13" ht="12.75" customHeight="1" x14ac:dyDescent="0.25">
      <c r="B163" s="14"/>
      <c r="D163" s="14"/>
      <c r="E163" s="14"/>
      <c r="F163" s="14"/>
      <c r="G163" s="14"/>
      <c r="H163" s="14"/>
      <c r="I163" s="14"/>
      <c r="J163" s="14"/>
      <c r="K163" s="14"/>
      <c r="M163" s="14"/>
    </row>
    <row r="164" spans="2:13" ht="12.75" customHeight="1" x14ac:dyDescent="0.25">
      <c r="B164" s="14"/>
      <c r="D164" s="14"/>
      <c r="E164" s="14"/>
      <c r="F164" s="14"/>
      <c r="G164" s="14"/>
      <c r="H164" s="14"/>
      <c r="I164" s="14"/>
      <c r="J164" s="14"/>
      <c r="K164" s="14"/>
      <c r="M164" s="14"/>
    </row>
    <row r="165" spans="2:13" ht="12.75" customHeight="1" x14ac:dyDescent="0.25">
      <c r="B165" s="14"/>
      <c r="D165" s="14"/>
      <c r="E165" s="14"/>
      <c r="F165" s="14"/>
      <c r="G165" s="14"/>
      <c r="H165" s="14"/>
      <c r="I165" s="14"/>
      <c r="J165" s="14"/>
      <c r="K165" s="14"/>
      <c r="M165" s="14"/>
    </row>
    <row r="166" spans="2:13" ht="12.75" customHeight="1" x14ac:dyDescent="0.25">
      <c r="B166" s="14"/>
      <c r="D166" s="14"/>
      <c r="E166" s="14"/>
      <c r="F166" s="14"/>
      <c r="G166" s="14"/>
      <c r="H166" s="14"/>
      <c r="I166" s="14"/>
      <c r="J166" s="14"/>
      <c r="K166" s="14"/>
      <c r="M166" s="14"/>
    </row>
    <row r="167" spans="2:13" ht="12.75" customHeight="1" x14ac:dyDescent="0.25">
      <c r="B167" s="14"/>
      <c r="D167" s="14"/>
      <c r="E167" s="14"/>
      <c r="F167" s="14"/>
      <c r="G167" s="14"/>
      <c r="H167" s="14"/>
      <c r="I167" s="14"/>
      <c r="J167" s="14"/>
      <c r="K167" s="14"/>
      <c r="M167" s="14"/>
    </row>
    <row r="168" spans="2:13" ht="12.75" customHeight="1" x14ac:dyDescent="0.25">
      <c r="B168" s="14"/>
      <c r="D168" s="14"/>
      <c r="E168" s="14"/>
      <c r="F168" s="14"/>
      <c r="G168" s="14"/>
      <c r="H168" s="14"/>
      <c r="I168" s="14"/>
      <c r="J168" s="14"/>
      <c r="K168" s="14"/>
      <c r="M168" s="14"/>
    </row>
    <row r="169" spans="2:13" ht="12.75" customHeight="1" x14ac:dyDescent="0.25">
      <c r="B169" s="14"/>
      <c r="D169" s="14"/>
      <c r="E169" s="14"/>
      <c r="F169" s="14"/>
      <c r="G169" s="14"/>
      <c r="H169" s="14"/>
      <c r="I169" s="14"/>
      <c r="J169" s="14"/>
      <c r="K169" s="14"/>
      <c r="M169" s="14"/>
    </row>
    <row r="170" spans="2:13" ht="12.75" customHeight="1" x14ac:dyDescent="0.25">
      <c r="B170" s="14"/>
      <c r="D170" s="14"/>
      <c r="E170" s="14"/>
      <c r="F170" s="14"/>
      <c r="G170" s="14"/>
      <c r="H170" s="14"/>
      <c r="I170" s="14"/>
      <c r="J170" s="14"/>
      <c r="K170" s="14"/>
      <c r="M170" s="14"/>
    </row>
    <row r="171" spans="2:13" ht="12.75" customHeight="1" x14ac:dyDescent="0.25">
      <c r="B171" s="14"/>
      <c r="D171" s="14"/>
      <c r="E171" s="14"/>
      <c r="F171" s="14"/>
      <c r="G171" s="14"/>
      <c r="H171" s="14"/>
      <c r="I171" s="14"/>
      <c r="J171" s="14"/>
      <c r="K171" s="14"/>
      <c r="M171" s="14"/>
    </row>
    <row r="172" spans="2:13" ht="12.75" customHeight="1" x14ac:dyDescent="0.25">
      <c r="B172" s="14"/>
      <c r="D172" s="14"/>
      <c r="E172" s="14"/>
      <c r="F172" s="14"/>
      <c r="G172" s="14"/>
      <c r="H172" s="14"/>
      <c r="I172" s="14"/>
      <c r="J172" s="14"/>
      <c r="K172" s="14"/>
      <c r="M172" s="14"/>
    </row>
    <row r="173" spans="2:13" ht="12.75" customHeight="1" x14ac:dyDescent="0.25">
      <c r="B173" s="14"/>
      <c r="D173" s="14"/>
      <c r="E173" s="14"/>
      <c r="F173" s="14"/>
      <c r="G173" s="14"/>
      <c r="H173" s="14"/>
      <c r="I173" s="14"/>
      <c r="J173" s="14"/>
      <c r="K173" s="14"/>
      <c r="M173" s="14"/>
    </row>
    <row r="174" spans="2:13" ht="12.75" customHeight="1" x14ac:dyDescent="0.25">
      <c r="B174" s="14"/>
      <c r="D174" s="14"/>
      <c r="E174" s="14"/>
      <c r="F174" s="14"/>
      <c r="G174" s="14"/>
      <c r="H174" s="14"/>
      <c r="I174" s="14"/>
      <c r="J174" s="14"/>
      <c r="K174" s="14"/>
      <c r="M174" s="14"/>
    </row>
    <row r="175" spans="2:13" ht="12.75" customHeight="1" x14ac:dyDescent="0.25">
      <c r="B175" s="14"/>
      <c r="D175" s="14"/>
      <c r="E175" s="14"/>
      <c r="F175" s="14"/>
      <c r="G175" s="14"/>
      <c r="H175" s="14"/>
      <c r="I175" s="14"/>
      <c r="J175" s="14"/>
      <c r="K175" s="14"/>
      <c r="M175" s="14"/>
    </row>
    <row r="176" spans="2:13" ht="12.75" customHeight="1" x14ac:dyDescent="0.25">
      <c r="B176" s="14"/>
      <c r="D176" s="14"/>
      <c r="E176" s="14"/>
      <c r="F176" s="14"/>
      <c r="G176" s="14"/>
      <c r="H176" s="14"/>
      <c r="I176" s="14"/>
      <c r="J176" s="14"/>
      <c r="K176" s="14"/>
      <c r="M176" s="14"/>
    </row>
    <row r="177" spans="2:13" ht="12.75" customHeight="1" x14ac:dyDescent="0.25">
      <c r="B177" s="14"/>
      <c r="D177" s="14"/>
      <c r="E177" s="14"/>
      <c r="F177" s="14"/>
      <c r="G177" s="14"/>
      <c r="H177" s="14"/>
      <c r="I177" s="14"/>
      <c r="J177" s="14"/>
      <c r="K177" s="14"/>
      <c r="M177" s="14"/>
    </row>
    <row r="178" spans="2:13" ht="12.75" customHeight="1" x14ac:dyDescent="0.25">
      <c r="B178" s="14"/>
      <c r="D178" s="14"/>
      <c r="E178" s="14"/>
      <c r="F178" s="14"/>
      <c r="G178" s="14"/>
      <c r="H178" s="14"/>
      <c r="I178" s="14"/>
      <c r="J178" s="14"/>
      <c r="K178" s="14"/>
      <c r="M178" s="14"/>
    </row>
    <row r="179" spans="2:13" ht="12.75" customHeight="1" x14ac:dyDescent="0.25">
      <c r="B179" s="14"/>
      <c r="D179" s="14"/>
      <c r="E179" s="14"/>
      <c r="F179" s="14"/>
      <c r="G179" s="14"/>
      <c r="H179" s="14"/>
      <c r="I179" s="14"/>
      <c r="J179" s="14"/>
      <c r="K179" s="14"/>
      <c r="M179" s="14"/>
    </row>
    <row r="180" spans="2:13" ht="12.75" customHeight="1" x14ac:dyDescent="0.25">
      <c r="B180" s="14"/>
      <c r="D180" s="14"/>
      <c r="E180" s="14"/>
      <c r="F180" s="14"/>
      <c r="G180" s="14"/>
      <c r="H180" s="14"/>
      <c r="I180" s="14"/>
      <c r="J180" s="14"/>
      <c r="K180" s="14"/>
      <c r="M180" s="14"/>
    </row>
    <row r="181" spans="2:13" ht="12.75" customHeight="1" x14ac:dyDescent="0.25">
      <c r="B181" s="14"/>
      <c r="D181" s="14"/>
      <c r="E181" s="14"/>
      <c r="F181" s="14"/>
      <c r="G181" s="14"/>
      <c r="H181" s="14"/>
      <c r="I181" s="14"/>
      <c r="J181" s="14"/>
      <c r="K181" s="14"/>
      <c r="M181" s="14"/>
    </row>
    <row r="182" spans="2:13" ht="12.75" customHeight="1" x14ac:dyDescent="0.25">
      <c r="B182" s="14"/>
      <c r="D182" s="14"/>
      <c r="E182" s="14"/>
      <c r="F182" s="14"/>
      <c r="G182" s="14"/>
      <c r="H182" s="14"/>
      <c r="I182" s="14"/>
      <c r="J182" s="14"/>
      <c r="K182" s="14"/>
      <c r="M182" s="14"/>
    </row>
    <row r="183" spans="2:13" ht="12.75" customHeight="1" x14ac:dyDescent="0.25">
      <c r="B183" s="14"/>
      <c r="D183" s="14"/>
      <c r="E183" s="14"/>
      <c r="F183" s="14"/>
      <c r="G183" s="14"/>
      <c r="H183" s="14"/>
      <c r="I183" s="14"/>
      <c r="J183" s="14"/>
      <c r="K183" s="14"/>
      <c r="M183" s="14"/>
    </row>
    <row r="184" spans="2:13" ht="12.75" customHeight="1" x14ac:dyDescent="0.25">
      <c r="B184" s="14"/>
      <c r="D184" s="14"/>
      <c r="E184" s="14"/>
      <c r="F184" s="14"/>
      <c r="G184" s="14"/>
      <c r="H184" s="14"/>
      <c r="I184" s="14"/>
      <c r="J184" s="14"/>
      <c r="K184" s="14"/>
      <c r="M184" s="14"/>
    </row>
    <row r="185" spans="2:13" ht="12.75" customHeight="1" x14ac:dyDescent="0.25">
      <c r="B185" s="14"/>
      <c r="D185" s="14"/>
      <c r="E185" s="14"/>
      <c r="F185" s="14"/>
      <c r="G185" s="14"/>
      <c r="H185" s="14"/>
      <c r="I185" s="14"/>
      <c r="J185" s="14"/>
      <c r="K185" s="14"/>
      <c r="M185" s="14"/>
    </row>
    <row r="186" spans="2:13" ht="12.75" customHeight="1" x14ac:dyDescent="0.25">
      <c r="B186" s="14"/>
      <c r="D186" s="14"/>
      <c r="E186" s="14"/>
      <c r="F186" s="14"/>
      <c r="G186" s="14"/>
      <c r="H186" s="14"/>
      <c r="I186" s="14"/>
      <c r="J186" s="14"/>
      <c r="K186" s="14"/>
      <c r="M186" s="14"/>
    </row>
    <row r="187" spans="2:13" ht="12.75" customHeight="1" x14ac:dyDescent="0.25">
      <c r="B187" s="14"/>
      <c r="D187" s="14"/>
      <c r="E187" s="14"/>
      <c r="F187" s="14"/>
      <c r="G187" s="14"/>
      <c r="H187" s="14"/>
      <c r="I187" s="14"/>
      <c r="J187" s="14"/>
      <c r="K187" s="14"/>
      <c r="M187" s="14"/>
    </row>
    <row r="188" spans="2:13" ht="12.75" customHeight="1" x14ac:dyDescent="0.25">
      <c r="B188" s="14"/>
      <c r="D188" s="14"/>
      <c r="E188" s="14"/>
      <c r="F188" s="14"/>
      <c r="G188" s="14"/>
      <c r="H188" s="14"/>
      <c r="I188" s="14"/>
      <c r="J188" s="14"/>
      <c r="K188" s="14"/>
      <c r="M188" s="14"/>
    </row>
    <row r="189" spans="2:13" ht="12.75" customHeight="1" x14ac:dyDescent="0.25">
      <c r="B189" s="14"/>
      <c r="D189" s="14"/>
      <c r="E189" s="14"/>
      <c r="F189" s="14"/>
      <c r="G189" s="14"/>
      <c r="H189" s="14"/>
      <c r="I189" s="14"/>
      <c r="J189" s="14"/>
      <c r="K189" s="14"/>
      <c r="M189" s="14"/>
    </row>
    <row r="190" spans="2:13" ht="12.75" customHeight="1" x14ac:dyDescent="0.25">
      <c r="B190" s="14"/>
      <c r="D190" s="14"/>
      <c r="E190" s="14"/>
      <c r="F190" s="14"/>
      <c r="G190" s="14"/>
      <c r="H190" s="14"/>
      <c r="I190" s="14"/>
      <c r="J190" s="14"/>
      <c r="K190" s="14"/>
      <c r="M190" s="14"/>
    </row>
    <row r="191" spans="2:13" ht="12.75" customHeight="1" x14ac:dyDescent="0.25">
      <c r="B191" s="14"/>
      <c r="D191" s="14"/>
      <c r="E191" s="14"/>
      <c r="F191" s="14"/>
      <c r="G191" s="14"/>
      <c r="H191" s="14"/>
      <c r="I191" s="14"/>
      <c r="J191" s="14"/>
      <c r="K191" s="14"/>
      <c r="M191" s="14"/>
    </row>
    <row r="192" spans="2:13" ht="12.75" customHeight="1" x14ac:dyDescent="0.25">
      <c r="B192" s="14"/>
      <c r="D192" s="14"/>
      <c r="E192" s="14"/>
      <c r="F192" s="14"/>
      <c r="G192" s="14"/>
      <c r="H192" s="14"/>
      <c r="I192" s="14"/>
      <c r="J192" s="14"/>
      <c r="K192" s="14"/>
      <c r="M192" s="14"/>
    </row>
    <row r="193" spans="2:13" ht="12.75" customHeight="1" x14ac:dyDescent="0.25">
      <c r="B193" s="14"/>
      <c r="D193" s="14"/>
      <c r="E193" s="14"/>
      <c r="F193" s="14"/>
      <c r="G193" s="14"/>
      <c r="H193" s="14"/>
      <c r="I193" s="14"/>
      <c r="J193" s="14"/>
      <c r="K193" s="14"/>
      <c r="M193" s="14"/>
    </row>
    <row r="194" spans="2:13" ht="12.75" customHeight="1" x14ac:dyDescent="0.25">
      <c r="B194" s="14"/>
      <c r="D194" s="14"/>
      <c r="E194" s="14"/>
      <c r="F194" s="14"/>
      <c r="G194" s="14"/>
      <c r="H194" s="14"/>
      <c r="I194" s="14"/>
      <c r="J194" s="14"/>
      <c r="K194" s="14"/>
      <c r="M194" s="14"/>
    </row>
    <row r="195" spans="2:13" ht="12.75" customHeight="1" x14ac:dyDescent="0.25">
      <c r="B195" s="14"/>
      <c r="D195" s="14"/>
      <c r="E195" s="14"/>
      <c r="F195" s="14"/>
      <c r="G195" s="14"/>
      <c r="H195" s="14"/>
      <c r="I195" s="14"/>
      <c r="J195" s="14"/>
      <c r="K195" s="14"/>
      <c r="M195" s="14"/>
    </row>
    <row r="196" spans="2:13" ht="12.75" customHeight="1" x14ac:dyDescent="0.25">
      <c r="B196" s="14"/>
      <c r="D196" s="14"/>
      <c r="E196" s="14"/>
      <c r="F196" s="14"/>
      <c r="G196" s="14"/>
      <c r="H196" s="14"/>
      <c r="I196" s="14"/>
      <c r="J196" s="14"/>
      <c r="K196" s="14"/>
      <c r="M196" s="14"/>
    </row>
    <row r="197" spans="2:13" ht="12.75" customHeight="1" x14ac:dyDescent="0.25">
      <c r="B197" s="14"/>
      <c r="D197" s="14"/>
      <c r="E197" s="14"/>
      <c r="F197" s="14"/>
      <c r="G197" s="14"/>
      <c r="H197" s="14"/>
      <c r="I197" s="14"/>
      <c r="J197" s="14"/>
      <c r="K197" s="14"/>
      <c r="M197" s="14"/>
    </row>
    <row r="198" spans="2:13" ht="12.75" customHeight="1" x14ac:dyDescent="0.25">
      <c r="B198" s="14"/>
      <c r="D198" s="14"/>
      <c r="E198" s="14"/>
      <c r="F198" s="14"/>
      <c r="G198" s="14"/>
      <c r="H198" s="14"/>
      <c r="I198" s="14"/>
      <c r="J198" s="14"/>
      <c r="K198" s="14"/>
      <c r="M198" s="14"/>
    </row>
    <row r="199" spans="2:13" ht="12.75" customHeight="1" x14ac:dyDescent="0.25">
      <c r="B199" s="14"/>
      <c r="D199" s="14"/>
      <c r="E199" s="14"/>
      <c r="F199" s="14"/>
      <c r="G199" s="14"/>
      <c r="H199" s="14"/>
      <c r="I199" s="14"/>
      <c r="J199" s="14"/>
      <c r="K199" s="14"/>
      <c r="M199" s="14"/>
    </row>
    <row r="200" spans="2:13" ht="12.75" customHeight="1" x14ac:dyDescent="0.25">
      <c r="B200" s="14"/>
      <c r="D200" s="14"/>
      <c r="E200" s="14"/>
      <c r="F200" s="14"/>
      <c r="G200" s="14"/>
      <c r="H200" s="14"/>
      <c r="I200" s="14"/>
      <c r="J200" s="14"/>
      <c r="K200" s="14"/>
      <c r="M200" s="14"/>
    </row>
    <row r="201" spans="2:13" ht="12.75" customHeight="1" x14ac:dyDescent="0.25">
      <c r="B201" s="14"/>
      <c r="D201" s="14"/>
      <c r="E201" s="14"/>
      <c r="F201" s="14"/>
      <c r="G201" s="14"/>
      <c r="H201" s="14"/>
      <c r="I201" s="14"/>
      <c r="J201" s="14"/>
      <c r="K201" s="14"/>
      <c r="M201" s="14"/>
    </row>
    <row r="202" spans="2:13" ht="12.75" customHeight="1" x14ac:dyDescent="0.25">
      <c r="B202" s="14"/>
      <c r="D202" s="14"/>
      <c r="E202" s="14"/>
      <c r="F202" s="14"/>
      <c r="G202" s="14"/>
      <c r="H202" s="14"/>
      <c r="I202" s="14"/>
      <c r="J202" s="14"/>
      <c r="K202" s="14"/>
      <c r="M202" s="14"/>
    </row>
    <row r="203" spans="2:13" ht="12.75" customHeight="1" x14ac:dyDescent="0.25">
      <c r="B203" s="14"/>
      <c r="D203" s="14"/>
      <c r="E203" s="14"/>
      <c r="F203" s="14"/>
      <c r="G203" s="14"/>
      <c r="H203" s="14"/>
      <c r="I203" s="14"/>
      <c r="J203" s="14"/>
      <c r="K203" s="14"/>
      <c r="M203" s="14"/>
    </row>
    <row r="204" spans="2:13" ht="12.75" customHeight="1" x14ac:dyDescent="0.25">
      <c r="B204" s="14"/>
      <c r="D204" s="14"/>
      <c r="E204" s="14"/>
      <c r="F204" s="14"/>
      <c r="G204" s="14"/>
      <c r="H204" s="14"/>
      <c r="I204" s="14"/>
      <c r="J204" s="14"/>
      <c r="K204" s="14"/>
      <c r="M204" s="14"/>
    </row>
    <row r="205" spans="2:13" ht="12.75" customHeight="1" x14ac:dyDescent="0.25">
      <c r="B205" s="14"/>
      <c r="D205" s="14"/>
      <c r="E205" s="14"/>
      <c r="F205" s="14"/>
      <c r="G205" s="14"/>
      <c r="H205" s="14"/>
      <c r="I205" s="14"/>
      <c r="J205" s="14"/>
      <c r="K205" s="14"/>
      <c r="M205" s="14"/>
    </row>
    <row r="206" spans="2:13" ht="12.75" customHeight="1" x14ac:dyDescent="0.25">
      <c r="B206" s="14"/>
      <c r="D206" s="14"/>
      <c r="E206" s="14"/>
      <c r="F206" s="14"/>
      <c r="G206" s="14"/>
      <c r="H206" s="14"/>
      <c r="I206" s="14"/>
      <c r="J206" s="14"/>
      <c r="K206" s="14"/>
      <c r="M206" s="14"/>
    </row>
    <row r="207" spans="2:13" ht="12.75" customHeight="1" x14ac:dyDescent="0.25">
      <c r="B207" s="14"/>
      <c r="D207" s="14"/>
      <c r="E207" s="14"/>
      <c r="F207" s="14"/>
      <c r="G207" s="14"/>
      <c r="H207" s="14"/>
      <c r="I207" s="14"/>
      <c r="J207" s="14"/>
      <c r="K207" s="14"/>
      <c r="M207" s="14"/>
    </row>
    <row r="208" spans="2:13" ht="12.75" customHeight="1" x14ac:dyDescent="0.25">
      <c r="B208" s="14"/>
      <c r="D208" s="14"/>
      <c r="E208" s="14"/>
      <c r="F208" s="14"/>
      <c r="G208" s="14"/>
      <c r="H208" s="14"/>
      <c r="I208" s="14"/>
      <c r="J208" s="14"/>
      <c r="K208" s="14"/>
      <c r="M208" s="14"/>
    </row>
    <row r="209" spans="2:13" ht="12.75" customHeight="1" x14ac:dyDescent="0.25">
      <c r="B209" s="14"/>
      <c r="D209" s="14"/>
      <c r="E209" s="14"/>
      <c r="F209" s="14"/>
      <c r="G209" s="14"/>
      <c r="H209" s="14"/>
      <c r="I209" s="14"/>
      <c r="J209" s="14"/>
      <c r="K209" s="14"/>
      <c r="M209" s="14"/>
    </row>
    <row r="210" spans="2:13" ht="12.75" customHeight="1" x14ac:dyDescent="0.25">
      <c r="B210" s="14"/>
      <c r="D210" s="14"/>
      <c r="E210" s="14"/>
      <c r="F210" s="14"/>
      <c r="G210" s="14"/>
      <c r="H210" s="14"/>
      <c r="I210" s="14"/>
      <c r="J210" s="14"/>
      <c r="K210" s="14"/>
      <c r="M210" s="14"/>
    </row>
    <row r="211" spans="2:13" ht="12.75" customHeight="1" x14ac:dyDescent="0.25">
      <c r="B211" s="14"/>
      <c r="D211" s="14"/>
      <c r="E211" s="14"/>
      <c r="F211" s="14"/>
      <c r="G211" s="14"/>
      <c r="H211" s="14"/>
      <c r="I211" s="14"/>
      <c r="J211" s="14"/>
      <c r="K211" s="14"/>
      <c r="M211" s="14"/>
    </row>
    <row r="212" spans="2:13" ht="12.75" customHeight="1" x14ac:dyDescent="0.25">
      <c r="B212" s="14"/>
      <c r="D212" s="14"/>
      <c r="E212" s="14"/>
      <c r="F212" s="14"/>
      <c r="G212" s="14"/>
      <c r="H212" s="14"/>
      <c r="I212" s="14"/>
      <c r="J212" s="14"/>
      <c r="K212" s="14"/>
      <c r="M212" s="14"/>
    </row>
    <row r="213" spans="2:13" ht="12.75" customHeight="1" x14ac:dyDescent="0.25">
      <c r="B213" s="14"/>
      <c r="D213" s="14"/>
      <c r="E213" s="14"/>
      <c r="F213" s="14"/>
      <c r="G213" s="14"/>
      <c r="H213" s="14"/>
      <c r="I213" s="14"/>
      <c r="J213" s="14"/>
      <c r="K213" s="14"/>
      <c r="M213" s="14"/>
    </row>
    <row r="214" spans="2:13" ht="12.75" customHeight="1" x14ac:dyDescent="0.25">
      <c r="B214" s="14"/>
      <c r="D214" s="14"/>
      <c r="E214" s="14"/>
      <c r="F214" s="14"/>
      <c r="G214" s="14"/>
      <c r="H214" s="14"/>
      <c r="I214" s="14"/>
      <c r="J214" s="14"/>
      <c r="K214" s="14"/>
      <c r="M214" s="14"/>
    </row>
    <row r="215" spans="2:13" ht="12.75" customHeight="1" x14ac:dyDescent="0.25">
      <c r="B215" s="14"/>
      <c r="D215" s="14"/>
      <c r="E215" s="14"/>
      <c r="F215" s="14"/>
      <c r="G215" s="14"/>
      <c r="H215" s="14"/>
      <c r="I215" s="14"/>
      <c r="J215" s="14"/>
      <c r="K215" s="14"/>
      <c r="M215" s="14"/>
    </row>
    <row r="216" spans="2:13" ht="12.75" customHeight="1" x14ac:dyDescent="0.25">
      <c r="B216" s="14"/>
      <c r="D216" s="14"/>
      <c r="E216" s="14"/>
      <c r="F216" s="14"/>
      <c r="G216" s="14"/>
      <c r="H216" s="14"/>
      <c r="I216" s="14"/>
      <c r="J216" s="14"/>
      <c r="K216" s="14"/>
      <c r="M216" s="14"/>
    </row>
    <row r="217" spans="2:13" ht="12.75" customHeight="1" x14ac:dyDescent="0.25">
      <c r="B217" s="14"/>
      <c r="D217" s="14"/>
      <c r="E217" s="14"/>
      <c r="F217" s="14"/>
      <c r="G217" s="14"/>
      <c r="H217" s="14"/>
      <c r="I217" s="14"/>
      <c r="J217" s="14"/>
      <c r="K217" s="14"/>
      <c r="M217" s="14"/>
    </row>
    <row r="218" spans="2:13" ht="12.75" customHeight="1" x14ac:dyDescent="0.25">
      <c r="B218" s="14"/>
      <c r="D218" s="14"/>
      <c r="E218" s="14"/>
      <c r="F218" s="14"/>
      <c r="G218" s="14"/>
      <c r="H218" s="14"/>
      <c r="I218" s="14"/>
      <c r="J218" s="14"/>
      <c r="K218" s="14"/>
      <c r="M218" s="14"/>
    </row>
    <row r="219" spans="2:13" ht="12.75" customHeight="1" x14ac:dyDescent="0.25">
      <c r="B219" s="14"/>
      <c r="D219" s="14"/>
      <c r="E219" s="14"/>
      <c r="F219" s="14"/>
      <c r="G219" s="14"/>
      <c r="H219" s="14"/>
      <c r="I219" s="14"/>
      <c r="J219" s="14"/>
      <c r="K219" s="14"/>
      <c r="M219" s="14"/>
    </row>
    <row r="220" spans="2:13" ht="12.75" customHeight="1" x14ac:dyDescent="0.25">
      <c r="B220" s="14"/>
      <c r="D220" s="14"/>
      <c r="E220" s="14"/>
      <c r="F220" s="14"/>
      <c r="G220" s="14"/>
      <c r="H220" s="14"/>
      <c r="I220" s="14"/>
      <c r="J220" s="14"/>
      <c r="K220" s="14"/>
      <c r="M220" s="14"/>
    </row>
    <row r="221" spans="2:13" ht="12.75" customHeight="1" x14ac:dyDescent="0.25">
      <c r="B221" s="14"/>
      <c r="D221" s="14"/>
      <c r="E221" s="14"/>
      <c r="F221" s="14"/>
      <c r="G221" s="14"/>
      <c r="H221" s="14"/>
      <c r="I221" s="14"/>
      <c r="J221" s="14"/>
      <c r="K221" s="14"/>
      <c r="M221" s="14"/>
    </row>
    <row r="222" spans="2:13" ht="12.75" customHeight="1" x14ac:dyDescent="0.25">
      <c r="B222" s="14"/>
      <c r="D222" s="14"/>
      <c r="E222" s="14"/>
      <c r="F222" s="14"/>
      <c r="G222" s="14"/>
      <c r="H222" s="14"/>
      <c r="I222" s="14"/>
      <c r="J222" s="14"/>
      <c r="K222" s="14"/>
      <c r="M222" s="14"/>
    </row>
    <row r="223" spans="2:13" ht="12.75" customHeight="1" x14ac:dyDescent="0.25">
      <c r="B223" s="14"/>
      <c r="D223" s="14"/>
      <c r="E223" s="14"/>
      <c r="F223" s="14"/>
      <c r="G223" s="14"/>
      <c r="H223" s="14"/>
      <c r="I223" s="14"/>
      <c r="J223" s="14"/>
      <c r="K223" s="14"/>
      <c r="M223" s="14"/>
    </row>
    <row r="224" spans="2:13" ht="12.75" customHeight="1" x14ac:dyDescent="0.25">
      <c r="B224" s="14"/>
      <c r="D224" s="14"/>
      <c r="E224" s="14"/>
      <c r="F224" s="14"/>
      <c r="G224" s="14"/>
      <c r="H224" s="14"/>
      <c r="I224" s="14"/>
      <c r="J224" s="14"/>
      <c r="K224" s="14"/>
      <c r="M224" s="14"/>
    </row>
    <row r="225" spans="2:13" ht="12.75" customHeight="1" x14ac:dyDescent="0.25">
      <c r="B225" s="14"/>
      <c r="D225" s="14"/>
      <c r="E225" s="14"/>
      <c r="F225" s="14"/>
      <c r="G225" s="14"/>
      <c r="H225" s="14"/>
      <c r="I225" s="14"/>
      <c r="J225" s="14"/>
      <c r="K225" s="14"/>
      <c r="M225" s="14"/>
    </row>
    <row r="226" spans="2:13" ht="12.75" customHeight="1" x14ac:dyDescent="0.25">
      <c r="B226" s="14"/>
      <c r="D226" s="14"/>
      <c r="E226" s="14"/>
      <c r="F226" s="14"/>
      <c r="G226" s="14"/>
      <c r="H226" s="14"/>
      <c r="I226" s="14"/>
      <c r="J226" s="14"/>
      <c r="K226" s="14"/>
      <c r="M226" s="14"/>
    </row>
    <row r="227" spans="2:13" ht="12.75" customHeight="1" x14ac:dyDescent="0.25">
      <c r="B227" s="14"/>
      <c r="D227" s="14"/>
      <c r="E227" s="14"/>
      <c r="F227" s="14"/>
      <c r="G227" s="14"/>
      <c r="H227" s="14"/>
      <c r="I227" s="14"/>
      <c r="J227" s="14"/>
      <c r="K227" s="14"/>
      <c r="M227" s="14"/>
    </row>
    <row r="228" spans="2:13" ht="12.75" customHeight="1" x14ac:dyDescent="0.25">
      <c r="B228" s="14"/>
      <c r="D228" s="14"/>
      <c r="E228" s="14"/>
      <c r="F228" s="14"/>
      <c r="G228" s="14"/>
      <c r="H228" s="14"/>
      <c r="I228" s="14"/>
      <c r="J228" s="14"/>
      <c r="K228" s="14"/>
      <c r="M228" s="14"/>
    </row>
    <row r="229" spans="2:13" ht="12.75" customHeight="1" x14ac:dyDescent="0.25">
      <c r="B229" s="14"/>
      <c r="D229" s="14"/>
      <c r="E229" s="14"/>
      <c r="F229" s="14"/>
      <c r="G229" s="14"/>
      <c r="H229" s="14"/>
      <c r="I229" s="14"/>
      <c r="J229" s="14"/>
      <c r="K229" s="14"/>
      <c r="M229" s="14"/>
    </row>
    <row r="230" spans="2:13" ht="12.75" customHeight="1" x14ac:dyDescent="0.25">
      <c r="B230" s="14"/>
      <c r="D230" s="14"/>
      <c r="E230" s="14"/>
      <c r="F230" s="14"/>
      <c r="G230" s="14"/>
      <c r="H230" s="14"/>
      <c r="I230" s="14"/>
      <c r="J230" s="14"/>
      <c r="K230" s="14"/>
      <c r="M230" s="14"/>
    </row>
    <row r="231" spans="2:13" ht="12.75" customHeight="1" x14ac:dyDescent="0.25">
      <c r="B231" s="14"/>
      <c r="D231" s="14"/>
      <c r="E231" s="14"/>
      <c r="F231" s="14"/>
      <c r="G231" s="14"/>
      <c r="H231" s="14"/>
      <c r="I231" s="14"/>
      <c r="J231" s="14"/>
      <c r="K231" s="14"/>
      <c r="M231" s="14"/>
    </row>
    <row r="232" spans="2:13" ht="12.75" customHeight="1" x14ac:dyDescent="0.25">
      <c r="B232" s="14"/>
      <c r="D232" s="14"/>
      <c r="E232" s="14"/>
      <c r="F232" s="14"/>
      <c r="G232" s="14"/>
      <c r="H232" s="14"/>
      <c r="I232" s="14"/>
      <c r="J232" s="14"/>
      <c r="K232" s="14"/>
      <c r="M232" s="14"/>
    </row>
    <row r="233" spans="2:13" ht="12.75" customHeight="1" x14ac:dyDescent="0.25">
      <c r="B233" s="14"/>
      <c r="D233" s="14"/>
      <c r="E233" s="14"/>
      <c r="F233" s="14"/>
      <c r="G233" s="14"/>
      <c r="H233" s="14"/>
      <c r="I233" s="14"/>
      <c r="J233" s="14"/>
      <c r="K233" s="14"/>
      <c r="M233" s="14"/>
    </row>
    <row r="234" spans="2:13" ht="12.75" customHeight="1" x14ac:dyDescent="0.25">
      <c r="B234" s="14"/>
      <c r="D234" s="14"/>
      <c r="E234" s="14"/>
      <c r="F234" s="14"/>
      <c r="G234" s="14"/>
      <c r="H234" s="14"/>
      <c r="I234" s="14"/>
      <c r="J234" s="14"/>
      <c r="K234" s="14"/>
      <c r="M234" s="14"/>
    </row>
    <row r="235" spans="2:13" ht="12.75" customHeight="1" x14ac:dyDescent="0.25">
      <c r="B235" s="14"/>
      <c r="D235" s="14"/>
      <c r="E235" s="14"/>
      <c r="F235" s="14"/>
      <c r="G235" s="14"/>
      <c r="H235" s="14"/>
      <c r="I235" s="14"/>
      <c r="J235" s="14"/>
      <c r="K235" s="14"/>
      <c r="M235" s="14"/>
    </row>
    <row r="236" spans="2:13" ht="12.75" customHeight="1" x14ac:dyDescent="0.25">
      <c r="B236" s="14"/>
      <c r="D236" s="14"/>
      <c r="E236" s="14"/>
      <c r="F236" s="14"/>
      <c r="G236" s="14"/>
      <c r="H236" s="14"/>
      <c r="I236" s="14"/>
      <c r="J236" s="14"/>
      <c r="K236" s="14"/>
      <c r="M236" s="14"/>
    </row>
    <row r="237" spans="2:13" ht="12.75" customHeight="1" x14ac:dyDescent="0.25">
      <c r="B237" s="14"/>
      <c r="D237" s="14"/>
      <c r="E237" s="14"/>
      <c r="F237" s="14"/>
      <c r="G237" s="14"/>
      <c r="H237" s="14"/>
      <c r="I237" s="14"/>
      <c r="J237" s="14"/>
      <c r="K237" s="14"/>
      <c r="M237" s="14"/>
    </row>
    <row r="238" spans="2:13" ht="12.75" customHeight="1" x14ac:dyDescent="0.25">
      <c r="B238" s="14"/>
      <c r="D238" s="14"/>
      <c r="E238" s="14"/>
      <c r="F238" s="14"/>
      <c r="G238" s="14"/>
      <c r="H238" s="14"/>
      <c r="I238" s="14"/>
      <c r="J238" s="14"/>
      <c r="K238" s="14"/>
      <c r="M238" s="14"/>
    </row>
    <row r="239" spans="2:13" ht="12.75" customHeight="1" x14ac:dyDescent="0.25">
      <c r="B239" s="14"/>
      <c r="D239" s="14"/>
      <c r="E239" s="14"/>
      <c r="F239" s="14"/>
      <c r="G239" s="14"/>
      <c r="H239" s="14"/>
      <c r="I239" s="14"/>
      <c r="J239" s="14"/>
      <c r="K239" s="14"/>
      <c r="M239" s="14"/>
    </row>
    <row r="240" spans="2:13" ht="12.75" customHeight="1" x14ac:dyDescent="0.25">
      <c r="B240" s="14"/>
      <c r="D240" s="14"/>
      <c r="E240" s="14"/>
      <c r="F240" s="14"/>
      <c r="G240" s="14"/>
      <c r="H240" s="14"/>
      <c r="I240" s="14"/>
      <c r="J240" s="14"/>
      <c r="K240" s="14"/>
      <c r="M240" s="14"/>
    </row>
    <row r="241" spans="2:13" ht="12.75" customHeight="1" x14ac:dyDescent="0.25">
      <c r="B241" s="14"/>
      <c r="D241" s="14"/>
      <c r="E241" s="14"/>
      <c r="F241" s="14"/>
      <c r="G241" s="14"/>
      <c r="H241" s="14"/>
      <c r="I241" s="14"/>
      <c r="J241" s="14"/>
      <c r="K241" s="14"/>
      <c r="M241" s="14"/>
    </row>
    <row r="242" spans="2:13" ht="12.75" customHeight="1" x14ac:dyDescent="0.25">
      <c r="B242" s="14"/>
      <c r="D242" s="14"/>
      <c r="E242" s="14"/>
      <c r="F242" s="14"/>
      <c r="G242" s="14"/>
      <c r="H242" s="14"/>
      <c r="I242" s="14"/>
      <c r="J242" s="14"/>
      <c r="K242" s="14"/>
      <c r="M242" s="14"/>
    </row>
    <row r="243" spans="2:13" ht="12.75" customHeight="1" x14ac:dyDescent="0.25">
      <c r="B243" s="14"/>
      <c r="D243" s="14"/>
      <c r="E243" s="14"/>
      <c r="F243" s="14"/>
      <c r="G243" s="14"/>
      <c r="H243" s="14"/>
      <c r="I243" s="14"/>
      <c r="J243" s="14"/>
      <c r="K243" s="14"/>
      <c r="M243" s="14"/>
    </row>
    <row r="244" spans="2:13" ht="12.75" customHeight="1" x14ac:dyDescent="0.25">
      <c r="B244" s="14"/>
      <c r="D244" s="14"/>
      <c r="E244" s="14"/>
      <c r="F244" s="14"/>
      <c r="G244" s="14"/>
      <c r="H244" s="14"/>
      <c r="I244" s="14"/>
      <c r="J244" s="14"/>
      <c r="K244" s="14"/>
      <c r="M244" s="14"/>
    </row>
    <row r="245" spans="2:13" ht="12.75" customHeight="1" x14ac:dyDescent="0.25">
      <c r="B245" s="14"/>
      <c r="D245" s="14"/>
      <c r="E245" s="14"/>
      <c r="F245" s="14"/>
      <c r="G245" s="14"/>
      <c r="H245" s="14"/>
      <c r="I245" s="14"/>
      <c r="J245" s="14"/>
      <c r="K245" s="14"/>
      <c r="M245" s="14"/>
    </row>
    <row r="246" spans="2:13" ht="12.75" customHeight="1" x14ac:dyDescent="0.25">
      <c r="B246" s="14"/>
      <c r="D246" s="14"/>
      <c r="E246" s="14"/>
      <c r="F246" s="14"/>
      <c r="G246" s="14"/>
      <c r="H246" s="14"/>
      <c r="I246" s="14"/>
      <c r="J246" s="14"/>
      <c r="K246" s="14"/>
      <c r="M246" s="14"/>
    </row>
    <row r="247" spans="2:13" ht="12.75" customHeight="1" x14ac:dyDescent="0.25">
      <c r="B247" s="14"/>
      <c r="D247" s="14"/>
      <c r="E247" s="14"/>
      <c r="F247" s="14"/>
      <c r="G247" s="14"/>
      <c r="H247" s="14"/>
      <c r="I247" s="14"/>
      <c r="J247" s="14"/>
      <c r="K247" s="14"/>
      <c r="M247" s="14"/>
    </row>
    <row r="248" spans="2:13" ht="12.75" customHeight="1" x14ac:dyDescent="0.25">
      <c r="B248" s="14"/>
      <c r="D248" s="14"/>
      <c r="E248" s="14"/>
      <c r="F248" s="14"/>
      <c r="G248" s="14"/>
      <c r="H248" s="14"/>
      <c r="I248" s="14"/>
      <c r="J248" s="14"/>
      <c r="K248" s="14"/>
      <c r="M248" s="14"/>
    </row>
    <row r="249" spans="2:13" ht="12.75" customHeight="1" x14ac:dyDescent="0.25">
      <c r="B249" s="14"/>
      <c r="D249" s="14"/>
      <c r="E249" s="14"/>
      <c r="F249" s="14"/>
      <c r="G249" s="14"/>
      <c r="H249" s="14"/>
      <c r="I249" s="14"/>
      <c r="J249" s="14"/>
      <c r="K249" s="14"/>
      <c r="M249" s="14"/>
    </row>
    <row r="250" spans="2:13" ht="12.75" customHeight="1" x14ac:dyDescent="0.25">
      <c r="B250" s="14"/>
      <c r="D250" s="14"/>
      <c r="E250" s="14"/>
      <c r="F250" s="14"/>
      <c r="G250" s="14"/>
      <c r="H250" s="14"/>
      <c r="I250" s="14"/>
      <c r="J250" s="14"/>
      <c r="K250" s="14"/>
      <c r="M250" s="14"/>
    </row>
    <row r="251" spans="2:13" ht="12.75" customHeight="1" x14ac:dyDescent="0.25">
      <c r="B251" s="14"/>
      <c r="D251" s="14"/>
      <c r="E251" s="14"/>
      <c r="F251" s="14"/>
      <c r="G251" s="14"/>
      <c r="H251" s="14"/>
      <c r="I251" s="14"/>
      <c r="J251" s="14"/>
      <c r="K251" s="14"/>
      <c r="M251" s="14"/>
    </row>
    <row r="252" spans="2:13" ht="12.75" customHeight="1" x14ac:dyDescent="0.25">
      <c r="B252" s="14"/>
      <c r="D252" s="14"/>
      <c r="E252" s="14"/>
      <c r="F252" s="14"/>
      <c r="G252" s="14"/>
      <c r="H252" s="14"/>
      <c r="I252" s="14"/>
      <c r="J252" s="14"/>
      <c r="K252" s="14"/>
      <c r="M252" s="14"/>
    </row>
    <row r="253" spans="2:13" ht="12.75" customHeight="1" x14ac:dyDescent="0.25">
      <c r="B253" s="14"/>
      <c r="D253" s="14"/>
      <c r="E253" s="14"/>
      <c r="F253" s="14"/>
      <c r="G253" s="14"/>
      <c r="H253" s="14"/>
      <c r="I253" s="14"/>
      <c r="J253" s="14"/>
      <c r="K253" s="14"/>
      <c r="M253" s="14"/>
    </row>
    <row r="254" spans="2:13" ht="12.75" customHeight="1" x14ac:dyDescent="0.25">
      <c r="B254" s="14"/>
      <c r="D254" s="14"/>
      <c r="E254" s="14"/>
      <c r="F254" s="14"/>
      <c r="G254" s="14"/>
      <c r="H254" s="14"/>
      <c r="I254" s="14"/>
      <c r="J254" s="14"/>
      <c r="K254" s="14"/>
      <c r="M254" s="14"/>
    </row>
    <row r="255" spans="2:13" ht="12.75" customHeight="1" x14ac:dyDescent="0.25">
      <c r="B255" s="14"/>
      <c r="D255" s="14"/>
      <c r="E255" s="14"/>
      <c r="F255" s="14"/>
      <c r="G255" s="14"/>
      <c r="H255" s="14"/>
      <c r="I255" s="14"/>
      <c r="J255" s="14"/>
      <c r="K255" s="14"/>
      <c r="M255" s="14"/>
    </row>
    <row r="256" spans="2:13" ht="12.75" customHeight="1" x14ac:dyDescent="0.25">
      <c r="B256" s="14"/>
      <c r="D256" s="14"/>
      <c r="E256" s="14"/>
      <c r="F256" s="14"/>
      <c r="G256" s="14"/>
      <c r="H256" s="14"/>
      <c r="I256" s="14"/>
      <c r="J256" s="14"/>
      <c r="K256" s="14"/>
      <c r="M256" s="14"/>
    </row>
    <row r="257" spans="2:13" ht="12.75" customHeight="1" x14ac:dyDescent="0.25">
      <c r="B257" s="14"/>
      <c r="D257" s="14"/>
      <c r="E257" s="14"/>
      <c r="F257" s="14"/>
      <c r="G257" s="14"/>
      <c r="H257" s="14"/>
      <c r="I257" s="14"/>
      <c r="J257" s="14"/>
      <c r="K257" s="14"/>
      <c r="M257" s="14"/>
    </row>
    <row r="258" spans="2:13" ht="12.75" customHeight="1" x14ac:dyDescent="0.25">
      <c r="B258" s="14"/>
      <c r="D258" s="14"/>
      <c r="E258" s="14"/>
      <c r="F258" s="14"/>
      <c r="G258" s="14"/>
      <c r="H258" s="14"/>
      <c r="I258" s="14"/>
      <c r="J258" s="14"/>
      <c r="K258" s="14"/>
      <c r="M258" s="14"/>
    </row>
    <row r="259" spans="2:13" ht="12.75" customHeight="1" x14ac:dyDescent="0.25">
      <c r="B259" s="14"/>
      <c r="D259" s="14"/>
      <c r="E259" s="14"/>
      <c r="F259" s="14"/>
      <c r="G259" s="14"/>
      <c r="H259" s="14"/>
      <c r="I259" s="14"/>
      <c r="J259" s="14"/>
      <c r="K259" s="14"/>
      <c r="M259" s="14"/>
    </row>
    <row r="260" spans="2:13" ht="12.75" customHeight="1" x14ac:dyDescent="0.25">
      <c r="B260" s="14"/>
      <c r="D260" s="14"/>
      <c r="E260" s="14"/>
      <c r="F260" s="14"/>
      <c r="G260" s="14"/>
      <c r="H260" s="14"/>
      <c r="I260" s="14"/>
      <c r="J260" s="14"/>
      <c r="K260" s="14"/>
      <c r="M260" s="14"/>
    </row>
    <row r="261" spans="2:13" ht="12.75" customHeight="1" x14ac:dyDescent="0.25">
      <c r="B261" s="14"/>
      <c r="D261" s="14"/>
      <c r="E261" s="14"/>
      <c r="F261" s="14"/>
      <c r="G261" s="14"/>
      <c r="H261" s="14"/>
      <c r="I261" s="14"/>
      <c r="J261" s="14"/>
      <c r="K261" s="14"/>
      <c r="M261" s="14"/>
    </row>
    <row r="262" spans="2:13" ht="12.75" customHeight="1" x14ac:dyDescent="0.25">
      <c r="B262" s="14"/>
      <c r="D262" s="14"/>
      <c r="E262" s="14"/>
      <c r="F262" s="14"/>
      <c r="G262" s="14"/>
      <c r="H262" s="14"/>
      <c r="I262" s="14"/>
      <c r="J262" s="14"/>
      <c r="K262" s="14"/>
      <c r="M262" s="14"/>
    </row>
    <row r="263" spans="2:13" ht="12.75" customHeight="1" x14ac:dyDescent="0.25">
      <c r="B263" s="14"/>
      <c r="D263" s="14"/>
      <c r="E263" s="14"/>
      <c r="F263" s="14"/>
      <c r="G263" s="14"/>
      <c r="H263" s="14"/>
      <c r="I263" s="14"/>
      <c r="J263" s="14"/>
      <c r="K263" s="14"/>
      <c r="M263" s="14"/>
    </row>
    <row r="264" spans="2:13" ht="12.75" customHeight="1" x14ac:dyDescent="0.25">
      <c r="B264" s="14"/>
      <c r="D264" s="14"/>
      <c r="E264" s="14"/>
      <c r="F264" s="14"/>
      <c r="G264" s="14"/>
      <c r="H264" s="14"/>
      <c r="I264" s="14"/>
      <c r="J264" s="14"/>
      <c r="K264" s="14"/>
      <c r="M264" s="14"/>
    </row>
    <row r="265" spans="2:13" ht="12.75" customHeight="1" x14ac:dyDescent="0.25">
      <c r="B265" s="14"/>
      <c r="D265" s="14"/>
      <c r="E265" s="14"/>
      <c r="F265" s="14"/>
      <c r="G265" s="14"/>
      <c r="H265" s="14"/>
      <c r="I265" s="14"/>
      <c r="J265" s="14"/>
      <c r="K265" s="14"/>
      <c r="M265" s="14"/>
    </row>
    <row r="266" spans="2:13" ht="12.75" customHeight="1" x14ac:dyDescent="0.25">
      <c r="B266" s="14"/>
      <c r="D266" s="14"/>
      <c r="E266" s="14"/>
      <c r="F266" s="14"/>
      <c r="G266" s="14"/>
      <c r="H266" s="14"/>
      <c r="I266" s="14"/>
      <c r="J266" s="14"/>
      <c r="K266" s="14"/>
      <c r="M266" s="14"/>
    </row>
    <row r="267" spans="2:13" ht="12.75" customHeight="1" x14ac:dyDescent="0.25">
      <c r="B267" s="14"/>
      <c r="D267" s="14"/>
      <c r="E267" s="14"/>
      <c r="F267" s="14"/>
      <c r="G267" s="14"/>
      <c r="H267" s="14"/>
      <c r="I267" s="14"/>
      <c r="J267" s="14"/>
      <c r="K267" s="14"/>
      <c r="M267" s="14"/>
    </row>
    <row r="268" spans="2:13" ht="12.75" customHeight="1" x14ac:dyDescent="0.25">
      <c r="B268" s="14"/>
      <c r="D268" s="14"/>
      <c r="E268" s="14"/>
      <c r="F268" s="14"/>
      <c r="G268" s="14"/>
      <c r="H268" s="14"/>
      <c r="I268" s="14"/>
      <c r="J268" s="14"/>
      <c r="K268" s="14"/>
      <c r="M268" s="14"/>
    </row>
    <row r="269" spans="2:13" ht="12.75" customHeight="1" x14ac:dyDescent="0.25">
      <c r="B269" s="14"/>
      <c r="D269" s="14"/>
      <c r="E269" s="14"/>
      <c r="F269" s="14"/>
      <c r="G269" s="14"/>
      <c r="H269" s="14"/>
      <c r="I269" s="14"/>
      <c r="J269" s="14"/>
      <c r="K269" s="14"/>
      <c r="M269" s="14"/>
    </row>
    <row r="270" spans="2:13" ht="12.75" customHeight="1" x14ac:dyDescent="0.25">
      <c r="B270" s="14"/>
      <c r="D270" s="14"/>
      <c r="E270" s="14"/>
      <c r="F270" s="14"/>
      <c r="G270" s="14"/>
      <c r="H270" s="14"/>
      <c r="I270" s="14"/>
      <c r="J270" s="14"/>
      <c r="K270" s="14"/>
      <c r="M270" s="14"/>
    </row>
    <row r="271" spans="2:13" ht="12.75" customHeight="1" x14ac:dyDescent="0.25">
      <c r="B271" s="14"/>
      <c r="D271" s="14"/>
      <c r="E271" s="14"/>
      <c r="F271" s="14"/>
      <c r="G271" s="14"/>
      <c r="H271" s="14"/>
      <c r="I271" s="14"/>
      <c r="J271" s="14"/>
      <c r="K271" s="14"/>
      <c r="M271" s="14"/>
    </row>
    <row r="272" spans="2:13" ht="12.75" customHeight="1" x14ac:dyDescent="0.25">
      <c r="B272" s="14"/>
      <c r="D272" s="14"/>
      <c r="E272" s="14"/>
      <c r="F272" s="14"/>
      <c r="G272" s="14"/>
      <c r="H272" s="14"/>
      <c r="I272" s="14"/>
      <c r="J272" s="14"/>
      <c r="K272" s="14"/>
      <c r="M272" s="14"/>
    </row>
    <row r="273" spans="2:13" ht="12.75" customHeight="1" x14ac:dyDescent="0.25">
      <c r="B273" s="14"/>
      <c r="D273" s="14"/>
      <c r="E273" s="14"/>
      <c r="F273" s="14"/>
      <c r="G273" s="14"/>
      <c r="H273" s="14"/>
      <c r="I273" s="14"/>
      <c r="J273" s="14"/>
      <c r="K273" s="14"/>
      <c r="M273" s="14"/>
    </row>
    <row r="274" spans="2:13" ht="12.75" customHeight="1" x14ac:dyDescent="0.25">
      <c r="B274" s="14"/>
      <c r="D274" s="14"/>
      <c r="E274" s="14"/>
      <c r="F274" s="14"/>
      <c r="G274" s="14"/>
      <c r="H274" s="14"/>
      <c r="I274" s="14"/>
      <c r="J274" s="14"/>
      <c r="K274" s="14"/>
      <c r="M274" s="14"/>
    </row>
    <row r="275" spans="2:13" ht="12.75" customHeight="1" x14ac:dyDescent="0.25">
      <c r="B275" s="14"/>
      <c r="D275" s="14"/>
      <c r="E275" s="14"/>
      <c r="F275" s="14"/>
      <c r="G275" s="14"/>
      <c r="H275" s="14"/>
      <c r="I275" s="14"/>
      <c r="J275" s="14"/>
      <c r="K275" s="14"/>
      <c r="M275" s="14"/>
    </row>
    <row r="276" spans="2:13" ht="12.75" customHeight="1" x14ac:dyDescent="0.25">
      <c r="B276" s="14"/>
      <c r="D276" s="14"/>
      <c r="E276" s="14"/>
      <c r="F276" s="14"/>
      <c r="G276" s="14"/>
      <c r="H276" s="14"/>
      <c r="I276" s="14"/>
      <c r="J276" s="14"/>
      <c r="K276" s="14"/>
      <c r="M276" s="14"/>
    </row>
    <row r="277" spans="2:13" ht="12.75" customHeight="1" x14ac:dyDescent="0.25">
      <c r="B277" s="14"/>
      <c r="D277" s="14"/>
      <c r="E277" s="14"/>
      <c r="F277" s="14"/>
      <c r="G277" s="14"/>
      <c r="H277" s="14"/>
      <c r="I277" s="14"/>
      <c r="J277" s="14"/>
      <c r="K277" s="14"/>
      <c r="M277" s="14"/>
    </row>
    <row r="278" spans="2:13" ht="12.75" customHeight="1" x14ac:dyDescent="0.25">
      <c r="B278" s="14"/>
      <c r="D278" s="14"/>
      <c r="E278" s="14"/>
      <c r="F278" s="14"/>
      <c r="G278" s="14"/>
      <c r="H278" s="14"/>
      <c r="I278" s="14"/>
      <c r="J278" s="14"/>
      <c r="K278" s="14"/>
      <c r="M278" s="14"/>
    </row>
    <row r="279" spans="2:13" ht="12.75" customHeight="1" x14ac:dyDescent="0.25">
      <c r="B279" s="14"/>
      <c r="D279" s="14"/>
      <c r="E279" s="14"/>
      <c r="F279" s="14"/>
      <c r="G279" s="14"/>
      <c r="H279" s="14"/>
      <c r="I279" s="14"/>
      <c r="J279" s="14"/>
      <c r="K279" s="14"/>
      <c r="M279" s="14"/>
    </row>
    <row r="280" spans="2:13" ht="12.75" customHeight="1" x14ac:dyDescent="0.25">
      <c r="B280" s="14"/>
      <c r="D280" s="14"/>
      <c r="E280" s="14"/>
      <c r="F280" s="14"/>
      <c r="G280" s="14"/>
      <c r="H280" s="14"/>
      <c r="I280" s="14"/>
      <c r="J280" s="14"/>
      <c r="K280" s="14"/>
      <c r="M280" s="14"/>
    </row>
    <row r="281" spans="2:13" ht="12.75" customHeight="1" x14ac:dyDescent="0.25">
      <c r="B281" s="14"/>
      <c r="D281" s="14"/>
      <c r="E281" s="14"/>
      <c r="F281" s="14"/>
      <c r="G281" s="14"/>
      <c r="H281" s="14"/>
      <c r="I281" s="14"/>
      <c r="J281" s="14"/>
      <c r="K281" s="14"/>
      <c r="M281" s="14"/>
    </row>
    <row r="282" spans="2:13" ht="12.75" customHeight="1" x14ac:dyDescent="0.25">
      <c r="B282" s="14"/>
      <c r="D282" s="14"/>
      <c r="E282" s="14"/>
      <c r="F282" s="14"/>
      <c r="G282" s="14"/>
      <c r="H282" s="14"/>
      <c r="I282" s="14"/>
      <c r="J282" s="14"/>
      <c r="K282" s="14"/>
      <c r="M282" s="14"/>
    </row>
    <row r="283" spans="2:13" ht="12.75" customHeight="1" x14ac:dyDescent="0.25">
      <c r="B283" s="14"/>
      <c r="D283" s="14"/>
      <c r="E283" s="14"/>
      <c r="F283" s="14"/>
      <c r="G283" s="14"/>
      <c r="H283" s="14"/>
      <c r="I283" s="14"/>
      <c r="J283" s="14"/>
      <c r="K283" s="14"/>
      <c r="M283" s="14"/>
    </row>
    <row r="284" spans="2:13" ht="12.75" customHeight="1" x14ac:dyDescent="0.25">
      <c r="B284" s="14"/>
      <c r="D284" s="14"/>
      <c r="E284" s="14"/>
      <c r="F284" s="14"/>
      <c r="G284" s="14"/>
      <c r="H284" s="14"/>
      <c r="I284" s="14"/>
      <c r="J284" s="14"/>
      <c r="K284" s="14"/>
      <c r="M284" s="14"/>
    </row>
    <row r="285" spans="2:13" ht="12.75" customHeight="1" x14ac:dyDescent="0.25">
      <c r="B285" s="14"/>
      <c r="D285" s="14"/>
      <c r="E285" s="14"/>
      <c r="F285" s="14"/>
      <c r="G285" s="14"/>
      <c r="H285" s="14"/>
      <c r="I285" s="14"/>
      <c r="J285" s="14"/>
      <c r="K285" s="14"/>
      <c r="M285" s="14"/>
    </row>
    <row r="286" spans="2:13" ht="12.75" customHeight="1" x14ac:dyDescent="0.25">
      <c r="B286" s="14"/>
      <c r="D286" s="14"/>
      <c r="E286" s="14"/>
      <c r="F286" s="14"/>
      <c r="G286" s="14"/>
      <c r="H286" s="14"/>
      <c r="I286" s="14"/>
      <c r="J286" s="14"/>
      <c r="K286" s="14"/>
      <c r="M286" s="14"/>
    </row>
    <row r="287" spans="2:13" ht="12.75" customHeight="1" x14ac:dyDescent="0.25">
      <c r="B287" s="14"/>
      <c r="D287" s="14"/>
      <c r="E287" s="14"/>
      <c r="F287" s="14"/>
      <c r="G287" s="14"/>
      <c r="H287" s="14"/>
      <c r="I287" s="14"/>
      <c r="J287" s="14"/>
      <c r="K287" s="14"/>
      <c r="M287" s="14"/>
    </row>
    <row r="288" spans="2:13" ht="12.75" customHeight="1" x14ac:dyDescent="0.25">
      <c r="B288" s="14"/>
      <c r="D288" s="14"/>
      <c r="E288" s="14"/>
      <c r="F288" s="14"/>
      <c r="G288" s="14"/>
      <c r="H288" s="14"/>
      <c r="I288" s="14"/>
      <c r="J288" s="14"/>
      <c r="K288" s="14"/>
      <c r="M288" s="14"/>
    </row>
    <row r="289" spans="2:13" ht="12.75" customHeight="1" x14ac:dyDescent="0.25">
      <c r="B289" s="14"/>
      <c r="D289" s="14"/>
      <c r="E289" s="14"/>
      <c r="F289" s="14"/>
      <c r="G289" s="14"/>
      <c r="H289" s="14"/>
      <c r="I289" s="14"/>
      <c r="J289" s="14"/>
      <c r="K289" s="14"/>
      <c r="M289" s="14"/>
    </row>
    <row r="290" spans="2:13" ht="12.75" customHeight="1" x14ac:dyDescent="0.25">
      <c r="B290" s="14"/>
      <c r="D290" s="14"/>
      <c r="E290" s="14"/>
      <c r="F290" s="14"/>
      <c r="G290" s="14"/>
      <c r="H290" s="14"/>
      <c r="I290" s="14"/>
      <c r="J290" s="14"/>
      <c r="K290" s="14"/>
      <c r="M290" s="14"/>
    </row>
    <row r="291" spans="2:13" ht="12.75" customHeight="1" x14ac:dyDescent="0.25">
      <c r="B291" s="14"/>
      <c r="D291" s="14"/>
      <c r="E291" s="14"/>
      <c r="F291" s="14"/>
      <c r="G291" s="14"/>
      <c r="H291" s="14"/>
      <c r="I291" s="14"/>
      <c r="J291" s="14"/>
      <c r="K291" s="14"/>
      <c r="M291" s="14"/>
    </row>
    <row r="292" spans="2:13" ht="12.75" customHeight="1" x14ac:dyDescent="0.25">
      <c r="B292" s="14"/>
      <c r="D292" s="14"/>
      <c r="E292" s="14"/>
      <c r="F292" s="14"/>
      <c r="G292" s="14"/>
      <c r="H292" s="14"/>
      <c r="I292" s="14"/>
      <c r="J292" s="14"/>
      <c r="K292" s="14"/>
      <c r="M292" s="14"/>
    </row>
    <row r="293" spans="2:13" ht="12.75" customHeight="1" x14ac:dyDescent="0.25">
      <c r="B293" s="14"/>
      <c r="D293" s="14"/>
      <c r="E293" s="14"/>
      <c r="F293" s="14"/>
      <c r="G293" s="14"/>
      <c r="H293" s="14"/>
      <c r="I293" s="14"/>
      <c r="J293" s="14"/>
      <c r="K293" s="14"/>
      <c r="M293" s="14"/>
    </row>
    <row r="294" spans="2:13" ht="12.75" customHeight="1" x14ac:dyDescent="0.25">
      <c r="B294" s="14"/>
      <c r="D294" s="14"/>
      <c r="E294" s="14"/>
      <c r="F294" s="14"/>
      <c r="G294" s="14"/>
      <c r="H294" s="14"/>
      <c r="I294" s="14"/>
      <c r="J294" s="14"/>
      <c r="K294" s="14"/>
      <c r="M294" s="14"/>
    </row>
    <row r="295" spans="2:13" ht="12.75" customHeight="1" x14ac:dyDescent="0.25">
      <c r="B295" s="14"/>
      <c r="D295" s="14"/>
      <c r="E295" s="14"/>
      <c r="F295" s="14"/>
      <c r="G295" s="14"/>
      <c r="H295" s="14"/>
      <c r="I295" s="14"/>
      <c r="J295" s="14"/>
      <c r="K295" s="14"/>
      <c r="M295" s="14"/>
    </row>
    <row r="296" spans="2:13" ht="12.75" customHeight="1" x14ac:dyDescent="0.25">
      <c r="B296" s="14"/>
      <c r="D296" s="14"/>
      <c r="E296" s="14"/>
      <c r="F296" s="14"/>
      <c r="G296" s="14"/>
      <c r="H296" s="14"/>
      <c r="I296" s="14"/>
      <c r="J296" s="14"/>
      <c r="K296" s="14"/>
      <c r="M296" s="14"/>
    </row>
    <row r="297" spans="2:13" ht="12.75" customHeight="1" x14ac:dyDescent="0.25">
      <c r="B297" s="14"/>
      <c r="D297" s="14"/>
      <c r="E297" s="14"/>
      <c r="F297" s="14"/>
      <c r="G297" s="14"/>
      <c r="H297" s="14"/>
      <c r="I297" s="14"/>
      <c r="J297" s="14"/>
      <c r="K297" s="14"/>
      <c r="M297" s="14"/>
    </row>
    <row r="298" spans="2:13" ht="12.75" customHeight="1" x14ac:dyDescent="0.25">
      <c r="B298" s="14"/>
      <c r="D298" s="14"/>
      <c r="E298" s="14"/>
      <c r="F298" s="14"/>
      <c r="G298" s="14"/>
      <c r="H298" s="14"/>
      <c r="I298" s="14"/>
      <c r="J298" s="14"/>
      <c r="K298" s="14"/>
      <c r="M298" s="14"/>
    </row>
    <row r="299" spans="2:13" ht="12.75" customHeight="1" x14ac:dyDescent="0.25">
      <c r="B299" s="14"/>
      <c r="D299" s="14"/>
      <c r="E299" s="14"/>
      <c r="F299" s="14"/>
      <c r="G299" s="14"/>
      <c r="H299" s="14"/>
      <c r="I299" s="14"/>
      <c r="J299" s="14"/>
      <c r="K299" s="14"/>
      <c r="M299" s="14"/>
    </row>
    <row r="300" spans="2:13" ht="12.75" customHeight="1" x14ac:dyDescent="0.25">
      <c r="B300" s="14"/>
      <c r="D300" s="14"/>
      <c r="E300" s="14"/>
      <c r="F300" s="14"/>
      <c r="G300" s="14"/>
      <c r="H300" s="14"/>
      <c r="I300" s="14"/>
      <c r="J300" s="14"/>
      <c r="K300" s="14"/>
      <c r="M300" s="14"/>
    </row>
    <row r="301" spans="2:13" ht="12.75" customHeight="1" x14ac:dyDescent="0.25">
      <c r="B301" s="14"/>
      <c r="D301" s="14"/>
      <c r="E301" s="14"/>
      <c r="F301" s="14"/>
      <c r="G301" s="14"/>
      <c r="H301" s="14"/>
      <c r="I301" s="14"/>
      <c r="J301" s="14"/>
      <c r="K301" s="14"/>
      <c r="M301" s="14"/>
    </row>
    <row r="302" spans="2:13" ht="12.75" customHeight="1" x14ac:dyDescent="0.25">
      <c r="B302" s="14"/>
      <c r="D302" s="14"/>
      <c r="E302" s="14"/>
      <c r="F302" s="14"/>
      <c r="G302" s="14"/>
      <c r="H302" s="14"/>
      <c r="I302" s="14"/>
      <c r="J302" s="14"/>
      <c r="K302" s="14"/>
      <c r="M302" s="14"/>
    </row>
    <row r="303" spans="2:13" ht="12.75" customHeight="1" x14ac:dyDescent="0.25">
      <c r="B303" s="14"/>
      <c r="D303" s="14"/>
      <c r="E303" s="14"/>
      <c r="F303" s="14"/>
      <c r="G303" s="14"/>
      <c r="H303" s="14"/>
      <c r="I303" s="14"/>
      <c r="J303" s="14"/>
      <c r="K303" s="14"/>
      <c r="M303" s="14"/>
    </row>
    <row r="304" spans="2:13" ht="12.75" customHeight="1" x14ac:dyDescent="0.25">
      <c r="B304" s="14"/>
      <c r="D304" s="14"/>
      <c r="E304" s="14"/>
      <c r="F304" s="14"/>
      <c r="G304" s="14"/>
      <c r="H304" s="14"/>
      <c r="I304" s="14"/>
      <c r="J304" s="14"/>
      <c r="K304" s="14"/>
      <c r="M304" s="14"/>
    </row>
    <row r="305" spans="2:13" ht="12.75" customHeight="1" x14ac:dyDescent="0.25">
      <c r="B305" s="14"/>
      <c r="D305" s="14"/>
      <c r="E305" s="14"/>
      <c r="F305" s="14"/>
      <c r="G305" s="14"/>
      <c r="H305" s="14"/>
      <c r="I305" s="14"/>
      <c r="J305" s="14"/>
      <c r="K305" s="14"/>
      <c r="M305" s="14"/>
    </row>
    <row r="306" spans="2:13" ht="12.75" customHeight="1" x14ac:dyDescent="0.25">
      <c r="B306" s="14"/>
      <c r="D306" s="14"/>
      <c r="E306" s="14"/>
      <c r="F306" s="14"/>
      <c r="G306" s="14"/>
      <c r="H306" s="14"/>
      <c r="I306" s="14"/>
      <c r="J306" s="14"/>
      <c r="K306" s="14"/>
      <c r="M306" s="14"/>
    </row>
    <row r="307" spans="2:13" ht="12.75" customHeight="1" x14ac:dyDescent="0.25">
      <c r="B307" s="14"/>
      <c r="D307" s="14"/>
      <c r="E307" s="14"/>
      <c r="F307" s="14"/>
      <c r="G307" s="14"/>
      <c r="H307" s="14"/>
      <c r="I307" s="14"/>
      <c r="J307" s="14"/>
      <c r="K307" s="14"/>
      <c r="M307" s="14"/>
    </row>
    <row r="308" spans="2:13" ht="12.75" customHeight="1" x14ac:dyDescent="0.25">
      <c r="B308" s="14"/>
      <c r="D308" s="14"/>
      <c r="E308" s="14"/>
      <c r="F308" s="14"/>
      <c r="G308" s="14"/>
      <c r="H308" s="14"/>
      <c r="I308" s="14"/>
      <c r="J308" s="14"/>
      <c r="K308" s="14"/>
      <c r="M308" s="14"/>
    </row>
    <row r="309" spans="2:13" ht="12.75" customHeight="1" x14ac:dyDescent="0.25">
      <c r="B309" s="14"/>
      <c r="D309" s="14"/>
      <c r="E309" s="14"/>
      <c r="F309" s="14"/>
      <c r="G309" s="14"/>
      <c r="H309" s="14"/>
      <c r="I309" s="14"/>
      <c r="J309" s="14"/>
      <c r="K309" s="14"/>
      <c r="M309" s="14"/>
    </row>
    <row r="310" spans="2:13" ht="12.75" customHeight="1" x14ac:dyDescent="0.25">
      <c r="B310" s="14"/>
      <c r="D310" s="14"/>
      <c r="E310" s="14"/>
      <c r="F310" s="14"/>
      <c r="G310" s="14"/>
      <c r="H310" s="14"/>
      <c r="I310" s="14"/>
      <c r="J310" s="14"/>
      <c r="K310" s="14"/>
      <c r="M310" s="14"/>
    </row>
    <row r="311" spans="2:13" ht="12.75" customHeight="1" x14ac:dyDescent="0.25">
      <c r="B311" s="14"/>
      <c r="D311" s="14"/>
      <c r="E311" s="14"/>
      <c r="F311" s="14"/>
      <c r="G311" s="14"/>
      <c r="H311" s="14"/>
      <c r="I311" s="14"/>
      <c r="J311" s="14"/>
      <c r="K311" s="14"/>
      <c r="M311" s="14"/>
    </row>
    <row r="312" spans="2:13" ht="12.75" customHeight="1" x14ac:dyDescent="0.25">
      <c r="B312" s="14"/>
      <c r="D312" s="14"/>
      <c r="E312" s="14"/>
      <c r="F312" s="14"/>
      <c r="G312" s="14"/>
      <c r="H312" s="14"/>
      <c r="I312" s="14"/>
      <c r="J312" s="14"/>
      <c r="K312" s="14"/>
      <c r="M312" s="14"/>
    </row>
    <row r="313" spans="2:13" ht="12.75" customHeight="1" x14ac:dyDescent="0.25">
      <c r="B313" s="14"/>
      <c r="D313" s="14"/>
      <c r="E313" s="14"/>
      <c r="F313" s="14"/>
      <c r="G313" s="14"/>
      <c r="H313" s="14"/>
      <c r="I313" s="14"/>
      <c r="J313" s="14"/>
      <c r="K313" s="14"/>
      <c r="M313" s="14"/>
    </row>
    <row r="314" spans="2:13" ht="12.75" customHeight="1" x14ac:dyDescent="0.25">
      <c r="B314" s="14"/>
      <c r="D314" s="14"/>
      <c r="E314" s="14"/>
      <c r="F314" s="14"/>
      <c r="G314" s="14"/>
      <c r="H314" s="14"/>
      <c r="I314" s="14"/>
      <c r="J314" s="14"/>
      <c r="K314" s="14"/>
      <c r="M314" s="14"/>
    </row>
    <row r="315" spans="2:13" ht="12.75" customHeight="1" x14ac:dyDescent="0.25">
      <c r="B315" s="14"/>
      <c r="D315" s="14"/>
      <c r="E315" s="14"/>
      <c r="F315" s="14"/>
      <c r="G315" s="14"/>
      <c r="H315" s="14"/>
      <c r="I315" s="14"/>
      <c r="J315" s="14"/>
      <c r="K315" s="14"/>
      <c r="M315" s="14"/>
    </row>
    <row r="316" spans="2:13" ht="12.75" customHeight="1" x14ac:dyDescent="0.25">
      <c r="B316" s="14"/>
      <c r="D316" s="14"/>
      <c r="E316" s="14"/>
      <c r="F316" s="14"/>
      <c r="G316" s="14"/>
      <c r="H316" s="14"/>
      <c r="I316" s="14"/>
      <c r="J316" s="14"/>
      <c r="K316" s="14"/>
      <c r="M316" s="14"/>
    </row>
    <row r="317" spans="2:13" ht="12.75" customHeight="1" x14ac:dyDescent="0.25">
      <c r="B317" s="14"/>
      <c r="D317" s="14"/>
      <c r="E317" s="14"/>
      <c r="F317" s="14"/>
      <c r="G317" s="14"/>
      <c r="H317" s="14"/>
      <c r="I317" s="14"/>
      <c r="J317" s="14"/>
      <c r="K317" s="14"/>
      <c r="M317" s="14"/>
    </row>
    <row r="318" spans="2:13" ht="12.75" customHeight="1" x14ac:dyDescent="0.25">
      <c r="B318" s="14"/>
      <c r="D318" s="14"/>
      <c r="E318" s="14"/>
      <c r="F318" s="14"/>
      <c r="G318" s="14"/>
      <c r="H318" s="14"/>
      <c r="I318" s="14"/>
      <c r="J318" s="14"/>
      <c r="K318" s="14"/>
      <c r="M318" s="14"/>
    </row>
    <row r="319" spans="2:13" ht="12.75" customHeight="1" x14ac:dyDescent="0.25">
      <c r="B319" s="14"/>
      <c r="D319" s="14"/>
      <c r="E319" s="14"/>
      <c r="F319" s="14"/>
      <c r="G319" s="14"/>
      <c r="H319" s="14"/>
      <c r="I319" s="14"/>
      <c r="J319" s="14"/>
      <c r="K319" s="14"/>
      <c r="M319" s="14"/>
    </row>
    <row r="320" spans="2:13" ht="12.75" customHeight="1" x14ac:dyDescent="0.25">
      <c r="B320" s="14"/>
      <c r="D320" s="14"/>
      <c r="E320" s="14"/>
      <c r="F320" s="14"/>
      <c r="G320" s="14"/>
      <c r="H320" s="14"/>
      <c r="I320" s="14"/>
      <c r="J320" s="14"/>
      <c r="K320" s="14"/>
      <c r="M320" s="14"/>
    </row>
    <row r="321" spans="2:13" ht="12.75" customHeight="1" x14ac:dyDescent="0.25">
      <c r="B321" s="14"/>
      <c r="D321" s="14"/>
      <c r="E321" s="14"/>
      <c r="F321" s="14"/>
      <c r="G321" s="14"/>
      <c r="H321" s="14"/>
      <c r="I321" s="14"/>
      <c r="J321" s="14"/>
      <c r="K321" s="14"/>
      <c r="M321" s="14"/>
    </row>
    <row r="322" spans="2:13" ht="12.75" customHeight="1" x14ac:dyDescent="0.25">
      <c r="B322" s="14"/>
      <c r="D322" s="14"/>
      <c r="E322" s="14"/>
      <c r="F322" s="14"/>
      <c r="G322" s="14"/>
      <c r="H322" s="14"/>
      <c r="I322" s="14"/>
      <c r="J322" s="14"/>
      <c r="K322" s="14"/>
      <c r="M322" s="14"/>
    </row>
    <row r="323" spans="2:13" ht="12.75" customHeight="1" x14ac:dyDescent="0.25">
      <c r="B323" s="14"/>
      <c r="D323" s="14"/>
      <c r="E323" s="14"/>
      <c r="F323" s="14"/>
      <c r="G323" s="14"/>
      <c r="H323" s="14"/>
      <c r="I323" s="14"/>
      <c r="J323" s="14"/>
      <c r="K323" s="14"/>
      <c r="M323" s="14"/>
    </row>
    <row r="324" spans="2:13" ht="12.75" customHeight="1" x14ac:dyDescent="0.25">
      <c r="B324" s="14"/>
      <c r="D324" s="14"/>
      <c r="E324" s="14"/>
      <c r="F324" s="14"/>
      <c r="G324" s="14"/>
      <c r="H324" s="14"/>
      <c r="I324" s="14"/>
      <c r="J324" s="14"/>
      <c r="K324" s="14"/>
      <c r="M324" s="14"/>
    </row>
    <row r="325" spans="2:13" ht="12.75" customHeight="1" x14ac:dyDescent="0.25">
      <c r="B325" s="14"/>
      <c r="D325" s="14"/>
      <c r="E325" s="14"/>
      <c r="F325" s="14"/>
      <c r="G325" s="14"/>
      <c r="H325" s="14"/>
      <c r="I325" s="14"/>
      <c r="J325" s="14"/>
      <c r="K325" s="14"/>
      <c r="M325" s="14"/>
    </row>
    <row r="326" spans="2:13" ht="12.75" customHeight="1" x14ac:dyDescent="0.25">
      <c r="B326" s="14"/>
      <c r="D326" s="14"/>
      <c r="E326" s="14"/>
      <c r="F326" s="14"/>
      <c r="G326" s="14"/>
      <c r="H326" s="14"/>
      <c r="I326" s="14"/>
      <c r="J326" s="14"/>
      <c r="K326" s="14"/>
      <c r="M326" s="14"/>
    </row>
    <row r="327" spans="2:13" ht="12.75" customHeight="1" x14ac:dyDescent="0.25">
      <c r="B327" s="14"/>
      <c r="D327" s="14"/>
      <c r="E327" s="14"/>
      <c r="F327" s="14"/>
      <c r="G327" s="14"/>
      <c r="H327" s="14"/>
      <c r="I327" s="14"/>
      <c r="J327" s="14"/>
      <c r="K327" s="14"/>
      <c r="M327" s="14"/>
    </row>
    <row r="328" spans="2:13" ht="12.75" customHeight="1" x14ac:dyDescent="0.25">
      <c r="B328" s="14"/>
      <c r="D328" s="14"/>
      <c r="E328" s="14"/>
      <c r="F328" s="14"/>
      <c r="G328" s="14"/>
      <c r="H328" s="14"/>
      <c r="I328" s="14"/>
      <c r="J328" s="14"/>
      <c r="K328" s="14"/>
      <c r="M328" s="14"/>
    </row>
    <row r="329" spans="2:13" ht="12.75" customHeight="1" x14ac:dyDescent="0.25">
      <c r="B329" s="14"/>
      <c r="D329" s="14"/>
      <c r="E329" s="14"/>
      <c r="F329" s="14"/>
      <c r="G329" s="14"/>
      <c r="H329" s="14"/>
      <c r="I329" s="14"/>
      <c r="J329" s="14"/>
      <c r="K329" s="14"/>
      <c r="M329" s="14"/>
    </row>
    <row r="330" spans="2:13" ht="12.75" customHeight="1" x14ac:dyDescent="0.25">
      <c r="B330" s="14"/>
      <c r="D330" s="14"/>
      <c r="E330" s="14"/>
      <c r="F330" s="14"/>
      <c r="G330" s="14"/>
      <c r="H330" s="14"/>
      <c r="I330" s="14"/>
      <c r="J330" s="14"/>
      <c r="K330" s="14"/>
      <c r="M330" s="14"/>
    </row>
    <row r="331" spans="2:13" ht="12.75" customHeight="1" x14ac:dyDescent="0.25">
      <c r="B331" s="14"/>
      <c r="D331" s="14"/>
      <c r="E331" s="14"/>
      <c r="F331" s="14"/>
      <c r="G331" s="14"/>
      <c r="H331" s="14"/>
      <c r="I331" s="14"/>
      <c r="J331" s="14"/>
      <c r="K331" s="14"/>
      <c r="M331" s="14"/>
    </row>
    <row r="332" spans="2:13" ht="12.75" customHeight="1" x14ac:dyDescent="0.25">
      <c r="B332" s="14"/>
      <c r="D332" s="14"/>
      <c r="E332" s="14"/>
      <c r="F332" s="14"/>
      <c r="G332" s="14"/>
      <c r="H332" s="14"/>
      <c r="I332" s="14"/>
      <c r="J332" s="14"/>
      <c r="K332" s="14"/>
      <c r="M332" s="14"/>
    </row>
    <row r="333" spans="2:13" ht="12.75" customHeight="1" x14ac:dyDescent="0.25">
      <c r="B333" s="14"/>
      <c r="D333" s="14"/>
      <c r="E333" s="14"/>
      <c r="F333" s="14"/>
      <c r="G333" s="14"/>
      <c r="H333" s="14"/>
      <c r="I333" s="14"/>
      <c r="J333" s="14"/>
      <c r="K333" s="14"/>
      <c r="M333" s="14"/>
    </row>
    <row r="334" spans="2:13" ht="12.75" customHeight="1" x14ac:dyDescent="0.25">
      <c r="B334" s="14"/>
      <c r="D334" s="14"/>
      <c r="E334" s="14"/>
      <c r="F334" s="14"/>
      <c r="G334" s="14"/>
      <c r="H334" s="14"/>
      <c r="I334" s="14"/>
      <c r="J334" s="14"/>
      <c r="K334" s="14"/>
      <c r="M334" s="14"/>
    </row>
    <row r="335" spans="2:13" ht="12.75" customHeight="1" x14ac:dyDescent="0.25">
      <c r="B335" s="14"/>
      <c r="D335" s="14"/>
      <c r="E335" s="14"/>
      <c r="F335" s="14"/>
      <c r="G335" s="14"/>
      <c r="H335" s="14"/>
      <c r="I335" s="14"/>
      <c r="J335" s="14"/>
      <c r="K335" s="14"/>
      <c r="M335" s="14"/>
    </row>
    <row r="336" spans="2:13" ht="12.75" customHeight="1" x14ac:dyDescent="0.25">
      <c r="B336" s="14"/>
      <c r="D336" s="14"/>
      <c r="E336" s="14"/>
      <c r="F336" s="14"/>
      <c r="G336" s="14"/>
      <c r="H336" s="14"/>
      <c r="I336" s="14"/>
      <c r="J336" s="14"/>
      <c r="K336" s="14"/>
      <c r="M336" s="14"/>
    </row>
    <row r="337" spans="2:13" ht="12.75" customHeight="1" x14ac:dyDescent="0.25">
      <c r="B337" s="14"/>
      <c r="D337" s="14"/>
      <c r="E337" s="14"/>
      <c r="F337" s="14"/>
      <c r="G337" s="14"/>
      <c r="H337" s="14"/>
      <c r="I337" s="14"/>
      <c r="J337" s="14"/>
      <c r="K337" s="14"/>
      <c r="M337" s="14"/>
    </row>
    <row r="338" spans="2:13" ht="12.75" customHeight="1" x14ac:dyDescent="0.25">
      <c r="B338" s="14"/>
      <c r="D338" s="14"/>
      <c r="E338" s="14"/>
      <c r="F338" s="14"/>
      <c r="G338" s="14"/>
      <c r="H338" s="14"/>
      <c r="I338" s="14"/>
      <c r="J338" s="14"/>
      <c r="K338" s="14"/>
      <c r="M338" s="14"/>
    </row>
    <row r="339" spans="2:13" ht="12.75" customHeight="1" x14ac:dyDescent="0.25">
      <c r="B339" s="14"/>
      <c r="D339" s="14"/>
      <c r="E339" s="14"/>
      <c r="F339" s="14"/>
      <c r="G339" s="14"/>
      <c r="H339" s="14"/>
      <c r="I339" s="14"/>
      <c r="J339" s="14"/>
      <c r="K339" s="14"/>
      <c r="M339" s="14"/>
    </row>
    <row r="340" spans="2:13" ht="12.75" customHeight="1" x14ac:dyDescent="0.25">
      <c r="B340" s="14"/>
      <c r="D340" s="14"/>
      <c r="E340" s="14"/>
      <c r="F340" s="14"/>
      <c r="G340" s="14"/>
      <c r="H340" s="14"/>
      <c r="I340" s="14"/>
      <c r="J340" s="14"/>
      <c r="K340" s="14"/>
      <c r="M340" s="14"/>
    </row>
    <row r="341" spans="2:13" ht="12.75" customHeight="1" x14ac:dyDescent="0.25">
      <c r="B341" s="14"/>
      <c r="D341" s="14"/>
      <c r="E341" s="14"/>
      <c r="F341" s="14"/>
      <c r="G341" s="14"/>
      <c r="H341" s="14"/>
      <c r="I341" s="14"/>
      <c r="J341" s="14"/>
      <c r="K341" s="14"/>
      <c r="M341" s="14"/>
    </row>
    <row r="342" spans="2:13" ht="12.75" customHeight="1" x14ac:dyDescent="0.25">
      <c r="B342" s="14"/>
      <c r="D342" s="14"/>
      <c r="E342" s="14"/>
      <c r="F342" s="14"/>
      <c r="G342" s="14"/>
      <c r="H342" s="14"/>
      <c r="I342" s="14"/>
      <c r="J342" s="14"/>
      <c r="K342" s="14"/>
      <c r="M342" s="14"/>
    </row>
    <row r="343" spans="2:13" ht="12.75" customHeight="1" x14ac:dyDescent="0.25">
      <c r="B343" s="14"/>
      <c r="D343" s="14"/>
      <c r="E343" s="14"/>
      <c r="F343" s="14"/>
      <c r="G343" s="14"/>
      <c r="H343" s="14"/>
      <c r="I343" s="14"/>
      <c r="J343" s="14"/>
      <c r="K343" s="14"/>
      <c r="M343" s="14"/>
    </row>
    <row r="344" spans="2:13" ht="12.75" customHeight="1" x14ac:dyDescent="0.25">
      <c r="B344" s="14"/>
      <c r="D344" s="14"/>
      <c r="E344" s="14"/>
      <c r="F344" s="14"/>
      <c r="G344" s="14"/>
      <c r="H344" s="14"/>
      <c r="I344" s="14"/>
      <c r="J344" s="14"/>
      <c r="K344" s="14"/>
      <c r="M344" s="14"/>
    </row>
    <row r="345" spans="2:13" ht="12.75" customHeight="1" x14ac:dyDescent="0.25">
      <c r="B345" s="14"/>
      <c r="D345" s="14"/>
      <c r="E345" s="14"/>
      <c r="F345" s="14"/>
      <c r="G345" s="14"/>
      <c r="H345" s="14"/>
      <c r="I345" s="14"/>
      <c r="J345" s="14"/>
      <c r="K345" s="14"/>
      <c r="M345" s="14"/>
    </row>
    <row r="346" spans="2:13" ht="12.75" customHeight="1" x14ac:dyDescent="0.25">
      <c r="B346" s="14"/>
      <c r="D346" s="14"/>
      <c r="E346" s="14"/>
      <c r="F346" s="14"/>
      <c r="G346" s="14"/>
      <c r="H346" s="14"/>
      <c r="I346" s="14"/>
      <c r="J346" s="14"/>
      <c r="K346" s="14"/>
      <c r="M346" s="14"/>
    </row>
    <row r="347" spans="2:13" ht="12.75" customHeight="1" x14ac:dyDescent="0.25">
      <c r="B347" s="14"/>
      <c r="D347" s="14"/>
      <c r="E347" s="14"/>
      <c r="F347" s="14"/>
      <c r="G347" s="14"/>
      <c r="H347" s="14"/>
      <c r="I347" s="14"/>
      <c r="J347" s="14"/>
      <c r="K347" s="14"/>
      <c r="M347" s="14"/>
    </row>
    <row r="348" spans="2:13" ht="12.75" customHeight="1" x14ac:dyDescent="0.25">
      <c r="B348" s="14"/>
      <c r="D348" s="14"/>
      <c r="E348" s="14"/>
      <c r="F348" s="14"/>
      <c r="G348" s="14"/>
      <c r="H348" s="14"/>
      <c r="I348" s="14"/>
      <c r="J348" s="14"/>
      <c r="K348" s="14"/>
      <c r="M348" s="14"/>
    </row>
    <row r="349" spans="2:13" ht="12.75" customHeight="1" x14ac:dyDescent="0.25">
      <c r="B349" s="14"/>
      <c r="D349" s="14"/>
      <c r="E349" s="14"/>
      <c r="F349" s="14"/>
      <c r="G349" s="14"/>
      <c r="H349" s="14"/>
      <c r="I349" s="14"/>
      <c r="J349" s="14"/>
      <c r="K349" s="14"/>
      <c r="M349" s="14"/>
    </row>
    <row r="350" spans="2:13" ht="12.75" customHeight="1" x14ac:dyDescent="0.25">
      <c r="B350" s="14"/>
      <c r="D350" s="14"/>
      <c r="E350" s="14"/>
      <c r="F350" s="14"/>
      <c r="G350" s="14"/>
      <c r="H350" s="14"/>
      <c r="I350" s="14"/>
      <c r="J350" s="14"/>
      <c r="K350" s="14"/>
      <c r="M350" s="14"/>
    </row>
    <row r="351" spans="2:13" ht="12.75" customHeight="1" x14ac:dyDescent="0.25">
      <c r="B351" s="14"/>
      <c r="D351" s="14"/>
      <c r="E351" s="14"/>
      <c r="F351" s="14"/>
      <c r="G351" s="14"/>
      <c r="H351" s="14"/>
      <c r="I351" s="14"/>
      <c r="J351" s="14"/>
      <c r="K351" s="14"/>
      <c r="M351" s="14"/>
    </row>
    <row r="352" spans="2:13" ht="12.75" customHeight="1" x14ac:dyDescent="0.25">
      <c r="B352" s="14"/>
      <c r="D352" s="14"/>
      <c r="E352" s="14"/>
      <c r="F352" s="14"/>
      <c r="G352" s="14"/>
      <c r="H352" s="14"/>
      <c r="I352" s="14"/>
      <c r="J352" s="14"/>
      <c r="K352" s="14"/>
      <c r="M352" s="14"/>
    </row>
    <row r="353" spans="2:13" ht="12.75" customHeight="1" x14ac:dyDescent="0.25">
      <c r="B353" s="14"/>
      <c r="D353" s="14"/>
      <c r="E353" s="14"/>
      <c r="F353" s="14"/>
      <c r="G353" s="14"/>
      <c r="H353" s="14"/>
      <c r="I353" s="14"/>
      <c r="J353" s="14"/>
      <c r="K353" s="14"/>
      <c r="M353" s="14"/>
    </row>
    <row r="354" spans="2:13" ht="12.75" customHeight="1" x14ac:dyDescent="0.25">
      <c r="B354" s="14"/>
      <c r="D354" s="14"/>
      <c r="E354" s="14"/>
      <c r="F354" s="14"/>
      <c r="G354" s="14"/>
      <c r="H354" s="14"/>
      <c r="I354" s="14"/>
      <c r="J354" s="14"/>
      <c r="K354" s="14"/>
      <c r="M354" s="14"/>
    </row>
    <row r="355" spans="2:13" ht="12.75" customHeight="1" x14ac:dyDescent="0.25">
      <c r="B355" s="14"/>
      <c r="D355" s="14"/>
      <c r="E355" s="14"/>
      <c r="F355" s="14"/>
      <c r="G355" s="14"/>
      <c r="H355" s="14"/>
      <c r="I355" s="14"/>
      <c r="J355" s="14"/>
      <c r="K355" s="14"/>
      <c r="M355" s="14"/>
    </row>
    <row r="356" spans="2:13" ht="12.75" customHeight="1" x14ac:dyDescent="0.25">
      <c r="B356" s="14"/>
      <c r="D356" s="14"/>
      <c r="E356" s="14"/>
      <c r="F356" s="14"/>
      <c r="G356" s="14"/>
      <c r="H356" s="14"/>
      <c r="I356" s="14"/>
      <c r="J356" s="14"/>
      <c r="K356" s="14"/>
      <c r="M356" s="14"/>
    </row>
    <row r="357" spans="2:13" ht="12.75" customHeight="1" x14ac:dyDescent="0.25">
      <c r="B357" s="14"/>
      <c r="D357" s="14"/>
      <c r="E357" s="14"/>
      <c r="F357" s="14"/>
      <c r="G357" s="14"/>
      <c r="H357" s="14"/>
      <c r="I357" s="14"/>
      <c r="J357" s="14"/>
      <c r="K357" s="14"/>
      <c r="M357" s="14"/>
    </row>
    <row r="358" spans="2:13" ht="12.75" customHeight="1" x14ac:dyDescent="0.25">
      <c r="B358" s="14"/>
      <c r="D358" s="14"/>
      <c r="E358" s="14"/>
      <c r="F358" s="14"/>
      <c r="G358" s="14"/>
      <c r="H358" s="14"/>
      <c r="I358" s="14"/>
      <c r="J358" s="14"/>
      <c r="K358" s="14"/>
      <c r="M358" s="14"/>
    </row>
    <row r="359" spans="2:13" ht="12.75" customHeight="1" x14ac:dyDescent="0.25">
      <c r="B359" s="14"/>
      <c r="D359" s="14"/>
      <c r="E359" s="14"/>
      <c r="F359" s="14"/>
      <c r="G359" s="14"/>
      <c r="H359" s="14"/>
      <c r="I359" s="14"/>
      <c r="J359" s="14"/>
      <c r="K359" s="14"/>
      <c r="M359" s="14"/>
    </row>
    <row r="360" spans="2:13" ht="12.75" customHeight="1" x14ac:dyDescent="0.25">
      <c r="B360" s="14"/>
      <c r="D360" s="14"/>
      <c r="E360" s="14"/>
      <c r="F360" s="14"/>
      <c r="G360" s="14"/>
      <c r="H360" s="14"/>
      <c r="I360" s="14"/>
      <c r="J360" s="14"/>
      <c r="K360" s="14"/>
      <c r="M360" s="14"/>
    </row>
    <row r="361" spans="2:13" ht="12.75" customHeight="1" x14ac:dyDescent="0.25">
      <c r="B361" s="14"/>
      <c r="D361" s="14"/>
      <c r="E361" s="14"/>
      <c r="F361" s="14"/>
      <c r="G361" s="14"/>
      <c r="H361" s="14"/>
      <c r="I361" s="14"/>
      <c r="J361" s="14"/>
      <c r="K361" s="14"/>
      <c r="M361" s="14"/>
    </row>
    <row r="362" spans="2:13" ht="12.75" customHeight="1" x14ac:dyDescent="0.25">
      <c r="B362" s="14"/>
      <c r="D362" s="14"/>
      <c r="E362" s="14"/>
      <c r="F362" s="14"/>
      <c r="G362" s="14"/>
      <c r="H362" s="14"/>
      <c r="I362" s="14"/>
      <c r="J362" s="14"/>
      <c r="K362" s="14"/>
      <c r="M362" s="14"/>
    </row>
    <row r="363" spans="2:13" ht="12.75" customHeight="1" x14ac:dyDescent="0.25">
      <c r="B363" s="14"/>
      <c r="D363" s="14"/>
      <c r="E363" s="14"/>
      <c r="F363" s="14"/>
      <c r="G363" s="14"/>
      <c r="H363" s="14"/>
      <c r="I363" s="14"/>
      <c r="J363" s="14"/>
      <c r="K363" s="14"/>
      <c r="M363" s="14"/>
    </row>
    <row r="364" spans="2:13" ht="12.75" customHeight="1" x14ac:dyDescent="0.25">
      <c r="B364" s="14"/>
      <c r="D364" s="14"/>
      <c r="E364" s="14"/>
      <c r="F364" s="14"/>
      <c r="G364" s="14"/>
      <c r="H364" s="14"/>
      <c r="I364" s="14"/>
      <c r="J364" s="14"/>
      <c r="K364" s="14"/>
      <c r="M364" s="14"/>
    </row>
    <row r="365" spans="2:13" ht="12.75" customHeight="1" x14ac:dyDescent="0.25">
      <c r="B365" s="14"/>
      <c r="D365" s="14"/>
      <c r="E365" s="14"/>
      <c r="F365" s="14"/>
      <c r="G365" s="14"/>
      <c r="H365" s="14"/>
      <c r="I365" s="14"/>
      <c r="J365" s="14"/>
      <c r="K365" s="14"/>
      <c r="M365" s="14"/>
    </row>
    <row r="366" spans="2:13" ht="12.75" customHeight="1" x14ac:dyDescent="0.25">
      <c r="B366" s="14"/>
      <c r="D366" s="14"/>
      <c r="E366" s="14"/>
      <c r="F366" s="14"/>
      <c r="G366" s="14"/>
      <c r="H366" s="14"/>
      <c r="I366" s="14"/>
      <c r="J366" s="14"/>
      <c r="K366" s="14"/>
      <c r="M366" s="14"/>
    </row>
    <row r="367" spans="2:13" ht="12.75" customHeight="1" x14ac:dyDescent="0.25">
      <c r="B367" s="14"/>
      <c r="D367" s="14"/>
      <c r="E367" s="14"/>
      <c r="F367" s="14"/>
      <c r="G367" s="14"/>
      <c r="H367" s="14"/>
      <c r="I367" s="14"/>
      <c r="J367" s="14"/>
      <c r="K367" s="14"/>
      <c r="M367" s="14"/>
    </row>
    <row r="368" spans="2:13" ht="12.75" customHeight="1" x14ac:dyDescent="0.25">
      <c r="B368" s="14"/>
      <c r="D368" s="14"/>
      <c r="E368" s="14"/>
      <c r="F368" s="14"/>
      <c r="G368" s="14"/>
      <c r="H368" s="14"/>
      <c r="I368" s="14"/>
      <c r="J368" s="14"/>
      <c r="K368" s="14"/>
      <c r="M368" s="14"/>
    </row>
    <row r="369" spans="2:13" ht="12.75" customHeight="1" x14ac:dyDescent="0.25">
      <c r="B369" s="14"/>
      <c r="D369" s="14"/>
      <c r="E369" s="14"/>
      <c r="F369" s="14"/>
      <c r="G369" s="14"/>
      <c r="H369" s="14"/>
      <c r="I369" s="14"/>
      <c r="J369" s="14"/>
      <c r="K369" s="14"/>
      <c r="M369" s="14"/>
    </row>
    <row r="370" spans="2:13" ht="12.75" customHeight="1" x14ac:dyDescent="0.25">
      <c r="B370" s="14"/>
      <c r="D370" s="14"/>
      <c r="E370" s="14"/>
      <c r="F370" s="14"/>
      <c r="G370" s="14"/>
      <c r="H370" s="14"/>
      <c r="I370" s="14"/>
      <c r="J370" s="14"/>
      <c r="K370" s="14"/>
      <c r="M370" s="14"/>
    </row>
    <row r="371" spans="2:13" ht="12.75" customHeight="1" x14ac:dyDescent="0.25">
      <c r="B371" s="14"/>
      <c r="D371" s="14"/>
      <c r="E371" s="14"/>
      <c r="F371" s="14"/>
      <c r="G371" s="14"/>
      <c r="H371" s="14"/>
      <c r="I371" s="14"/>
      <c r="J371" s="14"/>
      <c r="K371" s="14"/>
      <c r="M371" s="14"/>
    </row>
    <row r="372" spans="2:13" ht="12.75" customHeight="1" x14ac:dyDescent="0.25">
      <c r="B372" s="14"/>
      <c r="D372" s="14"/>
      <c r="E372" s="14"/>
      <c r="F372" s="14"/>
      <c r="G372" s="14"/>
      <c r="H372" s="14"/>
      <c r="I372" s="14"/>
      <c r="J372" s="14"/>
      <c r="K372" s="14"/>
      <c r="M372" s="14"/>
    </row>
    <row r="373" spans="2:13" ht="12.75" customHeight="1" x14ac:dyDescent="0.25">
      <c r="B373" s="14"/>
      <c r="D373" s="14"/>
      <c r="E373" s="14"/>
      <c r="F373" s="14"/>
      <c r="G373" s="14"/>
      <c r="H373" s="14"/>
      <c r="I373" s="14"/>
      <c r="J373" s="14"/>
      <c r="K373" s="14"/>
      <c r="M373" s="14"/>
    </row>
    <row r="374" spans="2:13" ht="12.75" customHeight="1" x14ac:dyDescent="0.25">
      <c r="B374" s="14"/>
      <c r="D374" s="14"/>
      <c r="E374" s="14"/>
      <c r="F374" s="14"/>
      <c r="G374" s="14"/>
      <c r="H374" s="14"/>
      <c r="I374" s="14"/>
      <c r="J374" s="14"/>
      <c r="K374" s="14"/>
      <c r="M374" s="14"/>
    </row>
    <row r="375" spans="2:13" ht="12.75" customHeight="1" x14ac:dyDescent="0.25">
      <c r="B375" s="14"/>
      <c r="D375" s="14"/>
      <c r="E375" s="14"/>
      <c r="F375" s="14"/>
      <c r="G375" s="14"/>
      <c r="H375" s="14"/>
      <c r="I375" s="14"/>
      <c r="J375" s="14"/>
      <c r="K375" s="14"/>
      <c r="M375" s="14"/>
    </row>
    <row r="376" spans="2:13" ht="12.75" customHeight="1" x14ac:dyDescent="0.25">
      <c r="B376" s="14"/>
      <c r="D376" s="14"/>
      <c r="E376" s="14"/>
      <c r="F376" s="14"/>
      <c r="G376" s="14"/>
      <c r="H376" s="14"/>
      <c r="I376" s="14"/>
      <c r="J376" s="14"/>
      <c r="K376" s="14"/>
      <c r="M376" s="14"/>
    </row>
    <row r="377" spans="2:13" ht="12.75" customHeight="1" x14ac:dyDescent="0.25">
      <c r="B377" s="14"/>
      <c r="D377" s="14"/>
      <c r="E377" s="14"/>
      <c r="F377" s="14"/>
      <c r="G377" s="14"/>
      <c r="H377" s="14"/>
      <c r="I377" s="14"/>
      <c r="J377" s="14"/>
      <c r="K377" s="14"/>
      <c r="M377" s="14"/>
    </row>
    <row r="378" spans="2:13" ht="12.75" customHeight="1" x14ac:dyDescent="0.25">
      <c r="B378" s="14"/>
      <c r="D378" s="14"/>
      <c r="E378" s="14"/>
      <c r="F378" s="14"/>
      <c r="G378" s="14"/>
      <c r="H378" s="14"/>
      <c r="I378" s="14"/>
      <c r="J378" s="14"/>
      <c r="K378" s="14"/>
      <c r="M378" s="14"/>
    </row>
    <row r="379" spans="2:13" ht="12.75" customHeight="1" x14ac:dyDescent="0.25">
      <c r="B379" s="14"/>
      <c r="D379" s="14"/>
      <c r="E379" s="14"/>
      <c r="F379" s="14"/>
      <c r="G379" s="14"/>
      <c r="H379" s="14"/>
      <c r="I379" s="14"/>
      <c r="J379" s="14"/>
      <c r="K379" s="14"/>
      <c r="M379" s="14"/>
    </row>
    <row r="380" spans="2:13" ht="12.75" customHeight="1" x14ac:dyDescent="0.25">
      <c r="B380" s="14"/>
      <c r="D380" s="14"/>
      <c r="E380" s="14"/>
      <c r="F380" s="14"/>
      <c r="G380" s="14"/>
      <c r="H380" s="14"/>
      <c r="I380" s="14"/>
      <c r="J380" s="14"/>
      <c r="K380" s="14"/>
      <c r="M380" s="14"/>
    </row>
    <row r="381" spans="2:13" ht="12.75" customHeight="1" x14ac:dyDescent="0.25">
      <c r="B381" s="14"/>
      <c r="D381" s="14"/>
      <c r="E381" s="14"/>
      <c r="F381" s="14"/>
      <c r="G381" s="14"/>
      <c r="H381" s="14"/>
      <c r="I381" s="14"/>
      <c r="J381" s="14"/>
      <c r="K381" s="14"/>
      <c r="M381" s="14"/>
    </row>
    <row r="382" spans="2:13" ht="12.75" customHeight="1" x14ac:dyDescent="0.25">
      <c r="B382" s="14"/>
      <c r="D382" s="14"/>
      <c r="E382" s="14"/>
      <c r="F382" s="14"/>
      <c r="G382" s="14"/>
      <c r="H382" s="14"/>
      <c r="I382" s="14"/>
      <c r="J382" s="14"/>
      <c r="K382" s="14"/>
      <c r="M382" s="14"/>
    </row>
    <row r="383" spans="2:13" ht="12.75" customHeight="1" x14ac:dyDescent="0.25">
      <c r="B383" s="14"/>
      <c r="D383" s="14"/>
      <c r="E383" s="14"/>
      <c r="F383" s="14"/>
      <c r="G383" s="14"/>
      <c r="H383" s="14"/>
      <c r="I383" s="14"/>
      <c r="J383" s="14"/>
      <c r="K383" s="14"/>
      <c r="M383" s="14"/>
    </row>
    <row r="384" spans="2:13" ht="12.75" customHeight="1" x14ac:dyDescent="0.25">
      <c r="B384" s="14"/>
      <c r="D384" s="14"/>
      <c r="E384" s="14"/>
      <c r="F384" s="14"/>
      <c r="G384" s="14"/>
      <c r="H384" s="14"/>
      <c r="I384" s="14"/>
      <c r="J384" s="14"/>
      <c r="K384" s="14"/>
      <c r="M384" s="14"/>
    </row>
    <row r="385" spans="2:13" ht="12.75" customHeight="1" x14ac:dyDescent="0.25">
      <c r="B385" s="14"/>
      <c r="D385" s="14"/>
      <c r="E385" s="14"/>
      <c r="F385" s="14"/>
      <c r="G385" s="14"/>
      <c r="H385" s="14"/>
      <c r="I385" s="14"/>
      <c r="J385" s="14"/>
      <c r="K385" s="14"/>
      <c r="M385" s="14"/>
    </row>
    <row r="386" spans="2:13" ht="12.75" customHeight="1" x14ac:dyDescent="0.25">
      <c r="B386" s="14"/>
      <c r="D386" s="14"/>
      <c r="E386" s="14"/>
      <c r="F386" s="14"/>
      <c r="G386" s="14"/>
      <c r="H386" s="14"/>
      <c r="I386" s="14"/>
      <c r="J386" s="14"/>
      <c r="K386" s="14"/>
      <c r="M386" s="14"/>
    </row>
    <row r="387" spans="2:13" ht="12.75" customHeight="1" x14ac:dyDescent="0.25">
      <c r="B387" s="14"/>
      <c r="D387" s="14"/>
      <c r="E387" s="14"/>
      <c r="F387" s="14"/>
      <c r="G387" s="14"/>
      <c r="H387" s="14"/>
      <c r="I387" s="14"/>
      <c r="J387" s="14"/>
      <c r="K387" s="14"/>
      <c r="M387" s="14"/>
    </row>
    <row r="388" spans="2:13" ht="12.75" customHeight="1" x14ac:dyDescent="0.25">
      <c r="B388" s="14"/>
      <c r="D388" s="14"/>
      <c r="E388" s="14"/>
      <c r="F388" s="14"/>
      <c r="G388" s="14"/>
      <c r="H388" s="14"/>
      <c r="I388" s="14"/>
      <c r="J388" s="14"/>
      <c r="K388" s="14"/>
      <c r="M388" s="14"/>
    </row>
    <row r="389" spans="2:13" ht="12.75" customHeight="1" x14ac:dyDescent="0.25">
      <c r="B389" s="14"/>
      <c r="D389" s="14"/>
      <c r="E389" s="14"/>
      <c r="F389" s="14"/>
      <c r="G389" s="14"/>
      <c r="H389" s="14"/>
      <c r="I389" s="14"/>
      <c r="J389" s="14"/>
      <c r="K389" s="14"/>
      <c r="M389" s="14"/>
    </row>
    <row r="390" spans="2:13" ht="12.75" customHeight="1" x14ac:dyDescent="0.25">
      <c r="B390" s="14"/>
      <c r="D390" s="14"/>
      <c r="E390" s="14"/>
      <c r="F390" s="14"/>
      <c r="G390" s="14"/>
      <c r="H390" s="14"/>
      <c r="I390" s="14"/>
      <c r="J390" s="14"/>
      <c r="K390" s="14"/>
      <c r="M390" s="14"/>
    </row>
    <row r="391" spans="2:13" ht="12.75" customHeight="1" x14ac:dyDescent="0.25">
      <c r="B391" s="14"/>
      <c r="D391" s="14"/>
      <c r="E391" s="14"/>
      <c r="F391" s="14"/>
      <c r="G391" s="14"/>
      <c r="H391" s="14"/>
      <c r="I391" s="14"/>
      <c r="J391" s="14"/>
      <c r="K391" s="14"/>
      <c r="M391" s="14"/>
    </row>
    <row r="392" spans="2:13" ht="12.75" customHeight="1" x14ac:dyDescent="0.25">
      <c r="B392" s="14"/>
      <c r="D392" s="14"/>
      <c r="E392" s="14"/>
      <c r="F392" s="14"/>
      <c r="G392" s="14"/>
      <c r="H392" s="14"/>
      <c r="I392" s="14"/>
      <c r="J392" s="14"/>
      <c r="K392" s="14"/>
      <c r="M392" s="14"/>
    </row>
    <row r="393" spans="2:13" ht="12.75" customHeight="1" x14ac:dyDescent="0.25">
      <c r="B393" s="14"/>
      <c r="D393" s="14"/>
      <c r="E393" s="14"/>
      <c r="F393" s="14"/>
      <c r="G393" s="14"/>
      <c r="H393" s="14"/>
      <c r="I393" s="14"/>
      <c r="J393" s="14"/>
      <c r="K393" s="14"/>
      <c r="M393" s="14"/>
    </row>
    <row r="394" spans="2:13" ht="12.75" customHeight="1" x14ac:dyDescent="0.25">
      <c r="B394" s="14"/>
      <c r="D394" s="14"/>
      <c r="E394" s="14"/>
      <c r="F394" s="14"/>
      <c r="G394" s="14"/>
      <c r="H394" s="14"/>
      <c r="I394" s="14"/>
      <c r="J394" s="14"/>
      <c r="K394" s="14"/>
      <c r="M394" s="14"/>
    </row>
    <row r="395" spans="2:13" ht="12.75" customHeight="1" x14ac:dyDescent="0.25">
      <c r="B395" s="14"/>
      <c r="D395" s="14"/>
      <c r="E395" s="14"/>
      <c r="F395" s="14"/>
      <c r="G395" s="14"/>
      <c r="H395" s="14"/>
      <c r="I395" s="14"/>
      <c r="J395" s="14"/>
      <c r="K395" s="14"/>
      <c r="M395" s="14"/>
    </row>
    <row r="396" spans="2:13" ht="12.75" customHeight="1" x14ac:dyDescent="0.25">
      <c r="B396" s="14"/>
      <c r="D396" s="14"/>
      <c r="E396" s="14"/>
      <c r="F396" s="14"/>
      <c r="G396" s="14"/>
      <c r="H396" s="14"/>
      <c r="I396" s="14"/>
      <c r="J396" s="14"/>
      <c r="K396" s="14"/>
      <c r="M396" s="14"/>
    </row>
    <row r="397" spans="2:13" ht="12.75" customHeight="1" x14ac:dyDescent="0.25">
      <c r="B397" s="14"/>
      <c r="D397" s="14"/>
      <c r="E397" s="14"/>
      <c r="F397" s="14"/>
      <c r="G397" s="14"/>
      <c r="H397" s="14"/>
      <c r="I397" s="14"/>
      <c r="J397" s="14"/>
      <c r="K397" s="14"/>
      <c r="M397" s="14"/>
    </row>
    <row r="398" spans="2:13" ht="12.75" customHeight="1" x14ac:dyDescent="0.25">
      <c r="B398" s="14"/>
      <c r="D398" s="14"/>
      <c r="E398" s="14"/>
      <c r="F398" s="14"/>
      <c r="G398" s="14"/>
      <c r="H398" s="14"/>
      <c r="I398" s="14"/>
      <c r="J398" s="14"/>
      <c r="K398" s="14"/>
      <c r="M398" s="14"/>
    </row>
    <row r="399" spans="2:13" ht="12.75" customHeight="1" x14ac:dyDescent="0.25">
      <c r="B399" s="14"/>
      <c r="D399" s="14"/>
      <c r="E399" s="14"/>
      <c r="F399" s="14"/>
      <c r="G399" s="14"/>
      <c r="H399" s="14"/>
      <c r="I399" s="14"/>
      <c r="J399" s="14"/>
      <c r="K399" s="14"/>
      <c r="M399" s="14"/>
    </row>
    <row r="400" spans="2:13" ht="12.75" customHeight="1" x14ac:dyDescent="0.25">
      <c r="B400" s="14"/>
      <c r="D400" s="14"/>
      <c r="E400" s="14"/>
      <c r="F400" s="14"/>
      <c r="G400" s="14"/>
      <c r="H400" s="14"/>
      <c r="I400" s="14"/>
      <c r="J400" s="14"/>
      <c r="K400" s="14"/>
      <c r="M400" s="14"/>
    </row>
    <row r="401" spans="2:13" ht="12.75" customHeight="1" x14ac:dyDescent="0.25">
      <c r="B401" s="14"/>
      <c r="D401" s="14"/>
      <c r="E401" s="14"/>
      <c r="F401" s="14"/>
      <c r="G401" s="14"/>
      <c r="H401" s="14"/>
      <c r="I401" s="14"/>
      <c r="J401" s="14"/>
      <c r="K401" s="14"/>
      <c r="M401" s="14"/>
    </row>
    <row r="402" spans="2:13" ht="12.75" customHeight="1" x14ac:dyDescent="0.25">
      <c r="B402" s="14"/>
      <c r="D402" s="14"/>
      <c r="E402" s="14"/>
      <c r="F402" s="14"/>
      <c r="G402" s="14"/>
      <c r="H402" s="14"/>
      <c r="I402" s="14"/>
      <c r="J402" s="14"/>
      <c r="K402" s="14"/>
      <c r="M402" s="14"/>
    </row>
    <row r="403" spans="2:13" ht="12.75" customHeight="1" x14ac:dyDescent="0.25">
      <c r="B403" s="14"/>
      <c r="D403" s="14"/>
      <c r="E403" s="14"/>
      <c r="F403" s="14"/>
      <c r="G403" s="14"/>
      <c r="H403" s="14"/>
      <c r="I403" s="14"/>
      <c r="J403" s="14"/>
      <c r="K403" s="14"/>
      <c r="M403" s="14"/>
    </row>
    <row r="404" spans="2:13" ht="12.75" customHeight="1" x14ac:dyDescent="0.25">
      <c r="B404" s="14"/>
      <c r="D404" s="14"/>
      <c r="E404" s="14"/>
      <c r="F404" s="14"/>
      <c r="G404" s="14"/>
      <c r="H404" s="14"/>
      <c r="I404" s="14"/>
      <c r="J404" s="14"/>
      <c r="K404" s="14"/>
      <c r="M404" s="14"/>
    </row>
    <row r="405" spans="2:13" ht="12.75" customHeight="1" x14ac:dyDescent="0.25">
      <c r="B405" s="14"/>
      <c r="D405" s="14"/>
      <c r="E405" s="14"/>
      <c r="F405" s="14"/>
      <c r="G405" s="14"/>
      <c r="H405" s="14"/>
      <c r="I405" s="14"/>
      <c r="J405" s="14"/>
      <c r="K405" s="14"/>
      <c r="M405" s="14"/>
    </row>
    <row r="406" spans="2:13" ht="12.75" customHeight="1" x14ac:dyDescent="0.25">
      <c r="B406" s="14"/>
      <c r="D406" s="14"/>
      <c r="E406" s="14"/>
      <c r="F406" s="14"/>
      <c r="G406" s="14"/>
      <c r="H406" s="14"/>
      <c r="I406" s="14"/>
      <c r="J406" s="14"/>
      <c r="K406" s="14"/>
      <c r="M406" s="14"/>
    </row>
    <row r="407" spans="2:13" ht="12.75" customHeight="1" x14ac:dyDescent="0.25">
      <c r="B407" s="14"/>
      <c r="D407" s="14"/>
      <c r="E407" s="14"/>
      <c r="F407" s="14"/>
      <c r="G407" s="14"/>
      <c r="H407" s="14"/>
      <c r="I407" s="14"/>
      <c r="J407" s="14"/>
      <c r="K407" s="14"/>
      <c r="M407" s="14"/>
    </row>
    <row r="408" spans="2:13" ht="12.75" customHeight="1" x14ac:dyDescent="0.25">
      <c r="B408" s="14"/>
      <c r="D408" s="14"/>
      <c r="E408" s="14"/>
      <c r="F408" s="14"/>
      <c r="G408" s="14"/>
      <c r="H408" s="14"/>
      <c r="I408" s="14"/>
      <c r="J408" s="14"/>
      <c r="K408" s="14"/>
      <c r="M408" s="14"/>
    </row>
    <row r="409" spans="2:13" ht="12.75" customHeight="1" x14ac:dyDescent="0.25">
      <c r="B409" s="14"/>
      <c r="D409" s="14"/>
      <c r="E409" s="14"/>
      <c r="F409" s="14"/>
      <c r="G409" s="14"/>
      <c r="H409" s="14"/>
      <c r="I409" s="14"/>
      <c r="J409" s="14"/>
      <c r="K409" s="14"/>
      <c r="M409" s="14"/>
    </row>
    <row r="410" spans="2:13" ht="12.75" customHeight="1" x14ac:dyDescent="0.25">
      <c r="B410" s="14"/>
      <c r="D410" s="14"/>
      <c r="E410" s="14"/>
      <c r="F410" s="14"/>
      <c r="G410" s="14"/>
      <c r="H410" s="14"/>
      <c r="I410" s="14"/>
      <c r="J410" s="14"/>
      <c r="K410" s="14"/>
      <c r="M410" s="14"/>
    </row>
    <row r="411" spans="2:13" ht="12.75" customHeight="1" x14ac:dyDescent="0.25">
      <c r="B411" s="14"/>
      <c r="D411" s="14"/>
      <c r="E411" s="14"/>
      <c r="F411" s="14"/>
      <c r="G411" s="14"/>
      <c r="H411" s="14"/>
      <c r="I411" s="14"/>
      <c r="J411" s="14"/>
      <c r="K411" s="14"/>
      <c r="M411" s="14"/>
    </row>
    <row r="412" spans="2:13" ht="12.75" customHeight="1" x14ac:dyDescent="0.25">
      <c r="B412" s="14"/>
      <c r="D412" s="14"/>
      <c r="E412" s="14"/>
      <c r="F412" s="14"/>
      <c r="G412" s="14"/>
      <c r="H412" s="14"/>
      <c r="I412" s="14"/>
      <c r="J412" s="14"/>
      <c r="K412" s="14"/>
      <c r="M412" s="14"/>
    </row>
    <row r="413" spans="2:13" ht="12.75" customHeight="1" x14ac:dyDescent="0.25">
      <c r="B413" s="14"/>
      <c r="D413" s="14"/>
      <c r="E413" s="14"/>
      <c r="F413" s="14"/>
      <c r="G413" s="14"/>
      <c r="H413" s="14"/>
      <c r="I413" s="14"/>
      <c r="J413" s="14"/>
      <c r="K413" s="14"/>
      <c r="M413" s="14"/>
    </row>
    <row r="414" spans="2:13" ht="12.75" customHeight="1" x14ac:dyDescent="0.25">
      <c r="B414" s="14"/>
      <c r="D414" s="14"/>
      <c r="E414" s="14"/>
      <c r="F414" s="14"/>
      <c r="G414" s="14"/>
      <c r="H414" s="14"/>
      <c r="I414" s="14"/>
      <c r="J414" s="14"/>
      <c r="K414" s="14"/>
      <c r="M414" s="14"/>
    </row>
    <row r="415" spans="2:13" ht="12.75" customHeight="1" x14ac:dyDescent="0.25">
      <c r="B415" s="14"/>
      <c r="D415" s="14"/>
      <c r="E415" s="14"/>
      <c r="F415" s="14"/>
      <c r="G415" s="14"/>
      <c r="H415" s="14"/>
      <c r="I415" s="14"/>
      <c r="J415" s="14"/>
      <c r="K415" s="14"/>
      <c r="M415" s="14"/>
    </row>
    <row r="416" spans="2:13" ht="12.75" customHeight="1" x14ac:dyDescent="0.25">
      <c r="B416" s="14"/>
      <c r="D416" s="14"/>
      <c r="E416" s="14"/>
      <c r="F416" s="14"/>
      <c r="G416" s="14"/>
      <c r="H416" s="14"/>
      <c r="I416" s="14"/>
      <c r="J416" s="14"/>
      <c r="K416" s="14"/>
      <c r="M416" s="14"/>
    </row>
    <row r="417" spans="2:13" ht="12.75" customHeight="1" x14ac:dyDescent="0.25">
      <c r="B417" s="14"/>
      <c r="D417" s="14"/>
      <c r="E417" s="14"/>
      <c r="F417" s="14"/>
      <c r="G417" s="14"/>
      <c r="H417" s="14"/>
      <c r="I417" s="14"/>
      <c r="J417" s="14"/>
      <c r="K417" s="14"/>
      <c r="M417" s="14"/>
    </row>
    <row r="418" spans="2:13" ht="12.75" customHeight="1" x14ac:dyDescent="0.25">
      <c r="B418" s="14"/>
      <c r="D418" s="14"/>
      <c r="E418" s="14"/>
      <c r="F418" s="14"/>
      <c r="G418" s="14"/>
      <c r="H418" s="14"/>
      <c r="I418" s="14"/>
      <c r="J418" s="14"/>
      <c r="K418" s="14"/>
      <c r="M418" s="14"/>
    </row>
    <row r="419" spans="2:13" ht="12.75" customHeight="1" x14ac:dyDescent="0.25">
      <c r="B419" s="14"/>
      <c r="D419" s="14"/>
      <c r="E419" s="14"/>
      <c r="F419" s="14"/>
      <c r="G419" s="14"/>
      <c r="H419" s="14"/>
      <c r="I419" s="14"/>
      <c r="J419" s="14"/>
      <c r="K419" s="14"/>
      <c r="M419" s="14"/>
    </row>
    <row r="420" spans="2:13" ht="12.75" customHeight="1" x14ac:dyDescent="0.25">
      <c r="B420" s="14"/>
      <c r="D420" s="14"/>
      <c r="E420" s="14"/>
      <c r="F420" s="14"/>
      <c r="G420" s="14"/>
      <c r="H420" s="14"/>
      <c r="I420" s="14"/>
      <c r="J420" s="14"/>
      <c r="K420" s="14"/>
      <c r="M420" s="14"/>
    </row>
    <row r="421" spans="2:13" ht="12.75" customHeight="1" x14ac:dyDescent="0.25">
      <c r="B421" s="14"/>
      <c r="D421" s="14"/>
      <c r="E421" s="14"/>
      <c r="F421" s="14"/>
      <c r="G421" s="14"/>
      <c r="H421" s="14"/>
      <c r="I421" s="14"/>
      <c r="J421" s="14"/>
      <c r="K421" s="14"/>
      <c r="M421" s="14"/>
    </row>
    <row r="422" spans="2:13" ht="12.75" customHeight="1" x14ac:dyDescent="0.25">
      <c r="B422" s="14"/>
      <c r="D422" s="14"/>
      <c r="E422" s="14"/>
      <c r="F422" s="14"/>
      <c r="G422" s="14"/>
      <c r="H422" s="14"/>
      <c r="I422" s="14"/>
      <c r="J422" s="14"/>
      <c r="K422" s="14"/>
      <c r="M422" s="14"/>
    </row>
    <row r="423" spans="2:13" ht="12.75" customHeight="1" x14ac:dyDescent="0.25">
      <c r="B423" s="14"/>
      <c r="D423" s="14"/>
      <c r="E423" s="14"/>
      <c r="F423" s="14"/>
      <c r="G423" s="14"/>
      <c r="H423" s="14"/>
      <c r="I423" s="14"/>
      <c r="J423" s="14"/>
      <c r="K423" s="14"/>
      <c r="M423" s="14"/>
    </row>
    <row r="424" spans="2:13" ht="12.75" customHeight="1" x14ac:dyDescent="0.25">
      <c r="B424" s="14"/>
      <c r="D424" s="14"/>
      <c r="E424" s="14"/>
      <c r="F424" s="14"/>
      <c r="G424" s="14"/>
      <c r="H424" s="14"/>
      <c r="I424" s="14"/>
      <c r="J424" s="14"/>
      <c r="K424" s="14"/>
      <c r="M424" s="14"/>
    </row>
    <row r="425" spans="2:13" ht="12.75" customHeight="1" x14ac:dyDescent="0.25">
      <c r="B425" s="14"/>
      <c r="D425" s="14"/>
      <c r="E425" s="14"/>
      <c r="F425" s="14"/>
      <c r="G425" s="14"/>
      <c r="H425" s="14"/>
      <c r="I425" s="14"/>
      <c r="J425" s="14"/>
      <c r="K425" s="14"/>
      <c r="M425" s="14"/>
    </row>
    <row r="426" spans="2:13" ht="12.75" customHeight="1" x14ac:dyDescent="0.25">
      <c r="B426" s="14"/>
      <c r="D426" s="14"/>
      <c r="E426" s="14"/>
      <c r="F426" s="14"/>
      <c r="G426" s="14"/>
      <c r="H426" s="14"/>
      <c r="I426" s="14"/>
      <c r="J426" s="14"/>
      <c r="K426" s="14"/>
      <c r="M426" s="14"/>
    </row>
    <row r="427" spans="2:13" ht="12.75" customHeight="1" x14ac:dyDescent="0.25">
      <c r="B427" s="14"/>
      <c r="D427" s="14"/>
      <c r="E427" s="14"/>
      <c r="F427" s="14"/>
      <c r="G427" s="14"/>
      <c r="H427" s="14"/>
      <c r="I427" s="14"/>
      <c r="J427" s="14"/>
      <c r="K427" s="14"/>
      <c r="M427" s="14"/>
    </row>
    <row r="428" spans="2:13" ht="12.75" customHeight="1" x14ac:dyDescent="0.25">
      <c r="B428" s="14"/>
      <c r="D428" s="14"/>
      <c r="E428" s="14"/>
      <c r="F428" s="14"/>
      <c r="G428" s="14"/>
      <c r="H428" s="14"/>
      <c r="I428" s="14"/>
      <c r="J428" s="14"/>
      <c r="K428" s="14"/>
      <c r="M428" s="14"/>
    </row>
    <row r="429" spans="2:13" ht="12.75" customHeight="1" x14ac:dyDescent="0.25">
      <c r="B429" s="14"/>
      <c r="D429" s="14"/>
      <c r="E429" s="14"/>
      <c r="F429" s="14"/>
      <c r="G429" s="14"/>
      <c r="H429" s="14"/>
      <c r="I429" s="14"/>
      <c r="J429" s="14"/>
      <c r="K429" s="14"/>
      <c r="M429" s="14"/>
    </row>
    <row r="430" spans="2:13" ht="12.75" customHeight="1" x14ac:dyDescent="0.25">
      <c r="B430" s="14"/>
      <c r="D430" s="14"/>
      <c r="E430" s="14"/>
      <c r="F430" s="14"/>
      <c r="G430" s="14"/>
      <c r="H430" s="14"/>
      <c r="I430" s="14"/>
      <c r="J430" s="14"/>
      <c r="K430" s="14"/>
      <c r="M430" s="14"/>
    </row>
    <row r="431" spans="2:13" ht="12.75" customHeight="1" x14ac:dyDescent="0.25">
      <c r="B431" s="14"/>
      <c r="D431" s="14"/>
      <c r="E431" s="14"/>
      <c r="F431" s="14"/>
      <c r="G431" s="14"/>
      <c r="H431" s="14"/>
      <c r="I431" s="14"/>
      <c r="J431" s="14"/>
      <c r="K431" s="14"/>
      <c r="M431" s="14"/>
    </row>
    <row r="432" spans="2:13" ht="12.75" customHeight="1" x14ac:dyDescent="0.25">
      <c r="B432" s="14"/>
      <c r="D432" s="14"/>
      <c r="E432" s="14"/>
      <c r="F432" s="14"/>
      <c r="G432" s="14"/>
      <c r="H432" s="14"/>
      <c r="I432" s="14"/>
      <c r="J432" s="14"/>
      <c r="K432" s="14"/>
      <c r="M432" s="14"/>
    </row>
    <row r="433" spans="2:13" ht="12.75" customHeight="1" x14ac:dyDescent="0.25">
      <c r="B433" s="14"/>
      <c r="D433" s="14"/>
      <c r="E433" s="14"/>
      <c r="F433" s="14"/>
      <c r="G433" s="14"/>
      <c r="H433" s="14"/>
      <c r="I433" s="14"/>
      <c r="J433" s="14"/>
      <c r="K433" s="14"/>
      <c r="M433" s="14"/>
    </row>
    <row r="434" spans="2:13" ht="12.75" customHeight="1" x14ac:dyDescent="0.25">
      <c r="B434" s="14"/>
      <c r="D434" s="14"/>
      <c r="E434" s="14"/>
      <c r="F434" s="14"/>
      <c r="G434" s="14"/>
      <c r="H434" s="14"/>
      <c r="I434" s="14"/>
      <c r="J434" s="14"/>
      <c r="K434" s="14"/>
      <c r="M434" s="14"/>
    </row>
    <row r="435" spans="2:13" ht="12.75" customHeight="1" x14ac:dyDescent="0.25">
      <c r="B435" s="14"/>
      <c r="D435" s="14"/>
      <c r="E435" s="14"/>
      <c r="F435" s="14"/>
      <c r="G435" s="14"/>
      <c r="H435" s="14"/>
      <c r="I435" s="14"/>
      <c r="J435" s="14"/>
      <c r="K435" s="14"/>
      <c r="M435" s="14"/>
    </row>
    <row r="436" spans="2:13" ht="12.75" customHeight="1" x14ac:dyDescent="0.25">
      <c r="B436" s="14"/>
      <c r="D436" s="14"/>
      <c r="E436" s="14"/>
      <c r="F436" s="14"/>
      <c r="G436" s="14"/>
      <c r="H436" s="14"/>
      <c r="I436" s="14"/>
      <c r="J436" s="14"/>
      <c r="K436" s="14"/>
      <c r="M436" s="14"/>
    </row>
    <row r="437" spans="2:13" ht="12.75" customHeight="1" x14ac:dyDescent="0.25">
      <c r="B437" s="14"/>
      <c r="D437" s="14"/>
      <c r="E437" s="14"/>
      <c r="F437" s="14"/>
      <c r="G437" s="14"/>
      <c r="H437" s="14"/>
      <c r="I437" s="14"/>
      <c r="J437" s="14"/>
      <c r="K437" s="14"/>
      <c r="M437" s="14"/>
    </row>
    <row r="438" spans="2:13" ht="12.75" customHeight="1" x14ac:dyDescent="0.25">
      <c r="B438" s="14"/>
      <c r="D438" s="14"/>
      <c r="E438" s="14"/>
      <c r="F438" s="14"/>
      <c r="G438" s="14"/>
      <c r="H438" s="14"/>
      <c r="I438" s="14"/>
      <c r="J438" s="14"/>
      <c r="K438" s="14"/>
      <c r="M438" s="14"/>
    </row>
    <row r="439" spans="2:13" ht="12.75" customHeight="1" x14ac:dyDescent="0.25">
      <c r="B439" s="14"/>
      <c r="D439" s="14"/>
      <c r="E439" s="14"/>
      <c r="F439" s="14"/>
      <c r="G439" s="14"/>
      <c r="H439" s="14"/>
      <c r="I439" s="14"/>
      <c r="J439" s="14"/>
      <c r="K439" s="14"/>
      <c r="M439" s="14"/>
    </row>
    <row r="440" spans="2:13" ht="12.75" customHeight="1" x14ac:dyDescent="0.25">
      <c r="B440" s="14"/>
      <c r="D440" s="14"/>
      <c r="E440" s="14"/>
      <c r="F440" s="14"/>
      <c r="G440" s="14"/>
      <c r="H440" s="14"/>
      <c r="I440" s="14"/>
      <c r="J440" s="14"/>
      <c r="K440" s="14"/>
      <c r="M440" s="14"/>
    </row>
    <row r="441" spans="2:13" ht="12.75" customHeight="1" x14ac:dyDescent="0.25">
      <c r="B441" s="14"/>
      <c r="D441" s="14"/>
      <c r="E441" s="14"/>
      <c r="F441" s="14"/>
      <c r="G441" s="14"/>
      <c r="H441" s="14"/>
      <c r="I441" s="14"/>
      <c r="J441" s="14"/>
      <c r="K441" s="14"/>
      <c r="M441" s="14"/>
    </row>
    <row r="442" spans="2:13" ht="12.75" customHeight="1" x14ac:dyDescent="0.25">
      <c r="B442" s="14"/>
      <c r="D442" s="14"/>
      <c r="E442" s="14"/>
      <c r="F442" s="14"/>
      <c r="G442" s="14"/>
      <c r="H442" s="14"/>
      <c r="I442" s="14"/>
      <c r="J442" s="14"/>
      <c r="K442" s="14"/>
      <c r="M442" s="14"/>
    </row>
    <row r="443" spans="2:13" ht="12.75" customHeight="1" x14ac:dyDescent="0.25">
      <c r="B443" s="14"/>
      <c r="D443" s="14"/>
      <c r="E443" s="14"/>
      <c r="F443" s="14"/>
      <c r="G443" s="14"/>
      <c r="H443" s="14"/>
      <c r="I443" s="14"/>
      <c r="J443" s="14"/>
      <c r="K443" s="14"/>
      <c r="M443" s="14"/>
    </row>
    <row r="444" spans="2:13" ht="12.75" customHeight="1" x14ac:dyDescent="0.25">
      <c r="B444" s="14"/>
      <c r="D444" s="14"/>
      <c r="E444" s="14"/>
      <c r="F444" s="14"/>
      <c r="G444" s="14"/>
      <c r="H444" s="14"/>
      <c r="I444" s="14"/>
      <c r="J444" s="14"/>
      <c r="K444" s="14"/>
      <c r="M444" s="14"/>
    </row>
    <row r="445" spans="2:13" ht="12.75" customHeight="1" x14ac:dyDescent="0.25">
      <c r="B445" s="14"/>
      <c r="D445" s="14"/>
      <c r="E445" s="14"/>
      <c r="F445" s="14"/>
      <c r="G445" s="14"/>
      <c r="H445" s="14"/>
      <c r="I445" s="14"/>
      <c r="J445" s="14"/>
      <c r="K445" s="14"/>
      <c r="M445" s="14"/>
    </row>
    <row r="446" spans="2:13" ht="12.75" customHeight="1" x14ac:dyDescent="0.25">
      <c r="B446" s="14"/>
      <c r="D446" s="14"/>
      <c r="E446" s="14"/>
      <c r="F446" s="14"/>
      <c r="G446" s="14"/>
      <c r="H446" s="14"/>
      <c r="I446" s="14"/>
      <c r="J446" s="14"/>
      <c r="K446" s="14"/>
      <c r="M446" s="14"/>
    </row>
    <row r="447" spans="2:13" ht="12.75" customHeight="1" x14ac:dyDescent="0.25">
      <c r="B447" s="14"/>
      <c r="D447" s="14"/>
      <c r="E447" s="14"/>
      <c r="F447" s="14"/>
      <c r="G447" s="14"/>
      <c r="H447" s="14"/>
      <c r="I447" s="14"/>
      <c r="J447" s="14"/>
      <c r="K447" s="14"/>
      <c r="M447" s="14"/>
    </row>
    <row r="448" spans="2:13" ht="12.75" customHeight="1" x14ac:dyDescent="0.25">
      <c r="B448" s="14"/>
      <c r="D448" s="14"/>
      <c r="E448" s="14"/>
      <c r="F448" s="14"/>
      <c r="G448" s="14"/>
      <c r="H448" s="14"/>
      <c r="I448" s="14"/>
      <c r="J448" s="14"/>
      <c r="K448" s="14"/>
      <c r="M448" s="14"/>
    </row>
    <row r="449" spans="2:13" ht="12.75" customHeight="1" x14ac:dyDescent="0.25">
      <c r="B449" s="14"/>
      <c r="D449" s="14"/>
      <c r="E449" s="14"/>
      <c r="F449" s="14"/>
      <c r="G449" s="14"/>
      <c r="H449" s="14"/>
      <c r="I449" s="14"/>
      <c r="J449" s="14"/>
      <c r="K449" s="14"/>
      <c r="M449" s="14"/>
    </row>
    <row r="450" spans="2:13" ht="12.75" customHeight="1" x14ac:dyDescent="0.25">
      <c r="B450" s="14"/>
      <c r="D450" s="14"/>
      <c r="E450" s="14"/>
      <c r="F450" s="14"/>
      <c r="G450" s="14"/>
      <c r="H450" s="14"/>
      <c r="I450" s="14"/>
      <c r="J450" s="14"/>
      <c r="K450" s="14"/>
      <c r="M450" s="14"/>
    </row>
    <row r="451" spans="2:13" ht="12.75" customHeight="1" x14ac:dyDescent="0.25">
      <c r="B451" s="14"/>
      <c r="D451" s="14"/>
      <c r="E451" s="14"/>
      <c r="F451" s="14"/>
      <c r="G451" s="14"/>
      <c r="H451" s="14"/>
      <c r="I451" s="14"/>
      <c r="J451" s="14"/>
      <c r="K451" s="14"/>
      <c r="M451" s="14"/>
    </row>
    <row r="452" spans="2:13" ht="12.75" customHeight="1" x14ac:dyDescent="0.25">
      <c r="B452" s="14"/>
      <c r="D452" s="14"/>
      <c r="E452" s="14"/>
      <c r="F452" s="14"/>
      <c r="G452" s="14"/>
      <c r="H452" s="14"/>
      <c r="I452" s="14"/>
      <c r="J452" s="14"/>
      <c r="K452" s="14"/>
      <c r="M452" s="14"/>
    </row>
    <row r="453" spans="2:13" ht="12.75" customHeight="1" x14ac:dyDescent="0.25">
      <c r="B453" s="14"/>
      <c r="D453" s="14"/>
      <c r="E453" s="14"/>
      <c r="F453" s="14"/>
      <c r="G453" s="14"/>
      <c r="H453" s="14"/>
      <c r="I453" s="14"/>
      <c r="J453" s="14"/>
      <c r="K453" s="14"/>
      <c r="M453" s="14"/>
    </row>
    <row r="454" spans="2:13" ht="12.75" customHeight="1" x14ac:dyDescent="0.25">
      <c r="B454" s="14"/>
      <c r="D454" s="14"/>
      <c r="E454" s="14"/>
      <c r="F454" s="14"/>
      <c r="G454" s="14"/>
      <c r="H454" s="14"/>
      <c r="I454" s="14"/>
      <c r="J454" s="14"/>
      <c r="K454" s="14"/>
      <c r="M454" s="14"/>
    </row>
    <row r="455" spans="2:13" ht="12.75" customHeight="1" x14ac:dyDescent="0.25">
      <c r="B455" s="14"/>
      <c r="D455" s="14"/>
      <c r="E455" s="14"/>
      <c r="F455" s="14"/>
      <c r="G455" s="14"/>
      <c r="H455" s="14"/>
      <c r="I455" s="14"/>
      <c r="J455" s="14"/>
      <c r="K455" s="14"/>
      <c r="M455" s="14"/>
    </row>
    <row r="456" spans="2:13" ht="12.75" customHeight="1" x14ac:dyDescent="0.25">
      <c r="B456" s="14"/>
      <c r="D456" s="14"/>
      <c r="E456" s="14"/>
      <c r="F456" s="14"/>
      <c r="G456" s="14"/>
      <c r="H456" s="14"/>
      <c r="I456" s="14"/>
      <c r="J456" s="14"/>
      <c r="K456" s="14"/>
      <c r="M456" s="14"/>
    </row>
    <row r="457" spans="2:13" ht="12.75" customHeight="1" x14ac:dyDescent="0.25">
      <c r="B457" s="14"/>
      <c r="D457" s="14"/>
      <c r="E457" s="14"/>
      <c r="F457" s="14"/>
      <c r="G457" s="14"/>
      <c r="H457" s="14"/>
      <c r="I457" s="14"/>
      <c r="J457" s="14"/>
      <c r="K457" s="14"/>
      <c r="M457" s="14"/>
    </row>
    <row r="458" spans="2:13" ht="12.75" customHeight="1" x14ac:dyDescent="0.25">
      <c r="B458" s="14"/>
      <c r="D458" s="14"/>
      <c r="E458" s="14"/>
      <c r="F458" s="14"/>
      <c r="G458" s="14"/>
      <c r="H458" s="14"/>
      <c r="I458" s="14"/>
      <c r="J458" s="14"/>
      <c r="K458" s="14"/>
      <c r="M458" s="14"/>
    </row>
    <row r="459" spans="2:13" ht="12.75" customHeight="1" x14ac:dyDescent="0.25">
      <c r="B459" s="14"/>
      <c r="D459" s="14"/>
      <c r="E459" s="14"/>
      <c r="F459" s="14"/>
      <c r="G459" s="14"/>
      <c r="H459" s="14"/>
      <c r="I459" s="14"/>
      <c r="J459" s="14"/>
      <c r="K459" s="14"/>
      <c r="M459" s="14"/>
    </row>
    <row r="460" spans="2:13" ht="12.75" customHeight="1" x14ac:dyDescent="0.25">
      <c r="B460" s="14"/>
      <c r="D460" s="14"/>
      <c r="E460" s="14"/>
      <c r="F460" s="14"/>
      <c r="G460" s="14"/>
      <c r="H460" s="14"/>
      <c r="I460" s="14"/>
      <c r="J460" s="14"/>
      <c r="K460" s="14"/>
      <c r="M460" s="14"/>
    </row>
    <row r="461" spans="2:13" ht="12.75" customHeight="1" x14ac:dyDescent="0.25">
      <c r="B461" s="14"/>
      <c r="D461" s="14"/>
      <c r="E461" s="14"/>
      <c r="F461" s="14"/>
      <c r="G461" s="14"/>
      <c r="H461" s="14"/>
      <c r="I461" s="14"/>
      <c r="J461" s="14"/>
      <c r="K461" s="14"/>
      <c r="M461" s="14"/>
    </row>
    <row r="462" spans="2:13" ht="12.75" customHeight="1" x14ac:dyDescent="0.25">
      <c r="B462" s="14"/>
      <c r="D462" s="14"/>
      <c r="E462" s="14"/>
      <c r="F462" s="14"/>
      <c r="G462" s="14"/>
      <c r="H462" s="14"/>
      <c r="I462" s="14"/>
      <c r="J462" s="14"/>
      <c r="K462" s="14"/>
      <c r="M462" s="14"/>
    </row>
    <row r="463" spans="2:13" ht="12.75" customHeight="1" x14ac:dyDescent="0.25">
      <c r="B463" s="14"/>
      <c r="D463" s="14"/>
      <c r="E463" s="14"/>
      <c r="F463" s="14"/>
      <c r="G463" s="14"/>
      <c r="H463" s="14"/>
      <c r="I463" s="14"/>
      <c r="J463" s="14"/>
      <c r="K463" s="14"/>
      <c r="M463" s="14"/>
    </row>
    <row r="464" spans="2:13" ht="12.75" customHeight="1" x14ac:dyDescent="0.25">
      <c r="B464" s="14"/>
      <c r="D464" s="14"/>
      <c r="E464" s="14"/>
      <c r="F464" s="14"/>
      <c r="G464" s="14"/>
      <c r="H464" s="14"/>
      <c r="I464" s="14"/>
      <c r="J464" s="14"/>
      <c r="K464" s="14"/>
      <c r="M464" s="14"/>
    </row>
    <row r="465" spans="2:13" ht="12.75" customHeight="1" x14ac:dyDescent="0.25">
      <c r="B465" s="14"/>
      <c r="D465" s="14"/>
      <c r="E465" s="14"/>
      <c r="F465" s="14"/>
      <c r="G465" s="14"/>
      <c r="H465" s="14"/>
      <c r="I465" s="14"/>
      <c r="J465" s="14"/>
      <c r="K465" s="14"/>
      <c r="M465" s="14"/>
    </row>
    <row r="466" spans="2:13" ht="12.75" customHeight="1" x14ac:dyDescent="0.25">
      <c r="B466" s="14"/>
      <c r="D466" s="14"/>
      <c r="E466" s="14"/>
      <c r="F466" s="14"/>
      <c r="G466" s="14"/>
      <c r="H466" s="14"/>
      <c r="I466" s="14"/>
      <c r="J466" s="14"/>
      <c r="K466" s="14"/>
      <c r="M466" s="14"/>
    </row>
    <row r="467" spans="2:13" ht="12.75" customHeight="1" x14ac:dyDescent="0.25">
      <c r="B467" s="14"/>
      <c r="D467" s="14"/>
      <c r="E467" s="14"/>
      <c r="F467" s="14"/>
      <c r="G467" s="14"/>
      <c r="H467" s="14"/>
      <c r="I467" s="14"/>
      <c r="J467" s="14"/>
      <c r="K467" s="14"/>
      <c r="M467" s="14"/>
    </row>
    <row r="468" spans="2:13" ht="12.75" customHeight="1" x14ac:dyDescent="0.25">
      <c r="B468" s="14"/>
      <c r="D468" s="14"/>
      <c r="E468" s="14"/>
      <c r="F468" s="14"/>
      <c r="G468" s="14"/>
      <c r="H468" s="14"/>
      <c r="I468" s="14"/>
      <c r="J468" s="14"/>
      <c r="K468" s="14"/>
      <c r="M468" s="14"/>
    </row>
    <row r="469" spans="2:13" ht="12.75" customHeight="1" x14ac:dyDescent="0.25">
      <c r="B469" s="14"/>
      <c r="D469" s="14"/>
      <c r="E469" s="14"/>
      <c r="F469" s="14"/>
      <c r="G469" s="14"/>
      <c r="H469" s="14"/>
      <c r="I469" s="14"/>
      <c r="J469" s="14"/>
      <c r="K469" s="14"/>
      <c r="M469" s="14"/>
    </row>
    <row r="470" spans="2:13" ht="12.75" customHeight="1" x14ac:dyDescent="0.25">
      <c r="B470" s="14"/>
      <c r="D470" s="14"/>
      <c r="E470" s="14"/>
      <c r="F470" s="14"/>
      <c r="G470" s="14"/>
      <c r="H470" s="14"/>
      <c r="I470" s="14"/>
      <c r="J470" s="14"/>
      <c r="K470" s="14"/>
      <c r="M470" s="14"/>
    </row>
    <row r="471" spans="2:13" ht="12.75" customHeight="1" x14ac:dyDescent="0.25">
      <c r="B471" s="14"/>
      <c r="D471" s="14"/>
      <c r="E471" s="14"/>
      <c r="F471" s="14"/>
      <c r="G471" s="14"/>
      <c r="H471" s="14"/>
      <c r="I471" s="14"/>
      <c r="J471" s="14"/>
      <c r="K471" s="14"/>
      <c r="M471" s="14"/>
    </row>
    <row r="472" spans="2:13" ht="12.75" customHeight="1" x14ac:dyDescent="0.25">
      <c r="B472" s="14"/>
      <c r="D472" s="14"/>
      <c r="E472" s="14"/>
      <c r="F472" s="14"/>
      <c r="G472" s="14"/>
      <c r="H472" s="14"/>
      <c r="I472" s="14"/>
      <c r="J472" s="14"/>
      <c r="K472" s="14"/>
      <c r="M472" s="14"/>
    </row>
    <row r="473" spans="2:13" ht="12.75" customHeight="1" x14ac:dyDescent="0.25">
      <c r="B473" s="14"/>
      <c r="D473" s="14"/>
      <c r="E473" s="14"/>
      <c r="F473" s="14"/>
      <c r="G473" s="14"/>
      <c r="H473" s="14"/>
      <c r="I473" s="14"/>
      <c r="J473" s="14"/>
      <c r="K473" s="14"/>
      <c r="M473" s="14"/>
    </row>
    <row r="474" spans="2:13" ht="12.75" customHeight="1" x14ac:dyDescent="0.25">
      <c r="B474" s="14"/>
      <c r="D474" s="14"/>
      <c r="E474" s="14"/>
      <c r="F474" s="14"/>
      <c r="G474" s="14"/>
      <c r="H474" s="14"/>
      <c r="I474" s="14"/>
      <c r="J474" s="14"/>
      <c r="K474" s="14"/>
      <c r="M474" s="14"/>
    </row>
    <row r="475" spans="2:13" ht="12.75" customHeight="1" x14ac:dyDescent="0.25">
      <c r="B475" s="14"/>
      <c r="D475" s="14"/>
      <c r="E475" s="14"/>
      <c r="F475" s="14"/>
      <c r="G475" s="14"/>
      <c r="H475" s="14"/>
      <c r="I475" s="14"/>
      <c r="J475" s="14"/>
      <c r="K475" s="14"/>
      <c r="M475" s="14"/>
    </row>
    <row r="476" spans="2:13" ht="12.75" customHeight="1" x14ac:dyDescent="0.25">
      <c r="B476" s="14"/>
      <c r="D476" s="14"/>
      <c r="E476" s="14"/>
      <c r="F476" s="14"/>
      <c r="G476" s="14"/>
      <c r="H476" s="14"/>
      <c r="I476" s="14"/>
      <c r="J476" s="14"/>
      <c r="K476" s="14"/>
      <c r="M476" s="14"/>
    </row>
    <row r="477" spans="2:13" ht="12.75" customHeight="1" x14ac:dyDescent="0.25">
      <c r="B477" s="14"/>
      <c r="D477" s="14"/>
      <c r="E477" s="14"/>
      <c r="F477" s="14"/>
      <c r="G477" s="14"/>
      <c r="H477" s="14"/>
      <c r="I477" s="14"/>
      <c r="J477" s="14"/>
      <c r="K477" s="14"/>
      <c r="M477" s="14"/>
    </row>
    <row r="478" spans="2:13" ht="12.75" customHeight="1" x14ac:dyDescent="0.25">
      <c r="B478" s="14"/>
      <c r="D478" s="14"/>
      <c r="E478" s="14"/>
      <c r="F478" s="14"/>
      <c r="G478" s="14"/>
      <c r="H478" s="14"/>
      <c r="I478" s="14"/>
      <c r="J478" s="14"/>
      <c r="K478" s="14"/>
      <c r="M478" s="14"/>
    </row>
    <row r="479" spans="2:13" ht="12.75" customHeight="1" x14ac:dyDescent="0.25">
      <c r="B479" s="14"/>
      <c r="D479" s="14"/>
      <c r="E479" s="14"/>
      <c r="F479" s="14"/>
      <c r="G479" s="14"/>
      <c r="H479" s="14"/>
      <c r="I479" s="14"/>
      <c r="J479" s="14"/>
      <c r="K479" s="14"/>
      <c r="M479" s="14"/>
    </row>
    <row r="480" spans="2:13" ht="12.75" customHeight="1" x14ac:dyDescent="0.25">
      <c r="B480" s="14"/>
      <c r="D480" s="14"/>
      <c r="E480" s="14"/>
      <c r="F480" s="14"/>
      <c r="G480" s="14"/>
      <c r="H480" s="14"/>
      <c r="I480" s="14"/>
      <c r="J480" s="14"/>
      <c r="K480" s="14"/>
      <c r="M480" s="14"/>
    </row>
    <row r="481" spans="2:13" ht="12.75" customHeight="1" x14ac:dyDescent="0.25">
      <c r="B481" s="14"/>
      <c r="D481" s="14"/>
      <c r="E481" s="14"/>
      <c r="F481" s="14"/>
      <c r="G481" s="14"/>
      <c r="H481" s="14"/>
      <c r="I481" s="14"/>
      <c r="J481" s="14"/>
      <c r="K481" s="14"/>
      <c r="M481" s="14"/>
    </row>
    <row r="482" spans="2:13" ht="12.75" customHeight="1" x14ac:dyDescent="0.25">
      <c r="B482" s="14"/>
      <c r="D482" s="14"/>
      <c r="E482" s="14"/>
      <c r="F482" s="14"/>
      <c r="G482" s="14"/>
      <c r="H482" s="14"/>
      <c r="I482" s="14"/>
      <c r="J482" s="14"/>
      <c r="K482" s="14"/>
      <c r="M482" s="14"/>
    </row>
    <row r="483" spans="2:13" ht="12.75" customHeight="1" x14ac:dyDescent="0.25">
      <c r="B483" s="14"/>
      <c r="D483" s="14"/>
      <c r="E483" s="14"/>
      <c r="F483" s="14"/>
      <c r="G483" s="14"/>
      <c r="H483" s="14"/>
      <c r="I483" s="14"/>
      <c r="J483" s="14"/>
      <c r="K483" s="14"/>
      <c r="M483" s="14"/>
    </row>
    <row r="484" spans="2:13" ht="12.75" customHeight="1" x14ac:dyDescent="0.25">
      <c r="B484" s="14"/>
      <c r="D484" s="14"/>
      <c r="E484" s="14"/>
      <c r="F484" s="14"/>
      <c r="G484" s="14"/>
      <c r="H484" s="14"/>
      <c r="I484" s="14"/>
      <c r="J484" s="14"/>
      <c r="K484" s="14"/>
      <c r="M484" s="14"/>
    </row>
    <row r="485" spans="2:13" ht="12.75" customHeight="1" x14ac:dyDescent="0.25">
      <c r="B485" s="14"/>
      <c r="D485" s="14"/>
      <c r="E485" s="14"/>
      <c r="F485" s="14"/>
      <c r="G485" s="14"/>
      <c r="H485" s="14"/>
      <c r="I485" s="14"/>
      <c r="J485" s="14"/>
      <c r="K485" s="14"/>
      <c r="M485" s="14"/>
    </row>
    <row r="486" spans="2:13" ht="12.75" customHeight="1" x14ac:dyDescent="0.25">
      <c r="B486" s="14"/>
      <c r="D486" s="14"/>
      <c r="E486" s="14"/>
      <c r="F486" s="14"/>
      <c r="G486" s="14"/>
      <c r="H486" s="14"/>
      <c r="I486" s="14"/>
      <c r="J486" s="14"/>
      <c r="K486" s="14"/>
      <c r="M486" s="14"/>
    </row>
    <row r="487" spans="2:13" ht="12.75" customHeight="1" x14ac:dyDescent="0.25">
      <c r="B487" s="14"/>
      <c r="D487" s="14"/>
      <c r="E487" s="14"/>
      <c r="F487" s="14"/>
      <c r="G487" s="14"/>
      <c r="H487" s="14"/>
      <c r="I487" s="14"/>
      <c r="J487" s="14"/>
      <c r="K487" s="14"/>
      <c r="M487" s="14"/>
    </row>
    <row r="488" spans="2:13" ht="12.75" customHeight="1" x14ac:dyDescent="0.25">
      <c r="B488" s="14"/>
      <c r="D488" s="14"/>
      <c r="E488" s="14"/>
      <c r="F488" s="14"/>
      <c r="G488" s="14"/>
      <c r="H488" s="14"/>
      <c r="I488" s="14"/>
      <c r="J488" s="14"/>
      <c r="K488" s="14"/>
      <c r="M488" s="14"/>
    </row>
    <row r="489" spans="2:13" ht="12.75" customHeight="1" x14ac:dyDescent="0.25">
      <c r="B489" s="14"/>
      <c r="D489" s="14"/>
      <c r="E489" s="14"/>
      <c r="F489" s="14"/>
      <c r="G489" s="14"/>
      <c r="H489" s="14"/>
      <c r="I489" s="14"/>
      <c r="J489" s="14"/>
      <c r="K489" s="14"/>
      <c r="M489" s="14"/>
    </row>
    <row r="490" spans="2:13" ht="12.75" customHeight="1" x14ac:dyDescent="0.25">
      <c r="B490" s="14"/>
      <c r="D490" s="14"/>
      <c r="E490" s="14"/>
      <c r="F490" s="14"/>
      <c r="G490" s="14"/>
      <c r="H490" s="14"/>
      <c r="I490" s="14"/>
      <c r="J490" s="14"/>
      <c r="K490" s="14"/>
      <c r="M490" s="14"/>
    </row>
    <row r="491" spans="2:13" ht="12.75" customHeight="1" x14ac:dyDescent="0.25">
      <c r="B491" s="14"/>
      <c r="D491" s="14"/>
      <c r="E491" s="14"/>
      <c r="F491" s="14"/>
      <c r="G491" s="14"/>
      <c r="H491" s="14"/>
      <c r="I491" s="14"/>
      <c r="J491" s="14"/>
      <c r="K491" s="14"/>
      <c r="M491" s="14"/>
    </row>
    <row r="492" spans="2:13" ht="12.75" customHeight="1" x14ac:dyDescent="0.25">
      <c r="B492" s="14"/>
      <c r="D492" s="14"/>
      <c r="E492" s="14"/>
      <c r="F492" s="14"/>
      <c r="G492" s="14"/>
      <c r="H492" s="14"/>
      <c r="I492" s="14"/>
      <c r="J492" s="14"/>
      <c r="K492" s="14"/>
      <c r="M492" s="14"/>
    </row>
    <row r="493" spans="2:13" ht="12.75" customHeight="1" x14ac:dyDescent="0.25">
      <c r="B493" s="14"/>
      <c r="D493" s="14"/>
      <c r="E493" s="14"/>
      <c r="F493" s="14"/>
      <c r="G493" s="14"/>
      <c r="H493" s="14"/>
      <c r="I493" s="14"/>
      <c r="J493" s="14"/>
      <c r="K493" s="14"/>
      <c r="M493" s="14"/>
    </row>
    <row r="494" spans="2:13" ht="12.75" customHeight="1" x14ac:dyDescent="0.25">
      <c r="B494" s="14"/>
      <c r="D494" s="14"/>
      <c r="E494" s="14"/>
      <c r="F494" s="14"/>
      <c r="G494" s="14"/>
      <c r="H494" s="14"/>
      <c r="I494" s="14"/>
      <c r="J494" s="14"/>
      <c r="K494" s="14"/>
      <c r="M494" s="14"/>
    </row>
    <row r="495" spans="2:13" ht="12.75" customHeight="1" x14ac:dyDescent="0.25">
      <c r="B495" s="14"/>
      <c r="D495" s="14"/>
      <c r="E495" s="14"/>
      <c r="F495" s="14"/>
      <c r="G495" s="14"/>
      <c r="H495" s="14"/>
      <c r="I495" s="14"/>
      <c r="J495" s="14"/>
      <c r="K495" s="14"/>
      <c r="M495" s="14"/>
    </row>
    <row r="496" spans="2:13" ht="12.75" customHeight="1" x14ac:dyDescent="0.25">
      <c r="B496" s="14"/>
      <c r="D496" s="14"/>
      <c r="E496" s="14"/>
      <c r="F496" s="14"/>
      <c r="G496" s="14"/>
      <c r="H496" s="14"/>
      <c r="I496" s="14"/>
      <c r="J496" s="14"/>
      <c r="K496" s="14"/>
      <c r="M496" s="14"/>
    </row>
    <row r="497" spans="2:13" ht="12.75" customHeight="1" x14ac:dyDescent="0.25">
      <c r="B497" s="14"/>
      <c r="D497" s="14"/>
      <c r="E497" s="14"/>
      <c r="F497" s="14"/>
      <c r="G497" s="14"/>
      <c r="H497" s="14"/>
      <c r="I497" s="14"/>
      <c r="J497" s="14"/>
      <c r="K497" s="14"/>
      <c r="M497" s="14"/>
    </row>
    <row r="498" spans="2:13" ht="12.75" customHeight="1" x14ac:dyDescent="0.25">
      <c r="B498" s="14"/>
      <c r="D498" s="14"/>
      <c r="E498" s="14"/>
      <c r="F498" s="14"/>
      <c r="G498" s="14"/>
      <c r="H498" s="14"/>
      <c r="I498" s="14"/>
      <c r="J498" s="14"/>
      <c r="K498" s="14"/>
      <c r="M498" s="14"/>
    </row>
    <row r="499" spans="2:13" ht="12.75" customHeight="1" x14ac:dyDescent="0.25">
      <c r="B499" s="14"/>
      <c r="D499" s="14"/>
      <c r="E499" s="14"/>
      <c r="F499" s="14"/>
      <c r="G499" s="14"/>
      <c r="H499" s="14"/>
      <c r="I499" s="14"/>
      <c r="J499" s="14"/>
      <c r="K499" s="14"/>
      <c r="M499" s="14"/>
    </row>
    <row r="500" spans="2:13" ht="12.75" customHeight="1" x14ac:dyDescent="0.25">
      <c r="B500" s="14"/>
      <c r="D500" s="14"/>
      <c r="E500" s="14"/>
      <c r="F500" s="14"/>
      <c r="G500" s="14"/>
      <c r="H500" s="14"/>
      <c r="I500" s="14"/>
      <c r="J500" s="14"/>
      <c r="K500" s="14"/>
      <c r="M500" s="14"/>
    </row>
    <row r="501" spans="2:13" ht="12.75" customHeight="1" x14ac:dyDescent="0.25">
      <c r="B501" s="14"/>
      <c r="D501" s="14"/>
      <c r="E501" s="14"/>
      <c r="F501" s="14"/>
      <c r="G501" s="14"/>
      <c r="H501" s="14"/>
      <c r="I501" s="14"/>
      <c r="J501" s="14"/>
      <c r="K501" s="14"/>
      <c r="M501" s="14"/>
    </row>
    <row r="502" spans="2:13" ht="12.75" customHeight="1" x14ac:dyDescent="0.25">
      <c r="B502" s="14"/>
      <c r="D502" s="14"/>
      <c r="E502" s="14"/>
      <c r="F502" s="14"/>
      <c r="G502" s="14"/>
      <c r="H502" s="14"/>
      <c r="I502" s="14"/>
      <c r="J502" s="14"/>
      <c r="K502" s="14"/>
      <c r="M502" s="14"/>
    </row>
    <row r="503" spans="2:13" ht="12.75" customHeight="1" x14ac:dyDescent="0.25">
      <c r="B503" s="14"/>
      <c r="D503" s="14"/>
      <c r="E503" s="14"/>
      <c r="F503" s="14"/>
      <c r="G503" s="14"/>
      <c r="H503" s="14"/>
      <c r="I503" s="14"/>
      <c r="J503" s="14"/>
      <c r="K503" s="14"/>
      <c r="M503" s="14"/>
    </row>
    <row r="504" spans="2:13" ht="12.75" customHeight="1" x14ac:dyDescent="0.25">
      <c r="B504" s="14"/>
      <c r="D504" s="14"/>
      <c r="E504" s="14"/>
      <c r="F504" s="14"/>
      <c r="G504" s="14"/>
      <c r="H504" s="14"/>
      <c r="I504" s="14"/>
      <c r="J504" s="14"/>
      <c r="K504" s="14"/>
      <c r="M504" s="14"/>
    </row>
    <row r="505" spans="2:13" ht="12.75" customHeight="1" x14ac:dyDescent="0.25">
      <c r="B505" s="14"/>
      <c r="D505" s="14"/>
      <c r="E505" s="14"/>
      <c r="F505" s="14"/>
      <c r="G505" s="14"/>
      <c r="H505" s="14"/>
      <c r="I505" s="14"/>
      <c r="J505" s="14"/>
      <c r="K505" s="14"/>
      <c r="M505" s="14"/>
    </row>
    <row r="506" spans="2:13" ht="12.75" customHeight="1" x14ac:dyDescent="0.25">
      <c r="B506" s="14"/>
      <c r="D506" s="14"/>
      <c r="E506" s="14"/>
      <c r="F506" s="14"/>
      <c r="G506" s="14"/>
      <c r="H506" s="14"/>
      <c r="I506" s="14"/>
      <c r="J506" s="14"/>
      <c r="K506" s="14"/>
      <c r="M506" s="14"/>
    </row>
    <row r="507" spans="2:13" ht="12.75" customHeight="1" x14ac:dyDescent="0.25">
      <c r="B507" s="14"/>
      <c r="D507" s="14"/>
      <c r="E507" s="14"/>
      <c r="F507" s="14"/>
      <c r="G507" s="14"/>
      <c r="H507" s="14"/>
      <c r="I507" s="14"/>
      <c r="J507" s="14"/>
      <c r="K507" s="14"/>
      <c r="M507" s="14"/>
    </row>
    <row r="508" spans="2:13" ht="12.75" customHeight="1" x14ac:dyDescent="0.25">
      <c r="B508" s="14"/>
      <c r="D508" s="14"/>
      <c r="E508" s="14"/>
      <c r="F508" s="14"/>
      <c r="G508" s="14"/>
      <c r="H508" s="14"/>
      <c r="I508" s="14"/>
      <c r="J508" s="14"/>
      <c r="K508" s="14"/>
      <c r="M508" s="14"/>
    </row>
    <row r="509" spans="2:13" ht="12.75" customHeight="1" x14ac:dyDescent="0.25">
      <c r="B509" s="14"/>
      <c r="D509" s="14"/>
      <c r="E509" s="14"/>
      <c r="F509" s="14"/>
      <c r="G509" s="14"/>
      <c r="H509" s="14"/>
      <c r="I509" s="14"/>
      <c r="J509" s="14"/>
      <c r="K509" s="14"/>
      <c r="M509" s="14"/>
    </row>
    <row r="510" spans="2:13" ht="12.75" customHeight="1" x14ac:dyDescent="0.25">
      <c r="B510" s="14"/>
      <c r="D510" s="14"/>
      <c r="E510" s="14"/>
      <c r="F510" s="14"/>
      <c r="G510" s="14"/>
      <c r="H510" s="14"/>
      <c r="I510" s="14"/>
      <c r="J510" s="14"/>
      <c r="K510" s="14"/>
      <c r="M510" s="14"/>
    </row>
    <row r="511" spans="2:13" ht="12.75" customHeight="1" x14ac:dyDescent="0.25">
      <c r="B511" s="14"/>
      <c r="D511" s="14"/>
      <c r="E511" s="14"/>
      <c r="F511" s="14"/>
      <c r="G511" s="14"/>
      <c r="H511" s="14"/>
      <c r="I511" s="14"/>
      <c r="J511" s="14"/>
      <c r="K511" s="14"/>
      <c r="M511" s="14"/>
    </row>
    <row r="512" spans="2:13" ht="12.75" customHeight="1" x14ac:dyDescent="0.25">
      <c r="B512" s="14"/>
      <c r="D512" s="14"/>
      <c r="E512" s="14"/>
      <c r="F512" s="14"/>
      <c r="G512" s="14"/>
      <c r="H512" s="14"/>
      <c r="I512" s="14"/>
      <c r="J512" s="14"/>
      <c r="K512" s="14"/>
      <c r="M512" s="14"/>
    </row>
    <row r="513" spans="2:13" ht="12.75" customHeight="1" x14ac:dyDescent="0.25">
      <c r="B513" s="14"/>
      <c r="D513" s="14"/>
      <c r="E513" s="14"/>
      <c r="F513" s="14"/>
      <c r="G513" s="14"/>
      <c r="H513" s="14"/>
      <c r="I513" s="14"/>
      <c r="J513" s="14"/>
      <c r="K513" s="14"/>
      <c r="M513" s="14"/>
    </row>
    <row r="514" spans="2:13" ht="12.75" customHeight="1" x14ac:dyDescent="0.25">
      <c r="B514" s="14"/>
      <c r="D514" s="14"/>
      <c r="E514" s="14"/>
      <c r="F514" s="14"/>
      <c r="G514" s="14"/>
      <c r="H514" s="14"/>
      <c r="I514" s="14"/>
      <c r="J514" s="14"/>
      <c r="K514" s="14"/>
      <c r="M514" s="14"/>
    </row>
    <row r="515" spans="2:13" ht="12.75" customHeight="1" x14ac:dyDescent="0.25">
      <c r="B515" s="14"/>
      <c r="D515" s="14"/>
      <c r="E515" s="14"/>
      <c r="F515" s="14"/>
      <c r="G515" s="14"/>
      <c r="H515" s="14"/>
      <c r="I515" s="14"/>
      <c r="J515" s="14"/>
      <c r="K515" s="14"/>
      <c r="M515" s="14"/>
    </row>
    <row r="516" spans="2:13" ht="12.75" customHeight="1" x14ac:dyDescent="0.25">
      <c r="B516" s="14"/>
      <c r="D516" s="14"/>
      <c r="E516" s="14"/>
      <c r="F516" s="14"/>
      <c r="G516" s="14"/>
      <c r="H516" s="14"/>
      <c r="I516" s="14"/>
      <c r="J516" s="14"/>
      <c r="K516" s="14"/>
      <c r="M516" s="14"/>
    </row>
    <row r="517" spans="2:13" ht="12.75" customHeight="1" x14ac:dyDescent="0.25">
      <c r="B517" s="14"/>
      <c r="D517" s="14"/>
      <c r="E517" s="14"/>
      <c r="F517" s="14"/>
      <c r="G517" s="14"/>
      <c r="H517" s="14"/>
      <c r="I517" s="14"/>
      <c r="J517" s="14"/>
      <c r="K517" s="14"/>
      <c r="M517" s="14"/>
    </row>
    <row r="518" spans="2:13" ht="12.75" customHeight="1" x14ac:dyDescent="0.25">
      <c r="B518" s="14"/>
      <c r="D518" s="14"/>
      <c r="E518" s="14"/>
      <c r="F518" s="14"/>
      <c r="G518" s="14"/>
      <c r="H518" s="14"/>
      <c r="I518" s="14"/>
      <c r="J518" s="14"/>
      <c r="K518" s="14"/>
      <c r="M518" s="14"/>
    </row>
    <row r="519" spans="2:13" ht="12.75" customHeight="1" x14ac:dyDescent="0.25">
      <c r="B519" s="14"/>
      <c r="D519" s="14"/>
      <c r="E519" s="14"/>
      <c r="F519" s="14"/>
      <c r="G519" s="14"/>
      <c r="H519" s="14"/>
      <c r="I519" s="14"/>
      <c r="J519" s="14"/>
      <c r="K519" s="14"/>
      <c r="M519" s="14"/>
    </row>
    <row r="520" spans="2:13" ht="12.75" customHeight="1" x14ac:dyDescent="0.25">
      <c r="B520" s="14"/>
      <c r="D520" s="14"/>
      <c r="E520" s="14"/>
      <c r="F520" s="14"/>
      <c r="G520" s="14"/>
      <c r="H520" s="14"/>
      <c r="I520" s="14"/>
      <c r="J520" s="14"/>
      <c r="K520" s="14"/>
      <c r="M520" s="14"/>
    </row>
    <row r="521" spans="2:13" ht="12.75" customHeight="1" x14ac:dyDescent="0.25">
      <c r="B521" s="14"/>
      <c r="D521" s="14"/>
      <c r="E521" s="14"/>
      <c r="F521" s="14"/>
      <c r="G521" s="14"/>
      <c r="H521" s="14"/>
      <c r="I521" s="14"/>
      <c r="J521" s="14"/>
      <c r="K521" s="14"/>
      <c r="M521" s="14"/>
    </row>
    <row r="522" spans="2:13" ht="12.75" customHeight="1" x14ac:dyDescent="0.25">
      <c r="B522" s="14"/>
      <c r="D522" s="14"/>
      <c r="E522" s="14"/>
      <c r="F522" s="14"/>
      <c r="G522" s="14"/>
      <c r="H522" s="14"/>
      <c r="I522" s="14"/>
      <c r="J522" s="14"/>
      <c r="K522" s="14"/>
      <c r="M522" s="14"/>
    </row>
    <row r="523" spans="2:13" ht="12.75" customHeight="1" x14ac:dyDescent="0.25">
      <c r="B523" s="14"/>
      <c r="D523" s="14"/>
      <c r="E523" s="14"/>
      <c r="F523" s="14"/>
      <c r="G523" s="14"/>
      <c r="H523" s="14"/>
      <c r="I523" s="14"/>
      <c r="J523" s="14"/>
      <c r="K523" s="14"/>
      <c r="M523" s="14"/>
    </row>
    <row r="524" spans="2:13" ht="12.75" customHeight="1" x14ac:dyDescent="0.25">
      <c r="B524" s="14"/>
      <c r="D524" s="14"/>
      <c r="E524" s="14"/>
      <c r="F524" s="14"/>
      <c r="G524" s="14"/>
      <c r="H524" s="14"/>
      <c r="I524" s="14"/>
      <c r="J524" s="14"/>
      <c r="K524" s="14"/>
      <c r="M524" s="14"/>
    </row>
    <row r="525" spans="2:13" ht="12.75" customHeight="1" x14ac:dyDescent="0.25">
      <c r="B525" s="14"/>
      <c r="D525" s="14"/>
      <c r="E525" s="14"/>
      <c r="F525" s="14"/>
      <c r="G525" s="14"/>
      <c r="H525" s="14"/>
      <c r="I525" s="14"/>
      <c r="J525" s="14"/>
      <c r="K525" s="14"/>
      <c r="M525" s="14"/>
    </row>
    <row r="526" spans="2:13" ht="12.75" customHeight="1" x14ac:dyDescent="0.25">
      <c r="B526" s="14"/>
      <c r="D526" s="14"/>
      <c r="E526" s="14"/>
      <c r="F526" s="14"/>
      <c r="G526" s="14"/>
      <c r="H526" s="14"/>
      <c r="I526" s="14"/>
      <c r="J526" s="14"/>
      <c r="K526" s="14"/>
      <c r="M526" s="14"/>
    </row>
    <row r="527" spans="2:13" ht="12.75" customHeight="1" x14ac:dyDescent="0.25">
      <c r="B527" s="14"/>
      <c r="D527" s="14"/>
      <c r="E527" s="14"/>
      <c r="F527" s="14"/>
      <c r="G527" s="14"/>
      <c r="H527" s="14"/>
      <c r="I527" s="14"/>
      <c r="J527" s="14"/>
      <c r="K527" s="14"/>
      <c r="M527" s="14"/>
    </row>
    <row r="528" spans="2:13" ht="12.75" customHeight="1" x14ac:dyDescent="0.25">
      <c r="B528" s="14"/>
      <c r="D528" s="14"/>
      <c r="E528" s="14"/>
      <c r="F528" s="14"/>
      <c r="G528" s="14"/>
      <c r="H528" s="14"/>
      <c r="I528" s="14"/>
      <c r="J528" s="14"/>
      <c r="K528" s="14"/>
      <c r="M528" s="14"/>
    </row>
    <row r="529" spans="2:13" ht="12.75" customHeight="1" x14ac:dyDescent="0.25">
      <c r="B529" s="14"/>
      <c r="D529" s="14"/>
      <c r="E529" s="14"/>
      <c r="F529" s="14"/>
      <c r="G529" s="14"/>
      <c r="H529" s="14"/>
      <c r="I529" s="14"/>
      <c r="J529" s="14"/>
      <c r="K529" s="14"/>
      <c r="M529" s="14"/>
    </row>
    <row r="530" spans="2:13" ht="12.75" customHeight="1" x14ac:dyDescent="0.25">
      <c r="B530" s="14"/>
      <c r="D530" s="14"/>
      <c r="E530" s="14"/>
      <c r="F530" s="14"/>
      <c r="G530" s="14"/>
      <c r="H530" s="14"/>
      <c r="I530" s="14"/>
      <c r="J530" s="14"/>
      <c r="K530" s="14"/>
      <c r="M530" s="14"/>
    </row>
    <row r="531" spans="2:13" ht="12.75" customHeight="1" x14ac:dyDescent="0.25">
      <c r="B531" s="14"/>
      <c r="D531" s="14"/>
      <c r="E531" s="14"/>
      <c r="F531" s="14"/>
      <c r="G531" s="14"/>
      <c r="H531" s="14"/>
      <c r="I531" s="14"/>
      <c r="J531" s="14"/>
      <c r="K531" s="14"/>
      <c r="M531" s="14"/>
    </row>
    <row r="532" spans="2:13" ht="12.75" customHeight="1" x14ac:dyDescent="0.25">
      <c r="B532" s="14"/>
      <c r="D532" s="14"/>
      <c r="E532" s="14"/>
      <c r="F532" s="14"/>
      <c r="G532" s="14"/>
      <c r="H532" s="14"/>
      <c r="I532" s="14"/>
      <c r="J532" s="14"/>
      <c r="K532" s="14"/>
      <c r="M532" s="14"/>
    </row>
    <row r="533" spans="2:13" ht="12.75" customHeight="1" x14ac:dyDescent="0.25">
      <c r="B533" s="14"/>
      <c r="D533" s="14"/>
      <c r="E533" s="14"/>
      <c r="F533" s="14"/>
      <c r="G533" s="14"/>
      <c r="H533" s="14"/>
      <c r="I533" s="14"/>
      <c r="J533" s="14"/>
      <c r="K533" s="14"/>
      <c r="M533" s="14"/>
    </row>
    <row r="534" spans="2:13" ht="12.75" customHeight="1" x14ac:dyDescent="0.25">
      <c r="B534" s="14"/>
      <c r="D534" s="14"/>
      <c r="E534" s="14"/>
      <c r="F534" s="14"/>
      <c r="G534" s="14"/>
      <c r="H534" s="14"/>
      <c r="I534" s="14"/>
      <c r="J534" s="14"/>
      <c r="K534" s="14"/>
      <c r="M534" s="14"/>
    </row>
    <row r="535" spans="2:13" ht="12.75" customHeight="1" x14ac:dyDescent="0.25">
      <c r="B535" s="14"/>
      <c r="D535" s="14"/>
      <c r="E535" s="14"/>
      <c r="F535" s="14"/>
      <c r="G535" s="14"/>
      <c r="H535" s="14"/>
      <c r="I535" s="14"/>
      <c r="J535" s="14"/>
      <c r="K535" s="14"/>
      <c r="M535" s="14"/>
    </row>
    <row r="536" spans="2:13" ht="12.75" customHeight="1" x14ac:dyDescent="0.25">
      <c r="B536" s="14"/>
      <c r="D536" s="14"/>
      <c r="E536" s="14"/>
      <c r="F536" s="14"/>
      <c r="G536" s="14"/>
      <c r="H536" s="14"/>
      <c r="I536" s="14"/>
      <c r="J536" s="14"/>
      <c r="K536" s="14"/>
      <c r="M536" s="14"/>
    </row>
    <row r="537" spans="2:13" ht="12.75" customHeight="1" x14ac:dyDescent="0.25">
      <c r="B537" s="14"/>
      <c r="D537" s="14"/>
      <c r="E537" s="14"/>
      <c r="F537" s="14"/>
      <c r="G537" s="14"/>
      <c r="H537" s="14"/>
      <c r="I537" s="14"/>
      <c r="J537" s="14"/>
      <c r="K537" s="14"/>
      <c r="M537" s="14"/>
    </row>
    <row r="538" spans="2:13" ht="12.75" customHeight="1" x14ac:dyDescent="0.25">
      <c r="B538" s="14"/>
      <c r="D538" s="14"/>
      <c r="E538" s="14"/>
      <c r="F538" s="14"/>
      <c r="G538" s="14"/>
      <c r="H538" s="14"/>
      <c r="I538" s="14"/>
      <c r="J538" s="14"/>
      <c r="K538" s="14"/>
      <c r="M538" s="14"/>
    </row>
    <row r="539" spans="2:13" ht="12.75" customHeight="1" x14ac:dyDescent="0.25">
      <c r="B539" s="14"/>
      <c r="D539" s="14"/>
      <c r="E539" s="14"/>
      <c r="F539" s="14"/>
      <c r="G539" s="14"/>
      <c r="H539" s="14"/>
      <c r="I539" s="14"/>
      <c r="J539" s="14"/>
      <c r="K539" s="14"/>
      <c r="M539" s="14"/>
    </row>
    <row r="540" spans="2:13" ht="12.75" customHeight="1" x14ac:dyDescent="0.25">
      <c r="B540" s="14"/>
      <c r="D540" s="14"/>
      <c r="E540" s="14"/>
      <c r="F540" s="14"/>
      <c r="G540" s="14"/>
      <c r="H540" s="14"/>
      <c r="I540" s="14"/>
      <c r="J540" s="14"/>
      <c r="K540" s="14"/>
      <c r="M540" s="14"/>
    </row>
    <row r="541" spans="2:13" ht="12.75" customHeight="1" x14ac:dyDescent="0.25">
      <c r="B541" s="14"/>
      <c r="D541" s="14"/>
      <c r="E541" s="14"/>
      <c r="F541" s="14"/>
      <c r="G541" s="14"/>
      <c r="H541" s="14"/>
      <c r="I541" s="14"/>
      <c r="J541" s="14"/>
      <c r="K541" s="14"/>
      <c r="M541" s="14"/>
    </row>
    <row r="542" spans="2:13" ht="12.75" customHeight="1" x14ac:dyDescent="0.25">
      <c r="B542" s="14"/>
      <c r="D542" s="14"/>
      <c r="E542" s="14"/>
      <c r="F542" s="14"/>
      <c r="G542" s="14"/>
      <c r="H542" s="14"/>
      <c r="I542" s="14"/>
      <c r="J542" s="14"/>
      <c r="K542" s="14"/>
      <c r="M542" s="14"/>
    </row>
    <row r="543" spans="2:13" ht="12.75" customHeight="1" x14ac:dyDescent="0.25">
      <c r="B543" s="14"/>
      <c r="D543" s="14"/>
      <c r="E543" s="14"/>
      <c r="F543" s="14"/>
      <c r="G543" s="14"/>
      <c r="H543" s="14"/>
      <c r="I543" s="14"/>
      <c r="J543" s="14"/>
      <c r="K543" s="14"/>
      <c r="M543" s="14"/>
    </row>
    <row r="544" spans="2:13" ht="12.75" customHeight="1" x14ac:dyDescent="0.25">
      <c r="B544" s="14"/>
      <c r="D544" s="14"/>
      <c r="E544" s="14"/>
      <c r="F544" s="14"/>
      <c r="G544" s="14"/>
      <c r="H544" s="14"/>
      <c r="I544" s="14"/>
      <c r="J544" s="14"/>
      <c r="K544" s="14"/>
      <c r="M544" s="14"/>
    </row>
    <row r="545" spans="2:13" ht="12.75" customHeight="1" x14ac:dyDescent="0.25">
      <c r="B545" s="14"/>
      <c r="D545" s="14"/>
      <c r="E545" s="14"/>
      <c r="F545" s="14"/>
      <c r="G545" s="14"/>
      <c r="H545" s="14"/>
      <c r="I545" s="14"/>
      <c r="J545" s="14"/>
      <c r="K545" s="14"/>
      <c r="M545" s="14"/>
    </row>
    <row r="546" spans="2:13" ht="12.75" customHeight="1" x14ac:dyDescent="0.25">
      <c r="B546" s="14"/>
      <c r="D546" s="14"/>
      <c r="E546" s="14"/>
      <c r="F546" s="14"/>
      <c r="G546" s="14"/>
      <c r="H546" s="14"/>
      <c r="I546" s="14"/>
      <c r="J546" s="14"/>
      <c r="K546" s="14"/>
      <c r="M546" s="14"/>
    </row>
    <row r="547" spans="2:13" ht="12.75" customHeight="1" x14ac:dyDescent="0.25">
      <c r="B547" s="14"/>
      <c r="D547" s="14"/>
      <c r="E547" s="14"/>
      <c r="F547" s="14"/>
      <c r="G547" s="14"/>
      <c r="H547" s="14"/>
      <c r="I547" s="14"/>
      <c r="J547" s="14"/>
      <c r="K547" s="14"/>
      <c r="M547" s="14"/>
    </row>
    <row r="548" spans="2:13" ht="12.75" customHeight="1" x14ac:dyDescent="0.25">
      <c r="B548" s="14"/>
      <c r="D548" s="14"/>
      <c r="E548" s="14"/>
      <c r="F548" s="14"/>
      <c r="G548" s="14"/>
      <c r="H548" s="14"/>
      <c r="I548" s="14"/>
      <c r="J548" s="14"/>
      <c r="K548" s="14"/>
      <c r="M548" s="14"/>
    </row>
    <row r="549" spans="2:13" ht="12.75" customHeight="1" x14ac:dyDescent="0.25">
      <c r="B549" s="14"/>
      <c r="D549" s="14"/>
      <c r="E549" s="14"/>
      <c r="F549" s="14"/>
      <c r="G549" s="14"/>
      <c r="H549" s="14"/>
      <c r="I549" s="14"/>
      <c r="J549" s="14"/>
      <c r="K549" s="14"/>
      <c r="M549" s="14"/>
    </row>
    <row r="550" spans="2:13" ht="12.75" customHeight="1" x14ac:dyDescent="0.25">
      <c r="B550" s="14"/>
      <c r="D550" s="14"/>
      <c r="E550" s="14"/>
      <c r="F550" s="14"/>
      <c r="G550" s="14"/>
      <c r="H550" s="14"/>
      <c r="I550" s="14"/>
      <c r="J550" s="14"/>
      <c r="K550" s="14"/>
      <c r="M550" s="14"/>
    </row>
    <row r="551" spans="2:13" ht="12.75" customHeight="1" x14ac:dyDescent="0.25">
      <c r="B551" s="14"/>
      <c r="D551" s="14"/>
      <c r="E551" s="14"/>
      <c r="F551" s="14"/>
      <c r="G551" s="14"/>
      <c r="H551" s="14"/>
      <c r="I551" s="14"/>
      <c r="J551" s="14"/>
      <c r="K551" s="14"/>
      <c r="M551" s="14"/>
    </row>
    <row r="552" spans="2:13" ht="12.75" customHeight="1" x14ac:dyDescent="0.25">
      <c r="B552" s="14"/>
      <c r="D552" s="14"/>
      <c r="E552" s="14"/>
      <c r="F552" s="14"/>
      <c r="G552" s="14"/>
      <c r="H552" s="14"/>
      <c r="I552" s="14"/>
      <c r="J552" s="14"/>
      <c r="K552" s="14"/>
      <c r="M552" s="14"/>
    </row>
    <row r="553" spans="2:13" ht="12.75" customHeight="1" x14ac:dyDescent="0.25">
      <c r="B553" s="14"/>
      <c r="D553" s="14"/>
      <c r="E553" s="14"/>
      <c r="F553" s="14"/>
      <c r="G553" s="14"/>
      <c r="H553" s="14"/>
      <c r="I553" s="14"/>
      <c r="J553" s="14"/>
      <c r="K553" s="14"/>
      <c r="M553" s="14"/>
    </row>
    <row r="554" spans="2:13" ht="12.75" customHeight="1" x14ac:dyDescent="0.25">
      <c r="B554" s="14"/>
      <c r="D554" s="14"/>
      <c r="E554" s="14"/>
      <c r="F554" s="14"/>
      <c r="G554" s="14"/>
      <c r="H554" s="14"/>
      <c r="I554" s="14"/>
      <c r="J554" s="14"/>
      <c r="K554" s="14"/>
      <c r="M554" s="14"/>
    </row>
    <row r="555" spans="2:13" ht="12.75" customHeight="1" x14ac:dyDescent="0.25">
      <c r="B555" s="14"/>
      <c r="D555" s="14"/>
      <c r="E555" s="14"/>
      <c r="F555" s="14"/>
      <c r="G555" s="14"/>
      <c r="H555" s="14"/>
      <c r="I555" s="14"/>
      <c r="J555" s="14"/>
      <c r="K555" s="14"/>
      <c r="M555" s="14"/>
    </row>
    <row r="556" spans="2:13" ht="12.75" customHeight="1" x14ac:dyDescent="0.25">
      <c r="B556" s="14"/>
      <c r="D556" s="14"/>
      <c r="E556" s="14"/>
      <c r="F556" s="14"/>
      <c r="G556" s="14"/>
      <c r="H556" s="14"/>
      <c r="I556" s="14"/>
      <c r="J556" s="14"/>
      <c r="K556" s="14"/>
      <c r="M556" s="14"/>
    </row>
    <row r="557" spans="2:13" ht="12.75" customHeight="1" x14ac:dyDescent="0.25">
      <c r="B557" s="14"/>
      <c r="D557" s="14"/>
      <c r="E557" s="14"/>
      <c r="F557" s="14"/>
      <c r="G557" s="14"/>
      <c r="H557" s="14"/>
      <c r="I557" s="14"/>
      <c r="J557" s="14"/>
      <c r="K557" s="14"/>
      <c r="M557" s="14"/>
    </row>
    <row r="558" spans="2:13" ht="12.75" customHeight="1" x14ac:dyDescent="0.25">
      <c r="B558" s="14"/>
      <c r="D558" s="14"/>
      <c r="E558" s="14"/>
      <c r="F558" s="14"/>
      <c r="G558" s="14"/>
      <c r="H558" s="14"/>
      <c r="I558" s="14"/>
      <c r="J558" s="14"/>
      <c r="K558" s="14"/>
      <c r="M558" s="14"/>
    </row>
    <row r="559" spans="2:13" ht="12.75" customHeight="1" x14ac:dyDescent="0.25">
      <c r="B559" s="14"/>
      <c r="D559" s="14"/>
      <c r="E559" s="14"/>
      <c r="F559" s="14"/>
      <c r="G559" s="14"/>
      <c r="H559" s="14"/>
      <c r="I559" s="14"/>
      <c r="J559" s="14"/>
      <c r="K559" s="14"/>
      <c r="M559" s="14"/>
    </row>
    <row r="560" spans="2:13" ht="12.75" customHeight="1" x14ac:dyDescent="0.25">
      <c r="B560" s="14"/>
      <c r="D560" s="14"/>
      <c r="E560" s="14"/>
      <c r="F560" s="14"/>
      <c r="G560" s="14"/>
      <c r="H560" s="14"/>
      <c r="I560" s="14"/>
      <c r="J560" s="14"/>
      <c r="K560" s="14"/>
      <c r="M560" s="14"/>
    </row>
    <row r="561" spans="2:13" ht="12.75" customHeight="1" x14ac:dyDescent="0.25">
      <c r="B561" s="14"/>
      <c r="D561" s="14"/>
      <c r="E561" s="14"/>
      <c r="F561" s="14"/>
      <c r="G561" s="14"/>
      <c r="H561" s="14"/>
      <c r="I561" s="14"/>
      <c r="J561" s="14"/>
      <c r="K561" s="14"/>
      <c r="M561" s="14"/>
    </row>
    <row r="562" spans="2:13" ht="12.75" customHeight="1" x14ac:dyDescent="0.25">
      <c r="B562" s="14"/>
      <c r="D562" s="14"/>
      <c r="E562" s="14"/>
      <c r="F562" s="14"/>
      <c r="G562" s="14"/>
      <c r="H562" s="14"/>
      <c r="I562" s="14"/>
      <c r="J562" s="14"/>
      <c r="K562" s="14"/>
      <c r="M562" s="14"/>
    </row>
    <row r="563" spans="2:13" ht="12.75" customHeight="1" x14ac:dyDescent="0.25">
      <c r="B563" s="14"/>
      <c r="D563" s="14"/>
      <c r="E563" s="14"/>
      <c r="F563" s="14"/>
      <c r="G563" s="14"/>
      <c r="H563" s="14"/>
      <c r="I563" s="14"/>
      <c r="J563" s="14"/>
      <c r="K563" s="14"/>
      <c r="M563" s="14"/>
    </row>
    <row r="564" spans="2:13" ht="12.75" customHeight="1" x14ac:dyDescent="0.25">
      <c r="B564" s="14"/>
      <c r="D564" s="14"/>
      <c r="E564" s="14"/>
      <c r="F564" s="14"/>
      <c r="G564" s="14"/>
      <c r="H564" s="14"/>
      <c r="I564" s="14"/>
      <c r="J564" s="14"/>
      <c r="K564" s="14"/>
      <c r="M564" s="14"/>
    </row>
    <row r="565" spans="2:13" ht="12.75" customHeight="1" x14ac:dyDescent="0.25">
      <c r="B565" s="14"/>
      <c r="D565" s="14"/>
      <c r="E565" s="14"/>
      <c r="F565" s="14"/>
      <c r="G565" s="14"/>
      <c r="H565" s="14"/>
      <c r="I565" s="14"/>
      <c r="J565" s="14"/>
      <c r="K565" s="14"/>
      <c r="M565" s="14"/>
    </row>
    <row r="566" spans="2:13" ht="12.75" customHeight="1" x14ac:dyDescent="0.25">
      <c r="B566" s="14"/>
      <c r="D566" s="14"/>
      <c r="E566" s="14"/>
      <c r="F566" s="14"/>
      <c r="G566" s="14"/>
      <c r="H566" s="14"/>
      <c r="I566" s="14"/>
      <c r="J566" s="14"/>
      <c r="K566" s="14"/>
      <c r="M566" s="14"/>
    </row>
    <row r="567" spans="2:13" ht="12.75" customHeight="1" x14ac:dyDescent="0.25">
      <c r="B567" s="14"/>
      <c r="D567" s="14"/>
      <c r="E567" s="14"/>
      <c r="F567" s="14"/>
      <c r="G567" s="14"/>
      <c r="H567" s="14"/>
      <c r="I567" s="14"/>
      <c r="J567" s="14"/>
      <c r="K567" s="14"/>
      <c r="M567" s="14"/>
    </row>
    <row r="568" spans="2:13" ht="12.75" customHeight="1" x14ac:dyDescent="0.25">
      <c r="B568" s="14"/>
      <c r="D568" s="14"/>
      <c r="E568" s="14"/>
      <c r="F568" s="14"/>
      <c r="G568" s="14"/>
      <c r="H568" s="14"/>
      <c r="I568" s="14"/>
      <c r="J568" s="14"/>
      <c r="K568" s="14"/>
      <c r="M568" s="14"/>
    </row>
    <row r="569" spans="2:13" ht="12.75" customHeight="1" x14ac:dyDescent="0.25">
      <c r="B569" s="14"/>
      <c r="D569" s="14"/>
      <c r="E569" s="14"/>
      <c r="F569" s="14"/>
      <c r="G569" s="14"/>
      <c r="H569" s="14"/>
      <c r="I569" s="14"/>
      <c r="J569" s="14"/>
      <c r="K569" s="14"/>
      <c r="M569" s="14"/>
    </row>
    <row r="570" spans="2:13" ht="12.75" customHeight="1" x14ac:dyDescent="0.25">
      <c r="B570" s="14"/>
      <c r="D570" s="14"/>
      <c r="E570" s="14"/>
      <c r="F570" s="14"/>
      <c r="G570" s="14"/>
      <c r="H570" s="14"/>
      <c r="I570" s="14"/>
      <c r="J570" s="14"/>
      <c r="K570" s="14"/>
      <c r="M570" s="14"/>
    </row>
    <row r="571" spans="2:13" ht="12.75" customHeight="1" x14ac:dyDescent="0.25">
      <c r="B571" s="14"/>
      <c r="D571" s="14"/>
      <c r="E571" s="14"/>
      <c r="F571" s="14"/>
      <c r="G571" s="14"/>
      <c r="H571" s="14"/>
      <c r="I571" s="14"/>
      <c r="J571" s="14"/>
      <c r="K571" s="14"/>
      <c r="M571" s="14"/>
    </row>
    <row r="572" spans="2:13" ht="12.75" customHeight="1" x14ac:dyDescent="0.25">
      <c r="B572" s="14"/>
      <c r="D572" s="14"/>
      <c r="E572" s="14"/>
      <c r="F572" s="14"/>
      <c r="G572" s="14"/>
      <c r="H572" s="14"/>
      <c r="I572" s="14"/>
      <c r="J572" s="14"/>
      <c r="K572" s="14"/>
      <c r="M572" s="14"/>
    </row>
    <row r="573" spans="2:13" ht="12.75" customHeight="1" x14ac:dyDescent="0.25">
      <c r="B573" s="14"/>
      <c r="D573" s="14"/>
      <c r="E573" s="14"/>
      <c r="F573" s="14"/>
      <c r="G573" s="14"/>
      <c r="H573" s="14"/>
      <c r="I573" s="14"/>
      <c r="J573" s="14"/>
      <c r="K573" s="14"/>
      <c r="M573" s="14"/>
    </row>
    <row r="574" spans="2:13" ht="12.75" customHeight="1" x14ac:dyDescent="0.25">
      <c r="B574" s="14"/>
      <c r="D574" s="14"/>
      <c r="E574" s="14"/>
      <c r="F574" s="14"/>
      <c r="G574" s="14"/>
      <c r="H574" s="14"/>
      <c r="I574" s="14"/>
      <c r="J574" s="14"/>
      <c r="K574" s="14"/>
      <c r="M574" s="14"/>
    </row>
    <row r="575" spans="2:13" ht="12.75" customHeight="1" x14ac:dyDescent="0.25">
      <c r="B575" s="14"/>
      <c r="D575" s="14"/>
      <c r="E575" s="14"/>
      <c r="F575" s="14"/>
      <c r="G575" s="14"/>
      <c r="H575" s="14"/>
      <c r="I575" s="14"/>
      <c r="J575" s="14"/>
      <c r="K575" s="14"/>
      <c r="M575" s="14"/>
    </row>
    <row r="576" spans="2:13" ht="12.75" customHeight="1" x14ac:dyDescent="0.25">
      <c r="B576" s="14"/>
      <c r="D576" s="14"/>
      <c r="E576" s="14"/>
      <c r="F576" s="14"/>
      <c r="G576" s="14"/>
      <c r="H576" s="14"/>
      <c r="I576" s="14"/>
      <c r="J576" s="14"/>
      <c r="K576" s="14"/>
      <c r="M576" s="14"/>
    </row>
    <row r="577" spans="2:13" ht="12.75" customHeight="1" x14ac:dyDescent="0.25">
      <c r="B577" s="14"/>
      <c r="D577" s="14"/>
      <c r="E577" s="14"/>
      <c r="F577" s="14"/>
      <c r="G577" s="14"/>
      <c r="H577" s="14"/>
      <c r="I577" s="14"/>
      <c r="J577" s="14"/>
      <c r="K577" s="14"/>
      <c r="M577" s="14"/>
    </row>
    <row r="578" spans="2:13" ht="12.75" customHeight="1" x14ac:dyDescent="0.25">
      <c r="B578" s="14"/>
      <c r="D578" s="14"/>
      <c r="E578" s="14"/>
      <c r="F578" s="14"/>
      <c r="G578" s="14"/>
      <c r="H578" s="14"/>
      <c r="I578" s="14"/>
      <c r="J578" s="14"/>
      <c r="K578" s="14"/>
      <c r="M578" s="14"/>
    </row>
    <row r="579" spans="2:13" ht="12.75" customHeight="1" x14ac:dyDescent="0.25">
      <c r="B579" s="14"/>
      <c r="D579" s="14"/>
      <c r="E579" s="14"/>
      <c r="F579" s="14"/>
      <c r="G579" s="14"/>
      <c r="H579" s="14"/>
      <c r="I579" s="14"/>
      <c r="J579" s="14"/>
      <c r="K579" s="14"/>
      <c r="M579" s="14"/>
    </row>
    <row r="580" spans="2:13" ht="12.75" customHeight="1" x14ac:dyDescent="0.25">
      <c r="B580" s="14"/>
      <c r="D580" s="14"/>
      <c r="E580" s="14"/>
      <c r="F580" s="14"/>
      <c r="G580" s="14"/>
      <c r="H580" s="14"/>
      <c r="I580" s="14"/>
      <c r="J580" s="14"/>
      <c r="K580" s="14"/>
      <c r="M580" s="14"/>
    </row>
    <row r="581" spans="2:13" ht="12.75" customHeight="1" x14ac:dyDescent="0.25">
      <c r="B581" s="14"/>
      <c r="D581" s="14"/>
      <c r="E581" s="14"/>
      <c r="F581" s="14"/>
      <c r="G581" s="14"/>
      <c r="H581" s="14"/>
      <c r="I581" s="14"/>
      <c r="J581" s="14"/>
      <c r="K581" s="14"/>
      <c r="M581" s="14"/>
    </row>
    <row r="582" spans="2:13" ht="12.75" customHeight="1" x14ac:dyDescent="0.25">
      <c r="B582" s="14"/>
      <c r="D582" s="14"/>
      <c r="E582" s="14"/>
      <c r="F582" s="14"/>
      <c r="G582" s="14"/>
      <c r="H582" s="14"/>
      <c r="I582" s="14"/>
      <c r="J582" s="14"/>
      <c r="K582" s="14"/>
      <c r="M582" s="14"/>
    </row>
    <row r="583" spans="2:13" ht="12.75" customHeight="1" x14ac:dyDescent="0.25">
      <c r="B583" s="14"/>
      <c r="D583" s="14"/>
      <c r="E583" s="14"/>
      <c r="F583" s="14"/>
      <c r="G583" s="14"/>
      <c r="H583" s="14"/>
      <c r="I583" s="14"/>
      <c r="J583" s="14"/>
      <c r="K583" s="14"/>
      <c r="M583" s="14"/>
    </row>
    <row r="584" spans="2:13" ht="12.75" customHeight="1" x14ac:dyDescent="0.25">
      <c r="B584" s="14"/>
      <c r="D584" s="14"/>
      <c r="E584" s="14"/>
      <c r="F584" s="14"/>
      <c r="G584" s="14"/>
      <c r="H584" s="14"/>
      <c r="I584" s="14"/>
      <c r="J584" s="14"/>
      <c r="K584" s="14"/>
      <c r="M584" s="14"/>
    </row>
    <row r="585" spans="2:13" ht="12.75" customHeight="1" x14ac:dyDescent="0.25">
      <c r="B585" s="14"/>
      <c r="D585" s="14"/>
      <c r="E585" s="14"/>
      <c r="F585" s="14"/>
      <c r="G585" s="14"/>
      <c r="H585" s="14"/>
      <c r="I585" s="14"/>
      <c r="J585" s="14"/>
      <c r="K585" s="14"/>
      <c r="M585" s="14"/>
    </row>
    <row r="586" spans="2:13" ht="12.75" customHeight="1" x14ac:dyDescent="0.25">
      <c r="B586" s="14"/>
      <c r="D586" s="14"/>
      <c r="E586" s="14"/>
      <c r="F586" s="14"/>
      <c r="G586" s="14"/>
      <c r="H586" s="14"/>
      <c r="I586" s="14"/>
      <c r="J586" s="14"/>
      <c r="K586" s="14"/>
      <c r="M586" s="14"/>
    </row>
    <row r="587" spans="2:13" ht="12.75" customHeight="1" x14ac:dyDescent="0.25">
      <c r="B587" s="14"/>
      <c r="D587" s="14"/>
      <c r="E587" s="14"/>
      <c r="F587" s="14"/>
      <c r="G587" s="14"/>
      <c r="H587" s="14"/>
      <c r="I587" s="14"/>
      <c r="J587" s="14"/>
      <c r="K587" s="14"/>
      <c r="M587" s="14"/>
    </row>
    <row r="588" spans="2:13" ht="12.75" customHeight="1" x14ac:dyDescent="0.25">
      <c r="B588" s="14"/>
      <c r="D588" s="14"/>
      <c r="E588" s="14"/>
      <c r="F588" s="14"/>
      <c r="G588" s="14"/>
      <c r="H588" s="14"/>
      <c r="I588" s="14"/>
      <c r="J588" s="14"/>
      <c r="K588" s="14"/>
      <c r="M588" s="14"/>
    </row>
    <row r="589" spans="2:13" ht="12.75" customHeight="1" x14ac:dyDescent="0.25">
      <c r="B589" s="14"/>
      <c r="D589" s="14"/>
      <c r="E589" s="14"/>
      <c r="F589" s="14"/>
      <c r="G589" s="14"/>
      <c r="H589" s="14"/>
      <c r="I589" s="14"/>
      <c r="J589" s="14"/>
      <c r="K589" s="14"/>
      <c r="M589" s="14"/>
    </row>
    <row r="590" spans="2:13" ht="12.75" customHeight="1" x14ac:dyDescent="0.25">
      <c r="B590" s="14"/>
      <c r="D590" s="14"/>
      <c r="E590" s="14"/>
      <c r="F590" s="14"/>
      <c r="G590" s="14"/>
      <c r="H590" s="14"/>
      <c r="I590" s="14"/>
      <c r="J590" s="14"/>
      <c r="K590" s="14"/>
      <c r="M590" s="14"/>
    </row>
    <row r="591" spans="2:13" ht="12.75" customHeight="1" x14ac:dyDescent="0.25">
      <c r="B591" s="14"/>
      <c r="D591" s="14"/>
      <c r="E591" s="14"/>
      <c r="F591" s="14"/>
      <c r="G591" s="14"/>
      <c r="H591" s="14"/>
      <c r="I591" s="14"/>
      <c r="J591" s="14"/>
      <c r="K591" s="14"/>
      <c r="M591" s="14"/>
    </row>
    <row r="592" spans="2:13" ht="12.75" customHeight="1" x14ac:dyDescent="0.25">
      <c r="B592" s="14"/>
      <c r="D592" s="14"/>
      <c r="E592" s="14"/>
      <c r="F592" s="14"/>
      <c r="G592" s="14"/>
      <c r="H592" s="14"/>
      <c r="I592" s="14"/>
      <c r="J592" s="14"/>
      <c r="K592" s="14"/>
      <c r="M592" s="14"/>
    </row>
    <row r="593" spans="2:13" ht="12.75" customHeight="1" x14ac:dyDescent="0.25">
      <c r="B593" s="14"/>
      <c r="D593" s="14"/>
      <c r="E593" s="14"/>
      <c r="F593" s="14"/>
      <c r="G593" s="14"/>
      <c r="H593" s="14"/>
      <c r="I593" s="14"/>
      <c r="J593" s="14"/>
      <c r="K593" s="14"/>
      <c r="M593" s="14"/>
    </row>
    <row r="594" spans="2:13" ht="12.75" customHeight="1" x14ac:dyDescent="0.25">
      <c r="B594" s="14"/>
      <c r="D594" s="14"/>
      <c r="E594" s="14"/>
      <c r="F594" s="14"/>
      <c r="G594" s="14"/>
      <c r="H594" s="14"/>
      <c r="I594" s="14"/>
      <c r="J594" s="14"/>
      <c r="K594" s="14"/>
      <c r="M594" s="14"/>
    </row>
    <row r="595" spans="2:13" ht="12.75" customHeight="1" x14ac:dyDescent="0.25">
      <c r="B595" s="14"/>
      <c r="D595" s="14"/>
      <c r="E595" s="14"/>
      <c r="F595" s="14"/>
      <c r="G595" s="14"/>
      <c r="H595" s="14"/>
      <c r="I595" s="14"/>
      <c r="J595" s="14"/>
      <c r="K595" s="14"/>
      <c r="M595" s="14"/>
    </row>
    <row r="596" spans="2:13" ht="12.75" customHeight="1" x14ac:dyDescent="0.25">
      <c r="B596" s="14"/>
      <c r="D596" s="14"/>
      <c r="E596" s="14"/>
      <c r="F596" s="14"/>
      <c r="G596" s="14"/>
      <c r="H596" s="14"/>
      <c r="I596" s="14"/>
      <c r="J596" s="14"/>
      <c r="K596" s="14"/>
      <c r="M596" s="14"/>
    </row>
    <row r="597" spans="2:13" ht="12.75" customHeight="1" x14ac:dyDescent="0.25">
      <c r="B597" s="14"/>
      <c r="D597" s="14"/>
      <c r="E597" s="14"/>
      <c r="F597" s="14"/>
      <c r="G597" s="14"/>
      <c r="H597" s="14"/>
      <c r="I597" s="14"/>
      <c r="J597" s="14"/>
      <c r="K597" s="14"/>
      <c r="M597" s="14"/>
    </row>
    <row r="598" spans="2:13" ht="12.75" customHeight="1" x14ac:dyDescent="0.25">
      <c r="B598" s="14"/>
      <c r="D598" s="14"/>
      <c r="E598" s="14"/>
      <c r="F598" s="14"/>
      <c r="G598" s="14"/>
      <c r="H598" s="14"/>
      <c r="I598" s="14"/>
      <c r="J598" s="14"/>
      <c r="K598" s="14"/>
      <c r="M598" s="14"/>
    </row>
    <row r="599" spans="2:13" ht="12.75" customHeight="1" x14ac:dyDescent="0.25">
      <c r="B599" s="14"/>
      <c r="D599" s="14"/>
      <c r="E599" s="14"/>
      <c r="F599" s="14"/>
      <c r="G599" s="14"/>
      <c r="H599" s="14"/>
      <c r="I599" s="14"/>
      <c r="J599" s="14"/>
      <c r="K599" s="14"/>
      <c r="M599" s="14"/>
    </row>
    <row r="600" spans="2:13" ht="12.75" customHeight="1" x14ac:dyDescent="0.25">
      <c r="B600" s="14"/>
      <c r="D600" s="14"/>
      <c r="E600" s="14"/>
      <c r="F600" s="14"/>
      <c r="G600" s="14"/>
      <c r="H600" s="14"/>
      <c r="I600" s="14"/>
      <c r="J600" s="14"/>
      <c r="K600" s="14"/>
      <c r="M600" s="14"/>
    </row>
    <row r="601" spans="2:13" ht="12.75" customHeight="1" x14ac:dyDescent="0.25">
      <c r="B601" s="14"/>
      <c r="D601" s="14"/>
      <c r="E601" s="14"/>
      <c r="F601" s="14"/>
      <c r="G601" s="14"/>
      <c r="H601" s="14"/>
      <c r="I601" s="14"/>
      <c r="J601" s="14"/>
      <c r="K601" s="14"/>
      <c r="M601" s="14"/>
    </row>
    <row r="602" spans="2:13" ht="12.75" customHeight="1" x14ac:dyDescent="0.25">
      <c r="B602" s="14"/>
      <c r="D602" s="14"/>
      <c r="E602" s="14"/>
      <c r="F602" s="14"/>
      <c r="G602" s="14"/>
      <c r="H602" s="14"/>
      <c r="I602" s="14"/>
      <c r="J602" s="14"/>
      <c r="K602" s="14"/>
      <c r="M602" s="14"/>
    </row>
    <row r="603" spans="2:13" ht="12.75" customHeight="1" x14ac:dyDescent="0.25">
      <c r="B603" s="14"/>
      <c r="D603" s="14"/>
      <c r="E603" s="14"/>
      <c r="F603" s="14"/>
      <c r="G603" s="14"/>
      <c r="H603" s="14"/>
      <c r="I603" s="14"/>
      <c r="J603" s="14"/>
      <c r="K603" s="14"/>
      <c r="M603" s="14"/>
    </row>
    <row r="604" spans="2:13" ht="12.75" customHeight="1" x14ac:dyDescent="0.25">
      <c r="B604" s="14"/>
      <c r="D604" s="14"/>
      <c r="E604" s="14"/>
      <c r="F604" s="14"/>
      <c r="G604" s="14"/>
      <c r="H604" s="14"/>
      <c r="I604" s="14"/>
      <c r="J604" s="14"/>
      <c r="K604" s="14"/>
      <c r="M604" s="14"/>
    </row>
    <row r="605" spans="2:13" ht="12.75" customHeight="1" x14ac:dyDescent="0.25">
      <c r="B605" s="14"/>
      <c r="D605" s="14"/>
      <c r="E605" s="14"/>
      <c r="F605" s="14"/>
      <c r="G605" s="14"/>
      <c r="H605" s="14"/>
      <c r="I605" s="14"/>
      <c r="J605" s="14"/>
      <c r="K605" s="14"/>
      <c r="M605" s="14"/>
    </row>
    <row r="606" spans="2:13" ht="12.75" customHeight="1" x14ac:dyDescent="0.25">
      <c r="B606" s="14"/>
      <c r="D606" s="14"/>
      <c r="E606" s="14"/>
      <c r="F606" s="14"/>
      <c r="G606" s="14"/>
      <c r="H606" s="14"/>
      <c r="I606" s="14"/>
      <c r="J606" s="14"/>
      <c r="K606" s="14"/>
      <c r="M606" s="14"/>
    </row>
    <row r="607" spans="2:13" ht="12.75" customHeight="1" x14ac:dyDescent="0.25">
      <c r="B607" s="14"/>
      <c r="D607" s="14"/>
      <c r="E607" s="14"/>
      <c r="F607" s="14"/>
      <c r="G607" s="14"/>
      <c r="H607" s="14"/>
      <c r="I607" s="14"/>
      <c r="J607" s="14"/>
      <c r="K607" s="14"/>
      <c r="M607" s="14"/>
    </row>
    <row r="608" spans="2:13" ht="12.75" customHeight="1" x14ac:dyDescent="0.25">
      <c r="B608" s="14"/>
      <c r="D608" s="14"/>
      <c r="E608" s="14"/>
      <c r="F608" s="14"/>
      <c r="G608" s="14"/>
      <c r="H608" s="14"/>
      <c r="I608" s="14"/>
      <c r="J608" s="14"/>
      <c r="K608" s="14"/>
      <c r="M608" s="14"/>
    </row>
    <row r="609" spans="2:13" ht="12.75" customHeight="1" x14ac:dyDescent="0.25">
      <c r="B609" s="14"/>
      <c r="D609" s="14"/>
      <c r="E609" s="14"/>
      <c r="F609" s="14"/>
      <c r="G609" s="14"/>
      <c r="H609" s="14"/>
      <c r="I609" s="14"/>
      <c r="J609" s="14"/>
      <c r="K609" s="14"/>
      <c r="M609" s="14"/>
    </row>
    <row r="610" spans="2:13" ht="12.75" customHeight="1" x14ac:dyDescent="0.25">
      <c r="B610" s="14"/>
      <c r="D610" s="14"/>
      <c r="E610" s="14"/>
      <c r="F610" s="14"/>
      <c r="G610" s="14"/>
      <c r="H610" s="14"/>
      <c r="I610" s="14"/>
      <c r="J610" s="14"/>
      <c r="K610" s="14"/>
      <c r="M610" s="14"/>
    </row>
    <row r="611" spans="2:13" ht="12.75" customHeight="1" x14ac:dyDescent="0.25">
      <c r="B611" s="14"/>
      <c r="D611" s="14"/>
      <c r="E611" s="14"/>
      <c r="F611" s="14"/>
      <c r="G611" s="14"/>
      <c r="H611" s="14"/>
      <c r="I611" s="14"/>
      <c r="J611" s="14"/>
      <c r="K611" s="14"/>
      <c r="M611" s="14"/>
    </row>
    <row r="612" spans="2:13" ht="12.75" customHeight="1" x14ac:dyDescent="0.25">
      <c r="B612" s="14"/>
      <c r="D612" s="14"/>
      <c r="E612" s="14"/>
      <c r="F612" s="14"/>
      <c r="G612" s="14"/>
      <c r="H612" s="14"/>
      <c r="I612" s="14"/>
      <c r="J612" s="14"/>
      <c r="K612" s="14"/>
      <c r="M612" s="14"/>
    </row>
    <row r="613" spans="2:13" ht="12.75" customHeight="1" x14ac:dyDescent="0.25">
      <c r="B613" s="14"/>
      <c r="D613" s="14"/>
      <c r="E613" s="14"/>
      <c r="F613" s="14"/>
      <c r="G613" s="14"/>
      <c r="H613" s="14"/>
      <c r="I613" s="14"/>
      <c r="J613" s="14"/>
      <c r="K613" s="14"/>
      <c r="M613" s="14"/>
    </row>
    <row r="614" spans="2:13" ht="12.75" customHeight="1" x14ac:dyDescent="0.25">
      <c r="B614" s="14"/>
      <c r="D614" s="14"/>
      <c r="E614" s="14"/>
      <c r="F614" s="14"/>
      <c r="G614" s="14"/>
      <c r="H614" s="14"/>
      <c r="I614" s="14"/>
      <c r="J614" s="14"/>
      <c r="K614" s="14"/>
      <c r="M614" s="14"/>
    </row>
    <row r="615" spans="2:13" ht="12.75" customHeight="1" x14ac:dyDescent="0.25">
      <c r="B615" s="14"/>
      <c r="D615" s="14"/>
      <c r="E615" s="14"/>
      <c r="F615" s="14"/>
      <c r="G615" s="14"/>
      <c r="H615" s="14"/>
      <c r="I615" s="14"/>
      <c r="J615" s="14"/>
      <c r="K615" s="14"/>
      <c r="M615" s="14"/>
    </row>
    <row r="616" spans="2:13" ht="12.75" customHeight="1" x14ac:dyDescent="0.25">
      <c r="B616" s="14"/>
      <c r="D616" s="14"/>
      <c r="E616" s="14"/>
      <c r="F616" s="14"/>
      <c r="G616" s="14"/>
      <c r="H616" s="14"/>
      <c r="I616" s="14"/>
      <c r="J616" s="14"/>
      <c r="K616" s="14"/>
      <c r="M616" s="14"/>
    </row>
    <row r="617" spans="2:13" ht="12.75" customHeight="1" x14ac:dyDescent="0.25">
      <c r="B617" s="14"/>
      <c r="D617" s="14"/>
      <c r="E617" s="14"/>
      <c r="F617" s="14"/>
      <c r="G617" s="14"/>
      <c r="H617" s="14"/>
      <c r="I617" s="14"/>
      <c r="J617" s="14"/>
      <c r="K617" s="14"/>
      <c r="M617" s="14"/>
    </row>
    <row r="618" spans="2:13" ht="12.75" customHeight="1" x14ac:dyDescent="0.25">
      <c r="B618" s="14"/>
      <c r="D618" s="14"/>
      <c r="E618" s="14"/>
      <c r="F618" s="14"/>
      <c r="G618" s="14"/>
      <c r="H618" s="14"/>
      <c r="I618" s="14"/>
      <c r="J618" s="14"/>
      <c r="K618" s="14"/>
      <c r="M618" s="14"/>
    </row>
    <row r="619" spans="2:13" ht="12.75" customHeight="1" x14ac:dyDescent="0.25">
      <c r="B619" s="14"/>
      <c r="D619" s="14"/>
      <c r="E619" s="14"/>
      <c r="F619" s="14"/>
      <c r="G619" s="14"/>
      <c r="H619" s="14"/>
      <c r="I619" s="14"/>
      <c r="J619" s="14"/>
      <c r="K619" s="14"/>
      <c r="M619" s="14"/>
    </row>
    <row r="620" spans="2:13" ht="12.75" customHeight="1" x14ac:dyDescent="0.25">
      <c r="B620" s="14"/>
      <c r="D620" s="14"/>
      <c r="E620" s="14"/>
      <c r="F620" s="14"/>
      <c r="G620" s="14"/>
      <c r="H620" s="14"/>
      <c r="I620" s="14"/>
      <c r="J620" s="14"/>
      <c r="K620" s="14"/>
      <c r="M620" s="14"/>
    </row>
    <row r="621" spans="2:13" ht="12.75" customHeight="1" x14ac:dyDescent="0.25">
      <c r="B621" s="14"/>
      <c r="D621" s="14"/>
      <c r="E621" s="14"/>
      <c r="F621" s="14"/>
      <c r="G621" s="14"/>
      <c r="H621" s="14"/>
      <c r="I621" s="14"/>
      <c r="J621" s="14"/>
      <c r="K621" s="14"/>
      <c r="M621" s="14"/>
    </row>
    <row r="622" spans="2:13" ht="12.75" customHeight="1" x14ac:dyDescent="0.25">
      <c r="B622" s="14"/>
      <c r="D622" s="14"/>
      <c r="E622" s="14"/>
      <c r="F622" s="14"/>
      <c r="G622" s="14"/>
      <c r="H622" s="14"/>
      <c r="I622" s="14"/>
      <c r="J622" s="14"/>
      <c r="K622" s="14"/>
      <c r="M622" s="14"/>
    </row>
    <row r="623" spans="2:13" ht="12.75" customHeight="1" x14ac:dyDescent="0.25">
      <c r="B623" s="14"/>
      <c r="D623" s="14"/>
      <c r="E623" s="14"/>
      <c r="F623" s="14"/>
      <c r="G623" s="14"/>
      <c r="H623" s="14"/>
      <c r="I623" s="14"/>
      <c r="J623" s="14"/>
      <c r="K623" s="14"/>
      <c r="M623" s="14"/>
    </row>
    <row r="624" spans="2:13" ht="12.75" customHeight="1" x14ac:dyDescent="0.25">
      <c r="B624" s="14"/>
      <c r="D624" s="14"/>
      <c r="E624" s="14"/>
      <c r="F624" s="14"/>
      <c r="G624" s="14"/>
      <c r="H624" s="14"/>
      <c r="I624" s="14"/>
      <c r="J624" s="14"/>
      <c r="K624" s="14"/>
      <c r="M624" s="14"/>
    </row>
    <row r="625" spans="2:13" ht="12.75" customHeight="1" x14ac:dyDescent="0.25">
      <c r="B625" s="14"/>
      <c r="D625" s="14"/>
      <c r="E625" s="14"/>
      <c r="F625" s="14"/>
      <c r="G625" s="14"/>
      <c r="H625" s="14"/>
      <c r="I625" s="14"/>
      <c r="J625" s="14"/>
      <c r="K625" s="14"/>
      <c r="M625" s="14"/>
    </row>
    <row r="626" spans="2:13" ht="12.75" customHeight="1" x14ac:dyDescent="0.25">
      <c r="B626" s="14"/>
      <c r="D626" s="14"/>
      <c r="E626" s="14"/>
      <c r="F626" s="14"/>
      <c r="G626" s="14"/>
      <c r="H626" s="14"/>
      <c r="I626" s="14"/>
      <c r="J626" s="14"/>
      <c r="K626" s="14"/>
      <c r="M626" s="14"/>
    </row>
    <row r="627" spans="2:13" ht="12.75" customHeight="1" x14ac:dyDescent="0.25">
      <c r="B627" s="14"/>
      <c r="D627" s="14"/>
      <c r="E627" s="14"/>
      <c r="F627" s="14"/>
      <c r="G627" s="14"/>
      <c r="H627" s="14"/>
      <c r="I627" s="14"/>
      <c r="J627" s="14"/>
      <c r="K627" s="14"/>
      <c r="M627" s="14"/>
    </row>
    <row r="628" spans="2:13" ht="12.75" customHeight="1" x14ac:dyDescent="0.25">
      <c r="B628" s="14"/>
      <c r="D628" s="14"/>
      <c r="E628" s="14"/>
      <c r="F628" s="14"/>
      <c r="G628" s="14"/>
      <c r="H628" s="14"/>
      <c r="I628" s="14"/>
      <c r="J628" s="14"/>
      <c r="K628" s="14"/>
      <c r="M628" s="14"/>
    </row>
    <row r="629" spans="2:13" ht="12.75" customHeight="1" x14ac:dyDescent="0.25">
      <c r="B629" s="14"/>
      <c r="D629" s="14"/>
      <c r="E629" s="14"/>
      <c r="F629" s="14"/>
      <c r="G629" s="14"/>
      <c r="H629" s="14"/>
      <c r="I629" s="14"/>
      <c r="J629" s="14"/>
      <c r="K629" s="14"/>
      <c r="M629" s="14"/>
    </row>
    <row r="630" spans="2:13" ht="12.75" customHeight="1" x14ac:dyDescent="0.25">
      <c r="B630" s="14"/>
      <c r="D630" s="14"/>
      <c r="E630" s="14"/>
      <c r="F630" s="14"/>
      <c r="G630" s="14"/>
      <c r="H630" s="14"/>
      <c r="I630" s="14"/>
      <c r="J630" s="14"/>
      <c r="K630" s="14"/>
      <c r="M630" s="14"/>
    </row>
    <row r="631" spans="2:13" ht="12.75" customHeight="1" x14ac:dyDescent="0.25">
      <c r="B631" s="14"/>
      <c r="D631" s="14"/>
      <c r="E631" s="14"/>
      <c r="F631" s="14"/>
      <c r="G631" s="14"/>
      <c r="H631" s="14"/>
      <c r="I631" s="14"/>
      <c r="J631" s="14"/>
      <c r="K631" s="14"/>
      <c r="M631" s="14"/>
    </row>
    <row r="632" spans="2:13" ht="12.75" customHeight="1" x14ac:dyDescent="0.25">
      <c r="B632" s="14"/>
      <c r="D632" s="14"/>
      <c r="E632" s="14"/>
      <c r="F632" s="14"/>
      <c r="G632" s="14"/>
      <c r="H632" s="14"/>
      <c r="I632" s="14"/>
      <c r="J632" s="14"/>
      <c r="K632" s="14"/>
      <c r="M632" s="14"/>
    </row>
    <row r="633" spans="2:13" ht="12.75" customHeight="1" x14ac:dyDescent="0.25">
      <c r="B633" s="14"/>
      <c r="D633" s="14"/>
      <c r="E633" s="14"/>
      <c r="F633" s="14"/>
      <c r="G633" s="14"/>
      <c r="H633" s="14"/>
      <c r="I633" s="14"/>
      <c r="J633" s="14"/>
      <c r="K633" s="14"/>
      <c r="M633" s="14"/>
    </row>
    <row r="634" spans="2:13" ht="12.75" customHeight="1" x14ac:dyDescent="0.25">
      <c r="B634" s="14"/>
      <c r="D634" s="14"/>
      <c r="E634" s="14"/>
      <c r="F634" s="14"/>
      <c r="G634" s="14"/>
      <c r="H634" s="14"/>
      <c r="I634" s="14"/>
      <c r="J634" s="14"/>
      <c r="K634" s="14"/>
      <c r="M634" s="14"/>
    </row>
    <row r="635" spans="2:13" ht="12.75" customHeight="1" x14ac:dyDescent="0.25">
      <c r="B635" s="14"/>
      <c r="D635" s="14"/>
      <c r="E635" s="14"/>
      <c r="F635" s="14"/>
      <c r="G635" s="14"/>
      <c r="H635" s="14"/>
      <c r="I635" s="14"/>
      <c r="J635" s="14"/>
      <c r="K635" s="14"/>
      <c r="M635" s="14"/>
    </row>
    <row r="636" spans="2:13" ht="12.75" customHeight="1" x14ac:dyDescent="0.25">
      <c r="B636" s="14"/>
      <c r="D636" s="14"/>
      <c r="E636" s="14"/>
      <c r="F636" s="14"/>
      <c r="G636" s="14"/>
      <c r="H636" s="14"/>
      <c r="I636" s="14"/>
      <c r="J636" s="14"/>
      <c r="K636" s="14"/>
      <c r="M636" s="14"/>
    </row>
    <row r="637" spans="2:13" ht="12.75" customHeight="1" x14ac:dyDescent="0.25">
      <c r="B637" s="14"/>
      <c r="D637" s="14"/>
      <c r="E637" s="14"/>
      <c r="F637" s="14"/>
      <c r="G637" s="14"/>
      <c r="H637" s="14"/>
      <c r="I637" s="14"/>
      <c r="J637" s="14"/>
      <c r="K637" s="14"/>
      <c r="M637" s="14"/>
    </row>
    <row r="638" spans="2:13" ht="12.75" customHeight="1" x14ac:dyDescent="0.25">
      <c r="B638" s="14"/>
      <c r="D638" s="14"/>
      <c r="E638" s="14"/>
      <c r="F638" s="14"/>
      <c r="G638" s="14"/>
      <c r="H638" s="14"/>
      <c r="I638" s="14"/>
      <c r="J638" s="14"/>
      <c r="K638" s="14"/>
      <c r="M638" s="14"/>
    </row>
    <row r="639" spans="2:13" ht="12.75" customHeight="1" x14ac:dyDescent="0.25">
      <c r="B639" s="14"/>
      <c r="D639" s="14"/>
      <c r="E639" s="14"/>
      <c r="F639" s="14"/>
      <c r="G639" s="14"/>
      <c r="H639" s="14"/>
      <c r="I639" s="14"/>
      <c r="J639" s="14"/>
      <c r="K639" s="14"/>
      <c r="M639" s="14"/>
    </row>
    <row r="640" spans="2:13" ht="12.75" customHeight="1" x14ac:dyDescent="0.25">
      <c r="B640" s="14"/>
      <c r="D640" s="14"/>
      <c r="E640" s="14"/>
      <c r="F640" s="14"/>
      <c r="G640" s="14"/>
      <c r="H640" s="14"/>
      <c r="I640" s="14"/>
      <c r="J640" s="14"/>
      <c r="K640" s="14"/>
      <c r="M640" s="14"/>
    </row>
    <row r="641" spans="2:13" ht="12.75" customHeight="1" x14ac:dyDescent="0.25">
      <c r="B641" s="14"/>
      <c r="D641" s="14"/>
      <c r="E641" s="14"/>
      <c r="F641" s="14"/>
      <c r="G641" s="14"/>
      <c r="H641" s="14"/>
      <c r="I641" s="14"/>
      <c r="J641" s="14"/>
      <c r="K641" s="14"/>
      <c r="M641" s="14"/>
    </row>
    <row r="642" spans="2:13" ht="12.75" customHeight="1" x14ac:dyDescent="0.25">
      <c r="B642" s="14"/>
      <c r="D642" s="14"/>
      <c r="E642" s="14"/>
      <c r="F642" s="14"/>
      <c r="G642" s="14"/>
      <c r="H642" s="14"/>
      <c r="I642" s="14"/>
      <c r="J642" s="14"/>
      <c r="K642" s="14"/>
      <c r="M642" s="14"/>
    </row>
    <row r="643" spans="2:13" ht="12.75" customHeight="1" x14ac:dyDescent="0.25">
      <c r="B643" s="14"/>
      <c r="D643" s="14"/>
      <c r="E643" s="14"/>
      <c r="F643" s="14"/>
      <c r="G643" s="14"/>
      <c r="H643" s="14"/>
      <c r="I643" s="14"/>
      <c r="J643" s="14"/>
      <c r="K643" s="14"/>
      <c r="M643" s="14"/>
    </row>
    <row r="644" spans="2:13" ht="12.75" customHeight="1" x14ac:dyDescent="0.25">
      <c r="B644" s="14"/>
      <c r="D644" s="14"/>
      <c r="E644" s="14"/>
      <c r="F644" s="14"/>
      <c r="G644" s="14"/>
      <c r="H644" s="14"/>
      <c r="I644" s="14"/>
      <c r="J644" s="14"/>
      <c r="K644" s="14"/>
      <c r="M644" s="14"/>
    </row>
    <row r="645" spans="2:13" ht="12.75" customHeight="1" x14ac:dyDescent="0.25">
      <c r="B645" s="14"/>
      <c r="D645" s="14"/>
      <c r="E645" s="14"/>
      <c r="F645" s="14"/>
      <c r="G645" s="14"/>
      <c r="H645" s="14"/>
      <c r="I645" s="14"/>
      <c r="J645" s="14"/>
      <c r="K645" s="14"/>
      <c r="M645" s="14"/>
    </row>
    <row r="646" spans="2:13" ht="12.75" customHeight="1" x14ac:dyDescent="0.25">
      <c r="B646" s="14"/>
      <c r="D646" s="14"/>
      <c r="E646" s="14"/>
      <c r="F646" s="14"/>
      <c r="G646" s="14"/>
      <c r="H646" s="14"/>
      <c r="I646" s="14"/>
      <c r="J646" s="14"/>
      <c r="K646" s="14"/>
      <c r="M646" s="14"/>
    </row>
    <row r="647" spans="2:13" ht="12.75" customHeight="1" x14ac:dyDescent="0.25">
      <c r="B647" s="14"/>
      <c r="D647" s="14"/>
      <c r="E647" s="14"/>
      <c r="F647" s="14"/>
      <c r="G647" s="14"/>
      <c r="H647" s="14"/>
      <c r="I647" s="14"/>
      <c r="J647" s="14"/>
      <c r="K647" s="14"/>
      <c r="M647" s="14"/>
    </row>
    <row r="648" spans="2:13" ht="12.75" customHeight="1" x14ac:dyDescent="0.25">
      <c r="B648" s="14"/>
      <c r="D648" s="14"/>
      <c r="E648" s="14"/>
      <c r="F648" s="14"/>
      <c r="G648" s="14"/>
      <c r="H648" s="14"/>
      <c r="I648" s="14"/>
      <c r="J648" s="14"/>
      <c r="K648" s="14"/>
      <c r="M648" s="14"/>
    </row>
    <row r="649" spans="2:13" ht="12.75" customHeight="1" x14ac:dyDescent="0.25">
      <c r="B649" s="14"/>
      <c r="D649" s="14"/>
      <c r="E649" s="14"/>
      <c r="F649" s="14"/>
      <c r="G649" s="14"/>
      <c r="H649" s="14"/>
      <c r="I649" s="14"/>
      <c r="J649" s="14"/>
      <c r="K649" s="14"/>
      <c r="M649" s="14"/>
    </row>
    <row r="650" spans="2:13" ht="12.75" customHeight="1" x14ac:dyDescent="0.25">
      <c r="B650" s="14"/>
      <c r="D650" s="14"/>
      <c r="E650" s="14"/>
      <c r="F650" s="14"/>
      <c r="G650" s="14"/>
      <c r="H650" s="14"/>
      <c r="I650" s="14"/>
      <c r="J650" s="14"/>
      <c r="K650" s="14"/>
      <c r="M650" s="14"/>
    </row>
    <row r="651" spans="2:13" ht="12.75" customHeight="1" x14ac:dyDescent="0.25">
      <c r="B651" s="14"/>
      <c r="D651" s="14"/>
      <c r="E651" s="14"/>
      <c r="F651" s="14"/>
      <c r="G651" s="14"/>
      <c r="H651" s="14"/>
      <c r="I651" s="14"/>
      <c r="J651" s="14"/>
      <c r="K651" s="14"/>
      <c r="M651" s="14"/>
    </row>
    <row r="652" spans="2:13" ht="12.75" customHeight="1" x14ac:dyDescent="0.25">
      <c r="B652" s="14"/>
      <c r="D652" s="14"/>
      <c r="E652" s="14"/>
      <c r="F652" s="14"/>
      <c r="G652" s="14"/>
      <c r="H652" s="14"/>
      <c r="I652" s="14"/>
      <c r="J652" s="14"/>
      <c r="K652" s="14"/>
      <c r="M652" s="14"/>
    </row>
    <row r="653" spans="2:13" ht="12.75" customHeight="1" x14ac:dyDescent="0.25">
      <c r="B653" s="14"/>
      <c r="D653" s="14"/>
      <c r="E653" s="14"/>
      <c r="F653" s="14"/>
      <c r="G653" s="14"/>
      <c r="H653" s="14"/>
      <c r="I653" s="14"/>
      <c r="J653" s="14"/>
      <c r="K653" s="14"/>
      <c r="M653" s="14"/>
    </row>
    <row r="654" spans="2:13" ht="12.75" customHeight="1" x14ac:dyDescent="0.25">
      <c r="B654" s="14"/>
      <c r="D654" s="14"/>
      <c r="E654" s="14"/>
      <c r="F654" s="14"/>
      <c r="G654" s="14"/>
      <c r="H654" s="14"/>
      <c r="I654" s="14"/>
      <c r="J654" s="14"/>
      <c r="K654" s="14"/>
      <c r="M654" s="14"/>
    </row>
    <row r="655" spans="2:13" ht="12.75" customHeight="1" x14ac:dyDescent="0.25">
      <c r="B655" s="14"/>
      <c r="D655" s="14"/>
      <c r="E655" s="14"/>
      <c r="F655" s="14"/>
      <c r="G655" s="14"/>
      <c r="H655" s="14"/>
      <c r="I655" s="14"/>
      <c r="J655" s="14"/>
      <c r="K655" s="14"/>
      <c r="M655" s="14"/>
    </row>
    <row r="656" spans="2:13" ht="12.75" customHeight="1" x14ac:dyDescent="0.25">
      <c r="B656" s="14"/>
      <c r="D656" s="14"/>
      <c r="E656" s="14"/>
      <c r="F656" s="14"/>
      <c r="G656" s="14"/>
      <c r="H656" s="14"/>
      <c r="I656" s="14"/>
      <c r="J656" s="14"/>
      <c r="K656" s="14"/>
      <c r="M656" s="14"/>
    </row>
    <row r="657" spans="2:13" ht="12.75" customHeight="1" x14ac:dyDescent="0.25">
      <c r="B657" s="14"/>
      <c r="D657" s="14"/>
      <c r="E657" s="14"/>
      <c r="F657" s="14"/>
      <c r="G657" s="14"/>
      <c r="H657" s="14"/>
      <c r="I657" s="14"/>
      <c r="J657" s="14"/>
      <c r="K657" s="14"/>
      <c r="M657" s="14"/>
    </row>
    <row r="658" spans="2:13" ht="12.75" customHeight="1" x14ac:dyDescent="0.25">
      <c r="B658" s="14"/>
      <c r="D658" s="14"/>
      <c r="E658" s="14"/>
      <c r="F658" s="14"/>
      <c r="G658" s="14"/>
      <c r="H658" s="14"/>
      <c r="I658" s="14"/>
      <c r="J658" s="14"/>
      <c r="K658" s="14"/>
      <c r="M658" s="14"/>
    </row>
    <row r="659" spans="2:13" ht="12.75" customHeight="1" x14ac:dyDescent="0.25">
      <c r="B659" s="14"/>
      <c r="D659" s="14"/>
      <c r="E659" s="14"/>
      <c r="F659" s="14"/>
      <c r="G659" s="14"/>
      <c r="H659" s="14"/>
      <c r="I659" s="14"/>
      <c r="J659" s="14"/>
      <c r="K659" s="14"/>
      <c r="M659" s="14"/>
    </row>
    <row r="660" spans="2:13" ht="12.75" customHeight="1" x14ac:dyDescent="0.25">
      <c r="B660" s="14"/>
      <c r="D660" s="14"/>
      <c r="E660" s="14"/>
      <c r="F660" s="14"/>
      <c r="G660" s="14"/>
      <c r="H660" s="14"/>
      <c r="I660" s="14"/>
      <c r="J660" s="14"/>
      <c r="K660" s="14"/>
      <c r="M660" s="14"/>
    </row>
    <row r="661" spans="2:13" ht="12.75" customHeight="1" x14ac:dyDescent="0.25">
      <c r="B661" s="14"/>
      <c r="D661" s="14"/>
      <c r="E661" s="14"/>
      <c r="F661" s="14"/>
      <c r="G661" s="14"/>
      <c r="H661" s="14"/>
      <c r="I661" s="14"/>
      <c r="J661" s="14"/>
      <c r="K661" s="14"/>
      <c r="M661" s="14"/>
    </row>
    <row r="662" spans="2:13" ht="12.75" customHeight="1" x14ac:dyDescent="0.25">
      <c r="B662" s="14"/>
      <c r="D662" s="14"/>
      <c r="E662" s="14"/>
      <c r="F662" s="14"/>
      <c r="G662" s="14"/>
      <c r="H662" s="14"/>
      <c r="I662" s="14"/>
      <c r="J662" s="14"/>
      <c r="K662" s="14"/>
      <c r="M662" s="14"/>
    </row>
    <row r="663" spans="2:13" ht="12.75" customHeight="1" x14ac:dyDescent="0.25">
      <c r="B663" s="14"/>
      <c r="D663" s="14"/>
      <c r="E663" s="14"/>
      <c r="F663" s="14"/>
      <c r="G663" s="14"/>
      <c r="H663" s="14"/>
      <c r="I663" s="14"/>
      <c r="J663" s="14"/>
      <c r="K663" s="14"/>
      <c r="M663" s="14"/>
    </row>
    <row r="664" spans="2:13" ht="12.75" customHeight="1" x14ac:dyDescent="0.25">
      <c r="B664" s="14"/>
      <c r="D664" s="14"/>
      <c r="E664" s="14"/>
      <c r="F664" s="14"/>
      <c r="G664" s="14"/>
      <c r="H664" s="14"/>
      <c r="I664" s="14"/>
      <c r="J664" s="14"/>
      <c r="K664" s="14"/>
      <c r="M664" s="14"/>
    </row>
    <row r="665" spans="2:13" ht="12.75" customHeight="1" x14ac:dyDescent="0.25">
      <c r="B665" s="14"/>
      <c r="D665" s="14"/>
      <c r="E665" s="14"/>
      <c r="F665" s="14"/>
      <c r="G665" s="14"/>
      <c r="H665" s="14"/>
      <c r="I665" s="14"/>
      <c r="J665" s="14"/>
      <c r="K665" s="14"/>
      <c r="M665" s="14"/>
    </row>
    <row r="666" spans="2:13" ht="12.75" customHeight="1" x14ac:dyDescent="0.25">
      <c r="B666" s="14"/>
      <c r="D666" s="14"/>
      <c r="E666" s="14"/>
      <c r="F666" s="14"/>
      <c r="G666" s="14"/>
      <c r="H666" s="14"/>
      <c r="I666" s="14"/>
      <c r="J666" s="14"/>
      <c r="K666" s="14"/>
      <c r="M666" s="14"/>
    </row>
    <row r="667" spans="2:13" ht="12.75" customHeight="1" x14ac:dyDescent="0.25">
      <c r="B667" s="14"/>
      <c r="D667" s="14"/>
      <c r="E667" s="14"/>
      <c r="F667" s="14"/>
      <c r="G667" s="14"/>
      <c r="H667" s="14"/>
      <c r="I667" s="14"/>
      <c r="J667" s="14"/>
      <c r="K667" s="14"/>
      <c r="M667" s="14"/>
    </row>
    <row r="668" spans="2:13" ht="12.75" customHeight="1" x14ac:dyDescent="0.25">
      <c r="B668" s="14"/>
      <c r="D668" s="14"/>
      <c r="E668" s="14"/>
      <c r="F668" s="14"/>
      <c r="G668" s="14"/>
      <c r="H668" s="14"/>
      <c r="I668" s="14"/>
      <c r="J668" s="14"/>
      <c r="K668" s="14"/>
      <c r="M668" s="14"/>
    </row>
    <row r="669" spans="2:13" ht="12.75" customHeight="1" x14ac:dyDescent="0.25">
      <c r="B669" s="14"/>
      <c r="D669" s="14"/>
      <c r="E669" s="14"/>
      <c r="F669" s="14"/>
      <c r="G669" s="14"/>
      <c r="H669" s="14"/>
      <c r="I669" s="14"/>
      <c r="J669" s="14"/>
      <c r="K669" s="14"/>
      <c r="M669" s="14"/>
    </row>
    <row r="670" spans="2:13" ht="12.75" customHeight="1" x14ac:dyDescent="0.25">
      <c r="B670" s="14"/>
      <c r="D670" s="14"/>
      <c r="E670" s="14"/>
      <c r="F670" s="14"/>
      <c r="G670" s="14"/>
      <c r="H670" s="14"/>
      <c r="I670" s="14"/>
      <c r="J670" s="14"/>
      <c r="K670" s="14"/>
      <c r="M670" s="14"/>
    </row>
    <row r="671" spans="2:13" ht="12.75" customHeight="1" x14ac:dyDescent="0.25">
      <c r="B671" s="14"/>
      <c r="D671" s="14"/>
      <c r="E671" s="14"/>
      <c r="F671" s="14"/>
      <c r="G671" s="14"/>
      <c r="H671" s="14"/>
      <c r="I671" s="14"/>
      <c r="J671" s="14"/>
      <c r="K671" s="14"/>
      <c r="M671" s="14"/>
    </row>
    <row r="672" spans="2:13" ht="12.75" customHeight="1" x14ac:dyDescent="0.25">
      <c r="B672" s="14"/>
      <c r="D672" s="14"/>
      <c r="E672" s="14"/>
      <c r="F672" s="14"/>
      <c r="G672" s="14"/>
      <c r="H672" s="14"/>
      <c r="I672" s="14"/>
      <c r="J672" s="14"/>
      <c r="K672" s="14"/>
      <c r="M672" s="14"/>
    </row>
    <row r="673" spans="2:13" ht="12.75" customHeight="1" x14ac:dyDescent="0.25">
      <c r="B673" s="14"/>
      <c r="D673" s="14"/>
      <c r="E673" s="14"/>
      <c r="F673" s="14"/>
      <c r="G673" s="14"/>
      <c r="H673" s="14"/>
      <c r="I673" s="14"/>
      <c r="J673" s="14"/>
      <c r="K673" s="14"/>
      <c r="M673" s="14"/>
    </row>
    <row r="674" spans="2:13" ht="12.75" customHeight="1" x14ac:dyDescent="0.25">
      <c r="B674" s="14"/>
      <c r="D674" s="14"/>
      <c r="E674" s="14"/>
      <c r="F674" s="14"/>
      <c r="G674" s="14"/>
      <c r="H674" s="14"/>
      <c r="I674" s="14"/>
      <c r="J674" s="14"/>
      <c r="K674" s="14"/>
      <c r="M674" s="14"/>
    </row>
    <row r="675" spans="2:13" ht="12.75" customHeight="1" x14ac:dyDescent="0.25">
      <c r="B675" s="14"/>
      <c r="D675" s="14"/>
      <c r="E675" s="14"/>
      <c r="F675" s="14"/>
      <c r="G675" s="14"/>
      <c r="H675" s="14"/>
      <c r="I675" s="14"/>
      <c r="J675" s="14"/>
      <c r="K675" s="14"/>
      <c r="M675" s="14"/>
    </row>
    <row r="676" spans="2:13" ht="12.75" customHeight="1" x14ac:dyDescent="0.25">
      <c r="B676" s="14"/>
      <c r="D676" s="14"/>
      <c r="E676" s="14"/>
      <c r="F676" s="14"/>
      <c r="G676" s="14"/>
      <c r="H676" s="14"/>
      <c r="I676" s="14"/>
      <c r="J676" s="14"/>
      <c r="K676" s="14"/>
      <c r="M676" s="14"/>
    </row>
    <row r="677" spans="2:13" ht="12.75" customHeight="1" x14ac:dyDescent="0.25">
      <c r="B677" s="14"/>
      <c r="D677" s="14"/>
      <c r="E677" s="14"/>
      <c r="F677" s="14"/>
      <c r="G677" s="14"/>
      <c r="H677" s="14"/>
      <c r="I677" s="14"/>
      <c r="J677" s="14"/>
      <c r="K677" s="14"/>
      <c r="M677" s="14"/>
    </row>
    <row r="678" spans="2:13" ht="12.75" customHeight="1" x14ac:dyDescent="0.25">
      <c r="B678" s="14"/>
      <c r="D678" s="14"/>
      <c r="E678" s="14"/>
      <c r="F678" s="14"/>
      <c r="G678" s="14"/>
      <c r="H678" s="14"/>
      <c r="I678" s="14"/>
      <c r="J678" s="14"/>
      <c r="K678" s="14"/>
      <c r="M678" s="14"/>
    </row>
    <row r="679" spans="2:13" ht="12.75" customHeight="1" x14ac:dyDescent="0.25">
      <c r="B679" s="14"/>
      <c r="D679" s="14"/>
      <c r="E679" s="14"/>
      <c r="F679" s="14"/>
      <c r="G679" s="14"/>
      <c r="H679" s="14"/>
      <c r="I679" s="14"/>
      <c r="J679" s="14"/>
      <c r="K679" s="14"/>
      <c r="M679" s="14"/>
    </row>
    <row r="680" spans="2:13" ht="12.75" customHeight="1" x14ac:dyDescent="0.25">
      <c r="B680" s="14"/>
      <c r="D680" s="14"/>
      <c r="E680" s="14"/>
      <c r="F680" s="14"/>
      <c r="G680" s="14"/>
      <c r="H680" s="14"/>
      <c r="I680" s="14"/>
      <c r="J680" s="14"/>
      <c r="K680" s="14"/>
      <c r="M680" s="14"/>
    </row>
    <row r="681" spans="2:13" ht="12.75" customHeight="1" x14ac:dyDescent="0.25">
      <c r="B681" s="14"/>
      <c r="D681" s="14"/>
      <c r="E681" s="14"/>
      <c r="F681" s="14"/>
      <c r="G681" s="14"/>
      <c r="H681" s="14"/>
      <c r="I681" s="14"/>
      <c r="J681" s="14"/>
      <c r="K681" s="14"/>
      <c r="M681" s="14"/>
    </row>
    <row r="682" spans="2:13" ht="12.75" customHeight="1" x14ac:dyDescent="0.25">
      <c r="B682" s="14"/>
      <c r="D682" s="14"/>
      <c r="E682" s="14"/>
      <c r="F682" s="14"/>
      <c r="G682" s="14"/>
      <c r="H682" s="14"/>
      <c r="I682" s="14"/>
      <c r="J682" s="14"/>
      <c r="K682" s="14"/>
      <c r="M682" s="14"/>
    </row>
    <row r="683" spans="2:13" ht="12.75" customHeight="1" x14ac:dyDescent="0.25">
      <c r="B683" s="14"/>
      <c r="D683" s="14"/>
      <c r="E683" s="14"/>
      <c r="F683" s="14"/>
      <c r="G683" s="14"/>
      <c r="H683" s="14"/>
      <c r="I683" s="14"/>
      <c r="J683" s="14"/>
      <c r="K683" s="14"/>
      <c r="M683" s="14"/>
    </row>
    <row r="684" spans="2:13" ht="12.75" customHeight="1" x14ac:dyDescent="0.25">
      <c r="B684" s="14"/>
      <c r="D684" s="14"/>
      <c r="E684" s="14"/>
      <c r="F684" s="14"/>
      <c r="G684" s="14"/>
      <c r="H684" s="14"/>
      <c r="I684" s="14"/>
      <c r="J684" s="14"/>
      <c r="K684" s="14"/>
      <c r="M684" s="14"/>
    </row>
    <row r="685" spans="2:13" ht="12.75" customHeight="1" x14ac:dyDescent="0.25">
      <c r="B685" s="14"/>
      <c r="D685" s="14"/>
      <c r="E685" s="14"/>
      <c r="F685" s="14"/>
      <c r="G685" s="14"/>
      <c r="H685" s="14"/>
      <c r="I685" s="14"/>
      <c r="J685" s="14"/>
      <c r="K685" s="14"/>
      <c r="M685" s="14"/>
    </row>
    <row r="686" spans="2:13" ht="12.75" customHeight="1" x14ac:dyDescent="0.25">
      <c r="B686" s="14"/>
      <c r="D686" s="14"/>
      <c r="E686" s="14"/>
      <c r="F686" s="14"/>
      <c r="G686" s="14"/>
      <c r="H686" s="14"/>
      <c r="I686" s="14"/>
      <c r="J686" s="14"/>
      <c r="K686" s="14"/>
      <c r="M686" s="14"/>
    </row>
    <row r="687" spans="2:13" ht="12.75" customHeight="1" x14ac:dyDescent="0.25">
      <c r="B687" s="14"/>
      <c r="D687" s="14"/>
      <c r="E687" s="14"/>
      <c r="F687" s="14"/>
      <c r="G687" s="14"/>
      <c r="H687" s="14"/>
      <c r="I687" s="14"/>
      <c r="J687" s="14"/>
      <c r="K687" s="14"/>
      <c r="M687" s="14"/>
    </row>
    <row r="688" spans="2:13" ht="12.75" customHeight="1" x14ac:dyDescent="0.25">
      <c r="B688" s="14"/>
      <c r="D688" s="14"/>
      <c r="E688" s="14"/>
      <c r="F688" s="14"/>
      <c r="G688" s="14"/>
      <c r="H688" s="14"/>
      <c r="I688" s="14"/>
      <c r="J688" s="14"/>
      <c r="K688" s="14"/>
      <c r="M688" s="14"/>
    </row>
    <row r="689" spans="2:13" ht="12.75" customHeight="1" x14ac:dyDescent="0.25">
      <c r="B689" s="14"/>
      <c r="D689" s="14"/>
      <c r="E689" s="14"/>
      <c r="F689" s="14"/>
      <c r="G689" s="14"/>
      <c r="H689" s="14"/>
      <c r="I689" s="14"/>
      <c r="J689" s="14"/>
      <c r="K689" s="14"/>
      <c r="M689" s="14"/>
    </row>
    <row r="690" spans="2:13" ht="12.75" customHeight="1" x14ac:dyDescent="0.25">
      <c r="B690" s="14"/>
      <c r="D690" s="14"/>
      <c r="E690" s="14"/>
      <c r="F690" s="14"/>
      <c r="G690" s="14"/>
      <c r="H690" s="14"/>
      <c r="I690" s="14"/>
      <c r="J690" s="14"/>
      <c r="K690" s="14"/>
      <c r="M690" s="14"/>
    </row>
    <row r="691" spans="2:13" ht="12.75" customHeight="1" x14ac:dyDescent="0.25">
      <c r="B691" s="14"/>
      <c r="D691" s="14"/>
      <c r="E691" s="14"/>
      <c r="F691" s="14"/>
      <c r="G691" s="14"/>
      <c r="H691" s="14"/>
      <c r="I691" s="14"/>
      <c r="J691" s="14"/>
      <c r="K691" s="14"/>
      <c r="M691" s="14"/>
    </row>
    <row r="692" spans="2:13" ht="12.75" customHeight="1" x14ac:dyDescent="0.25">
      <c r="B692" s="14"/>
      <c r="D692" s="14"/>
      <c r="E692" s="14"/>
      <c r="F692" s="14"/>
      <c r="G692" s="14"/>
      <c r="H692" s="14"/>
      <c r="I692" s="14"/>
      <c r="J692" s="14"/>
      <c r="K692" s="14"/>
      <c r="M692" s="14"/>
    </row>
    <row r="693" spans="2:13" ht="12.75" customHeight="1" x14ac:dyDescent="0.25">
      <c r="B693" s="14"/>
      <c r="D693" s="14"/>
      <c r="E693" s="14"/>
      <c r="F693" s="14"/>
      <c r="G693" s="14"/>
      <c r="H693" s="14"/>
      <c r="I693" s="14"/>
      <c r="J693" s="14"/>
      <c r="K693" s="14"/>
      <c r="M693" s="14"/>
    </row>
    <row r="694" spans="2:13" ht="12.75" customHeight="1" x14ac:dyDescent="0.25">
      <c r="B694" s="14"/>
      <c r="D694" s="14"/>
      <c r="E694" s="14"/>
      <c r="F694" s="14"/>
      <c r="G694" s="14"/>
      <c r="H694" s="14"/>
      <c r="I694" s="14"/>
      <c r="J694" s="14"/>
      <c r="K694" s="14"/>
      <c r="M694" s="14"/>
    </row>
    <row r="695" spans="2:13" ht="12.75" customHeight="1" x14ac:dyDescent="0.25">
      <c r="B695" s="14"/>
      <c r="D695" s="14"/>
      <c r="E695" s="14"/>
      <c r="F695" s="14"/>
      <c r="G695" s="14"/>
      <c r="H695" s="14"/>
      <c r="I695" s="14"/>
      <c r="J695" s="14"/>
      <c r="K695" s="14"/>
      <c r="M695" s="14"/>
    </row>
    <row r="696" spans="2:13" ht="12.75" customHeight="1" x14ac:dyDescent="0.25">
      <c r="B696" s="14"/>
      <c r="D696" s="14"/>
      <c r="E696" s="14"/>
      <c r="F696" s="14"/>
      <c r="G696" s="14"/>
      <c r="H696" s="14"/>
      <c r="I696" s="14"/>
      <c r="J696" s="14"/>
      <c r="K696" s="14"/>
      <c r="M696" s="14"/>
    </row>
    <row r="697" spans="2:13" ht="12.75" customHeight="1" x14ac:dyDescent="0.25">
      <c r="B697" s="14"/>
      <c r="D697" s="14"/>
      <c r="E697" s="14"/>
      <c r="F697" s="14"/>
      <c r="G697" s="14"/>
      <c r="H697" s="14"/>
      <c r="I697" s="14"/>
      <c r="J697" s="14"/>
      <c r="K697" s="14"/>
      <c r="M697" s="14"/>
    </row>
    <row r="698" spans="2:13" ht="12.75" customHeight="1" x14ac:dyDescent="0.25">
      <c r="B698" s="14"/>
      <c r="D698" s="14"/>
      <c r="E698" s="14"/>
      <c r="F698" s="14"/>
      <c r="G698" s="14"/>
      <c r="H698" s="14"/>
      <c r="I698" s="14"/>
      <c r="J698" s="14"/>
      <c r="K698" s="14"/>
      <c r="M698" s="14"/>
    </row>
    <row r="699" spans="2:13" ht="12.75" customHeight="1" x14ac:dyDescent="0.25">
      <c r="B699" s="14"/>
      <c r="D699" s="14"/>
      <c r="E699" s="14"/>
      <c r="F699" s="14"/>
      <c r="G699" s="14"/>
      <c r="H699" s="14"/>
      <c r="I699" s="14"/>
      <c r="J699" s="14"/>
      <c r="K699" s="14"/>
      <c r="M699" s="14"/>
    </row>
    <row r="700" spans="2:13" ht="12.75" customHeight="1" x14ac:dyDescent="0.25">
      <c r="B700" s="14"/>
      <c r="D700" s="14"/>
      <c r="E700" s="14"/>
      <c r="F700" s="14"/>
      <c r="G700" s="14"/>
      <c r="H700" s="14"/>
      <c r="I700" s="14"/>
      <c r="J700" s="14"/>
      <c r="K700" s="14"/>
      <c r="M700" s="14"/>
    </row>
    <row r="701" spans="2:13" ht="12.75" customHeight="1" x14ac:dyDescent="0.25">
      <c r="B701" s="14"/>
      <c r="D701" s="14"/>
      <c r="E701" s="14"/>
      <c r="F701" s="14"/>
      <c r="G701" s="14"/>
      <c r="H701" s="14"/>
      <c r="I701" s="14"/>
      <c r="J701" s="14"/>
      <c r="K701" s="14"/>
      <c r="M701" s="14"/>
    </row>
    <row r="702" spans="2:13" ht="12.75" customHeight="1" x14ac:dyDescent="0.25">
      <c r="B702" s="14"/>
      <c r="D702" s="14"/>
      <c r="E702" s="14"/>
      <c r="F702" s="14"/>
      <c r="G702" s="14"/>
      <c r="H702" s="14"/>
      <c r="I702" s="14"/>
      <c r="J702" s="14"/>
      <c r="K702" s="14"/>
      <c r="M702" s="14"/>
    </row>
    <row r="703" spans="2:13" ht="12.75" customHeight="1" x14ac:dyDescent="0.25">
      <c r="B703" s="14"/>
      <c r="D703" s="14"/>
      <c r="E703" s="14"/>
      <c r="F703" s="14"/>
      <c r="G703" s="14"/>
      <c r="H703" s="14"/>
      <c r="I703" s="14"/>
      <c r="J703" s="14"/>
      <c r="K703" s="14"/>
      <c r="M703" s="14"/>
    </row>
    <row r="704" spans="2:13" ht="12.75" customHeight="1" x14ac:dyDescent="0.25">
      <c r="B704" s="14"/>
      <c r="D704" s="14"/>
      <c r="E704" s="14"/>
      <c r="F704" s="14"/>
      <c r="G704" s="14"/>
      <c r="H704" s="14"/>
      <c r="I704" s="14"/>
      <c r="J704" s="14"/>
      <c r="K704" s="14"/>
      <c r="M704" s="14"/>
    </row>
    <row r="705" spans="2:13" ht="12.75" customHeight="1" x14ac:dyDescent="0.25">
      <c r="B705" s="14"/>
      <c r="D705" s="14"/>
      <c r="E705" s="14"/>
      <c r="F705" s="14"/>
      <c r="G705" s="14"/>
      <c r="H705" s="14"/>
      <c r="I705" s="14"/>
      <c r="J705" s="14"/>
      <c r="K705" s="14"/>
      <c r="M705" s="14"/>
    </row>
    <row r="706" spans="2:13" ht="12.75" customHeight="1" x14ac:dyDescent="0.25">
      <c r="B706" s="14"/>
      <c r="D706" s="14"/>
      <c r="E706" s="14"/>
      <c r="F706" s="14"/>
      <c r="G706" s="14"/>
      <c r="H706" s="14"/>
      <c r="I706" s="14"/>
      <c r="J706" s="14"/>
      <c r="K706" s="14"/>
      <c r="M706" s="14"/>
    </row>
    <row r="707" spans="2:13" ht="12.75" customHeight="1" x14ac:dyDescent="0.25">
      <c r="B707" s="14"/>
      <c r="D707" s="14"/>
      <c r="E707" s="14"/>
      <c r="F707" s="14"/>
      <c r="G707" s="14"/>
      <c r="H707" s="14"/>
      <c r="I707" s="14"/>
      <c r="J707" s="14"/>
      <c r="K707" s="14"/>
      <c r="M707" s="14"/>
    </row>
    <row r="708" spans="2:13" ht="12.75" customHeight="1" x14ac:dyDescent="0.25">
      <c r="B708" s="14"/>
      <c r="D708" s="14"/>
      <c r="E708" s="14"/>
      <c r="F708" s="14"/>
      <c r="G708" s="14"/>
      <c r="H708" s="14"/>
      <c r="I708" s="14"/>
      <c r="J708" s="14"/>
      <c r="K708" s="14"/>
      <c r="M708" s="14"/>
    </row>
    <row r="709" spans="2:13" ht="12.75" customHeight="1" x14ac:dyDescent="0.25">
      <c r="B709" s="14"/>
      <c r="D709" s="14"/>
      <c r="E709" s="14"/>
      <c r="F709" s="14"/>
      <c r="G709" s="14"/>
      <c r="H709" s="14"/>
      <c r="I709" s="14"/>
      <c r="J709" s="14"/>
      <c r="K709" s="14"/>
      <c r="M709" s="14"/>
    </row>
    <row r="710" spans="2:13" ht="12.75" customHeight="1" x14ac:dyDescent="0.25">
      <c r="B710" s="14"/>
      <c r="D710" s="14"/>
      <c r="E710" s="14"/>
      <c r="F710" s="14"/>
      <c r="G710" s="14"/>
      <c r="H710" s="14"/>
      <c r="I710" s="14"/>
      <c r="J710" s="14"/>
      <c r="K710" s="14"/>
      <c r="M710" s="14"/>
    </row>
    <row r="711" spans="2:13" ht="12.75" customHeight="1" x14ac:dyDescent="0.25">
      <c r="B711" s="14"/>
      <c r="D711" s="14"/>
      <c r="E711" s="14"/>
      <c r="F711" s="14"/>
      <c r="G711" s="14"/>
      <c r="H711" s="14"/>
      <c r="I711" s="14"/>
      <c r="J711" s="14"/>
      <c r="K711" s="14"/>
      <c r="M711" s="14"/>
    </row>
    <row r="712" spans="2:13" ht="12.75" customHeight="1" x14ac:dyDescent="0.25">
      <c r="B712" s="14"/>
      <c r="D712" s="14"/>
      <c r="E712" s="14"/>
      <c r="F712" s="14"/>
      <c r="G712" s="14"/>
      <c r="H712" s="14"/>
      <c r="I712" s="14"/>
      <c r="J712" s="14"/>
      <c r="K712" s="14"/>
      <c r="M712" s="14"/>
    </row>
    <row r="713" spans="2:13" ht="12.75" customHeight="1" x14ac:dyDescent="0.25">
      <c r="B713" s="14"/>
      <c r="D713" s="14"/>
      <c r="E713" s="14"/>
      <c r="F713" s="14"/>
      <c r="G713" s="14"/>
      <c r="H713" s="14"/>
      <c r="I713" s="14"/>
      <c r="J713" s="14"/>
      <c r="K713" s="14"/>
      <c r="M713" s="14"/>
    </row>
    <row r="714" spans="2:13" ht="12.75" customHeight="1" x14ac:dyDescent="0.25">
      <c r="B714" s="14"/>
      <c r="D714" s="14"/>
      <c r="E714" s="14"/>
      <c r="F714" s="14"/>
      <c r="G714" s="14"/>
      <c r="H714" s="14"/>
      <c r="I714" s="14"/>
      <c r="J714" s="14"/>
      <c r="K714" s="14"/>
      <c r="M714" s="14"/>
    </row>
    <row r="715" spans="2:13" ht="12.75" customHeight="1" x14ac:dyDescent="0.25">
      <c r="B715" s="14"/>
      <c r="D715" s="14"/>
      <c r="E715" s="14"/>
      <c r="F715" s="14"/>
      <c r="G715" s="14"/>
      <c r="H715" s="14"/>
      <c r="I715" s="14"/>
      <c r="J715" s="14"/>
      <c r="K715" s="14"/>
      <c r="M715" s="14"/>
    </row>
    <row r="716" spans="2:13" ht="12.75" customHeight="1" x14ac:dyDescent="0.25">
      <c r="B716" s="14"/>
      <c r="D716" s="14"/>
      <c r="E716" s="14"/>
      <c r="F716" s="14"/>
      <c r="G716" s="14"/>
      <c r="H716" s="14"/>
      <c r="I716" s="14"/>
      <c r="J716" s="14"/>
      <c r="K716" s="14"/>
      <c r="M716" s="14"/>
    </row>
    <row r="717" spans="2:13" ht="12.75" customHeight="1" x14ac:dyDescent="0.25">
      <c r="B717" s="14"/>
      <c r="D717" s="14"/>
      <c r="E717" s="14"/>
      <c r="F717" s="14"/>
      <c r="G717" s="14"/>
      <c r="H717" s="14"/>
      <c r="I717" s="14"/>
      <c r="J717" s="14"/>
      <c r="K717" s="14"/>
      <c r="M717" s="14"/>
    </row>
    <row r="718" spans="2:13" ht="12.75" customHeight="1" x14ac:dyDescent="0.25">
      <c r="B718" s="14"/>
      <c r="D718" s="14"/>
      <c r="E718" s="14"/>
      <c r="F718" s="14"/>
      <c r="G718" s="14"/>
      <c r="H718" s="14"/>
      <c r="I718" s="14"/>
      <c r="J718" s="14"/>
      <c r="K718" s="14"/>
      <c r="M718" s="14"/>
    </row>
    <row r="719" spans="2:13" ht="12.75" customHeight="1" x14ac:dyDescent="0.25">
      <c r="B719" s="14"/>
      <c r="D719" s="14"/>
      <c r="E719" s="14"/>
      <c r="F719" s="14"/>
      <c r="G719" s="14"/>
      <c r="H719" s="14"/>
      <c r="I719" s="14"/>
      <c r="J719" s="14"/>
      <c r="K719" s="14"/>
      <c r="M719" s="14"/>
    </row>
    <row r="720" spans="2:13" ht="12.75" customHeight="1" x14ac:dyDescent="0.25">
      <c r="B720" s="14"/>
      <c r="D720" s="14"/>
      <c r="E720" s="14"/>
      <c r="F720" s="14"/>
      <c r="G720" s="14"/>
      <c r="H720" s="14"/>
      <c r="I720" s="14"/>
      <c r="J720" s="14"/>
      <c r="K720" s="14"/>
      <c r="M720" s="14"/>
    </row>
    <row r="721" spans="2:13" ht="12.75" customHeight="1" x14ac:dyDescent="0.25">
      <c r="B721" s="14"/>
      <c r="D721" s="14"/>
      <c r="E721" s="14"/>
      <c r="F721" s="14"/>
      <c r="G721" s="14"/>
      <c r="H721" s="14"/>
      <c r="I721" s="14"/>
      <c r="J721" s="14"/>
      <c r="K721" s="14"/>
      <c r="M721" s="14"/>
    </row>
    <row r="722" spans="2:13" ht="12.75" customHeight="1" x14ac:dyDescent="0.25">
      <c r="B722" s="14"/>
      <c r="D722" s="14"/>
      <c r="E722" s="14"/>
      <c r="F722" s="14"/>
      <c r="G722" s="14"/>
      <c r="H722" s="14"/>
      <c r="I722" s="14"/>
      <c r="J722" s="14"/>
      <c r="K722" s="14"/>
      <c r="M722" s="14"/>
    </row>
    <row r="723" spans="2:13" ht="12.75" customHeight="1" x14ac:dyDescent="0.25">
      <c r="B723" s="14"/>
      <c r="D723" s="14"/>
      <c r="E723" s="14"/>
      <c r="F723" s="14"/>
      <c r="G723" s="14"/>
      <c r="H723" s="14"/>
      <c r="I723" s="14"/>
      <c r="J723" s="14"/>
      <c r="K723" s="14"/>
      <c r="M723" s="14"/>
    </row>
    <row r="724" spans="2:13" ht="12.75" customHeight="1" x14ac:dyDescent="0.25">
      <c r="B724" s="14"/>
      <c r="D724" s="14"/>
      <c r="E724" s="14"/>
      <c r="F724" s="14"/>
      <c r="G724" s="14"/>
      <c r="H724" s="14"/>
      <c r="I724" s="14"/>
      <c r="J724" s="14"/>
      <c r="K724" s="14"/>
      <c r="M724" s="14"/>
    </row>
    <row r="725" spans="2:13" ht="12.75" customHeight="1" x14ac:dyDescent="0.25">
      <c r="B725" s="14"/>
      <c r="D725" s="14"/>
      <c r="E725" s="14"/>
      <c r="F725" s="14"/>
      <c r="G725" s="14"/>
      <c r="H725" s="14"/>
      <c r="I725" s="14"/>
      <c r="J725" s="14"/>
      <c r="K725" s="14"/>
      <c r="M725" s="14"/>
    </row>
    <row r="726" spans="2:13" ht="12.75" customHeight="1" x14ac:dyDescent="0.25">
      <c r="B726" s="14"/>
      <c r="D726" s="14"/>
      <c r="E726" s="14"/>
      <c r="F726" s="14"/>
      <c r="G726" s="14"/>
      <c r="H726" s="14"/>
      <c r="I726" s="14"/>
      <c r="J726" s="14"/>
      <c r="K726" s="14"/>
      <c r="M726" s="14"/>
    </row>
    <row r="727" spans="2:13" ht="12.75" customHeight="1" x14ac:dyDescent="0.25">
      <c r="B727" s="14"/>
      <c r="D727" s="14"/>
      <c r="E727" s="14"/>
      <c r="F727" s="14"/>
      <c r="G727" s="14"/>
      <c r="H727" s="14"/>
      <c r="I727" s="14"/>
      <c r="J727" s="14"/>
      <c r="K727" s="14"/>
      <c r="M727" s="14"/>
    </row>
    <row r="728" spans="2:13" ht="12.75" customHeight="1" x14ac:dyDescent="0.25">
      <c r="B728" s="14"/>
      <c r="D728" s="14"/>
      <c r="E728" s="14"/>
      <c r="F728" s="14"/>
      <c r="G728" s="14"/>
      <c r="H728" s="14"/>
      <c r="I728" s="14"/>
      <c r="J728" s="14"/>
      <c r="K728" s="14"/>
      <c r="M728" s="14"/>
    </row>
    <row r="729" spans="2:13" ht="12.75" customHeight="1" x14ac:dyDescent="0.25">
      <c r="B729" s="14"/>
      <c r="D729" s="14"/>
      <c r="E729" s="14"/>
      <c r="F729" s="14"/>
      <c r="G729" s="14"/>
      <c r="H729" s="14"/>
      <c r="I729" s="14"/>
      <c r="J729" s="14"/>
      <c r="K729" s="14"/>
      <c r="M729" s="14"/>
    </row>
    <row r="730" spans="2:13" ht="12.75" customHeight="1" x14ac:dyDescent="0.25">
      <c r="B730" s="14"/>
      <c r="D730" s="14"/>
      <c r="E730" s="14"/>
      <c r="F730" s="14"/>
      <c r="G730" s="14"/>
      <c r="H730" s="14"/>
      <c r="I730" s="14"/>
      <c r="J730" s="14"/>
      <c r="K730" s="14"/>
      <c r="M730" s="14"/>
    </row>
    <row r="731" spans="2:13" ht="12.75" customHeight="1" x14ac:dyDescent="0.25">
      <c r="B731" s="14"/>
      <c r="D731" s="14"/>
      <c r="E731" s="14"/>
      <c r="F731" s="14"/>
      <c r="G731" s="14"/>
      <c r="H731" s="14"/>
      <c r="I731" s="14"/>
      <c r="J731" s="14"/>
      <c r="K731" s="14"/>
      <c r="M731" s="14"/>
    </row>
    <row r="732" spans="2:13" ht="12.75" customHeight="1" x14ac:dyDescent="0.25">
      <c r="B732" s="14"/>
      <c r="D732" s="14"/>
      <c r="E732" s="14"/>
      <c r="F732" s="14"/>
      <c r="G732" s="14"/>
      <c r="H732" s="14"/>
      <c r="I732" s="14"/>
      <c r="J732" s="14"/>
      <c r="K732" s="14"/>
      <c r="M732" s="14"/>
    </row>
    <row r="733" spans="2:13" ht="12.75" customHeight="1" x14ac:dyDescent="0.25">
      <c r="B733" s="14"/>
      <c r="D733" s="14"/>
      <c r="E733" s="14"/>
      <c r="F733" s="14"/>
      <c r="G733" s="14"/>
      <c r="H733" s="14"/>
      <c r="I733" s="14"/>
      <c r="J733" s="14"/>
      <c r="K733" s="14"/>
      <c r="M733" s="14"/>
    </row>
    <row r="734" spans="2:13" ht="12.75" customHeight="1" x14ac:dyDescent="0.25">
      <c r="B734" s="14"/>
      <c r="D734" s="14"/>
      <c r="E734" s="14"/>
      <c r="F734" s="14"/>
      <c r="G734" s="14"/>
      <c r="H734" s="14"/>
      <c r="I734" s="14"/>
      <c r="J734" s="14"/>
      <c r="K734" s="14"/>
      <c r="M734" s="14"/>
    </row>
    <row r="735" spans="2:13" ht="12.75" customHeight="1" x14ac:dyDescent="0.25">
      <c r="B735" s="14"/>
      <c r="D735" s="14"/>
      <c r="E735" s="14"/>
      <c r="F735" s="14"/>
      <c r="G735" s="14"/>
      <c r="H735" s="14"/>
      <c r="I735" s="14"/>
      <c r="J735" s="14"/>
      <c r="K735" s="14"/>
      <c r="M735" s="14"/>
    </row>
    <row r="736" spans="2:13" ht="12.75" customHeight="1" x14ac:dyDescent="0.25">
      <c r="B736" s="14"/>
      <c r="D736" s="14"/>
      <c r="E736" s="14"/>
      <c r="F736" s="14"/>
      <c r="G736" s="14"/>
      <c r="H736" s="14"/>
      <c r="I736" s="14"/>
      <c r="J736" s="14"/>
      <c r="K736" s="14"/>
      <c r="M736" s="14"/>
    </row>
    <row r="737" spans="2:13" ht="12.75" customHeight="1" x14ac:dyDescent="0.25">
      <c r="B737" s="14"/>
      <c r="D737" s="14"/>
      <c r="E737" s="14"/>
      <c r="F737" s="14"/>
      <c r="G737" s="14"/>
      <c r="H737" s="14"/>
      <c r="I737" s="14"/>
      <c r="J737" s="14"/>
      <c r="K737" s="14"/>
      <c r="M737" s="14"/>
    </row>
    <row r="738" spans="2:13" ht="12.75" customHeight="1" x14ac:dyDescent="0.25">
      <c r="B738" s="14"/>
      <c r="D738" s="14"/>
      <c r="E738" s="14"/>
      <c r="F738" s="14"/>
      <c r="G738" s="14"/>
      <c r="H738" s="14"/>
      <c r="I738" s="14"/>
      <c r="J738" s="14"/>
      <c r="K738" s="14"/>
      <c r="M738" s="14"/>
    </row>
    <row r="739" spans="2:13" ht="12.75" customHeight="1" x14ac:dyDescent="0.25">
      <c r="B739" s="14"/>
      <c r="D739" s="14"/>
      <c r="E739" s="14"/>
      <c r="F739" s="14"/>
      <c r="G739" s="14"/>
      <c r="H739" s="14"/>
      <c r="I739" s="14"/>
      <c r="J739" s="14"/>
      <c r="K739" s="14"/>
      <c r="M739" s="14"/>
    </row>
    <row r="740" spans="2:13" ht="12.75" customHeight="1" x14ac:dyDescent="0.25">
      <c r="B740" s="14"/>
      <c r="D740" s="14"/>
      <c r="E740" s="14"/>
      <c r="F740" s="14"/>
      <c r="G740" s="14"/>
      <c r="H740" s="14"/>
      <c r="I740" s="14"/>
      <c r="J740" s="14"/>
      <c r="K740" s="14"/>
      <c r="M740" s="14"/>
    </row>
    <row r="741" spans="2:13" ht="12.75" customHeight="1" x14ac:dyDescent="0.25">
      <c r="B741" s="14"/>
      <c r="D741" s="14"/>
      <c r="E741" s="14"/>
      <c r="F741" s="14"/>
      <c r="G741" s="14"/>
      <c r="H741" s="14"/>
      <c r="I741" s="14"/>
      <c r="J741" s="14"/>
      <c r="K741" s="14"/>
      <c r="M741" s="14"/>
    </row>
    <row r="742" spans="2:13" ht="12.75" customHeight="1" x14ac:dyDescent="0.25">
      <c r="B742" s="14"/>
      <c r="D742" s="14"/>
      <c r="E742" s="14"/>
      <c r="F742" s="14"/>
      <c r="G742" s="14"/>
      <c r="H742" s="14"/>
      <c r="I742" s="14"/>
      <c r="J742" s="14"/>
      <c r="K742" s="14"/>
      <c r="M742" s="14"/>
    </row>
    <row r="743" spans="2:13" ht="12.75" customHeight="1" x14ac:dyDescent="0.25">
      <c r="B743" s="14"/>
      <c r="D743" s="14"/>
      <c r="E743" s="14"/>
      <c r="F743" s="14"/>
      <c r="G743" s="14"/>
      <c r="H743" s="14"/>
      <c r="I743" s="14"/>
      <c r="J743" s="14"/>
      <c r="K743" s="14"/>
      <c r="M743" s="14"/>
    </row>
    <row r="744" spans="2:13" ht="12.75" customHeight="1" x14ac:dyDescent="0.25">
      <c r="B744" s="14"/>
      <c r="D744" s="14"/>
      <c r="E744" s="14"/>
      <c r="F744" s="14"/>
      <c r="G744" s="14"/>
      <c r="H744" s="14"/>
      <c r="I744" s="14"/>
      <c r="J744" s="14"/>
      <c r="K744" s="14"/>
      <c r="M744" s="14"/>
    </row>
    <row r="745" spans="2:13" ht="12.75" customHeight="1" x14ac:dyDescent="0.25">
      <c r="B745" s="14"/>
      <c r="D745" s="14"/>
      <c r="E745" s="14"/>
      <c r="F745" s="14"/>
      <c r="G745" s="14"/>
      <c r="H745" s="14"/>
      <c r="I745" s="14"/>
      <c r="J745" s="14"/>
      <c r="K745" s="14"/>
      <c r="M745" s="14"/>
    </row>
    <row r="746" spans="2:13" ht="12.75" customHeight="1" x14ac:dyDescent="0.25">
      <c r="B746" s="14"/>
      <c r="D746" s="14"/>
      <c r="E746" s="14"/>
      <c r="F746" s="14"/>
      <c r="G746" s="14"/>
      <c r="H746" s="14"/>
      <c r="I746" s="14"/>
      <c r="J746" s="14"/>
      <c r="K746" s="14"/>
      <c r="M746" s="14"/>
    </row>
    <row r="747" spans="2:13" ht="12.75" customHeight="1" x14ac:dyDescent="0.25">
      <c r="B747" s="14"/>
      <c r="D747" s="14"/>
      <c r="E747" s="14"/>
      <c r="F747" s="14"/>
      <c r="G747" s="14"/>
      <c r="H747" s="14"/>
      <c r="I747" s="14"/>
      <c r="J747" s="14"/>
      <c r="K747" s="14"/>
      <c r="M747" s="14"/>
    </row>
    <row r="748" spans="2:13" ht="12.75" customHeight="1" x14ac:dyDescent="0.25">
      <c r="B748" s="14"/>
      <c r="D748" s="14"/>
      <c r="E748" s="14"/>
      <c r="F748" s="14"/>
      <c r="G748" s="14"/>
      <c r="H748" s="14"/>
      <c r="I748" s="14"/>
      <c r="J748" s="14"/>
      <c r="K748" s="14"/>
      <c r="M748" s="14"/>
    </row>
    <row r="749" spans="2:13" ht="12.75" customHeight="1" x14ac:dyDescent="0.25">
      <c r="B749" s="14"/>
      <c r="D749" s="14"/>
      <c r="E749" s="14"/>
      <c r="F749" s="14"/>
      <c r="G749" s="14"/>
      <c r="H749" s="14"/>
      <c r="I749" s="14"/>
      <c r="J749" s="14"/>
      <c r="K749" s="14"/>
      <c r="M749" s="14"/>
    </row>
    <row r="750" spans="2:13" ht="12.75" customHeight="1" x14ac:dyDescent="0.25">
      <c r="B750" s="14"/>
      <c r="D750" s="14"/>
      <c r="E750" s="14"/>
      <c r="F750" s="14"/>
      <c r="G750" s="14"/>
      <c r="H750" s="14"/>
      <c r="I750" s="14"/>
      <c r="J750" s="14"/>
      <c r="K750" s="14"/>
      <c r="M750" s="14"/>
    </row>
    <row r="751" spans="2:13" ht="12.75" customHeight="1" x14ac:dyDescent="0.25">
      <c r="B751" s="14"/>
      <c r="D751" s="14"/>
      <c r="E751" s="14"/>
      <c r="F751" s="14"/>
      <c r="G751" s="14"/>
      <c r="H751" s="14"/>
      <c r="I751" s="14"/>
      <c r="J751" s="14"/>
      <c r="K751" s="14"/>
      <c r="M751" s="14"/>
    </row>
    <row r="752" spans="2:13" ht="12.75" customHeight="1" x14ac:dyDescent="0.25">
      <c r="B752" s="14"/>
      <c r="D752" s="14"/>
      <c r="E752" s="14"/>
      <c r="F752" s="14"/>
      <c r="G752" s="14"/>
      <c r="H752" s="14"/>
      <c r="I752" s="14"/>
      <c r="J752" s="14"/>
      <c r="K752" s="14"/>
      <c r="M752" s="14"/>
    </row>
    <row r="753" spans="2:13" ht="12.75" customHeight="1" x14ac:dyDescent="0.25">
      <c r="B753" s="14"/>
      <c r="D753" s="14"/>
      <c r="E753" s="14"/>
      <c r="F753" s="14"/>
      <c r="G753" s="14"/>
      <c r="H753" s="14"/>
      <c r="I753" s="14"/>
      <c r="J753" s="14"/>
      <c r="K753" s="14"/>
      <c r="M753" s="14"/>
    </row>
    <row r="754" spans="2:13" ht="12.75" customHeight="1" x14ac:dyDescent="0.25">
      <c r="B754" s="14"/>
      <c r="D754" s="14"/>
      <c r="E754" s="14"/>
      <c r="F754" s="14"/>
      <c r="G754" s="14"/>
      <c r="H754" s="14"/>
      <c r="I754" s="14"/>
      <c r="J754" s="14"/>
      <c r="K754" s="14"/>
      <c r="M754" s="14"/>
    </row>
    <row r="755" spans="2:13" ht="12.75" customHeight="1" x14ac:dyDescent="0.25">
      <c r="B755" s="14"/>
      <c r="D755" s="14"/>
      <c r="E755" s="14"/>
      <c r="F755" s="14"/>
      <c r="G755" s="14"/>
      <c r="H755" s="14"/>
      <c r="I755" s="14"/>
      <c r="J755" s="14"/>
      <c r="K755" s="14"/>
      <c r="M755" s="14"/>
    </row>
    <row r="756" spans="2:13" ht="12.75" customHeight="1" x14ac:dyDescent="0.25">
      <c r="B756" s="14"/>
      <c r="D756" s="14"/>
      <c r="E756" s="14"/>
      <c r="F756" s="14"/>
      <c r="G756" s="14"/>
      <c r="H756" s="14"/>
      <c r="I756" s="14"/>
      <c r="J756" s="14"/>
      <c r="K756" s="14"/>
      <c r="M756" s="14"/>
    </row>
    <row r="757" spans="2:13" ht="12.75" customHeight="1" x14ac:dyDescent="0.25">
      <c r="B757" s="14"/>
      <c r="D757" s="14"/>
      <c r="E757" s="14"/>
      <c r="F757" s="14"/>
      <c r="G757" s="14"/>
      <c r="H757" s="14"/>
      <c r="I757" s="14"/>
      <c r="J757" s="14"/>
      <c r="K757" s="14"/>
      <c r="M757" s="14"/>
    </row>
    <row r="758" spans="2:13" ht="12.75" customHeight="1" x14ac:dyDescent="0.25">
      <c r="B758" s="14"/>
      <c r="D758" s="14"/>
      <c r="E758" s="14"/>
      <c r="F758" s="14"/>
      <c r="G758" s="14"/>
      <c r="H758" s="14"/>
      <c r="I758" s="14"/>
      <c r="J758" s="14"/>
      <c r="K758" s="14"/>
      <c r="M758" s="14"/>
    </row>
    <row r="759" spans="2:13" ht="12.75" customHeight="1" x14ac:dyDescent="0.25">
      <c r="B759" s="14"/>
      <c r="D759" s="14"/>
      <c r="E759" s="14"/>
      <c r="F759" s="14"/>
      <c r="G759" s="14"/>
      <c r="H759" s="14"/>
      <c r="I759" s="14"/>
      <c r="J759" s="14"/>
      <c r="K759" s="14"/>
      <c r="M759" s="14"/>
    </row>
    <row r="760" spans="2:13" ht="12.75" customHeight="1" x14ac:dyDescent="0.25">
      <c r="B760" s="14"/>
      <c r="D760" s="14"/>
      <c r="E760" s="14"/>
      <c r="F760" s="14"/>
      <c r="G760" s="14"/>
      <c r="H760" s="14"/>
      <c r="I760" s="14"/>
      <c r="J760" s="14"/>
      <c r="K760" s="14"/>
      <c r="M760" s="14"/>
    </row>
    <row r="761" spans="2:13" ht="12.75" customHeight="1" x14ac:dyDescent="0.25">
      <c r="B761" s="14"/>
      <c r="D761" s="14"/>
      <c r="E761" s="14"/>
      <c r="F761" s="14"/>
      <c r="G761" s="14"/>
      <c r="H761" s="14"/>
      <c r="I761" s="14"/>
      <c r="J761" s="14"/>
      <c r="K761" s="14"/>
      <c r="M761" s="14"/>
    </row>
    <row r="762" spans="2:13" ht="12.75" customHeight="1" x14ac:dyDescent="0.25">
      <c r="B762" s="14"/>
      <c r="D762" s="14"/>
      <c r="E762" s="14"/>
      <c r="F762" s="14"/>
      <c r="G762" s="14"/>
      <c r="H762" s="14"/>
      <c r="I762" s="14"/>
      <c r="J762" s="14"/>
      <c r="K762" s="14"/>
      <c r="M762" s="14"/>
    </row>
    <row r="763" spans="2:13" ht="12.75" customHeight="1" x14ac:dyDescent="0.25">
      <c r="B763" s="14"/>
      <c r="D763" s="14"/>
      <c r="E763" s="14"/>
      <c r="F763" s="14"/>
      <c r="G763" s="14"/>
      <c r="H763" s="14"/>
      <c r="I763" s="14"/>
      <c r="J763" s="14"/>
      <c r="K763" s="14"/>
      <c r="M763" s="14"/>
    </row>
    <row r="764" spans="2:13" ht="12.75" customHeight="1" x14ac:dyDescent="0.25">
      <c r="B764" s="14"/>
      <c r="D764" s="14"/>
      <c r="E764" s="14"/>
      <c r="F764" s="14"/>
      <c r="G764" s="14"/>
      <c r="H764" s="14"/>
      <c r="I764" s="14"/>
      <c r="J764" s="14"/>
      <c r="K764" s="14"/>
      <c r="M764" s="14"/>
    </row>
    <row r="765" spans="2:13" ht="12.75" customHeight="1" x14ac:dyDescent="0.25">
      <c r="B765" s="14"/>
      <c r="D765" s="14"/>
      <c r="E765" s="14"/>
      <c r="F765" s="14"/>
      <c r="G765" s="14"/>
      <c r="H765" s="14"/>
      <c r="I765" s="14"/>
      <c r="J765" s="14"/>
      <c r="K765" s="14"/>
      <c r="M765" s="14"/>
    </row>
    <row r="766" spans="2:13" ht="12.75" customHeight="1" x14ac:dyDescent="0.25">
      <c r="B766" s="14"/>
      <c r="D766" s="14"/>
      <c r="E766" s="14"/>
      <c r="F766" s="14"/>
      <c r="G766" s="14"/>
      <c r="H766" s="14"/>
      <c r="I766" s="14"/>
      <c r="J766" s="14"/>
      <c r="K766" s="14"/>
      <c r="M766" s="14"/>
    </row>
    <row r="767" spans="2:13" ht="12.75" customHeight="1" x14ac:dyDescent="0.25">
      <c r="B767" s="14"/>
      <c r="D767" s="14"/>
      <c r="E767" s="14"/>
      <c r="F767" s="14"/>
      <c r="G767" s="14"/>
      <c r="H767" s="14"/>
      <c r="I767" s="14"/>
      <c r="J767" s="14"/>
      <c r="K767" s="14"/>
      <c r="M767" s="14"/>
    </row>
    <row r="768" spans="2:13" ht="12.75" customHeight="1" x14ac:dyDescent="0.25">
      <c r="B768" s="14"/>
      <c r="D768" s="14"/>
      <c r="E768" s="14"/>
      <c r="F768" s="14"/>
      <c r="G768" s="14"/>
      <c r="H768" s="14"/>
      <c r="I768" s="14"/>
      <c r="J768" s="14"/>
      <c r="K768" s="14"/>
      <c r="M768" s="14"/>
    </row>
    <row r="769" spans="2:13" ht="12.75" customHeight="1" x14ac:dyDescent="0.25">
      <c r="B769" s="14"/>
      <c r="D769" s="14"/>
      <c r="E769" s="14"/>
      <c r="F769" s="14"/>
      <c r="G769" s="14"/>
      <c r="H769" s="14"/>
      <c r="I769" s="14"/>
      <c r="J769" s="14"/>
      <c r="K769" s="14"/>
      <c r="M769" s="14"/>
    </row>
    <row r="770" spans="2:13" ht="12.75" customHeight="1" x14ac:dyDescent="0.25">
      <c r="B770" s="14"/>
      <c r="D770" s="14"/>
      <c r="E770" s="14"/>
      <c r="F770" s="14"/>
      <c r="G770" s="14"/>
      <c r="H770" s="14"/>
      <c r="I770" s="14"/>
      <c r="J770" s="14"/>
      <c r="K770" s="14"/>
      <c r="M770" s="14"/>
    </row>
    <row r="771" spans="2:13" ht="12.75" customHeight="1" x14ac:dyDescent="0.25">
      <c r="B771" s="14"/>
      <c r="D771" s="14"/>
      <c r="E771" s="14"/>
      <c r="F771" s="14"/>
      <c r="G771" s="14"/>
      <c r="H771" s="14"/>
      <c r="I771" s="14"/>
      <c r="J771" s="14"/>
      <c r="K771" s="14"/>
      <c r="M771" s="14"/>
    </row>
    <row r="772" spans="2:13" ht="12.75" customHeight="1" x14ac:dyDescent="0.25">
      <c r="B772" s="14"/>
      <c r="D772" s="14"/>
      <c r="E772" s="14"/>
      <c r="F772" s="14"/>
      <c r="G772" s="14"/>
      <c r="H772" s="14"/>
      <c r="I772" s="14"/>
      <c r="J772" s="14"/>
      <c r="K772" s="14"/>
      <c r="M772" s="14"/>
    </row>
    <row r="773" spans="2:13" ht="12.75" customHeight="1" x14ac:dyDescent="0.25">
      <c r="B773" s="14"/>
      <c r="D773" s="14"/>
      <c r="E773" s="14"/>
      <c r="F773" s="14"/>
      <c r="G773" s="14"/>
      <c r="H773" s="14"/>
      <c r="I773" s="14"/>
      <c r="J773" s="14"/>
      <c r="K773" s="14"/>
      <c r="M773" s="14"/>
    </row>
    <row r="774" spans="2:13" ht="12.75" customHeight="1" x14ac:dyDescent="0.25">
      <c r="B774" s="14"/>
      <c r="D774" s="14"/>
      <c r="E774" s="14"/>
      <c r="F774" s="14"/>
      <c r="G774" s="14"/>
      <c r="H774" s="14"/>
      <c r="I774" s="14"/>
      <c r="J774" s="14"/>
      <c r="K774" s="14"/>
      <c r="M774" s="14"/>
    </row>
    <row r="775" spans="2:13" ht="12.75" customHeight="1" x14ac:dyDescent="0.25">
      <c r="B775" s="14"/>
      <c r="D775" s="14"/>
      <c r="E775" s="14"/>
      <c r="F775" s="14"/>
      <c r="G775" s="14"/>
      <c r="H775" s="14"/>
      <c r="I775" s="14"/>
      <c r="J775" s="14"/>
      <c r="K775" s="14"/>
      <c r="M775" s="14"/>
    </row>
    <row r="776" spans="2:13" ht="12.75" customHeight="1" x14ac:dyDescent="0.25">
      <c r="B776" s="14"/>
      <c r="D776" s="14"/>
      <c r="E776" s="14"/>
      <c r="F776" s="14"/>
      <c r="G776" s="14"/>
      <c r="H776" s="14"/>
      <c r="I776" s="14"/>
      <c r="J776" s="14"/>
      <c r="K776" s="14"/>
      <c r="M776" s="14"/>
    </row>
    <row r="777" spans="2:13" ht="12.75" customHeight="1" x14ac:dyDescent="0.25">
      <c r="B777" s="14"/>
      <c r="D777" s="14"/>
      <c r="E777" s="14"/>
      <c r="F777" s="14"/>
      <c r="G777" s="14"/>
      <c r="H777" s="14"/>
      <c r="I777" s="14"/>
      <c r="J777" s="14"/>
      <c r="K777" s="14"/>
      <c r="M777" s="14"/>
    </row>
    <row r="778" spans="2:13" ht="12.75" customHeight="1" x14ac:dyDescent="0.25">
      <c r="B778" s="14"/>
      <c r="D778" s="14"/>
      <c r="E778" s="14"/>
      <c r="F778" s="14"/>
      <c r="G778" s="14"/>
      <c r="H778" s="14"/>
      <c r="I778" s="14"/>
      <c r="J778" s="14"/>
      <c r="K778" s="14"/>
      <c r="M778" s="14"/>
    </row>
    <row r="779" spans="2:13" ht="12.75" customHeight="1" x14ac:dyDescent="0.25">
      <c r="B779" s="14"/>
      <c r="D779" s="14"/>
      <c r="E779" s="14"/>
      <c r="F779" s="14"/>
      <c r="G779" s="14"/>
      <c r="H779" s="14"/>
      <c r="I779" s="14"/>
      <c r="J779" s="14"/>
      <c r="K779" s="14"/>
      <c r="M779" s="14"/>
    </row>
    <row r="780" spans="2:13" ht="12.75" customHeight="1" x14ac:dyDescent="0.25">
      <c r="B780" s="14"/>
      <c r="D780" s="14"/>
      <c r="E780" s="14"/>
      <c r="F780" s="14"/>
      <c r="G780" s="14"/>
      <c r="H780" s="14"/>
      <c r="I780" s="14"/>
      <c r="J780" s="14"/>
      <c r="K780" s="14"/>
      <c r="M780" s="14"/>
    </row>
    <row r="781" spans="2:13" ht="12.75" customHeight="1" x14ac:dyDescent="0.25">
      <c r="B781" s="14"/>
      <c r="D781" s="14"/>
      <c r="E781" s="14"/>
      <c r="F781" s="14"/>
      <c r="G781" s="14"/>
      <c r="H781" s="14"/>
      <c r="I781" s="14"/>
      <c r="J781" s="14"/>
      <c r="K781" s="14"/>
      <c r="M781" s="14"/>
    </row>
    <row r="782" spans="2:13" ht="12.75" customHeight="1" x14ac:dyDescent="0.25">
      <c r="B782" s="14"/>
      <c r="D782" s="14"/>
      <c r="E782" s="14"/>
      <c r="F782" s="14"/>
      <c r="G782" s="14"/>
      <c r="H782" s="14"/>
      <c r="I782" s="14"/>
      <c r="J782" s="14"/>
      <c r="K782" s="14"/>
      <c r="M782" s="14"/>
    </row>
    <row r="783" spans="2:13" ht="12.75" customHeight="1" x14ac:dyDescent="0.25">
      <c r="B783" s="14"/>
      <c r="D783" s="14"/>
      <c r="E783" s="14"/>
      <c r="F783" s="14"/>
      <c r="G783" s="14"/>
      <c r="H783" s="14"/>
      <c r="I783" s="14"/>
      <c r="J783" s="14"/>
      <c r="K783" s="14"/>
      <c r="M783" s="14"/>
    </row>
    <row r="784" spans="2:13" ht="12.75" customHeight="1" x14ac:dyDescent="0.25">
      <c r="B784" s="14"/>
      <c r="D784" s="14"/>
      <c r="E784" s="14"/>
      <c r="F784" s="14"/>
      <c r="G784" s="14"/>
      <c r="H784" s="14"/>
      <c r="I784" s="14"/>
      <c r="J784" s="14"/>
      <c r="K784" s="14"/>
      <c r="M784" s="14"/>
    </row>
    <row r="785" spans="2:13" ht="12.75" customHeight="1" x14ac:dyDescent="0.25">
      <c r="B785" s="14"/>
      <c r="D785" s="14"/>
      <c r="E785" s="14"/>
      <c r="F785" s="14"/>
      <c r="G785" s="14"/>
      <c r="H785" s="14"/>
      <c r="I785" s="14"/>
      <c r="J785" s="14"/>
      <c r="K785" s="14"/>
      <c r="M785" s="14"/>
    </row>
    <row r="786" spans="2:13" ht="12.75" customHeight="1" x14ac:dyDescent="0.25">
      <c r="B786" s="14"/>
      <c r="D786" s="14"/>
      <c r="E786" s="14"/>
      <c r="F786" s="14"/>
      <c r="G786" s="14"/>
      <c r="H786" s="14"/>
      <c r="I786" s="14"/>
      <c r="J786" s="14"/>
      <c r="K786" s="14"/>
      <c r="M786" s="14"/>
    </row>
    <row r="787" spans="2:13" ht="12.75" customHeight="1" x14ac:dyDescent="0.25">
      <c r="B787" s="14"/>
      <c r="D787" s="14"/>
      <c r="E787" s="14"/>
      <c r="F787" s="14"/>
      <c r="G787" s="14"/>
      <c r="H787" s="14"/>
      <c r="I787" s="14"/>
      <c r="J787" s="14"/>
      <c r="K787" s="14"/>
      <c r="M787" s="14"/>
    </row>
    <row r="788" spans="2:13" ht="12.75" customHeight="1" x14ac:dyDescent="0.25">
      <c r="B788" s="14"/>
      <c r="D788" s="14"/>
      <c r="E788" s="14"/>
      <c r="F788" s="14"/>
      <c r="G788" s="14"/>
      <c r="H788" s="14"/>
      <c r="I788" s="14"/>
      <c r="J788" s="14"/>
      <c r="K788" s="14"/>
      <c r="M788" s="14"/>
    </row>
    <row r="789" spans="2:13" ht="12.75" customHeight="1" x14ac:dyDescent="0.25">
      <c r="B789" s="14"/>
      <c r="D789" s="14"/>
      <c r="E789" s="14"/>
      <c r="F789" s="14"/>
      <c r="G789" s="14"/>
      <c r="H789" s="14"/>
      <c r="I789" s="14"/>
      <c r="J789" s="14"/>
      <c r="K789" s="14"/>
      <c r="M789" s="14"/>
    </row>
    <row r="790" spans="2:13" ht="12.75" customHeight="1" x14ac:dyDescent="0.25">
      <c r="B790" s="14"/>
      <c r="D790" s="14"/>
      <c r="E790" s="14"/>
      <c r="F790" s="14"/>
      <c r="G790" s="14"/>
      <c r="H790" s="14"/>
      <c r="I790" s="14"/>
      <c r="J790" s="14"/>
      <c r="K790" s="14"/>
      <c r="M790" s="14"/>
    </row>
    <row r="791" spans="2:13" ht="12.75" customHeight="1" x14ac:dyDescent="0.25">
      <c r="B791" s="14"/>
      <c r="D791" s="14"/>
      <c r="E791" s="14"/>
      <c r="F791" s="14"/>
      <c r="G791" s="14"/>
      <c r="H791" s="14"/>
      <c r="I791" s="14"/>
      <c r="J791" s="14"/>
      <c r="K791" s="14"/>
      <c r="M791" s="14"/>
    </row>
    <row r="792" spans="2:13" ht="12.75" customHeight="1" x14ac:dyDescent="0.25">
      <c r="B792" s="14"/>
      <c r="D792" s="14"/>
      <c r="E792" s="14"/>
      <c r="F792" s="14"/>
      <c r="G792" s="14"/>
      <c r="H792" s="14"/>
      <c r="I792" s="14"/>
      <c r="J792" s="14"/>
      <c r="K792" s="14"/>
      <c r="M792" s="14"/>
    </row>
    <row r="793" spans="2:13" ht="12.75" customHeight="1" x14ac:dyDescent="0.25">
      <c r="B793" s="14"/>
      <c r="D793" s="14"/>
      <c r="E793" s="14"/>
      <c r="F793" s="14"/>
      <c r="G793" s="14"/>
      <c r="H793" s="14"/>
      <c r="I793" s="14"/>
      <c r="J793" s="14"/>
      <c r="K793" s="14"/>
      <c r="M793" s="14"/>
    </row>
    <row r="794" spans="2:13" ht="12.75" customHeight="1" x14ac:dyDescent="0.25">
      <c r="B794" s="14"/>
      <c r="D794" s="14"/>
      <c r="E794" s="14"/>
      <c r="F794" s="14"/>
      <c r="G794" s="14"/>
      <c r="H794" s="14"/>
      <c r="I794" s="14"/>
      <c r="J794" s="14"/>
      <c r="K794" s="14"/>
      <c r="M794" s="14"/>
    </row>
    <row r="795" spans="2:13" ht="12.75" customHeight="1" x14ac:dyDescent="0.25">
      <c r="B795" s="14"/>
      <c r="D795" s="14"/>
      <c r="E795" s="14"/>
      <c r="F795" s="14"/>
      <c r="G795" s="14"/>
      <c r="H795" s="14"/>
      <c r="I795" s="14"/>
      <c r="J795" s="14"/>
      <c r="K795" s="14"/>
      <c r="M795" s="14"/>
    </row>
    <row r="796" spans="2:13" ht="12.75" customHeight="1" x14ac:dyDescent="0.25">
      <c r="B796" s="14"/>
      <c r="D796" s="14"/>
      <c r="E796" s="14"/>
      <c r="F796" s="14"/>
      <c r="G796" s="14"/>
      <c r="H796" s="14"/>
      <c r="I796" s="14"/>
      <c r="J796" s="14"/>
      <c r="K796" s="14"/>
      <c r="M796" s="14"/>
    </row>
    <row r="797" spans="2:13" ht="12.75" customHeight="1" x14ac:dyDescent="0.25">
      <c r="B797" s="14"/>
      <c r="D797" s="14"/>
      <c r="E797" s="14"/>
      <c r="F797" s="14"/>
      <c r="G797" s="14"/>
      <c r="H797" s="14"/>
      <c r="I797" s="14"/>
      <c r="J797" s="14"/>
      <c r="K797" s="14"/>
      <c r="M797" s="14"/>
    </row>
    <row r="798" spans="2:13" ht="12.75" customHeight="1" x14ac:dyDescent="0.25">
      <c r="B798" s="14"/>
      <c r="D798" s="14"/>
      <c r="E798" s="14"/>
      <c r="F798" s="14"/>
      <c r="G798" s="14"/>
      <c r="H798" s="14"/>
      <c r="I798" s="14"/>
      <c r="J798" s="14"/>
      <c r="K798" s="14"/>
      <c r="M798" s="14"/>
    </row>
    <row r="799" spans="2:13" ht="12.75" customHeight="1" x14ac:dyDescent="0.25">
      <c r="B799" s="14"/>
      <c r="D799" s="14"/>
      <c r="E799" s="14"/>
      <c r="F799" s="14"/>
      <c r="G799" s="14"/>
      <c r="H799" s="14"/>
      <c r="I799" s="14"/>
      <c r="J799" s="14"/>
      <c r="K799" s="14"/>
      <c r="M799" s="14"/>
    </row>
    <row r="800" spans="2:13" ht="12.75" customHeight="1" x14ac:dyDescent="0.25">
      <c r="B800" s="14"/>
      <c r="D800" s="14"/>
      <c r="E800" s="14"/>
      <c r="F800" s="14"/>
      <c r="G800" s="14"/>
      <c r="H800" s="14"/>
      <c r="I800" s="14"/>
      <c r="J800" s="14"/>
      <c r="K800" s="14"/>
      <c r="M800" s="14"/>
    </row>
    <row r="801" spans="2:13" ht="12.75" customHeight="1" x14ac:dyDescent="0.25">
      <c r="B801" s="14"/>
      <c r="D801" s="14"/>
      <c r="E801" s="14"/>
      <c r="F801" s="14"/>
      <c r="G801" s="14"/>
      <c r="H801" s="14"/>
      <c r="I801" s="14"/>
      <c r="J801" s="14"/>
      <c r="K801" s="14"/>
      <c r="M801" s="14"/>
    </row>
    <row r="802" spans="2:13" ht="12.75" customHeight="1" x14ac:dyDescent="0.25">
      <c r="B802" s="14"/>
      <c r="D802" s="14"/>
      <c r="E802" s="14"/>
      <c r="F802" s="14"/>
      <c r="G802" s="14"/>
      <c r="H802" s="14"/>
      <c r="I802" s="14"/>
      <c r="J802" s="14"/>
      <c r="K802" s="14"/>
      <c r="M802" s="14"/>
    </row>
    <row r="803" spans="2:13" ht="12.75" customHeight="1" x14ac:dyDescent="0.25">
      <c r="B803" s="14"/>
      <c r="D803" s="14"/>
      <c r="E803" s="14"/>
      <c r="F803" s="14"/>
      <c r="G803" s="14"/>
      <c r="H803" s="14"/>
      <c r="I803" s="14"/>
      <c r="J803" s="14"/>
      <c r="K803" s="14"/>
      <c r="M803" s="14"/>
    </row>
    <row r="804" spans="2:13" ht="12.75" customHeight="1" x14ac:dyDescent="0.25">
      <c r="B804" s="14"/>
      <c r="D804" s="14"/>
      <c r="E804" s="14"/>
      <c r="F804" s="14"/>
      <c r="G804" s="14"/>
      <c r="H804" s="14"/>
      <c r="I804" s="14"/>
      <c r="J804" s="14"/>
      <c r="K804" s="14"/>
      <c r="M804" s="14"/>
    </row>
    <row r="805" spans="2:13" ht="12.75" customHeight="1" x14ac:dyDescent="0.25">
      <c r="B805" s="14"/>
      <c r="D805" s="14"/>
      <c r="E805" s="14"/>
      <c r="F805" s="14"/>
      <c r="G805" s="14"/>
      <c r="H805" s="14"/>
      <c r="I805" s="14"/>
      <c r="J805" s="14"/>
      <c r="K805" s="14"/>
      <c r="M805" s="14"/>
    </row>
    <row r="806" spans="2:13" ht="12.75" customHeight="1" x14ac:dyDescent="0.25">
      <c r="B806" s="14"/>
      <c r="D806" s="14"/>
      <c r="E806" s="14"/>
      <c r="F806" s="14"/>
      <c r="G806" s="14"/>
      <c r="H806" s="14"/>
      <c r="I806" s="14"/>
      <c r="J806" s="14"/>
      <c r="K806" s="14"/>
      <c r="M806" s="14"/>
    </row>
    <row r="807" spans="2:13" ht="12.75" customHeight="1" x14ac:dyDescent="0.25">
      <c r="B807" s="14"/>
      <c r="D807" s="14"/>
      <c r="E807" s="14"/>
      <c r="F807" s="14"/>
      <c r="G807" s="14"/>
      <c r="H807" s="14"/>
      <c r="I807" s="14"/>
      <c r="J807" s="14"/>
      <c r="K807" s="14"/>
      <c r="M807" s="14"/>
    </row>
    <row r="808" spans="2:13" ht="12.75" customHeight="1" x14ac:dyDescent="0.25">
      <c r="B808" s="14"/>
      <c r="D808" s="14"/>
      <c r="E808" s="14"/>
      <c r="F808" s="14"/>
      <c r="G808" s="14"/>
      <c r="H808" s="14"/>
      <c r="I808" s="14"/>
      <c r="J808" s="14"/>
      <c r="K808" s="14"/>
      <c r="M808" s="14"/>
    </row>
    <row r="809" spans="2:13" ht="12.75" customHeight="1" x14ac:dyDescent="0.25">
      <c r="B809" s="14"/>
      <c r="D809" s="14"/>
      <c r="E809" s="14"/>
      <c r="F809" s="14"/>
      <c r="G809" s="14"/>
      <c r="H809" s="14"/>
      <c r="I809" s="14"/>
      <c r="J809" s="14"/>
      <c r="K809" s="14"/>
      <c r="M809" s="14"/>
    </row>
    <row r="810" spans="2:13" ht="12.75" customHeight="1" x14ac:dyDescent="0.25">
      <c r="B810" s="14"/>
      <c r="D810" s="14"/>
      <c r="E810" s="14"/>
      <c r="F810" s="14"/>
      <c r="G810" s="14"/>
      <c r="H810" s="14"/>
      <c r="I810" s="14"/>
      <c r="J810" s="14"/>
      <c r="K810" s="14"/>
      <c r="M810" s="14"/>
    </row>
    <row r="811" spans="2:13" ht="12.75" customHeight="1" x14ac:dyDescent="0.25">
      <c r="B811" s="14"/>
      <c r="D811" s="14"/>
      <c r="E811" s="14"/>
      <c r="F811" s="14"/>
      <c r="G811" s="14"/>
      <c r="H811" s="14"/>
      <c r="I811" s="14"/>
      <c r="J811" s="14"/>
      <c r="K811" s="14"/>
      <c r="M811" s="14"/>
    </row>
    <row r="812" spans="2:13" ht="12.75" customHeight="1" x14ac:dyDescent="0.25">
      <c r="B812" s="14"/>
      <c r="D812" s="14"/>
      <c r="E812" s="14"/>
      <c r="F812" s="14"/>
      <c r="G812" s="14"/>
      <c r="H812" s="14"/>
      <c r="I812" s="14"/>
      <c r="J812" s="14"/>
      <c r="K812" s="14"/>
      <c r="M812" s="14"/>
    </row>
    <row r="813" spans="2:13" ht="12.75" customHeight="1" x14ac:dyDescent="0.25">
      <c r="B813" s="14"/>
      <c r="D813" s="14"/>
      <c r="E813" s="14"/>
      <c r="F813" s="14"/>
      <c r="G813" s="14"/>
      <c r="H813" s="14"/>
      <c r="I813" s="14"/>
      <c r="J813" s="14"/>
      <c r="K813" s="14"/>
      <c r="M813" s="14"/>
    </row>
    <row r="814" spans="2:13" ht="12.75" customHeight="1" x14ac:dyDescent="0.25">
      <c r="B814" s="14"/>
      <c r="D814" s="14"/>
      <c r="E814" s="14"/>
      <c r="F814" s="14"/>
      <c r="G814" s="14"/>
      <c r="H814" s="14"/>
      <c r="I814" s="14"/>
      <c r="J814" s="14"/>
      <c r="K814" s="14"/>
      <c r="M814" s="14"/>
    </row>
    <row r="815" spans="2:13" ht="12.75" customHeight="1" x14ac:dyDescent="0.25">
      <c r="B815" s="14"/>
      <c r="D815" s="14"/>
      <c r="E815" s="14"/>
      <c r="F815" s="14"/>
      <c r="G815" s="14"/>
      <c r="H815" s="14"/>
      <c r="I815" s="14"/>
      <c r="J815" s="14"/>
      <c r="K815" s="14"/>
      <c r="M815" s="14"/>
    </row>
    <row r="816" spans="2:13" ht="12.75" customHeight="1" x14ac:dyDescent="0.25">
      <c r="B816" s="14"/>
      <c r="D816" s="14"/>
      <c r="E816" s="14"/>
      <c r="F816" s="14"/>
      <c r="G816" s="14"/>
      <c r="H816" s="14"/>
      <c r="I816" s="14"/>
      <c r="J816" s="14"/>
      <c r="K816" s="14"/>
      <c r="M816" s="14"/>
    </row>
    <row r="817" spans="2:13" ht="12.75" customHeight="1" x14ac:dyDescent="0.25">
      <c r="B817" s="14"/>
      <c r="D817" s="14"/>
      <c r="E817" s="14"/>
      <c r="F817" s="14"/>
      <c r="G817" s="14"/>
      <c r="H817" s="14"/>
      <c r="I817" s="14"/>
      <c r="J817" s="14"/>
      <c r="K817" s="14"/>
      <c r="M817" s="14"/>
    </row>
    <row r="818" spans="2:13" ht="12.75" customHeight="1" x14ac:dyDescent="0.25">
      <c r="B818" s="14"/>
      <c r="D818" s="14"/>
      <c r="E818" s="14"/>
      <c r="F818" s="14"/>
      <c r="G818" s="14"/>
      <c r="H818" s="14"/>
      <c r="I818" s="14"/>
      <c r="J818" s="14"/>
      <c r="K818" s="14"/>
      <c r="M818" s="14"/>
    </row>
    <row r="819" spans="2:13" ht="12.75" customHeight="1" x14ac:dyDescent="0.25">
      <c r="B819" s="14"/>
      <c r="D819" s="14"/>
      <c r="E819" s="14"/>
      <c r="F819" s="14"/>
      <c r="G819" s="14"/>
      <c r="H819" s="14"/>
      <c r="I819" s="14"/>
      <c r="J819" s="14"/>
      <c r="K819" s="14"/>
      <c r="M819" s="14"/>
    </row>
    <row r="820" spans="2:13" ht="12.75" customHeight="1" x14ac:dyDescent="0.25">
      <c r="B820" s="14"/>
      <c r="D820" s="14"/>
      <c r="E820" s="14"/>
      <c r="F820" s="14"/>
      <c r="G820" s="14"/>
      <c r="H820" s="14"/>
      <c r="I820" s="14"/>
      <c r="J820" s="14"/>
      <c r="K820" s="14"/>
      <c r="M820" s="14"/>
    </row>
    <row r="821" spans="2:13" ht="12.75" customHeight="1" x14ac:dyDescent="0.25">
      <c r="B821" s="14"/>
      <c r="D821" s="14"/>
      <c r="E821" s="14"/>
      <c r="F821" s="14"/>
      <c r="G821" s="14"/>
      <c r="H821" s="14"/>
      <c r="I821" s="14"/>
      <c r="J821" s="14"/>
      <c r="K821" s="14"/>
      <c r="M821" s="14"/>
    </row>
    <row r="822" spans="2:13" ht="12.75" customHeight="1" x14ac:dyDescent="0.25">
      <c r="B822" s="14"/>
      <c r="D822" s="14"/>
      <c r="E822" s="14"/>
      <c r="F822" s="14"/>
      <c r="G822" s="14"/>
      <c r="H822" s="14"/>
      <c r="I822" s="14"/>
      <c r="J822" s="14"/>
      <c r="K822" s="14"/>
      <c r="M822" s="14"/>
    </row>
    <row r="823" spans="2:13" ht="12.75" customHeight="1" x14ac:dyDescent="0.25">
      <c r="B823" s="14"/>
      <c r="D823" s="14"/>
      <c r="E823" s="14"/>
      <c r="F823" s="14"/>
      <c r="G823" s="14"/>
      <c r="H823" s="14"/>
      <c r="I823" s="14"/>
      <c r="J823" s="14"/>
      <c r="K823" s="14"/>
      <c r="M823" s="14"/>
    </row>
    <row r="824" spans="2:13" ht="12.75" customHeight="1" x14ac:dyDescent="0.25">
      <c r="B824" s="14"/>
      <c r="D824" s="14"/>
      <c r="E824" s="14"/>
      <c r="F824" s="14"/>
      <c r="G824" s="14"/>
      <c r="H824" s="14"/>
      <c r="I824" s="14"/>
      <c r="J824" s="14"/>
      <c r="K824" s="14"/>
      <c r="M824" s="14"/>
    </row>
    <row r="825" spans="2:13" ht="12.75" customHeight="1" x14ac:dyDescent="0.25">
      <c r="B825" s="14"/>
      <c r="D825" s="14"/>
      <c r="E825" s="14"/>
      <c r="F825" s="14"/>
      <c r="G825" s="14"/>
      <c r="H825" s="14"/>
      <c r="I825" s="14"/>
      <c r="J825" s="14"/>
      <c r="K825" s="14"/>
      <c r="M825" s="14"/>
    </row>
    <row r="826" spans="2:13" ht="12.75" customHeight="1" x14ac:dyDescent="0.25">
      <c r="B826" s="14"/>
      <c r="D826" s="14"/>
      <c r="E826" s="14"/>
      <c r="F826" s="14"/>
      <c r="G826" s="14"/>
      <c r="H826" s="14"/>
      <c r="I826" s="14"/>
      <c r="J826" s="14"/>
      <c r="K826" s="14"/>
      <c r="M826" s="14"/>
    </row>
    <row r="827" spans="2:13" ht="12.75" customHeight="1" x14ac:dyDescent="0.25">
      <c r="B827" s="14"/>
      <c r="D827" s="14"/>
      <c r="E827" s="14"/>
      <c r="F827" s="14"/>
      <c r="G827" s="14"/>
      <c r="H827" s="14"/>
      <c r="I827" s="14"/>
      <c r="J827" s="14"/>
      <c r="K827" s="14"/>
      <c r="M827" s="14"/>
    </row>
    <row r="828" spans="2:13" ht="12.75" customHeight="1" x14ac:dyDescent="0.25">
      <c r="B828" s="14"/>
      <c r="D828" s="14"/>
      <c r="E828" s="14"/>
      <c r="F828" s="14"/>
      <c r="G828" s="14"/>
      <c r="H828" s="14"/>
      <c r="I828" s="14"/>
      <c r="J828" s="14"/>
      <c r="K828" s="14"/>
      <c r="M828" s="14"/>
    </row>
    <row r="829" spans="2:13" ht="12.75" customHeight="1" x14ac:dyDescent="0.25">
      <c r="B829" s="14"/>
      <c r="D829" s="14"/>
      <c r="E829" s="14"/>
      <c r="F829" s="14"/>
      <c r="G829" s="14"/>
      <c r="H829" s="14"/>
      <c r="I829" s="14"/>
      <c r="J829" s="14"/>
      <c r="K829" s="14"/>
      <c r="M829" s="14"/>
    </row>
    <row r="830" spans="2:13" ht="12.75" customHeight="1" x14ac:dyDescent="0.25">
      <c r="B830" s="14"/>
      <c r="D830" s="14"/>
      <c r="E830" s="14"/>
      <c r="F830" s="14"/>
      <c r="G830" s="14"/>
      <c r="H830" s="14"/>
      <c r="I830" s="14"/>
      <c r="J830" s="14"/>
      <c r="K830" s="14"/>
      <c r="M830" s="14"/>
    </row>
    <row r="831" spans="2:13" ht="12.75" customHeight="1" x14ac:dyDescent="0.25">
      <c r="B831" s="14"/>
      <c r="D831" s="14"/>
      <c r="E831" s="14"/>
      <c r="F831" s="14"/>
      <c r="G831" s="14"/>
      <c r="H831" s="14"/>
      <c r="I831" s="14"/>
      <c r="J831" s="14"/>
      <c r="K831" s="14"/>
      <c r="M831" s="14"/>
    </row>
    <row r="832" spans="2:13" ht="12.75" customHeight="1" x14ac:dyDescent="0.25">
      <c r="B832" s="14"/>
      <c r="D832" s="14"/>
      <c r="E832" s="14"/>
      <c r="F832" s="14"/>
      <c r="G832" s="14"/>
      <c r="H832" s="14"/>
      <c r="I832" s="14"/>
      <c r="J832" s="14"/>
      <c r="K832" s="14"/>
      <c r="M832" s="14"/>
    </row>
    <row r="833" spans="2:13" ht="12.75" customHeight="1" x14ac:dyDescent="0.25">
      <c r="B833" s="14"/>
      <c r="D833" s="14"/>
      <c r="E833" s="14"/>
      <c r="F833" s="14"/>
      <c r="G833" s="14"/>
      <c r="H833" s="14"/>
      <c r="I833" s="14"/>
      <c r="J833" s="14"/>
      <c r="K833" s="14"/>
      <c r="M833" s="14"/>
    </row>
    <row r="834" spans="2:13" ht="12.75" customHeight="1" x14ac:dyDescent="0.25">
      <c r="B834" s="14"/>
      <c r="D834" s="14"/>
      <c r="E834" s="14"/>
      <c r="F834" s="14"/>
      <c r="G834" s="14"/>
      <c r="H834" s="14"/>
      <c r="I834" s="14"/>
      <c r="J834" s="14"/>
      <c r="K834" s="14"/>
      <c r="M834" s="14"/>
    </row>
    <row r="835" spans="2:13" ht="12.75" customHeight="1" x14ac:dyDescent="0.25">
      <c r="B835" s="14"/>
      <c r="D835" s="14"/>
      <c r="E835" s="14"/>
      <c r="F835" s="14"/>
      <c r="G835" s="14"/>
      <c r="H835" s="14"/>
      <c r="I835" s="14"/>
      <c r="J835" s="14"/>
      <c r="K835" s="14"/>
      <c r="M835" s="14"/>
    </row>
    <row r="836" spans="2:13" ht="12.75" customHeight="1" x14ac:dyDescent="0.25">
      <c r="B836" s="14"/>
      <c r="D836" s="14"/>
      <c r="E836" s="14"/>
      <c r="F836" s="14"/>
      <c r="G836" s="14"/>
      <c r="H836" s="14"/>
      <c r="I836" s="14"/>
      <c r="J836" s="14"/>
      <c r="K836" s="14"/>
      <c r="M836" s="14"/>
    </row>
    <row r="837" spans="2:13" ht="12.75" customHeight="1" x14ac:dyDescent="0.25">
      <c r="B837" s="14"/>
      <c r="D837" s="14"/>
      <c r="E837" s="14"/>
      <c r="F837" s="14"/>
      <c r="G837" s="14"/>
      <c r="H837" s="14"/>
      <c r="I837" s="14"/>
      <c r="J837" s="14"/>
      <c r="K837" s="14"/>
      <c r="M837" s="14"/>
    </row>
    <row r="838" spans="2:13" ht="12.75" customHeight="1" x14ac:dyDescent="0.25">
      <c r="B838" s="14"/>
      <c r="D838" s="14"/>
      <c r="E838" s="14"/>
      <c r="F838" s="14"/>
      <c r="G838" s="14"/>
      <c r="H838" s="14"/>
      <c r="I838" s="14"/>
      <c r="J838" s="14"/>
      <c r="K838" s="14"/>
      <c r="M838" s="14"/>
    </row>
    <row r="839" spans="2:13" ht="12.75" customHeight="1" x14ac:dyDescent="0.25">
      <c r="B839" s="14"/>
      <c r="D839" s="14"/>
      <c r="E839" s="14"/>
      <c r="F839" s="14"/>
      <c r="G839" s="14"/>
      <c r="H839" s="14"/>
      <c r="I839" s="14"/>
      <c r="J839" s="14"/>
      <c r="K839" s="14"/>
      <c r="M839" s="14"/>
    </row>
    <row r="840" spans="2:13" ht="12.75" customHeight="1" x14ac:dyDescent="0.25">
      <c r="B840" s="14"/>
      <c r="D840" s="14"/>
      <c r="E840" s="14"/>
      <c r="F840" s="14"/>
      <c r="G840" s="14"/>
      <c r="H840" s="14"/>
      <c r="I840" s="14"/>
      <c r="J840" s="14"/>
      <c r="K840" s="14"/>
      <c r="M840" s="14"/>
    </row>
    <row r="841" spans="2:13" ht="12.75" customHeight="1" x14ac:dyDescent="0.25">
      <c r="B841" s="14"/>
      <c r="D841" s="14"/>
      <c r="E841" s="14"/>
      <c r="F841" s="14"/>
      <c r="G841" s="14"/>
      <c r="H841" s="14"/>
      <c r="I841" s="14"/>
      <c r="J841" s="14"/>
      <c r="K841" s="14"/>
      <c r="M841" s="14"/>
    </row>
    <row r="842" spans="2:13" ht="12.75" customHeight="1" x14ac:dyDescent="0.25">
      <c r="B842" s="14"/>
      <c r="D842" s="14"/>
      <c r="E842" s="14"/>
      <c r="F842" s="14"/>
      <c r="G842" s="14"/>
      <c r="H842" s="14"/>
      <c r="I842" s="14"/>
      <c r="J842" s="14"/>
      <c r="K842" s="14"/>
      <c r="M842" s="14"/>
    </row>
    <row r="843" spans="2:13" ht="12.75" customHeight="1" x14ac:dyDescent="0.25">
      <c r="B843" s="14"/>
      <c r="D843" s="14"/>
      <c r="E843" s="14"/>
      <c r="F843" s="14"/>
      <c r="G843" s="14"/>
      <c r="H843" s="14"/>
      <c r="I843" s="14"/>
      <c r="J843" s="14"/>
      <c r="K843" s="14"/>
      <c r="M843" s="14"/>
    </row>
    <row r="844" spans="2:13" ht="12.75" customHeight="1" x14ac:dyDescent="0.25">
      <c r="B844" s="14"/>
      <c r="D844" s="14"/>
      <c r="E844" s="14"/>
      <c r="F844" s="14"/>
      <c r="G844" s="14"/>
      <c r="H844" s="14"/>
      <c r="I844" s="14"/>
      <c r="J844" s="14"/>
      <c r="K844" s="14"/>
      <c r="M844" s="14"/>
    </row>
    <row r="845" spans="2:13" ht="12.75" customHeight="1" x14ac:dyDescent="0.25">
      <c r="B845" s="14"/>
      <c r="D845" s="14"/>
      <c r="E845" s="14"/>
      <c r="F845" s="14"/>
      <c r="G845" s="14"/>
      <c r="H845" s="14"/>
      <c r="I845" s="14"/>
      <c r="J845" s="14"/>
      <c r="K845" s="14"/>
      <c r="M845" s="14"/>
    </row>
    <row r="846" spans="2:13" ht="12.75" customHeight="1" x14ac:dyDescent="0.25">
      <c r="B846" s="14"/>
      <c r="D846" s="14"/>
      <c r="E846" s="14"/>
      <c r="F846" s="14"/>
      <c r="G846" s="14"/>
      <c r="H846" s="14"/>
      <c r="I846" s="14"/>
      <c r="J846" s="14"/>
      <c r="K846" s="14"/>
      <c r="M846" s="14"/>
    </row>
    <row r="847" spans="2:13" ht="12.75" customHeight="1" x14ac:dyDescent="0.25">
      <c r="B847" s="14"/>
      <c r="D847" s="14"/>
      <c r="E847" s="14"/>
      <c r="F847" s="14"/>
      <c r="G847" s="14"/>
      <c r="H847" s="14"/>
      <c r="I847" s="14"/>
      <c r="J847" s="14"/>
      <c r="K847" s="14"/>
      <c r="M847" s="14"/>
    </row>
    <row r="848" spans="2:13" ht="12.75" customHeight="1" x14ac:dyDescent="0.25">
      <c r="B848" s="14"/>
      <c r="D848" s="14"/>
      <c r="E848" s="14"/>
      <c r="F848" s="14"/>
      <c r="G848" s="14"/>
      <c r="H848" s="14"/>
      <c r="I848" s="14"/>
      <c r="J848" s="14"/>
      <c r="K848" s="14"/>
      <c r="M848" s="14"/>
    </row>
    <row r="849" spans="2:13" ht="12.75" customHeight="1" x14ac:dyDescent="0.25">
      <c r="B849" s="14"/>
      <c r="D849" s="14"/>
      <c r="E849" s="14"/>
      <c r="F849" s="14"/>
      <c r="G849" s="14"/>
      <c r="H849" s="14"/>
      <c r="I849" s="14"/>
      <c r="J849" s="14"/>
      <c r="K849" s="14"/>
      <c r="M849" s="14"/>
    </row>
    <row r="850" spans="2:13" ht="12.75" customHeight="1" x14ac:dyDescent="0.25">
      <c r="B850" s="14"/>
      <c r="D850" s="14"/>
      <c r="E850" s="14"/>
      <c r="F850" s="14"/>
      <c r="G850" s="14"/>
      <c r="H850" s="14"/>
      <c r="I850" s="14"/>
      <c r="J850" s="14"/>
      <c r="K850" s="14"/>
      <c r="M850" s="14"/>
    </row>
    <row r="851" spans="2:13" ht="12.75" customHeight="1" x14ac:dyDescent="0.25">
      <c r="B851" s="14"/>
      <c r="D851" s="14"/>
      <c r="E851" s="14"/>
      <c r="F851" s="14"/>
      <c r="G851" s="14"/>
      <c r="H851" s="14"/>
      <c r="I851" s="14"/>
      <c r="J851" s="14"/>
      <c r="K851" s="14"/>
      <c r="M851" s="14"/>
    </row>
    <row r="852" spans="2:13" ht="12.75" customHeight="1" x14ac:dyDescent="0.25">
      <c r="B852" s="14"/>
      <c r="D852" s="14"/>
      <c r="E852" s="14"/>
      <c r="F852" s="14"/>
      <c r="G852" s="14"/>
      <c r="H852" s="14"/>
      <c r="I852" s="14"/>
      <c r="J852" s="14"/>
      <c r="K852" s="14"/>
      <c r="M852" s="14"/>
    </row>
    <row r="853" spans="2:13" ht="12.75" customHeight="1" x14ac:dyDescent="0.25">
      <c r="B853" s="14"/>
      <c r="D853" s="14"/>
      <c r="E853" s="14"/>
      <c r="F853" s="14"/>
      <c r="G853" s="14"/>
      <c r="H853" s="14"/>
      <c r="I853" s="14"/>
      <c r="J853" s="14"/>
      <c r="K853" s="14"/>
      <c r="M853" s="14"/>
    </row>
    <row r="854" spans="2:13" ht="12.75" customHeight="1" x14ac:dyDescent="0.25">
      <c r="B854" s="14"/>
      <c r="D854" s="14"/>
      <c r="E854" s="14"/>
      <c r="F854" s="14"/>
      <c r="G854" s="14"/>
      <c r="H854" s="14"/>
      <c r="I854" s="14"/>
      <c r="J854" s="14"/>
      <c r="K854" s="14"/>
      <c r="M854" s="14"/>
    </row>
    <row r="855" spans="2:13" ht="12.75" customHeight="1" x14ac:dyDescent="0.25">
      <c r="B855" s="14"/>
      <c r="D855" s="14"/>
      <c r="E855" s="14"/>
      <c r="F855" s="14"/>
      <c r="G855" s="14"/>
      <c r="H855" s="14"/>
      <c r="I855" s="14"/>
      <c r="J855" s="14"/>
      <c r="K855" s="14"/>
      <c r="M855" s="14"/>
    </row>
    <row r="856" spans="2:13" ht="12.75" customHeight="1" x14ac:dyDescent="0.25">
      <c r="B856" s="14"/>
      <c r="D856" s="14"/>
      <c r="E856" s="14"/>
      <c r="F856" s="14"/>
      <c r="G856" s="14"/>
      <c r="H856" s="14"/>
      <c r="I856" s="14"/>
      <c r="J856" s="14"/>
      <c r="K856" s="14"/>
      <c r="M856" s="14"/>
    </row>
    <row r="857" spans="2:13" ht="12.75" customHeight="1" x14ac:dyDescent="0.25">
      <c r="B857" s="14"/>
      <c r="D857" s="14"/>
      <c r="E857" s="14"/>
      <c r="F857" s="14"/>
      <c r="G857" s="14"/>
      <c r="H857" s="14"/>
      <c r="I857" s="14"/>
      <c r="J857" s="14"/>
      <c r="K857" s="14"/>
      <c r="M857" s="14"/>
    </row>
    <row r="858" spans="2:13" ht="12.75" customHeight="1" x14ac:dyDescent="0.25">
      <c r="B858" s="14"/>
      <c r="D858" s="14"/>
      <c r="E858" s="14"/>
      <c r="F858" s="14"/>
      <c r="G858" s="14"/>
      <c r="H858" s="14"/>
      <c r="I858" s="14"/>
      <c r="J858" s="14"/>
      <c r="K858" s="14"/>
      <c r="M858" s="14"/>
    </row>
    <row r="859" spans="2:13" ht="12.75" customHeight="1" x14ac:dyDescent="0.25">
      <c r="B859" s="14"/>
      <c r="D859" s="14"/>
      <c r="E859" s="14"/>
      <c r="F859" s="14"/>
      <c r="G859" s="14"/>
      <c r="H859" s="14"/>
      <c r="I859" s="14"/>
      <c r="J859" s="14"/>
      <c r="K859" s="14"/>
      <c r="M859" s="14"/>
    </row>
    <row r="860" spans="2:13" ht="12.75" customHeight="1" x14ac:dyDescent="0.25">
      <c r="B860" s="14"/>
      <c r="D860" s="14"/>
      <c r="E860" s="14"/>
      <c r="F860" s="14"/>
      <c r="G860" s="14"/>
      <c r="H860" s="14"/>
      <c r="I860" s="14"/>
      <c r="J860" s="14"/>
      <c r="K860" s="14"/>
      <c r="M860" s="14"/>
    </row>
    <row r="861" spans="2:13" ht="12.75" customHeight="1" x14ac:dyDescent="0.25">
      <c r="B861" s="14"/>
      <c r="D861" s="14"/>
      <c r="E861" s="14"/>
      <c r="F861" s="14"/>
      <c r="G861" s="14"/>
      <c r="H861" s="14"/>
      <c r="I861" s="14"/>
      <c r="J861" s="14"/>
      <c r="K861" s="14"/>
      <c r="M861" s="14"/>
    </row>
    <row r="862" spans="2:13" ht="12.75" customHeight="1" x14ac:dyDescent="0.25">
      <c r="B862" s="14"/>
      <c r="D862" s="14"/>
      <c r="E862" s="14"/>
      <c r="F862" s="14"/>
      <c r="G862" s="14"/>
      <c r="H862" s="14"/>
      <c r="I862" s="14"/>
      <c r="J862" s="14"/>
      <c r="K862" s="14"/>
      <c r="M862" s="14"/>
    </row>
    <row r="863" spans="2:13" ht="12.75" customHeight="1" x14ac:dyDescent="0.25">
      <c r="B863" s="14"/>
      <c r="D863" s="14"/>
      <c r="E863" s="14"/>
      <c r="F863" s="14"/>
      <c r="G863" s="14"/>
      <c r="H863" s="14"/>
      <c r="I863" s="14"/>
      <c r="J863" s="14"/>
      <c r="K863" s="14"/>
      <c r="M863" s="14"/>
    </row>
    <row r="864" spans="2:13" ht="12.75" customHeight="1" x14ac:dyDescent="0.25">
      <c r="B864" s="14"/>
      <c r="D864" s="14"/>
      <c r="E864" s="14"/>
      <c r="F864" s="14"/>
      <c r="G864" s="14"/>
      <c r="H864" s="14"/>
      <c r="I864" s="14"/>
      <c r="J864" s="14"/>
      <c r="K864" s="14"/>
      <c r="M864" s="14"/>
    </row>
    <row r="865" spans="2:13" ht="12.75" customHeight="1" x14ac:dyDescent="0.25">
      <c r="B865" s="14"/>
      <c r="D865" s="14"/>
      <c r="E865" s="14"/>
      <c r="F865" s="14"/>
      <c r="G865" s="14"/>
      <c r="H865" s="14"/>
      <c r="I865" s="14"/>
      <c r="J865" s="14"/>
      <c r="K865" s="14"/>
      <c r="M865" s="14"/>
    </row>
    <row r="866" spans="2:13" ht="12.75" customHeight="1" x14ac:dyDescent="0.25">
      <c r="B866" s="14"/>
      <c r="D866" s="14"/>
      <c r="E866" s="14"/>
      <c r="F866" s="14"/>
      <c r="G866" s="14"/>
      <c r="H866" s="14"/>
      <c r="I866" s="14"/>
      <c r="J866" s="14"/>
      <c r="K866" s="14"/>
      <c r="M866" s="14"/>
    </row>
    <row r="867" spans="2:13" ht="12.75" customHeight="1" x14ac:dyDescent="0.25">
      <c r="B867" s="14"/>
      <c r="D867" s="14"/>
      <c r="E867" s="14"/>
      <c r="F867" s="14"/>
      <c r="G867" s="14"/>
      <c r="H867" s="14"/>
      <c r="I867" s="14"/>
      <c r="J867" s="14"/>
      <c r="K867" s="14"/>
      <c r="M867" s="14"/>
    </row>
    <row r="868" spans="2:13" ht="12.75" customHeight="1" x14ac:dyDescent="0.25">
      <c r="B868" s="14"/>
      <c r="D868" s="14"/>
      <c r="E868" s="14"/>
      <c r="F868" s="14"/>
      <c r="G868" s="14"/>
      <c r="H868" s="14"/>
      <c r="I868" s="14"/>
      <c r="J868" s="14"/>
      <c r="K868" s="14"/>
      <c r="M868" s="14"/>
    </row>
    <row r="869" spans="2:13" ht="12.75" customHeight="1" x14ac:dyDescent="0.25">
      <c r="B869" s="14"/>
      <c r="D869" s="14"/>
      <c r="E869" s="14"/>
      <c r="F869" s="14"/>
      <c r="G869" s="14"/>
      <c r="H869" s="14"/>
      <c r="I869" s="14"/>
      <c r="J869" s="14"/>
      <c r="K869" s="14"/>
      <c r="M869" s="14"/>
    </row>
    <row r="870" spans="2:13" ht="12.75" customHeight="1" x14ac:dyDescent="0.25">
      <c r="B870" s="14"/>
      <c r="D870" s="14"/>
      <c r="E870" s="14"/>
      <c r="F870" s="14"/>
      <c r="G870" s="14"/>
      <c r="H870" s="14"/>
      <c r="I870" s="14"/>
      <c r="J870" s="14"/>
      <c r="K870" s="14"/>
      <c r="M870" s="14"/>
    </row>
    <row r="871" spans="2:13" ht="12.75" customHeight="1" x14ac:dyDescent="0.25">
      <c r="B871" s="14"/>
      <c r="D871" s="14"/>
      <c r="E871" s="14"/>
      <c r="F871" s="14"/>
      <c r="G871" s="14"/>
      <c r="H871" s="14"/>
      <c r="I871" s="14"/>
      <c r="J871" s="14"/>
      <c r="K871" s="14"/>
      <c r="M871" s="14"/>
    </row>
    <row r="872" spans="2:13" ht="12.75" customHeight="1" x14ac:dyDescent="0.25">
      <c r="B872" s="14"/>
      <c r="D872" s="14"/>
      <c r="E872" s="14"/>
      <c r="F872" s="14"/>
      <c r="G872" s="14"/>
      <c r="H872" s="14"/>
      <c r="I872" s="14"/>
      <c r="J872" s="14"/>
      <c r="K872" s="14"/>
      <c r="M872" s="14"/>
    </row>
    <row r="873" spans="2:13" ht="12.75" customHeight="1" x14ac:dyDescent="0.25">
      <c r="B873" s="14"/>
      <c r="D873" s="14"/>
      <c r="E873" s="14"/>
      <c r="F873" s="14"/>
      <c r="G873" s="14"/>
      <c r="H873" s="14"/>
      <c r="I873" s="14"/>
      <c r="J873" s="14"/>
      <c r="K873" s="14"/>
      <c r="M873" s="14"/>
    </row>
    <row r="874" spans="2:13" ht="12.75" customHeight="1" x14ac:dyDescent="0.25">
      <c r="B874" s="14"/>
      <c r="D874" s="14"/>
      <c r="E874" s="14"/>
      <c r="F874" s="14"/>
      <c r="G874" s="14"/>
      <c r="H874" s="14"/>
      <c r="I874" s="14"/>
      <c r="J874" s="14"/>
      <c r="K874" s="14"/>
      <c r="M874" s="14"/>
    </row>
    <row r="875" spans="2:13" ht="12.75" customHeight="1" x14ac:dyDescent="0.25">
      <c r="B875" s="14"/>
      <c r="D875" s="14"/>
      <c r="E875" s="14"/>
      <c r="F875" s="14"/>
      <c r="G875" s="14"/>
      <c r="H875" s="14"/>
      <c r="I875" s="14"/>
      <c r="J875" s="14"/>
      <c r="K875" s="14"/>
      <c r="M875" s="14"/>
    </row>
    <row r="876" spans="2:13" ht="12.75" customHeight="1" x14ac:dyDescent="0.25">
      <c r="B876" s="14"/>
      <c r="D876" s="14"/>
      <c r="E876" s="14"/>
      <c r="F876" s="14"/>
      <c r="G876" s="14"/>
      <c r="H876" s="14"/>
      <c r="I876" s="14"/>
      <c r="J876" s="14"/>
      <c r="K876" s="14"/>
      <c r="M876" s="14"/>
    </row>
    <row r="877" spans="2:13" ht="12.75" customHeight="1" x14ac:dyDescent="0.25">
      <c r="B877" s="14"/>
      <c r="D877" s="14"/>
      <c r="E877" s="14"/>
      <c r="F877" s="14"/>
      <c r="G877" s="14"/>
      <c r="H877" s="14"/>
      <c r="I877" s="14"/>
      <c r="J877" s="14"/>
      <c r="K877" s="14"/>
      <c r="M877" s="14"/>
    </row>
    <row r="878" spans="2:13" ht="12.75" customHeight="1" x14ac:dyDescent="0.25">
      <c r="B878" s="14"/>
      <c r="D878" s="14"/>
      <c r="E878" s="14"/>
      <c r="F878" s="14"/>
      <c r="G878" s="14"/>
      <c r="H878" s="14"/>
      <c r="I878" s="14"/>
      <c r="J878" s="14"/>
      <c r="K878" s="14"/>
      <c r="M878" s="14"/>
    </row>
    <row r="879" spans="2:13" ht="12.75" customHeight="1" x14ac:dyDescent="0.25">
      <c r="B879" s="14"/>
      <c r="D879" s="14"/>
      <c r="E879" s="14"/>
      <c r="F879" s="14"/>
      <c r="G879" s="14"/>
      <c r="H879" s="14"/>
      <c r="I879" s="14"/>
      <c r="J879" s="14"/>
      <c r="K879" s="14"/>
      <c r="M879" s="14"/>
    </row>
    <row r="880" spans="2:13" ht="12.75" customHeight="1" x14ac:dyDescent="0.25">
      <c r="B880" s="14"/>
      <c r="D880" s="14"/>
      <c r="E880" s="14"/>
      <c r="F880" s="14"/>
      <c r="G880" s="14"/>
      <c r="H880" s="14"/>
      <c r="I880" s="14"/>
      <c r="J880" s="14"/>
      <c r="K880" s="14"/>
      <c r="M880" s="14"/>
    </row>
    <row r="881" spans="2:13" ht="12.75" customHeight="1" x14ac:dyDescent="0.25">
      <c r="B881" s="14"/>
      <c r="D881" s="14"/>
      <c r="E881" s="14"/>
      <c r="F881" s="14"/>
      <c r="G881" s="14"/>
      <c r="H881" s="14"/>
      <c r="I881" s="14"/>
      <c r="J881" s="14"/>
      <c r="K881" s="14"/>
      <c r="M881" s="14"/>
    </row>
    <row r="882" spans="2:13" ht="12.75" customHeight="1" x14ac:dyDescent="0.25">
      <c r="B882" s="14"/>
      <c r="D882" s="14"/>
      <c r="E882" s="14"/>
      <c r="F882" s="14"/>
      <c r="G882" s="14"/>
      <c r="H882" s="14"/>
      <c r="I882" s="14"/>
      <c r="J882" s="14"/>
      <c r="K882" s="14"/>
      <c r="M882" s="14"/>
    </row>
    <row r="883" spans="2:13" ht="12.75" customHeight="1" x14ac:dyDescent="0.25">
      <c r="B883" s="14"/>
      <c r="D883" s="14"/>
      <c r="E883" s="14"/>
      <c r="F883" s="14"/>
      <c r="G883" s="14"/>
      <c r="H883" s="14"/>
      <c r="I883" s="14"/>
      <c r="J883" s="14"/>
      <c r="K883" s="14"/>
      <c r="M883" s="14"/>
    </row>
    <row r="884" spans="2:13" ht="12.75" customHeight="1" x14ac:dyDescent="0.25">
      <c r="B884" s="14"/>
      <c r="D884" s="14"/>
      <c r="E884" s="14"/>
      <c r="F884" s="14"/>
      <c r="G884" s="14"/>
      <c r="H884" s="14"/>
      <c r="I884" s="14"/>
      <c r="J884" s="14"/>
      <c r="K884" s="14"/>
      <c r="M884" s="14"/>
    </row>
    <row r="885" spans="2:13" ht="12.75" customHeight="1" x14ac:dyDescent="0.25">
      <c r="B885" s="14"/>
      <c r="D885" s="14"/>
      <c r="E885" s="14"/>
      <c r="F885" s="14"/>
      <c r="G885" s="14"/>
      <c r="H885" s="14"/>
      <c r="I885" s="14"/>
      <c r="J885" s="14"/>
      <c r="K885" s="14"/>
      <c r="M885" s="14"/>
    </row>
    <row r="886" spans="2:13" ht="12.75" customHeight="1" x14ac:dyDescent="0.25">
      <c r="B886" s="14"/>
      <c r="D886" s="14"/>
      <c r="E886" s="14"/>
      <c r="F886" s="14"/>
      <c r="G886" s="14"/>
      <c r="H886" s="14"/>
      <c r="I886" s="14"/>
      <c r="J886" s="14"/>
      <c r="K886" s="14"/>
      <c r="M886" s="14"/>
    </row>
    <row r="887" spans="2:13" ht="12.75" customHeight="1" x14ac:dyDescent="0.25">
      <c r="B887" s="14"/>
      <c r="D887" s="14"/>
      <c r="E887" s="14"/>
      <c r="F887" s="14"/>
      <c r="G887" s="14"/>
      <c r="H887" s="14"/>
      <c r="I887" s="14"/>
      <c r="J887" s="14"/>
      <c r="K887" s="14"/>
      <c r="M887" s="14"/>
    </row>
    <row r="888" spans="2:13" ht="12.75" customHeight="1" x14ac:dyDescent="0.25">
      <c r="B888" s="14"/>
      <c r="D888" s="14"/>
      <c r="E888" s="14"/>
      <c r="F888" s="14"/>
      <c r="G888" s="14"/>
      <c r="H888" s="14"/>
      <c r="I888" s="14"/>
      <c r="J888" s="14"/>
      <c r="K888" s="14"/>
      <c r="M888" s="14"/>
    </row>
    <row r="889" spans="2:13" ht="12.75" customHeight="1" x14ac:dyDescent="0.25">
      <c r="B889" s="14"/>
      <c r="D889" s="14"/>
      <c r="E889" s="14"/>
      <c r="F889" s="14"/>
      <c r="G889" s="14"/>
      <c r="H889" s="14"/>
      <c r="I889" s="14"/>
      <c r="J889" s="14"/>
      <c r="K889" s="14"/>
      <c r="M889" s="14"/>
    </row>
    <row r="890" spans="2:13" ht="12.75" customHeight="1" x14ac:dyDescent="0.25">
      <c r="B890" s="14"/>
      <c r="D890" s="14"/>
      <c r="E890" s="14"/>
      <c r="F890" s="14"/>
      <c r="G890" s="14"/>
      <c r="H890" s="14"/>
      <c r="I890" s="14"/>
      <c r="J890" s="14"/>
      <c r="K890" s="14"/>
      <c r="M890" s="14"/>
    </row>
    <row r="891" spans="2:13" ht="12.75" customHeight="1" x14ac:dyDescent="0.25">
      <c r="B891" s="14"/>
      <c r="D891" s="14"/>
      <c r="E891" s="14"/>
      <c r="F891" s="14"/>
      <c r="G891" s="14"/>
      <c r="H891" s="14"/>
      <c r="I891" s="14"/>
      <c r="J891" s="14"/>
      <c r="K891" s="14"/>
      <c r="M891" s="14"/>
    </row>
    <row r="892" spans="2:13" ht="12.75" customHeight="1" x14ac:dyDescent="0.25">
      <c r="B892" s="14"/>
      <c r="D892" s="14"/>
      <c r="E892" s="14"/>
      <c r="F892" s="14"/>
      <c r="G892" s="14"/>
      <c r="H892" s="14"/>
      <c r="I892" s="14"/>
      <c r="J892" s="14"/>
      <c r="K892" s="14"/>
      <c r="M892" s="14"/>
    </row>
    <row r="893" spans="2:13" ht="12.75" customHeight="1" x14ac:dyDescent="0.25">
      <c r="B893" s="14"/>
      <c r="D893" s="14"/>
      <c r="E893" s="14"/>
      <c r="F893" s="14"/>
      <c r="G893" s="14"/>
      <c r="H893" s="14"/>
      <c r="I893" s="14"/>
      <c r="J893" s="14"/>
      <c r="K893" s="14"/>
      <c r="M893" s="14"/>
    </row>
    <row r="894" spans="2:13" ht="12.75" customHeight="1" x14ac:dyDescent="0.25">
      <c r="B894" s="14"/>
      <c r="D894" s="14"/>
      <c r="E894" s="14"/>
      <c r="F894" s="14"/>
      <c r="G894" s="14"/>
      <c r="H894" s="14"/>
      <c r="I894" s="14"/>
      <c r="J894" s="14"/>
      <c r="K894" s="14"/>
      <c r="M894" s="14"/>
    </row>
    <row r="895" spans="2:13" ht="12.75" customHeight="1" x14ac:dyDescent="0.25">
      <c r="B895" s="14"/>
      <c r="D895" s="14"/>
      <c r="E895" s="14"/>
      <c r="F895" s="14"/>
      <c r="G895" s="14"/>
      <c r="H895" s="14"/>
      <c r="I895" s="14"/>
      <c r="J895" s="14"/>
      <c r="K895" s="14"/>
      <c r="M895" s="14"/>
    </row>
    <row r="896" spans="2:13" ht="12.75" customHeight="1" x14ac:dyDescent="0.25">
      <c r="B896" s="14"/>
      <c r="D896" s="14"/>
      <c r="E896" s="14"/>
      <c r="F896" s="14"/>
      <c r="G896" s="14"/>
      <c r="H896" s="14"/>
      <c r="I896" s="14"/>
      <c r="J896" s="14"/>
      <c r="K896" s="14"/>
      <c r="M896" s="14"/>
    </row>
    <row r="897" spans="2:13" ht="12.75" customHeight="1" x14ac:dyDescent="0.25">
      <c r="B897" s="14"/>
      <c r="D897" s="14"/>
      <c r="E897" s="14"/>
      <c r="F897" s="14"/>
      <c r="G897" s="14"/>
      <c r="H897" s="14"/>
      <c r="I897" s="14"/>
      <c r="J897" s="14"/>
      <c r="K897" s="14"/>
      <c r="M897" s="14"/>
    </row>
    <row r="898" spans="2:13" ht="12.75" customHeight="1" x14ac:dyDescent="0.25">
      <c r="B898" s="14"/>
      <c r="D898" s="14"/>
      <c r="E898" s="14"/>
      <c r="F898" s="14"/>
      <c r="G898" s="14"/>
      <c r="H898" s="14"/>
      <c r="I898" s="14"/>
      <c r="J898" s="14"/>
      <c r="K898" s="14"/>
      <c r="M898" s="14"/>
    </row>
    <row r="899" spans="2:13" ht="12.75" customHeight="1" x14ac:dyDescent="0.25">
      <c r="B899" s="14"/>
      <c r="D899" s="14"/>
      <c r="E899" s="14"/>
      <c r="F899" s="14"/>
      <c r="G899" s="14"/>
      <c r="H899" s="14"/>
      <c r="I899" s="14"/>
      <c r="J899" s="14"/>
      <c r="K899" s="14"/>
      <c r="M899" s="14"/>
    </row>
    <row r="900" spans="2:13" ht="12.75" customHeight="1" x14ac:dyDescent="0.25">
      <c r="B900" s="14"/>
      <c r="D900" s="14"/>
      <c r="E900" s="14"/>
      <c r="F900" s="14"/>
      <c r="G900" s="14"/>
      <c r="H900" s="14"/>
      <c r="I900" s="14"/>
      <c r="J900" s="14"/>
      <c r="K900" s="14"/>
      <c r="M900" s="14"/>
    </row>
    <row r="901" spans="2:13" ht="12.75" customHeight="1" x14ac:dyDescent="0.25">
      <c r="B901" s="14"/>
      <c r="D901" s="14"/>
      <c r="E901" s="14"/>
      <c r="F901" s="14"/>
      <c r="G901" s="14"/>
      <c r="H901" s="14"/>
      <c r="I901" s="14"/>
      <c r="J901" s="14"/>
      <c r="K901" s="14"/>
      <c r="M901" s="14"/>
    </row>
    <row r="902" spans="2:13" ht="12.75" customHeight="1" x14ac:dyDescent="0.25">
      <c r="B902" s="14"/>
      <c r="D902" s="14"/>
      <c r="E902" s="14"/>
      <c r="F902" s="14"/>
      <c r="G902" s="14"/>
      <c r="H902" s="14"/>
      <c r="I902" s="14"/>
      <c r="J902" s="14"/>
      <c r="K902" s="14"/>
      <c r="M902" s="14"/>
    </row>
    <row r="903" spans="2:13" ht="12.75" customHeight="1" x14ac:dyDescent="0.25">
      <c r="B903" s="14"/>
      <c r="D903" s="14"/>
      <c r="E903" s="14"/>
      <c r="F903" s="14"/>
      <c r="G903" s="14"/>
      <c r="H903" s="14"/>
      <c r="I903" s="14"/>
      <c r="J903" s="14"/>
      <c r="K903" s="14"/>
      <c r="M903" s="14"/>
    </row>
    <row r="904" spans="2:13" ht="12.75" customHeight="1" x14ac:dyDescent="0.25">
      <c r="B904" s="14"/>
      <c r="D904" s="14"/>
      <c r="E904" s="14"/>
      <c r="F904" s="14"/>
      <c r="G904" s="14"/>
      <c r="H904" s="14"/>
      <c r="I904" s="14"/>
      <c r="J904" s="14"/>
      <c r="K904" s="14"/>
      <c r="M904" s="14"/>
    </row>
    <row r="905" spans="2:13" ht="12.75" customHeight="1" x14ac:dyDescent="0.25">
      <c r="B905" s="14"/>
      <c r="D905" s="14"/>
      <c r="E905" s="14"/>
      <c r="F905" s="14"/>
      <c r="G905" s="14"/>
      <c r="H905" s="14"/>
      <c r="I905" s="14"/>
      <c r="J905" s="14"/>
      <c r="K905" s="14"/>
      <c r="M905" s="14"/>
    </row>
    <row r="906" spans="2:13" ht="12.75" customHeight="1" x14ac:dyDescent="0.25">
      <c r="B906" s="14"/>
      <c r="D906" s="14"/>
      <c r="E906" s="14"/>
      <c r="F906" s="14"/>
      <c r="G906" s="14"/>
      <c r="H906" s="14"/>
      <c r="I906" s="14"/>
      <c r="J906" s="14"/>
      <c r="K906" s="14"/>
      <c r="M906" s="14"/>
    </row>
    <row r="907" spans="2:13" ht="12.75" customHeight="1" x14ac:dyDescent="0.25">
      <c r="B907" s="14"/>
      <c r="D907" s="14"/>
      <c r="E907" s="14"/>
      <c r="F907" s="14"/>
      <c r="G907" s="14"/>
      <c r="H907" s="14"/>
      <c r="I907" s="14"/>
      <c r="J907" s="14"/>
      <c r="K907" s="14"/>
      <c r="M907" s="14"/>
    </row>
    <row r="908" spans="2:13" ht="12.75" customHeight="1" x14ac:dyDescent="0.25">
      <c r="B908" s="14"/>
      <c r="D908" s="14"/>
      <c r="E908" s="14"/>
      <c r="F908" s="14"/>
      <c r="G908" s="14"/>
      <c r="H908" s="14"/>
      <c r="I908" s="14"/>
      <c r="J908" s="14"/>
      <c r="K908" s="14"/>
      <c r="M908" s="14"/>
    </row>
    <row r="909" spans="2:13" ht="12.75" customHeight="1" x14ac:dyDescent="0.25">
      <c r="B909" s="14"/>
      <c r="D909" s="14"/>
      <c r="E909" s="14"/>
      <c r="F909" s="14"/>
      <c r="G909" s="14"/>
      <c r="H909" s="14"/>
      <c r="I909" s="14"/>
      <c r="J909" s="14"/>
      <c r="K909" s="14"/>
      <c r="M909" s="14"/>
    </row>
    <row r="910" spans="2:13" ht="12.75" customHeight="1" x14ac:dyDescent="0.25">
      <c r="B910" s="14"/>
      <c r="D910" s="14"/>
      <c r="E910" s="14"/>
      <c r="F910" s="14"/>
      <c r="G910" s="14"/>
      <c r="H910" s="14"/>
      <c r="I910" s="14"/>
      <c r="J910" s="14"/>
      <c r="K910" s="14"/>
      <c r="M910" s="14"/>
    </row>
    <row r="911" spans="2:13" ht="12.75" customHeight="1" x14ac:dyDescent="0.25">
      <c r="B911" s="14"/>
      <c r="D911" s="14"/>
      <c r="E911" s="14"/>
      <c r="F911" s="14"/>
      <c r="G911" s="14"/>
      <c r="H911" s="14"/>
      <c r="I911" s="14"/>
      <c r="J911" s="14"/>
      <c r="K911" s="14"/>
      <c r="M911" s="14"/>
    </row>
    <row r="912" spans="2:13" ht="12.75" customHeight="1" x14ac:dyDescent="0.25">
      <c r="B912" s="14"/>
      <c r="D912" s="14"/>
      <c r="E912" s="14"/>
      <c r="F912" s="14"/>
      <c r="G912" s="14"/>
      <c r="H912" s="14"/>
      <c r="I912" s="14"/>
      <c r="J912" s="14"/>
      <c r="K912" s="14"/>
      <c r="M912" s="14"/>
    </row>
    <row r="913" spans="2:13" ht="12.75" customHeight="1" x14ac:dyDescent="0.25">
      <c r="B913" s="14"/>
      <c r="D913" s="14"/>
      <c r="E913" s="14"/>
      <c r="F913" s="14"/>
      <c r="G913" s="14"/>
      <c r="H913" s="14"/>
      <c r="I913" s="14"/>
      <c r="J913" s="14"/>
      <c r="K913" s="14"/>
      <c r="M913" s="14"/>
    </row>
    <row r="914" spans="2:13" ht="12.75" customHeight="1" x14ac:dyDescent="0.25">
      <c r="B914" s="14"/>
      <c r="D914" s="14"/>
      <c r="E914" s="14"/>
      <c r="F914" s="14"/>
      <c r="G914" s="14"/>
      <c r="H914" s="14"/>
      <c r="I914" s="14"/>
      <c r="J914" s="14"/>
      <c r="K914" s="14"/>
      <c r="M914" s="14"/>
    </row>
    <row r="915" spans="2:13" ht="12.75" customHeight="1" x14ac:dyDescent="0.25">
      <c r="B915" s="14"/>
      <c r="D915" s="14"/>
      <c r="E915" s="14"/>
      <c r="F915" s="14"/>
      <c r="G915" s="14"/>
      <c r="H915" s="14"/>
      <c r="I915" s="14"/>
      <c r="J915" s="14"/>
      <c r="K915" s="14"/>
      <c r="M915" s="14"/>
    </row>
    <row r="916" spans="2:13" ht="12.75" customHeight="1" x14ac:dyDescent="0.25">
      <c r="B916" s="14"/>
      <c r="D916" s="14"/>
      <c r="E916" s="14"/>
      <c r="F916" s="14"/>
      <c r="G916" s="14"/>
      <c r="H916" s="14"/>
      <c r="I916" s="14"/>
      <c r="J916" s="14"/>
      <c r="K916" s="14"/>
      <c r="M916" s="14"/>
    </row>
    <row r="917" spans="2:13" ht="12.75" customHeight="1" x14ac:dyDescent="0.25">
      <c r="B917" s="14"/>
      <c r="D917" s="14"/>
      <c r="E917" s="14"/>
      <c r="F917" s="14"/>
      <c r="G917" s="14"/>
      <c r="H917" s="14"/>
      <c r="I917" s="14"/>
      <c r="J917" s="14"/>
      <c r="K917" s="14"/>
      <c r="M917" s="14"/>
    </row>
    <row r="918" spans="2:13" ht="12.75" customHeight="1" x14ac:dyDescent="0.25">
      <c r="B918" s="14"/>
      <c r="D918" s="14"/>
      <c r="E918" s="14"/>
      <c r="F918" s="14"/>
      <c r="G918" s="14"/>
      <c r="H918" s="14"/>
      <c r="I918" s="14"/>
      <c r="J918" s="14"/>
      <c r="K918" s="14"/>
      <c r="M918" s="14"/>
    </row>
    <row r="919" spans="2:13" ht="12.75" customHeight="1" x14ac:dyDescent="0.25">
      <c r="B919" s="14"/>
      <c r="D919" s="14"/>
      <c r="E919" s="14"/>
      <c r="F919" s="14"/>
      <c r="G919" s="14"/>
      <c r="H919" s="14"/>
      <c r="I919" s="14"/>
      <c r="J919" s="14"/>
      <c r="K919" s="14"/>
      <c r="M919" s="14"/>
    </row>
    <row r="920" spans="2:13" ht="12.75" customHeight="1" x14ac:dyDescent="0.25">
      <c r="B920" s="14"/>
      <c r="D920" s="14"/>
      <c r="E920" s="14"/>
      <c r="F920" s="14"/>
      <c r="G920" s="14"/>
      <c r="H920" s="14"/>
      <c r="I920" s="14"/>
      <c r="J920" s="14"/>
      <c r="K920" s="14"/>
      <c r="M920" s="14"/>
    </row>
    <row r="921" spans="2:13" ht="12.75" customHeight="1" x14ac:dyDescent="0.25">
      <c r="B921" s="14"/>
      <c r="D921" s="14"/>
      <c r="E921" s="14"/>
      <c r="F921" s="14"/>
      <c r="G921" s="14"/>
      <c r="H921" s="14"/>
      <c r="I921" s="14"/>
      <c r="J921" s="14"/>
      <c r="K921" s="14"/>
      <c r="M921" s="14"/>
    </row>
    <row r="922" spans="2:13" ht="12.75" customHeight="1" x14ac:dyDescent="0.25">
      <c r="B922" s="14"/>
      <c r="D922" s="14"/>
      <c r="E922" s="14"/>
      <c r="F922" s="14"/>
      <c r="G922" s="14"/>
      <c r="H922" s="14"/>
      <c r="I922" s="14"/>
      <c r="J922" s="14"/>
      <c r="K922" s="14"/>
      <c r="M922" s="14"/>
    </row>
    <row r="923" spans="2:13" ht="12.75" customHeight="1" x14ac:dyDescent="0.25">
      <c r="B923" s="14"/>
      <c r="D923" s="14"/>
      <c r="E923" s="14"/>
      <c r="F923" s="14"/>
      <c r="G923" s="14"/>
      <c r="H923" s="14"/>
      <c r="I923" s="14"/>
      <c r="J923" s="14"/>
      <c r="K923" s="14"/>
      <c r="M923" s="14"/>
    </row>
    <row r="924" spans="2:13" ht="12.75" customHeight="1" x14ac:dyDescent="0.25">
      <c r="B924" s="14"/>
      <c r="D924" s="14"/>
      <c r="E924" s="14"/>
      <c r="F924" s="14"/>
      <c r="G924" s="14"/>
      <c r="H924" s="14"/>
      <c r="I924" s="14"/>
      <c r="J924" s="14"/>
      <c r="K924" s="14"/>
      <c r="M924" s="14"/>
    </row>
    <row r="925" spans="2:13" ht="12.75" customHeight="1" x14ac:dyDescent="0.25">
      <c r="B925" s="14"/>
      <c r="D925" s="14"/>
      <c r="E925" s="14"/>
      <c r="F925" s="14"/>
      <c r="G925" s="14"/>
      <c r="H925" s="14"/>
      <c r="I925" s="14"/>
      <c r="J925" s="14"/>
      <c r="K925" s="14"/>
      <c r="M925" s="14"/>
    </row>
    <row r="926" spans="2:13" ht="12.75" customHeight="1" x14ac:dyDescent="0.25">
      <c r="B926" s="14"/>
      <c r="D926" s="14"/>
      <c r="E926" s="14"/>
      <c r="F926" s="14"/>
      <c r="G926" s="14"/>
      <c r="H926" s="14"/>
      <c r="I926" s="14"/>
      <c r="J926" s="14"/>
      <c r="K926" s="14"/>
      <c r="M926" s="14"/>
    </row>
    <row r="927" spans="2:13" ht="12.75" customHeight="1" x14ac:dyDescent="0.25">
      <c r="B927" s="14"/>
      <c r="D927" s="14"/>
      <c r="E927" s="14"/>
      <c r="F927" s="14"/>
      <c r="G927" s="14"/>
      <c r="H927" s="14"/>
      <c r="I927" s="14"/>
      <c r="J927" s="14"/>
      <c r="K927" s="14"/>
      <c r="M927" s="14"/>
    </row>
    <row r="928" spans="2:13" ht="12.75" customHeight="1" x14ac:dyDescent="0.25">
      <c r="B928" s="14"/>
      <c r="D928" s="14"/>
      <c r="E928" s="14"/>
      <c r="F928" s="14"/>
      <c r="G928" s="14"/>
      <c r="H928" s="14"/>
      <c r="I928" s="14"/>
      <c r="J928" s="14"/>
      <c r="K928" s="14"/>
      <c r="M928" s="14"/>
    </row>
    <row r="929" spans="2:13" ht="12.75" customHeight="1" x14ac:dyDescent="0.25">
      <c r="B929" s="14"/>
      <c r="D929" s="14"/>
      <c r="E929" s="14"/>
      <c r="F929" s="14"/>
      <c r="G929" s="14"/>
      <c r="H929" s="14"/>
      <c r="I929" s="14"/>
      <c r="J929" s="14"/>
      <c r="K929" s="14"/>
      <c r="M929" s="14"/>
    </row>
    <row r="930" spans="2:13" ht="12.75" customHeight="1" x14ac:dyDescent="0.25">
      <c r="B930" s="14"/>
      <c r="D930" s="14"/>
      <c r="E930" s="14"/>
      <c r="F930" s="14"/>
      <c r="G930" s="14"/>
      <c r="H930" s="14"/>
      <c r="I930" s="14"/>
      <c r="J930" s="14"/>
      <c r="K930" s="14"/>
      <c r="M930" s="14"/>
    </row>
    <row r="931" spans="2:13" ht="12.75" customHeight="1" x14ac:dyDescent="0.25">
      <c r="B931" s="14"/>
      <c r="D931" s="14"/>
      <c r="E931" s="14"/>
      <c r="F931" s="14"/>
      <c r="G931" s="14"/>
      <c r="H931" s="14"/>
      <c r="I931" s="14"/>
      <c r="J931" s="14"/>
      <c r="K931" s="14"/>
      <c r="M931" s="14"/>
    </row>
    <row r="932" spans="2:13" ht="12.75" customHeight="1" x14ac:dyDescent="0.25">
      <c r="B932" s="14"/>
      <c r="D932" s="14"/>
      <c r="E932" s="14"/>
      <c r="F932" s="14"/>
      <c r="G932" s="14"/>
      <c r="H932" s="14"/>
      <c r="I932" s="14"/>
      <c r="J932" s="14"/>
      <c r="K932" s="14"/>
      <c r="M932" s="14"/>
    </row>
    <row r="933" spans="2:13" ht="12.75" customHeight="1" x14ac:dyDescent="0.25">
      <c r="B933" s="14"/>
      <c r="D933" s="14"/>
      <c r="E933" s="14"/>
      <c r="F933" s="14"/>
      <c r="G933" s="14"/>
      <c r="H933" s="14"/>
      <c r="I933" s="14"/>
      <c r="J933" s="14"/>
      <c r="K933" s="14"/>
      <c r="M933" s="14"/>
    </row>
    <row r="934" spans="2:13" ht="12.75" customHeight="1" x14ac:dyDescent="0.25">
      <c r="B934" s="14"/>
      <c r="D934" s="14"/>
      <c r="E934" s="14"/>
      <c r="F934" s="14"/>
      <c r="G934" s="14"/>
      <c r="H934" s="14"/>
      <c r="I934" s="14"/>
      <c r="J934" s="14"/>
      <c r="K934" s="14"/>
      <c r="M934" s="14"/>
    </row>
    <row r="935" spans="2:13" ht="12.75" customHeight="1" x14ac:dyDescent="0.25">
      <c r="B935" s="14"/>
      <c r="D935" s="14"/>
      <c r="E935" s="14"/>
      <c r="F935" s="14"/>
      <c r="G935" s="14"/>
      <c r="H935" s="14"/>
      <c r="I935" s="14"/>
      <c r="J935" s="14"/>
      <c r="K935" s="14"/>
      <c r="M935" s="14"/>
    </row>
    <row r="936" spans="2:13" ht="12.75" customHeight="1" x14ac:dyDescent="0.25">
      <c r="B936" s="14"/>
      <c r="D936" s="14"/>
      <c r="E936" s="14"/>
      <c r="F936" s="14"/>
      <c r="G936" s="14"/>
      <c r="H936" s="14"/>
      <c r="I936" s="14"/>
      <c r="J936" s="14"/>
      <c r="K936" s="14"/>
      <c r="M936" s="14"/>
    </row>
    <row r="937" spans="2:13" ht="12.75" customHeight="1" x14ac:dyDescent="0.25">
      <c r="B937" s="14"/>
      <c r="D937" s="14"/>
      <c r="E937" s="14"/>
      <c r="F937" s="14"/>
      <c r="G937" s="14"/>
      <c r="H937" s="14"/>
      <c r="I937" s="14"/>
      <c r="J937" s="14"/>
      <c r="K937" s="14"/>
      <c r="M937" s="14"/>
    </row>
    <row r="938" spans="2:13" ht="12.75" customHeight="1" x14ac:dyDescent="0.25">
      <c r="B938" s="14"/>
      <c r="D938" s="14"/>
      <c r="E938" s="14"/>
      <c r="F938" s="14"/>
      <c r="G938" s="14"/>
      <c r="H938" s="14"/>
      <c r="I938" s="14"/>
      <c r="J938" s="14"/>
      <c r="K938" s="14"/>
      <c r="M938" s="14"/>
    </row>
    <row r="939" spans="2:13" ht="12.75" customHeight="1" x14ac:dyDescent="0.25">
      <c r="B939" s="14"/>
      <c r="D939" s="14"/>
      <c r="E939" s="14"/>
      <c r="F939" s="14"/>
      <c r="G939" s="14"/>
      <c r="H939" s="14"/>
      <c r="I939" s="14"/>
      <c r="J939" s="14"/>
      <c r="K939" s="14"/>
      <c r="M939" s="14"/>
    </row>
    <row r="940" spans="2:13" ht="12.75" customHeight="1" x14ac:dyDescent="0.25">
      <c r="B940" s="14"/>
      <c r="D940" s="14"/>
      <c r="E940" s="14"/>
      <c r="F940" s="14"/>
      <c r="G940" s="14"/>
      <c r="H940" s="14"/>
      <c r="I940" s="14"/>
      <c r="J940" s="14"/>
      <c r="K940" s="14"/>
      <c r="M940" s="14"/>
    </row>
    <row r="941" spans="2:13" ht="12.75" customHeight="1" x14ac:dyDescent="0.25">
      <c r="B941" s="14"/>
      <c r="D941" s="14"/>
      <c r="E941" s="14"/>
      <c r="F941" s="14"/>
      <c r="G941" s="14"/>
      <c r="H941" s="14"/>
      <c r="I941" s="14"/>
      <c r="J941" s="14"/>
      <c r="K941" s="14"/>
      <c r="M941" s="14"/>
    </row>
    <row r="942" spans="2:13" ht="12.75" customHeight="1" x14ac:dyDescent="0.25">
      <c r="B942" s="14"/>
      <c r="D942" s="14"/>
      <c r="E942" s="14"/>
      <c r="F942" s="14"/>
      <c r="G942" s="14"/>
      <c r="H942" s="14"/>
      <c r="I942" s="14"/>
      <c r="J942" s="14"/>
      <c r="K942" s="14"/>
      <c r="M942" s="14"/>
    </row>
    <row r="943" spans="2:13" ht="12.75" customHeight="1" x14ac:dyDescent="0.25">
      <c r="B943" s="14"/>
      <c r="D943" s="14"/>
      <c r="E943" s="14"/>
      <c r="F943" s="14"/>
      <c r="G943" s="14"/>
      <c r="H943" s="14"/>
      <c r="I943" s="14"/>
      <c r="J943" s="14"/>
      <c r="K943" s="14"/>
      <c r="M943" s="14"/>
    </row>
    <row r="944" spans="2:13" ht="12.75" customHeight="1" x14ac:dyDescent="0.25">
      <c r="B944" s="14"/>
      <c r="D944" s="14"/>
      <c r="E944" s="14"/>
      <c r="F944" s="14"/>
      <c r="G944" s="14"/>
      <c r="H944" s="14"/>
      <c r="I944" s="14"/>
      <c r="J944" s="14"/>
      <c r="K944" s="14"/>
      <c r="M944" s="14"/>
    </row>
    <row r="945" spans="2:13" ht="12.75" customHeight="1" x14ac:dyDescent="0.25">
      <c r="B945" s="14"/>
      <c r="D945" s="14"/>
      <c r="E945" s="14"/>
      <c r="F945" s="14"/>
      <c r="G945" s="14"/>
      <c r="H945" s="14"/>
      <c r="I945" s="14"/>
      <c r="J945" s="14"/>
      <c r="K945" s="14"/>
      <c r="M945" s="14"/>
    </row>
    <row r="946" spans="2:13" ht="12.75" customHeight="1" x14ac:dyDescent="0.25">
      <c r="B946" s="14"/>
      <c r="D946" s="14"/>
      <c r="E946" s="14"/>
      <c r="F946" s="14"/>
      <c r="G946" s="14"/>
      <c r="H946" s="14"/>
      <c r="I946" s="14"/>
      <c r="J946" s="14"/>
      <c r="K946" s="14"/>
      <c r="M946" s="14"/>
    </row>
    <row r="947" spans="2:13" ht="12.75" customHeight="1" x14ac:dyDescent="0.25">
      <c r="B947" s="14"/>
      <c r="D947" s="14"/>
      <c r="E947" s="14"/>
      <c r="F947" s="14"/>
      <c r="G947" s="14"/>
      <c r="H947" s="14"/>
      <c r="I947" s="14"/>
      <c r="J947" s="14"/>
      <c r="K947" s="14"/>
      <c r="M947" s="14"/>
    </row>
    <row r="948" spans="2:13" ht="12.75" customHeight="1" x14ac:dyDescent="0.25">
      <c r="B948" s="14"/>
      <c r="D948" s="14"/>
      <c r="E948" s="14"/>
      <c r="F948" s="14"/>
      <c r="G948" s="14"/>
      <c r="H948" s="14"/>
      <c r="I948" s="14"/>
      <c r="J948" s="14"/>
      <c r="K948" s="14"/>
      <c r="M948" s="14"/>
    </row>
    <row r="949" spans="2:13" ht="12.75" customHeight="1" x14ac:dyDescent="0.25">
      <c r="B949" s="14"/>
      <c r="D949" s="14"/>
      <c r="E949" s="14"/>
      <c r="F949" s="14"/>
      <c r="G949" s="14"/>
      <c r="H949" s="14"/>
      <c r="I949" s="14"/>
      <c r="J949" s="14"/>
      <c r="K949" s="14"/>
      <c r="M949" s="14"/>
    </row>
    <row r="950" spans="2:13" ht="12.75" customHeight="1" x14ac:dyDescent="0.25">
      <c r="B950" s="14"/>
      <c r="D950" s="14"/>
      <c r="E950" s="14"/>
      <c r="F950" s="14"/>
      <c r="G950" s="14"/>
      <c r="H950" s="14"/>
      <c r="I950" s="14"/>
      <c r="J950" s="14"/>
      <c r="K950" s="14"/>
      <c r="M950" s="14"/>
    </row>
    <row r="951" spans="2:13" ht="12.75" customHeight="1" x14ac:dyDescent="0.25">
      <c r="B951" s="14"/>
      <c r="D951" s="14"/>
      <c r="E951" s="14"/>
      <c r="F951" s="14"/>
      <c r="G951" s="14"/>
      <c r="H951" s="14"/>
      <c r="I951" s="14"/>
      <c r="J951" s="14"/>
      <c r="K951" s="14"/>
      <c r="M951" s="14"/>
    </row>
    <row r="952" spans="2:13" ht="12.75" customHeight="1" x14ac:dyDescent="0.25">
      <c r="B952" s="14"/>
      <c r="D952" s="14"/>
      <c r="E952" s="14"/>
      <c r="F952" s="14"/>
      <c r="G952" s="14"/>
      <c r="H952" s="14"/>
      <c r="I952" s="14"/>
      <c r="J952" s="14"/>
      <c r="K952" s="14"/>
      <c r="M952" s="14"/>
    </row>
    <row r="953" spans="2:13" ht="12.75" customHeight="1" x14ac:dyDescent="0.25">
      <c r="B953" s="14"/>
      <c r="D953" s="14"/>
      <c r="E953" s="14"/>
      <c r="F953" s="14"/>
      <c r="G953" s="14"/>
      <c r="H953" s="14"/>
      <c r="I953" s="14"/>
      <c r="J953" s="14"/>
      <c r="K953" s="14"/>
      <c r="M953" s="14"/>
    </row>
    <row r="954" spans="2:13" ht="12.75" customHeight="1" x14ac:dyDescent="0.25">
      <c r="B954" s="14"/>
      <c r="D954" s="14"/>
      <c r="E954" s="14"/>
      <c r="F954" s="14"/>
      <c r="G954" s="14"/>
      <c r="H954" s="14"/>
      <c r="I954" s="14"/>
      <c r="J954" s="14"/>
      <c r="K954" s="14"/>
      <c r="M954" s="14"/>
    </row>
    <row r="955" spans="2:13" ht="12.75" customHeight="1" x14ac:dyDescent="0.25">
      <c r="B955" s="14"/>
      <c r="D955" s="14"/>
      <c r="E955" s="14"/>
      <c r="F955" s="14"/>
      <c r="G955" s="14"/>
      <c r="H955" s="14"/>
      <c r="I955" s="14"/>
      <c r="J955" s="14"/>
      <c r="K955" s="14"/>
      <c r="M955" s="14"/>
    </row>
    <row r="956" spans="2:13" ht="12.75" customHeight="1" x14ac:dyDescent="0.25">
      <c r="B956" s="14"/>
      <c r="D956" s="14"/>
      <c r="E956" s="14"/>
      <c r="F956" s="14"/>
      <c r="G956" s="14"/>
      <c r="H956" s="14"/>
      <c r="I956" s="14"/>
      <c r="J956" s="14"/>
      <c r="K956" s="14"/>
      <c r="M956" s="14"/>
    </row>
    <row r="957" spans="2:13" ht="12.75" customHeight="1" x14ac:dyDescent="0.25">
      <c r="B957" s="14"/>
      <c r="D957" s="14"/>
      <c r="E957" s="14"/>
      <c r="F957" s="14"/>
      <c r="G957" s="14"/>
      <c r="H957" s="14"/>
      <c r="I957" s="14"/>
      <c r="J957" s="14"/>
      <c r="K957" s="14"/>
      <c r="M957" s="14"/>
    </row>
    <row r="958" spans="2:13" ht="12.75" customHeight="1" x14ac:dyDescent="0.25">
      <c r="B958" s="14"/>
      <c r="D958" s="14"/>
      <c r="E958" s="14"/>
      <c r="F958" s="14"/>
      <c r="G958" s="14"/>
      <c r="H958" s="14"/>
      <c r="I958" s="14"/>
      <c r="J958" s="14"/>
      <c r="K958" s="14"/>
      <c r="M958" s="14"/>
    </row>
    <row r="959" spans="2:13" ht="12.75" customHeight="1" x14ac:dyDescent="0.25">
      <c r="B959" s="14"/>
      <c r="D959" s="14"/>
      <c r="E959" s="14"/>
      <c r="F959" s="14"/>
      <c r="G959" s="14"/>
      <c r="H959" s="14"/>
      <c r="I959" s="14"/>
      <c r="J959" s="14"/>
      <c r="K959" s="14"/>
      <c r="M959" s="14"/>
    </row>
    <row r="960" spans="2:13" ht="12.75" customHeight="1" x14ac:dyDescent="0.25">
      <c r="B960" s="14"/>
      <c r="D960" s="14"/>
      <c r="E960" s="14"/>
      <c r="F960" s="14"/>
      <c r="G960" s="14"/>
      <c r="H960" s="14"/>
      <c r="I960" s="14"/>
      <c r="J960" s="14"/>
      <c r="K960" s="14"/>
      <c r="M960" s="14"/>
    </row>
    <row r="961" spans="2:13" ht="12.75" customHeight="1" x14ac:dyDescent="0.25">
      <c r="B961" s="14"/>
      <c r="D961" s="14"/>
      <c r="E961" s="14"/>
      <c r="F961" s="14"/>
      <c r="G961" s="14"/>
      <c r="H961" s="14"/>
      <c r="I961" s="14"/>
      <c r="J961" s="14"/>
      <c r="K961" s="14"/>
      <c r="M961" s="14"/>
    </row>
    <row r="962" spans="2:13" ht="12.75" customHeight="1" x14ac:dyDescent="0.25">
      <c r="B962" s="14"/>
      <c r="D962" s="14"/>
      <c r="E962" s="14"/>
      <c r="F962" s="14"/>
      <c r="G962" s="14"/>
      <c r="H962" s="14"/>
      <c r="I962" s="14"/>
      <c r="J962" s="14"/>
      <c r="K962" s="14"/>
      <c r="M962" s="14"/>
    </row>
    <row r="963" spans="2:13" ht="12.75" customHeight="1" x14ac:dyDescent="0.25">
      <c r="B963" s="14"/>
      <c r="D963" s="14"/>
      <c r="E963" s="14"/>
      <c r="F963" s="14"/>
      <c r="G963" s="14"/>
      <c r="H963" s="14"/>
      <c r="I963" s="14"/>
      <c r="J963" s="14"/>
      <c r="K963" s="14"/>
      <c r="M963" s="14"/>
    </row>
    <row r="964" spans="2:13" ht="12.75" customHeight="1" x14ac:dyDescent="0.25">
      <c r="B964" s="14"/>
      <c r="D964" s="14"/>
      <c r="E964" s="14"/>
      <c r="F964" s="14"/>
      <c r="G964" s="14"/>
      <c r="H964" s="14"/>
      <c r="I964" s="14"/>
      <c r="J964" s="14"/>
      <c r="K964" s="14"/>
      <c r="M964" s="14"/>
    </row>
    <row r="965" spans="2:13" ht="12.75" customHeight="1" x14ac:dyDescent="0.25">
      <c r="B965" s="14"/>
      <c r="D965" s="14"/>
      <c r="E965" s="14"/>
      <c r="F965" s="14"/>
      <c r="G965" s="14"/>
      <c r="H965" s="14"/>
      <c r="I965" s="14"/>
      <c r="J965" s="14"/>
      <c r="K965" s="14"/>
      <c r="M965" s="14"/>
    </row>
    <row r="966" spans="2:13" ht="12.75" customHeight="1" x14ac:dyDescent="0.25">
      <c r="B966" s="14"/>
      <c r="D966" s="14"/>
      <c r="E966" s="14"/>
      <c r="F966" s="14"/>
      <c r="G966" s="14"/>
      <c r="H966" s="14"/>
      <c r="I966" s="14"/>
      <c r="J966" s="14"/>
      <c r="K966" s="14"/>
      <c r="M966" s="14"/>
    </row>
    <row r="967" spans="2:13" ht="12.75" customHeight="1" x14ac:dyDescent="0.25">
      <c r="B967" s="14"/>
      <c r="D967" s="14"/>
      <c r="E967" s="14"/>
      <c r="F967" s="14"/>
      <c r="G967" s="14"/>
      <c r="H967" s="14"/>
      <c r="I967" s="14"/>
      <c r="J967" s="14"/>
      <c r="K967" s="14"/>
      <c r="M967" s="14"/>
    </row>
    <row r="968" spans="2:13" ht="12.75" customHeight="1" x14ac:dyDescent="0.25">
      <c r="B968" s="14"/>
      <c r="D968" s="14"/>
      <c r="E968" s="14"/>
      <c r="F968" s="14"/>
      <c r="G968" s="14"/>
      <c r="H968" s="14"/>
      <c r="I968" s="14"/>
      <c r="J968" s="14"/>
      <c r="K968" s="14"/>
      <c r="M968" s="14"/>
    </row>
    <row r="969" spans="2:13" ht="12.75" customHeight="1" x14ac:dyDescent="0.25">
      <c r="B969" s="14"/>
      <c r="D969" s="14"/>
      <c r="E969" s="14"/>
      <c r="F969" s="14"/>
      <c r="G969" s="14"/>
      <c r="H969" s="14"/>
      <c r="I969" s="14"/>
      <c r="J969" s="14"/>
      <c r="K969" s="14"/>
      <c r="M969" s="14"/>
    </row>
    <row r="970" spans="2:13" ht="12.75" customHeight="1" x14ac:dyDescent="0.25">
      <c r="B970" s="14"/>
      <c r="D970" s="14"/>
      <c r="E970" s="14"/>
      <c r="F970" s="14"/>
      <c r="G970" s="14"/>
      <c r="H970" s="14"/>
      <c r="I970" s="14"/>
      <c r="J970" s="14"/>
      <c r="K970" s="14"/>
      <c r="M970" s="14"/>
    </row>
    <row r="971" spans="2:13" ht="12.75" customHeight="1" x14ac:dyDescent="0.25">
      <c r="B971" s="14"/>
      <c r="D971" s="14"/>
      <c r="E971" s="14"/>
      <c r="F971" s="14"/>
      <c r="G971" s="14"/>
      <c r="H971" s="14"/>
      <c r="I971" s="14"/>
      <c r="J971" s="14"/>
      <c r="K971" s="14"/>
      <c r="M971" s="14"/>
    </row>
    <row r="972" spans="2:13" ht="12.75" customHeight="1" x14ac:dyDescent="0.25">
      <c r="B972" s="14"/>
      <c r="D972" s="14"/>
      <c r="E972" s="14"/>
      <c r="F972" s="14"/>
      <c r="G972" s="14"/>
      <c r="H972" s="14"/>
      <c r="I972" s="14"/>
      <c r="J972" s="14"/>
      <c r="K972" s="14"/>
      <c r="M972" s="14"/>
    </row>
    <row r="973" spans="2:13" ht="12.75" customHeight="1" x14ac:dyDescent="0.25">
      <c r="B973" s="14"/>
      <c r="D973" s="14"/>
      <c r="E973" s="14"/>
      <c r="F973" s="14"/>
      <c r="G973" s="14"/>
      <c r="H973" s="14"/>
      <c r="I973" s="14"/>
      <c r="J973" s="14"/>
      <c r="K973" s="14"/>
      <c r="M973" s="14"/>
    </row>
    <row r="974" spans="2:13" ht="12.75" customHeight="1" x14ac:dyDescent="0.25">
      <c r="B974" s="14"/>
      <c r="D974" s="14"/>
      <c r="E974" s="14"/>
      <c r="F974" s="14"/>
      <c r="G974" s="14"/>
      <c r="H974" s="14"/>
      <c r="I974" s="14"/>
      <c r="J974" s="14"/>
      <c r="K974" s="14"/>
      <c r="M974" s="14"/>
    </row>
    <row r="975" spans="2:13" ht="12.75" customHeight="1" x14ac:dyDescent="0.25">
      <c r="B975" s="14"/>
      <c r="D975" s="14"/>
      <c r="E975" s="14"/>
      <c r="F975" s="14"/>
      <c r="G975" s="14"/>
      <c r="H975" s="14"/>
      <c r="I975" s="14"/>
      <c r="J975" s="14"/>
      <c r="K975" s="14"/>
      <c r="M975" s="14"/>
    </row>
    <row r="976" spans="2:13" ht="12.75" customHeight="1" x14ac:dyDescent="0.25">
      <c r="B976" s="14"/>
      <c r="D976" s="14"/>
      <c r="E976" s="14"/>
      <c r="F976" s="14"/>
      <c r="G976" s="14"/>
      <c r="H976" s="14"/>
      <c r="I976" s="14"/>
      <c r="J976" s="14"/>
      <c r="K976" s="14"/>
      <c r="M976" s="14"/>
    </row>
  </sheetData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67"/>
  <sheetViews>
    <sheetView zoomScaleNormal="100" workbookViewId="0">
      <selection activeCell="G13" sqref="G13"/>
    </sheetView>
  </sheetViews>
  <sheetFormatPr defaultRowHeight="13.2" x14ac:dyDescent="0.25"/>
  <cols>
    <col min="1" max="1" width="37.33203125" style="44" customWidth="1"/>
    <col min="2" max="2" width="24.6640625" style="44" customWidth="1"/>
    <col min="3" max="3" width="19" style="44" customWidth="1"/>
    <col min="4" max="4" width="13.6640625" style="44" customWidth="1"/>
    <col min="5" max="5" width="8.88671875" style="44"/>
    <col min="6" max="6" width="54.109375" style="44" customWidth="1"/>
    <col min="7" max="7" width="16.109375" style="44" customWidth="1"/>
    <col min="8" max="8" width="21.109375" style="44" customWidth="1"/>
  </cols>
  <sheetData>
    <row r="1" spans="1:8" ht="53.4" customHeight="1" x14ac:dyDescent="0.25">
      <c r="A1" s="223" t="s">
        <v>304</v>
      </c>
      <c r="B1" s="223" t="s">
        <v>106</v>
      </c>
      <c r="C1" s="223" t="s">
        <v>302</v>
      </c>
      <c r="D1" s="223" t="s">
        <v>3</v>
      </c>
      <c r="E1" s="223" t="s">
        <v>303</v>
      </c>
      <c r="F1" s="223" t="s">
        <v>305</v>
      </c>
      <c r="G1" s="224" t="s">
        <v>307</v>
      </c>
      <c r="H1" s="225" t="s">
        <v>306</v>
      </c>
    </row>
    <row r="2" spans="1:8" ht="15.6" x14ac:dyDescent="0.25">
      <c r="A2" s="219" t="str">
        <f>Threats!B1</f>
        <v>Threats to The Level of Service</v>
      </c>
      <c r="B2" s="220" t="str">
        <f>Threats!A1</f>
        <v>T1-Power Loss</v>
      </c>
      <c r="C2" s="105">
        <f>'AHP Likelihood Calculation'!AD34</f>
        <v>0.24294982396184614</v>
      </c>
      <c r="D2" s="218">
        <f>'AHP Severity Calculation'!AE35</f>
        <v>10.613217223638992</v>
      </c>
      <c r="E2" s="221">
        <f>C2*D2</f>
        <v>2.5784792561519265</v>
      </c>
      <c r="F2" s="222" t="str">
        <f>'LP Optimization 2'!I2</f>
        <v>P1-Install USB</v>
      </c>
      <c r="G2" s="226">
        <f>'LP Optimization 2'!E2</f>
        <v>1.0681703604114981E-2</v>
      </c>
      <c r="H2" s="217">
        <f>'LP Optimization 2'!M2</f>
        <v>4000</v>
      </c>
    </row>
    <row r="3" spans="1:8" ht="15.6" x14ac:dyDescent="0.25">
      <c r="A3" s="219" t="str">
        <f>Threats!B2</f>
        <v>Threats to The Level of Service</v>
      </c>
      <c r="B3" s="220" t="str">
        <f>Threats!A2</f>
        <v>T2-Hardware Failure</v>
      </c>
      <c r="C3" s="105">
        <f>'AHP Likelihood Calculation'!AD35</f>
        <v>2.3492987243136903E-2</v>
      </c>
      <c r="D3" s="218">
        <f>'AHP Severity Calculation'!AE36</f>
        <v>9.4128583764372404</v>
      </c>
      <c r="E3" s="221">
        <f t="shared" ref="E3:E23" si="0">C3*D3</f>
        <v>0.22113616175909442</v>
      </c>
      <c r="F3" s="222" t="str">
        <f>'LP Optimization 2'!I3</f>
        <v>P2-Replicate Servers</v>
      </c>
      <c r="G3" s="226">
        <f>'LP Optimization 2'!E3</f>
        <v>1.352450237439456E-2</v>
      </c>
      <c r="H3" s="217">
        <f>'LP Optimization 2'!M3</f>
        <v>50000</v>
      </c>
    </row>
    <row r="4" spans="1:8" ht="15.6" x14ac:dyDescent="0.25">
      <c r="A4" s="219" t="str">
        <f>Threats!B3</f>
        <v>Threats to The Level of Service</v>
      </c>
      <c r="B4" s="220" t="str">
        <f>Threats!A3</f>
        <v>T3-Software Crash</v>
      </c>
      <c r="C4" s="105">
        <f>'AHP Likelihood Calculation'!AD36</f>
        <v>8.9952409245753914E-2</v>
      </c>
      <c r="D4" s="218">
        <f>'AHP Severity Calculation'!AE37</f>
        <v>10.038458252192566</v>
      </c>
      <c r="E4" s="221">
        <f t="shared" si="0"/>
        <v>0.90298350489764123</v>
      </c>
      <c r="F4" s="222" t="str">
        <f>'LP Optimization 2'!I4</f>
        <v>P18-Regular Software Patches</v>
      </c>
      <c r="G4" s="226">
        <f>'LP Optimization 2'!E4</f>
        <v>5.0350393313196894E-3</v>
      </c>
      <c r="H4" s="217">
        <f>'LP Optimization 2'!M4</f>
        <v>0</v>
      </c>
    </row>
    <row r="5" spans="1:8" ht="15.6" x14ac:dyDescent="0.25">
      <c r="A5" s="219" t="str">
        <f>Threats!B4</f>
        <v>Threats to The Level of Service</v>
      </c>
      <c r="B5" s="220" t="str">
        <f>Threats!A4</f>
        <v>T4-Operator Errors</v>
      </c>
      <c r="C5" s="105">
        <f>'AHP Likelihood Calculation'!AD37</f>
        <v>6.7227326913070706E-2</v>
      </c>
      <c r="D5" s="218">
        <f>'AHP Severity Calculation'!AE38</f>
        <v>11.578031610471333</v>
      </c>
      <c r="E5" s="221">
        <f t="shared" si="0"/>
        <v>0.77836011608702282</v>
      </c>
      <c r="F5" s="222" t="str">
        <f>'LP Optimization 2'!I5</f>
        <v>P4-Education and Assessment of Security Personal</v>
      </c>
      <c r="G5" s="226">
        <f>'LP Optimization 2'!E5</f>
        <v>6.2378403220160559E-3</v>
      </c>
      <c r="H5" s="217">
        <f>'LP Optimization 2'!M5</f>
        <v>36000</v>
      </c>
    </row>
    <row r="6" spans="1:8" ht="31.2" x14ac:dyDescent="0.25">
      <c r="A6" s="219" t="str">
        <f>Threats!B5</f>
        <v>Threats to The Level of Service</v>
      </c>
      <c r="B6" s="220" t="str">
        <f>Threats!A5</f>
        <v>T5-Malicious Inside Action</v>
      </c>
      <c r="C6" s="105">
        <f>'AHP Likelihood Calculation'!AD38</f>
        <v>4.4492642577803276E-2</v>
      </c>
      <c r="D6" s="218">
        <f>'AHP Severity Calculation'!AE39</f>
        <v>10.892287844474085</v>
      </c>
      <c r="E6" s="221">
        <f t="shared" si="0"/>
        <v>0.48462666991873676</v>
      </c>
      <c r="F6" s="222" t="str">
        <f>'LP Optimization 2'!I6</f>
        <v>P5-Functional Isolation</v>
      </c>
      <c r="G6" s="226">
        <f>'LP Optimization 2'!E6</f>
        <v>7.2007311086486068E-3</v>
      </c>
      <c r="H6" s="217">
        <f>'LP Optimization 2'!M6</f>
        <v>0</v>
      </c>
    </row>
    <row r="7" spans="1:8" ht="15.6" x14ac:dyDescent="0.25">
      <c r="A7" s="219" t="str">
        <f>Threats!B6</f>
        <v>Threats to The Level of Service</v>
      </c>
      <c r="B7" s="220" t="str">
        <f>Threats!A6</f>
        <v>T6-Trojan and Worms</v>
      </c>
      <c r="C7" s="105">
        <f>'AHP Likelihood Calculation'!AD39</f>
        <v>0.10407757204157696</v>
      </c>
      <c r="D7" s="218">
        <f>'AHP Severity Calculation'!AE40</f>
        <v>12.146807626184986</v>
      </c>
      <c r="E7" s="221">
        <f t="shared" si="0"/>
        <v>1.2642102457894442</v>
      </c>
      <c r="F7" s="222" t="str">
        <f>'LP Optimization 2'!I7</f>
        <v>P33-Limit Transfer of Executables</v>
      </c>
      <c r="G7" s="226">
        <f>'LP Optimization 2'!E7</f>
        <v>9.845049378712176E-3</v>
      </c>
      <c r="H7" s="217">
        <f>'LP Optimization 2'!M7</f>
        <v>0</v>
      </c>
    </row>
    <row r="8" spans="1:8" ht="15.6" x14ac:dyDescent="0.25">
      <c r="A8" s="219" t="str">
        <f>Threats!B7</f>
        <v>Threats to The Level of Service</v>
      </c>
      <c r="B8" s="220" t="str">
        <f>Threats!A7</f>
        <v>T7-Fire</v>
      </c>
      <c r="C8" s="105">
        <f>'AHP Likelihood Calculation'!AD40</f>
        <v>1.6665052229327772E-2</v>
      </c>
      <c r="D8" s="218">
        <f>'AHP Severity Calculation'!AE41</f>
        <v>12.191282029056886</v>
      </c>
      <c r="E8" s="221">
        <f t="shared" si="0"/>
        <v>0.20316835175669806</v>
      </c>
      <c r="F8" s="222" t="str">
        <f>'LP Optimization 2'!I8</f>
        <v>P9-FHM System</v>
      </c>
      <c r="G8" s="226">
        <f>'LP Optimization 2'!E8</f>
        <v>1.0178523622675711E-2</v>
      </c>
      <c r="H8" s="217">
        <f>'LP Optimization 2'!M8</f>
        <v>4500</v>
      </c>
    </row>
    <row r="9" spans="1:8" ht="46.8" x14ac:dyDescent="0.25">
      <c r="A9" s="219" t="str">
        <f>Threats!B8</f>
        <v>Threats to The Level of Service</v>
      </c>
      <c r="B9" s="220" t="str">
        <f>Threats!A8</f>
        <v>T8-Other Enviromental Disasters</v>
      </c>
      <c r="C9" s="105">
        <f>'AHP Likelihood Calculation'!AD41</f>
        <v>1.2039520225759709E-2</v>
      </c>
      <c r="D9" s="218">
        <f>'AHP Severity Calculation'!AE42</f>
        <v>12.129639210147253</v>
      </c>
      <c r="E9" s="221">
        <f t="shared" si="0"/>
        <v>0.14603503660173589</v>
      </c>
      <c r="F9" s="222" t="str">
        <f>'LP Optimization 2'!I9</f>
        <v>P8-Disaster Recovery on Cloud</v>
      </c>
      <c r="G9" s="226">
        <f>'LP Optimization 2'!E9</f>
        <v>7.4573414267062963E-3</v>
      </c>
      <c r="H9" s="217">
        <f>'LP Optimization 2'!M9</f>
        <v>6000</v>
      </c>
    </row>
    <row r="10" spans="1:8" ht="31.2" x14ac:dyDescent="0.25">
      <c r="A10" s="219" t="str">
        <f>Threats!B9</f>
        <v>Threats to The Level of Service</v>
      </c>
      <c r="B10" s="220" t="str">
        <f>Threats!A9</f>
        <v>T9-Availability Threats(DDOS)</v>
      </c>
      <c r="C10" s="105">
        <f>'AHP Likelihood Calculation'!AD42</f>
        <v>2.3550794265172554E-2</v>
      </c>
      <c r="D10" s="218">
        <f>'AHP Severity Calculation'!AE43</f>
        <v>6.4964999759679465</v>
      </c>
      <c r="E10" s="221">
        <f t="shared" si="0"/>
        <v>0.15299773437771955</v>
      </c>
      <c r="F10" s="222" t="str">
        <f>'LP Optimization 2'!I10</f>
        <v>P10-Increase Bandwidth</v>
      </c>
      <c r="G10" s="226">
        <f>'LP Optimization 2'!E10</f>
        <v>1.7221380389182439E-3</v>
      </c>
      <c r="H10" s="217">
        <f>'LP Optimization 2'!M10</f>
        <v>6000</v>
      </c>
    </row>
    <row r="11" spans="1:8" ht="15.6" x14ac:dyDescent="0.25">
      <c r="A11" s="219" t="str">
        <f>Threats!B10</f>
        <v>Threats to the Information Base</v>
      </c>
      <c r="B11" s="220" t="str">
        <f>Threats!A10</f>
        <v>T10-Disk Failure</v>
      </c>
      <c r="C11" s="105">
        <f>'AHP Likelihood Calculation'!AD43</f>
        <v>7.291793331983723E-2</v>
      </c>
      <c r="D11" s="218">
        <f>'AHP Severity Calculation'!AE44</f>
        <v>7.5276755814544218</v>
      </c>
      <c r="E11" s="221">
        <f t="shared" si="0"/>
        <v>0.54890254610186051</v>
      </c>
      <c r="F11" s="222" t="str">
        <f>'LP Optimization 2'!I11</f>
        <v>P13-Backup Tapes</v>
      </c>
      <c r="G11" s="226">
        <f>'LP Optimization 2'!E11</f>
        <v>8.4769337159762096E-3</v>
      </c>
      <c r="H11" s="217">
        <f>'LP Optimization 2'!M11</f>
        <v>3000</v>
      </c>
    </row>
    <row r="12" spans="1:8" ht="15.6" x14ac:dyDescent="0.25">
      <c r="A12" s="219" t="str">
        <f>Threats!B11</f>
        <v>Threats to the Information Base</v>
      </c>
      <c r="B12" s="220" t="str">
        <f>Threats!A11</f>
        <v>T11-Data Corruption</v>
      </c>
      <c r="C12" s="105">
        <f>'AHP Likelihood Calculation'!AD44</f>
        <v>9.3795170093336891E-2</v>
      </c>
      <c r="D12" s="218">
        <f>'AHP Severity Calculation'!AE45</f>
        <v>6.0211041391251729</v>
      </c>
      <c r="E12" s="221">
        <f t="shared" si="0"/>
        <v>0.56475048687894036</v>
      </c>
      <c r="F12" s="222" t="str">
        <f>'LP Optimization 2'!I12</f>
        <v>P6-AntiVirus</v>
      </c>
      <c r="G12" s="226">
        <f>'LP Optimization 2'!E12</f>
        <v>4.8787360697017963E-3</v>
      </c>
      <c r="H12" s="217">
        <f>'LP Optimization 2'!M12</f>
        <v>3750</v>
      </c>
    </row>
    <row r="13" spans="1:8" ht="15.6" x14ac:dyDescent="0.25">
      <c r="A13" s="219" t="str">
        <f>Threats!B12</f>
        <v>Threats to the Information Base</v>
      </c>
      <c r="B13" s="220" t="str">
        <f>Threats!A12</f>
        <v>T12-Inaccurrate Data</v>
      </c>
      <c r="C13" s="105">
        <f>'AHP Likelihood Calculation'!AD45</f>
        <v>7.3606513466022649E-2</v>
      </c>
      <c r="D13" s="218">
        <f>'AHP Severity Calculation'!AE46</f>
        <v>6.8689179197053472</v>
      </c>
      <c r="E13" s="221">
        <f t="shared" si="0"/>
        <v>0.50559709935379593</v>
      </c>
      <c r="F13" s="222" t="str">
        <f>'LP Optimization 2'!I13</f>
        <v>P3-Add validation to forms</v>
      </c>
      <c r="G13" s="226">
        <f>'LP Optimization 2'!E13</f>
        <v>0</v>
      </c>
      <c r="H13" s="217">
        <f>'LP Optimization 2'!M13</f>
        <v>0</v>
      </c>
    </row>
    <row r="14" spans="1:8" ht="31.2" x14ac:dyDescent="0.25">
      <c r="A14" s="219" t="str">
        <f>Threats!B13</f>
        <v>Threats to the Information Base</v>
      </c>
      <c r="B14" s="220" t="str">
        <f>Threats!A13</f>
        <v>T13-Un-authorized Access</v>
      </c>
      <c r="C14" s="105">
        <f>'AHP Likelihood Calculation'!AD46</f>
        <v>0.26976623313860026</v>
      </c>
      <c r="D14" s="218">
        <f>'AHP Severity Calculation'!AE47</f>
        <v>6.6001333408927136</v>
      </c>
      <c r="E14" s="221">
        <f t="shared" si="0"/>
        <v>1.7804931095851124</v>
      </c>
      <c r="F14" s="222" t="str">
        <f>'LP Optimization 2'!I14</f>
        <v>P27-Identity and Access Management System</v>
      </c>
      <c r="G14" s="226">
        <f>'LP Optimization 2'!E14</f>
        <v>4.227915592209501E-2</v>
      </c>
      <c r="H14" s="217">
        <f>'LP Optimization 2'!M14</f>
        <v>10000</v>
      </c>
    </row>
    <row r="15" spans="1:8" ht="31.2" x14ac:dyDescent="0.25">
      <c r="A15" s="219" t="str">
        <f>Threats!B14</f>
        <v>Threats to the Information Base</v>
      </c>
      <c r="B15" s="220" t="str">
        <f>Threats!A14</f>
        <v>T14-Virus and Spyware</v>
      </c>
      <c r="C15" s="105">
        <f>'AHP Likelihood Calculation'!AD47</f>
        <v>0.70636436643241918</v>
      </c>
      <c r="D15" s="218">
        <f>'AHP Severity Calculation'!AE48</f>
        <v>8.441538406590734</v>
      </c>
      <c r="E15" s="221">
        <f t="shared" si="0"/>
        <v>5.9628019282863969</v>
      </c>
      <c r="F15" s="222" t="str">
        <f>'LP Optimization 2'!I15</f>
        <v>P6-AntiVirus</v>
      </c>
      <c r="G15" s="226">
        <f>'LP Optimization 2'!E15</f>
        <v>4.4775142827016987E-2</v>
      </c>
      <c r="H15" s="217">
        <f>'LP Optimization 2'!M15</f>
        <v>3750</v>
      </c>
    </row>
    <row r="16" spans="1:8" ht="15.6" x14ac:dyDescent="0.25">
      <c r="A16" s="219" t="str">
        <f>Threats!B15</f>
        <v>Threats to Information Leakage</v>
      </c>
      <c r="B16" s="220" t="str">
        <f>Threats!A15</f>
        <v>T15-Hacking</v>
      </c>
      <c r="C16" s="105">
        <f>'AHP Likelihood Calculation'!AD48</f>
        <v>9.5674681970019146E-2</v>
      </c>
      <c r="D16" s="218">
        <f>'AHP Severity Calculation'!AE49</f>
        <v>8.2339380545426568</v>
      </c>
      <c r="E16" s="221">
        <f t="shared" si="0"/>
        <v>0.78777940472920682</v>
      </c>
      <c r="F16" s="222" t="str">
        <f>'LP Optimization 2'!I16</f>
        <v>P17-Strong Passwords</v>
      </c>
      <c r="G16" s="226">
        <f>'LP Optimization 2'!E16</f>
        <v>1.3237660492317047E-2</v>
      </c>
      <c r="H16" s="217">
        <f>'LP Optimization 2'!M16</f>
        <v>2000</v>
      </c>
    </row>
    <row r="17" spans="1:8" ht="15.6" x14ac:dyDescent="0.25">
      <c r="A17" s="219" t="str">
        <f>Threats!B16</f>
        <v>Threats to Information Leakage</v>
      </c>
      <c r="B17" s="220" t="str">
        <f>Threats!A16</f>
        <v>T16-Media Leakage</v>
      </c>
      <c r="C17" s="105">
        <f>'AHP Likelihood Calculation'!AD49</f>
        <v>5.8604824167280453E-2</v>
      </c>
      <c r="D17" s="218">
        <f>'AHP Severity Calculation'!AE50</f>
        <v>8.3977019664680004</v>
      </c>
      <c r="E17" s="221">
        <f t="shared" si="0"/>
        <v>0.49214584715408244</v>
      </c>
      <c r="F17" s="222" t="str">
        <f>'LP Optimization 2'!I17</f>
        <v>P22-Increase Physical Security</v>
      </c>
      <c r="G17" s="226">
        <f>'LP Optimization 2'!E17</f>
        <v>8.1032962121138283E-4</v>
      </c>
      <c r="H17" s="217">
        <f>'LP Optimization 2'!M17</f>
        <v>500</v>
      </c>
    </row>
    <row r="18" spans="1:8" ht="46.8" x14ac:dyDescent="0.25">
      <c r="A18" s="219" t="str">
        <f>Threats!B17</f>
        <v>Threats to Information Leakage</v>
      </c>
      <c r="B18" s="220" t="str">
        <f>Threats!A17</f>
        <v>T17-Communication Preventers(Botnet, Dialer)</v>
      </c>
      <c r="C18" s="105">
        <f>'AHP Likelihood Calculation'!AD50</f>
        <v>0.27124323692319202</v>
      </c>
      <c r="D18" s="218">
        <f>'AHP Severity Calculation'!AE51</f>
        <v>8.4413389011697877</v>
      </c>
      <c r="E18" s="221">
        <f t="shared" si="0"/>
        <v>2.2896560875189542</v>
      </c>
      <c r="F18" s="222" t="str">
        <f>'LP Optimization 2'!I18</f>
        <v>P29-Intrusion Detection System</v>
      </c>
      <c r="G18" s="226">
        <f>'LP Optimization 2'!E18</f>
        <v>1.3057875172102834E-2</v>
      </c>
      <c r="H18" s="217">
        <f>'LP Optimization 2'!M18</f>
        <v>5000</v>
      </c>
    </row>
    <row r="19" spans="1:8" ht="31.2" x14ac:dyDescent="0.25">
      <c r="A19" s="219" t="str">
        <f>Threats!B18</f>
        <v>Threats to Information Leakage</v>
      </c>
      <c r="B19" s="220" t="str">
        <f>Threats!A18</f>
        <v>T18-Authentication Threats</v>
      </c>
      <c r="C19" s="105">
        <f>'AHP Likelihood Calculation'!AD51</f>
        <v>0.58184563157288882</v>
      </c>
      <c r="D19" s="218">
        <f>'AHP Severity Calculation'!AE52</f>
        <v>8.2991718636394793</v>
      </c>
      <c r="E19" s="221">
        <f t="shared" si="0"/>
        <v>4.8288368945312614</v>
      </c>
      <c r="F19" s="222" t="str">
        <f>'LP Optimization 2'!I19</f>
        <v>P30-Digital Signatures</v>
      </c>
      <c r="G19" s="226">
        <f>'LP Optimization 2'!E19</f>
        <v>2.4334993937835739E-2</v>
      </c>
      <c r="H19" s="217">
        <f>'LP Optimization 2'!M19</f>
        <v>7500</v>
      </c>
    </row>
    <row r="20" spans="1:8" ht="31.2" x14ac:dyDescent="0.25">
      <c r="A20" s="219" t="str">
        <f>Threats!B19</f>
        <v>Threats to Information Leakage</v>
      </c>
      <c r="B20" s="220" t="str">
        <f>Threats!A19</f>
        <v>T19-Non Repudiation Threats</v>
      </c>
      <c r="C20" s="105">
        <f>'AHP Likelihood Calculation'!AD52</f>
        <v>0.28643382192337691</v>
      </c>
      <c r="D20" s="218">
        <f>'AHP Severity Calculation'!AE53</f>
        <v>8.0690371763924471</v>
      </c>
      <c r="E20" s="221">
        <f t="shared" si="0"/>
        <v>2.3112451576759021</v>
      </c>
      <c r="F20" s="222" t="str">
        <f>'LP Optimization 2'!I20</f>
        <v>P28-Cryptologic Solutions(Digital Signatures)</v>
      </c>
      <c r="G20" s="226">
        <f>'LP Optimization 2'!E20</f>
        <v>1.3660826089720971E-2</v>
      </c>
      <c r="H20" s="217">
        <f>'LP Optimization 2'!M20</f>
        <v>10000</v>
      </c>
    </row>
    <row r="21" spans="1:8" ht="31.2" x14ac:dyDescent="0.25">
      <c r="A21" s="219" t="str">
        <f>Threats!B20</f>
        <v>Threats to Information Leakage</v>
      </c>
      <c r="B21" s="220" t="str">
        <f>Threats!A20</f>
        <v>T20-Separation of Duties</v>
      </c>
      <c r="C21" s="105">
        <f>'AHP Likelihood Calculation'!AD53</f>
        <v>0.3317214128842092</v>
      </c>
      <c r="D21" s="218">
        <f>'AHP Severity Calculation'!AE54</f>
        <v>8.4836205519710202</v>
      </c>
      <c r="E21" s="221">
        <f t="shared" si="0"/>
        <v>2.8141985958733415</v>
      </c>
      <c r="F21" s="222" t="str">
        <f>'LP Optimization 2'!I21</f>
        <v>P24-Auditing</v>
      </c>
      <c r="G21" s="226">
        <f>'LP Optimization 2'!E21</f>
        <v>8.872395499567717E-3</v>
      </c>
      <c r="H21" s="217">
        <f>'LP Optimization 2'!M21</f>
        <v>10000</v>
      </c>
    </row>
    <row r="22" spans="1:8" ht="31.2" x14ac:dyDescent="0.25">
      <c r="A22" s="219" t="str">
        <f>Threats!B21</f>
        <v>Threats to Information Leakage</v>
      </c>
      <c r="B22" s="220" t="str">
        <f>Threats!A21</f>
        <v>T21-Configuration Threats</v>
      </c>
      <c r="C22" s="105">
        <f>'AHP Likelihood Calculation'!AD54</f>
        <v>0.38319826966022075</v>
      </c>
      <c r="D22" s="218">
        <f>'AHP Severity Calculation'!AE55</f>
        <v>8.4535334730043985</v>
      </c>
      <c r="E22" s="221">
        <f t="shared" si="0"/>
        <v>3.2393793993700419</v>
      </c>
      <c r="F22" s="222" t="str">
        <f>'LP Optimization 2'!I22</f>
        <v>P24-Auditing</v>
      </c>
      <c r="G22" s="226">
        <f>'LP Optimization 2'!E22</f>
        <v>3.4871395193590331E-2</v>
      </c>
      <c r="H22" s="217">
        <f>'LP Optimization 2'!M22</f>
        <v>10000</v>
      </c>
    </row>
    <row r="23" spans="1:8" ht="31.2" x14ac:dyDescent="0.25">
      <c r="A23" s="219" t="str">
        <f>Threats!B22</f>
        <v>Threats to Information Leakage</v>
      </c>
      <c r="B23" s="220" t="str">
        <f>Threats!A22</f>
        <v>T22- Communications Threats</v>
      </c>
      <c r="C23" s="105">
        <f>'AHP Likelihood Calculation'!AD55</f>
        <v>0.29315402277471436</v>
      </c>
      <c r="D23" s="218">
        <f>'AHP Severity Calculation'!AE56</f>
        <v>0</v>
      </c>
      <c r="E23" s="221">
        <f t="shared" si="0"/>
        <v>0</v>
      </c>
      <c r="F23" s="222" t="str">
        <f>'LP Optimization 2'!I23</f>
        <v>P28-Cryptologic Solutions(Encryption)</v>
      </c>
      <c r="G23" s="226">
        <f>'LP Optimization 2'!E23</f>
        <v>1.731758220238995E-2</v>
      </c>
      <c r="H23" s="217">
        <f>'LP Optimization 2'!M23</f>
        <v>15000</v>
      </c>
    </row>
    <row r="24" spans="1:8" ht="15.6" x14ac:dyDescent="0.25">
      <c r="A24" s="219" t="str">
        <f>Threats!B1</f>
        <v>Threats to The Level of Service</v>
      </c>
      <c r="B24" s="220" t="str">
        <f>Threats!A1</f>
        <v>T1-Power Loss</v>
      </c>
      <c r="C24" s="105">
        <f>'AHP Likelihood Calculation'!AD34</f>
        <v>0.24294982396184614</v>
      </c>
      <c r="D24" s="218">
        <f>'AHP Severity Calculation'!AE35</f>
        <v>10.613217223638992</v>
      </c>
      <c r="E24" s="221">
        <f>C24*D24</f>
        <v>2.5784792561519265</v>
      </c>
      <c r="F24" s="222" t="str">
        <f>'LP Optimization 2'!Q2</f>
        <v>Non</v>
      </c>
      <c r="G24" s="226">
        <f>'LP Optimization 2'!F2</f>
        <v>0</v>
      </c>
      <c r="H24" s="217">
        <f>'LP Optimization 2'!U2</f>
        <v>0</v>
      </c>
    </row>
    <row r="25" spans="1:8" ht="15.6" x14ac:dyDescent="0.25">
      <c r="A25" s="219" t="str">
        <f>Threats!B2</f>
        <v>Threats to The Level of Service</v>
      </c>
      <c r="B25" s="220" t="str">
        <f>Threats!A2</f>
        <v>T2-Hardware Failure</v>
      </c>
      <c r="C25" s="105">
        <f>'AHP Likelihood Calculation'!AD35</f>
        <v>2.3492987243136903E-2</v>
      </c>
      <c r="D25" s="218">
        <f>'AHP Severity Calculation'!AE36</f>
        <v>9.4128583764372404</v>
      </c>
      <c r="E25" s="221">
        <f t="shared" ref="E25:E45" si="1">C25*D25</f>
        <v>0.22113616175909442</v>
      </c>
      <c r="F25" s="222" t="str">
        <f>'LP Optimization 2'!Q3</f>
        <v>P8-Disaster Recovery on Cloud</v>
      </c>
      <c r="G25" s="226">
        <f>'LP Optimization 2'!F3</f>
        <v>0</v>
      </c>
      <c r="H25" s="217">
        <f>'LP Optimization 2'!U3</f>
        <v>0</v>
      </c>
    </row>
    <row r="26" spans="1:8" ht="15.6" x14ac:dyDescent="0.25">
      <c r="A26" s="219" t="str">
        <f>Threats!B3</f>
        <v>Threats to The Level of Service</v>
      </c>
      <c r="B26" s="220" t="str">
        <f>Threats!A3</f>
        <v>T3-Software Crash</v>
      </c>
      <c r="C26" s="105">
        <f>'AHP Likelihood Calculation'!AD36</f>
        <v>8.9952409245753914E-2</v>
      </c>
      <c r="D26" s="218">
        <f>'AHP Severity Calculation'!AE37</f>
        <v>10.038458252192566</v>
      </c>
      <c r="E26" s="221">
        <f t="shared" si="1"/>
        <v>0.90298350489764123</v>
      </c>
      <c r="F26" s="222" t="str">
        <f>'LP Optimization 2'!Q4</f>
        <v>P23-Service Level Software Agreement</v>
      </c>
      <c r="G26" s="226">
        <f>'LP Optimization 2'!F4</f>
        <v>5.0350393313196894E-3</v>
      </c>
      <c r="H26" s="217">
        <f>'LP Optimization 2'!U4</f>
        <v>15000</v>
      </c>
    </row>
    <row r="27" spans="1:8" ht="15.6" x14ac:dyDescent="0.25">
      <c r="A27" s="219" t="str">
        <f>Threats!B4</f>
        <v>Threats to The Level of Service</v>
      </c>
      <c r="B27" s="220" t="str">
        <f>Threats!A4</f>
        <v>T4-Operator Errors</v>
      </c>
      <c r="C27" s="105">
        <f>'AHP Likelihood Calculation'!AD37</f>
        <v>6.7227326913070706E-2</v>
      </c>
      <c r="D27" s="218">
        <f>'AHP Severity Calculation'!AE38</f>
        <v>11.578031610471333</v>
      </c>
      <c r="E27" s="221">
        <f t="shared" si="1"/>
        <v>0.77836011608702282</v>
      </c>
      <c r="F27" s="222" t="str">
        <f>'LP Optimization 2'!Q5</f>
        <v>P15-Improvement in Data Distribution and Governance</v>
      </c>
      <c r="G27" s="226">
        <f>'LP Optimization 2'!F5</f>
        <v>0</v>
      </c>
      <c r="H27" s="217">
        <f>'LP Optimization 2'!U5</f>
        <v>0</v>
      </c>
    </row>
    <row r="28" spans="1:8" ht="31.2" x14ac:dyDescent="0.25">
      <c r="A28" s="219" t="str">
        <f>Threats!B5</f>
        <v>Threats to The Level of Service</v>
      </c>
      <c r="B28" s="220" t="str">
        <f>Threats!A5</f>
        <v>T5-Malicious Inside Action</v>
      </c>
      <c r="C28" s="105">
        <f>'AHP Likelihood Calculation'!AD38</f>
        <v>4.4492642577803276E-2</v>
      </c>
      <c r="D28" s="218">
        <f>'AHP Severity Calculation'!AE39</f>
        <v>10.892287844474085</v>
      </c>
      <c r="E28" s="221">
        <f t="shared" si="1"/>
        <v>0.48462666991873676</v>
      </c>
      <c r="F28" s="222" t="str">
        <f>'LP Optimization 2'!Q6</f>
        <v>P26-Mandatory vacations</v>
      </c>
      <c r="G28" s="226">
        <f>'LP Optimization 2'!F6</f>
        <v>4.8004874057657387E-3</v>
      </c>
      <c r="H28" s="217">
        <f>'LP Optimization 2'!U6</f>
        <v>0</v>
      </c>
    </row>
    <row r="29" spans="1:8" ht="15.6" x14ac:dyDescent="0.25">
      <c r="A29" s="219" t="str">
        <f>Threats!B6</f>
        <v>Threats to The Level of Service</v>
      </c>
      <c r="B29" s="220" t="str">
        <f>Threats!A6</f>
        <v>T6-Trojan and Worms</v>
      </c>
      <c r="C29" s="105">
        <f>'AHP Likelihood Calculation'!AD39</f>
        <v>0.10407757204157696</v>
      </c>
      <c r="D29" s="218">
        <f>'AHP Severity Calculation'!AE40</f>
        <v>12.146807626184986</v>
      </c>
      <c r="E29" s="221">
        <f t="shared" si="1"/>
        <v>1.2642102457894442</v>
      </c>
      <c r="F29" s="222" t="str">
        <f>'LP Optimization 2'!Q7</f>
        <v>P19-Use of 64 bit OS's</v>
      </c>
      <c r="G29" s="226">
        <f>'LP Optimization 2'!F7</f>
        <v>9.845049378712176E-3</v>
      </c>
      <c r="H29" s="217">
        <f>'LP Optimization 2'!U7</f>
        <v>0</v>
      </c>
    </row>
    <row r="30" spans="1:8" ht="15.6" x14ac:dyDescent="0.25">
      <c r="A30" s="219" t="str">
        <f>Threats!B7</f>
        <v>Threats to The Level of Service</v>
      </c>
      <c r="B30" s="220" t="str">
        <f>Threats!A7</f>
        <v>T7-Fire</v>
      </c>
      <c r="C30" s="105">
        <f>'AHP Likelihood Calculation'!AD40</f>
        <v>1.6665052229327772E-2</v>
      </c>
      <c r="D30" s="218">
        <f>'AHP Severity Calculation'!AE41</f>
        <v>12.191282029056886</v>
      </c>
      <c r="E30" s="221">
        <f t="shared" si="1"/>
        <v>0.20316835175669806</v>
      </c>
      <c r="F30" s="222" t="str">
        <f>'LP Optimization 2'!Q8</f>
        <v>P8-Disaster Recovery on Cloud</v>
      </c>
      <c r="G30" s="226">
        <f>'LP Optimization 2'!F8</f>
        <v>4.3622244097181627E-3</v>
      </c>
      <c r="H30" s="217">
        <f>'LP Optimization 2'!U8</f>
        <v>6000</v>
      </c>
    </row>
    <row r="31" spans="1:8" ht="46.8" x14ac:dyDescent="0.25">
      <c r="A31" s="219" t="str">
        <f>Threats!B8</f>
        <v>Threats to The Level of Service</v>
      </c>
      <c r="B31" s="220" t="str">
        <f>Threats!A8</f>
        <v>T8-Other Enviromental Disasters</v>
      </c>
      <c r="C31" s="105">
        <f>'AHP Likelihood Calculation'!AD41</f>
        <v>1.2039520225759709E-2</v>
      </c>
      <c r="D31" s="218">
        <f>'AHP Severity Calculation'!AE42</f>
        <v>12.129639210147253</v>
      </c>
      <c r="E31" s="221">
        <f t="shared" si="1"/>
        <v>0.14603503660173589</v>
      </c>
      <c r="F31" s="222" t="str">
        <f>'LP Optimization 2'!Q9</f>
        <v>P9-FHM System</v>
      </c>
      <c r="G31" s="226">
        <f>'LP Optimization 2'!F9</f>
        <v>3.1960034685884131E-3</v>
      </c>
      <c r="H31" s="217">
        <f>'LP Optimization 2'!U9</f>
        <v>4500</v>
      </c>
    </row>
    <row r="32" spans="1:8" ht="31.2" x14ac:dyDescent="0.25">
      <c r="A32" s="219" t="str">
        <f>Threats!B9</f>
        <v>Threats to The Level of Service</v>
      </c>
      <c r="B32" s="220" t="str">
        <f>Threats!A9</f>
        <v>T9-Availability Threats(DDOS)</v>
      </c>
      <c r="C32" s="105">
        <f>'AHP Likelihood Calculation'!AD42</f>
        <v>2.3550794265172554E-2</v>
      </c>
      <c r="D32" s="218">
        <f>'AHP Severity Calculation'!AE43</f>
        <v>6.4964999759679465</v>
      </c>
      <c r="E32" s="221">
        <f t="shared" si="1"/>
        <v>0.15299773437771955</v>
      </c>
      <c r="F32" s="222" t="str">
        <f>'LP Optimization 2'!Q10</f>
        <v>P12-Traffic Management</v>
      </c>
      <c r="G32" s="226">
        <f>'LP Optimization 2'!F10</f>
        <v>2.1526725486478047E-3</v>
      </c>
      <c r="H32" s="217">
        <f>'LP Optimization 2'!U10</f>
        <v>5000</v>
      </c>
    </row>
    <row r="33" spans="1:8" ht="15.6" x14ac:dyDescent="0.25">
      <c r="A33" s="219" t="str">
        <f>Threats!B10</f>
        <v>Threats to the Information Base</v>
      </c>
      <c r="B33" s="220" t="str">
        <f>Threats!A10</f>
        <v>T10-Disk Failure</v>
      </c>
      <c r="C33" s="105">
        <f>'AHP Likelihood Calculation'!AD43</f>
        <v>7.291793331983723E-2</v>
      </c>
      <c r="D33" s="218">
        <f>'AHP Severity Calculation'!AE44</f>
        <v>7.5276755814544218</v>
      </c>
      <c r="E33" s="221">
        <f t="shared" si="1"/>
        <v>0.54890254610186051</v>
      </c>
      <c r="F33" s="222" t="str">
        <f>'LP Optimization 2'!Q11</f>
        <v>Non</v>
      </c>
      <c r="G33" s="226">
        <f>'LP Optimization 2'!F11</f>
        <v>0</v>
      </c>
      <c r="H33" s="217">
        <f>'LP Optimization 2'!U11</f>
        <v>0</v>
      </c>
    </row>
    <row r="34" spans="1:8" ht="15.6" x14ac:dyDescent="0.25">
      <c r="A34" s="219" t="str">
        <f>Threats!B11</f>
        <v>Threats to the Information Base</v>
      </c>
      <c r="B34" s="220" t="str">
        <f>Threats!A11</f>
        <v>T11-Data Corruption</v>
      </c>
      <c r="C34" s="105">
        <f>'AHP Likelihood Calculation'!AD44</f>
        <v>9.3795170093336891E-2</v>
      </c>
      <c r="D34" s="218">
        <f>'AHP Severity Calculation'!AE45</f>
        <v>6.0211041391251729</v>
      </c>
      <c r="E34" s="221">
        <f t="shared" si="1"/>
        <v>0.56475048687894036</v>
      </c>
      <c r="F34" s="222" t="str">
        <f>'LP Optimization 2'!Q12</f>
        <v>P7-Anti spam</v>
      </c>
      <c r="G34" s="226">
        <f>'LP Optimization 2'!F12</f>
        <v>3.2524907131345308E-3</v>
      </c>
      <c r="H34" s="217">
        <f>'LP Optimization 2'!U12</f>
        <v>2500</v>
      </c>
    </row>
    <row r="35" spans="1:8" ht="15.6" x14ac:dyDescent="0.25">
      <c r="A35" s="219" t="str">
        <f>Threats!B12</f>
        <v>Threats to the Information Base</v>
      </c>
      <c r="B35" s="220" t="str">
        <f>Threats!A12</f>
        <v>T12-Inaccurrate Data</v>
      </c>
      <c r="C35" s="105">
        <f>'AHP Likelihood Calculation'!AD45</f>
        <v>7.3606513466022649E-2</v>
      </c>
      <c r="D35" s="218">
        <f>'AHP Severity Calculation'!AE46</f>
        <v>6.8689179197053472</v>
      </c>
      <c r="E35" s="221">
        <f t="shared" si="1"/>
        <v>0.50559709935379593</v>
      </c>
      <c r="F35" s="222" t="str">
        <f>'LP Optimization 2'!Q13</f>
        <v>P15-Improvement in Data Distribution and Governance Systems</v>
      </c>
      <c r="G35" s="226">
        <f>'LP Optimization 2'!F13</f>
        <v>1.4027752965906108E-3</v>
      </c>
      <c r="H35" s="217">
        <f>'LP Optimization 2'!U13</f>
        <v>3200</v>
      </c>
    </row>
    <row r="36" spans="1:8" ht="31.2" x14ac:dyDescent="0.25">
      <c r="A36" s="219" t="str">
        <f>Threats!B13</f>
        <v>Threats to the Information Base</v>
      </c>
      <c r="B36" s="220" t="str">
        <f>Threats!A13</f>
        <v>T13-Un-authorized Access</v>
      </c>
      <c r="C36" s="105">
        <f>'AHP Likelihood Calculation'!AD46</f>
        <v>0.26976623313860026</v>
      </c>
      <c r="D36" s="218">
        <f>'AHP Severity Calculation'!AE47</f>
        <v>6.6001333408927136</v>
      </c>
      <c r="E36" s="221">
        <f t="shared" si="1"/>
        <v>1.7804931095851124</v>
      </c>
      <c r="F36" s="222" t="str">
        <f>'LP Optimization 2'!Q14</f>
        <v>Non</v>
      </c>
      <c r="G36" s="226">
        <f>'LP Optimization 2'!F14</f>
        <v>0</v>
      </c>
      <c r="H36" s="217">
        <f>'LP Optimization 2'!U14</f>
        <v>0</v>
      </c>
    </row>
    <row r="37" spans="1:8" ht="31.2" x14ac:dyDescent="0.25">
      <c r="A37" s="219" t="str">
        <f>Threats!B14</f>
        <v>Threats to the Information Base</v>
      </c>
      <c r="B37" s="220" t="str">
        <f>Threats!A14</f>
        <v>T14-Virus and Spyware</v>
      </c>
      <c r="C37" s="105">
        <f>'AHP Likelihood Calculation'!AD47</f>
        <v>0.70636436643241918</v>
      </c>
      <c r="D37" s="218">
        <f>'AHP Severity Calculation'!AE48</f>
        <v>8.441538406590734</v>
      </c>
      <c r="E37" s="221">
        <f t="shared" si="1"/>
        <v>5.9628019282863969</v>
      </c>
      <c r="F37" s="222" t="str">
        <f>'LP Optimization 2'!Q15</f>
        <v>P7-Anti spam</v>
      </c>
      <c r="G37" s="226">
        <f>'LP Optimization 2'!F15</f>
        <v>4.4775142827016987E-2</v>
      </c>
      <c r="H37" s="217">
        <f>'LP Optimization 2'!U15</f>
        <v>2500</v>
      </c>
    </row>
    <row r="38" spans="1:8" ht="15.6" x14ac:dyDescent="0.25">
      <c r="A38" s="219" t="str">
        <f>Threats!B15</f>
        <v>Threats to Information Leakage</v>
      </c>
      <c r="B38" s="220" t="str">
        <f>Threats!A15</f>
        <v>T15-Hacking</v>
      </c>
      <c r="C38" s="105">
        <f>'AHP Likelihood Calculation'!AD48</f>
        <v>9.5674681970019146E-2</v>
      </c>
      <c r="D38" s="218">
        <f>'AHP Severity Calculation'!AE49</f>
        <v>8.2339380545426568</v>
      </c>
      <c r="E38" s="221">
        <f t="shared" si="1"/>
        <v>0.78777940472920682</v>
      </c>
      <c r="F38" s="222" t="str">
        <f>'LP Optimization 2'!Q16</f>
        <v>P14-Firewall</v>
      </c>
      <c r="G38" s="226">
        <f>'LP Optimization 2'!F16</f>
        <v>1.985649073847557E-2</v>
      </c>
      <c r="H38" s="217">
        <f>'LP Optimization 2'!U16</f>
        <v>8000</v>
      </c>
    </row>
    <row r="39" spans="1:8" ht="15.6" x14ac:dyDescent="0.25">
      <c r="A39" s="219" t="str">
        <f>Threats!B16</f>
        <v>Threats to Information Leakage</v>
      </c>
      <c r="B39" s="220" t="str">
        <f>Threats!A16</f>
        <v>T16-Media Leakage</v>
      </c>
      <c r="C39" s="105">
        <f>'AHP Likelihood Calculation'!AD49</f>
        <v>5.8604824167280453E-2</v>
      </c>
      <c r="D39" s="218">
        <f>'AHP Severity Calculation'!AE50</f>
        <v>8.3977019664680004</v>
      </c>
      <c r="E39" s="221">
        <f t="shared" si="1"/>
        <v>0.49214584715408244</v>
      </c>
      <c r="F39" s="222" t="str">
        <f>'LP Optimization 2'!Q17</f>
        <v>P33-Limit Transfer of Executables</v>
      </c>
      <c r="G39" s="226">
        <f>'LP Optimization 2'!F17</f>
        <v>8.1032962121138283E-4</v>
      </c>
      <c r="H39" s="217">
        <f>'LP Optimization 2'!U17</f>
        <v>0</v>
      </c>
    </row>
    <row r="40" spans="1:8" ht="46.8" x14ac:dyDescent="0.25">
      <c r="A40" s="219" t="str">
        <f>Threats!B17</f>
        <v>Threats to Information Leakage</v>
      </c>
      <c r="B40" s="220" t="str">
        <f>Threats!A17</f>
        <v>T17-Communication Preventers(Botnet, Dialer)</v>
      </c>
      <c r="C40" s="105">
        <f>'AHP Likelihood Calculation'!AD50</f>
        <v>0.27124323692319202</v>
      </c>
      <c r="D40" s="218">
        <f>'AHP Severity Calculation'!AE51</f>
        <v>8.4413389011697877</v>
      </c>
      <c r="E40" s="221">
        <f t="shared" si="1"/>
        <v>2.2896560875189542</v>
      </c>
      <c r="F40" s="222" t="str">
        <f>'LP Optimization 2'!Q18</f>
        <v>P31-Trusted Communication Channels</v>
      </c>
      <c r="G40" s="226">
        <f>'LP Optimization 2'!F18</f>
        <v>1.3057875172102834E-2</v>
      </c>
      <c r="H40" s="217">
        <f>'LP Optimization 2'!U18</f>
        <v>10000</v>
      </c>
    </row>
    <row r="41" spans="1:8" ht="31.2" x14ac:dyDescent="0.25">
      <c r="A41" s="219" t="str">
        <f>Threats!B18</f>
        <v>Threats to Information Leakage</v>
      </c>
      <c r="B41" s="220" t="str">
        <f>Threats!A18</f>
        <v>T18-Authentication Threats</v>
      </c>
      <c r="C41" s="105">
        <f>'AHP Likelihood Calculation'!AD51</f>
        <v>0.58184563157288882</v>
      </c>
      <c r="D41" s="218">
        <f>'AHP Severity Calculation'!AE52</f>
        <v>8.2991718636394793</v>
      </c>
      <c r="E41" s="221">
        <f t="shared" si="1"/>
        <v>4.8288368945312614</v>
      </c>
      <c r="F41" s="222" t="str">
        <f>'LP Optimization 2'!Q19</f>
        <v>P27-Identity and Access Management System</v>
      </c>
      <c r="G41" s="226">
        <f>'LP Optimization 2'!F19</f>
        <v>3.041874242229467E-2</v>
      </c>
      <c r="H41" s="217">
        <f>'LP Optimization 2'!U19</f>
        <v>5000</v>
      </c>
    </row>
    <row r="42" spans="1:8" ht="31.2" x14ac:dyDescent="0.25">
      <c r="A42" s="219" t="str">
        <f>Threats!B19</f>
        <v>Threats to Information Leakage</v>
      </c>
      <c r="B42" s="220" t="str">
        <f>Threats!A19</f>
        <v>T19-Non Repudiation Threats</v>
      </c>
      <c r="C42" s="105">
        <f>'AHP Likelihood Calculation'!AD52</f>
        <v>0.28643382192337691</v>
      </c>
      <c r="D42" s="218">
        <f>'AHP Severity Calculation'!AE53</f>
        <v>8.0690371763924471</v>
      </c>
      <c r="E42" s="221">
        <f t="shared" si="1"/>
        <v>2.3112451576759021</v>
      </c>
      <c r="F42" s="222" t="str">
        <f>'LP Optimization 2'!Q20</f>
        <v>P21-Load Unload Drivers</v>
      </c>
      <c r="G42" s="226">
        <f>'LP Optimization 2'!F20</f>
        <v>8.1964956538325816E-3</v>
      </c>
      <c r="H42" s="217">
        <f>'LP Optimization 2'!U20</f>
        <v>0</v>
      </c>
    </row>
    <row r="43" spans="1:8" ht="31.2" x14ac:dyDescent="0.25">
      <c r="A43" s="219" t="str">
        <f>Threats!B20</f>
        <v>Threats to Information Leakage</v>
      </c>
      <c r="B43" s="220" t="str">
        <f>Threats!A20</f>
        <v>T20-Separation of Duties</v>
      </c>
      <c r="C43" s="105">
        <f>'AHP Likelihood Calculation'!AD53</f>
        <v>0.3317214128842092</v>
      </c>
      <c r="D43" s="218">
        <f>'AHP Severity Calculation'!AE54</f>
        <v>8.4836205519710202</v>
      </c>
      <c r="E43" s="221">
        <f t="shared" si="1"/>
        <v>2.8141985958733415</v>
      </c>
      <c r="F43" s="222" t="str">
        <f>'LP Optimization 2'!Q21</f>
        <v>P22-Increase Physical Security</v>
      </c>
      <c r="G43" s="226">
        <f>'LP Optimization 2'!F21</f>
        <v>5.9149303330451449E-3</v>
      </c>
      <c r="H43" s="217">
        <f>'LP Optimization 2'!U21</f>
        <v>0</v>
      </c>
    </row>
    <row r="44" spans="1:8" ht="31.2" x14ac:dyDescent="0.25">
      <c r="A44" s="219" t="str">
        <f>Threats!B21</f>
        <v>Threats to Information Leakage</v>
      </c>
      <c r="B44" s="220" t="str">
        <f>Threats!A21</f>
        <v>T21-Configuration Threats</v>
      </c>
      <c r="C44" s="105">
        <f>'AHP Likelihood Calculation'!AD54</f>
        <v>0.38319826966022075</v>
      </c>
      <c r="D44" s="218">
        <f>'AHP Severity Calculation'!AE55</f>
        <v>8.4535334730043985</v>
      </c>
      <c r="E44" s="221">
        <f t="shared" si="1"/>
        <v>3.2393793993700419</v>
      </c>
      <c r="F44" s="222" t="str">
        <f>'LP Optimization 2'!Q22</f>
        <v>Non</v>
      </c>
      <c r="G44" s="226">
        <f>'LP Optimization 2'!F22</f>
        <v>0</v>
      </c>
      <c r="H44" s="217">
        <f>'LP Optimization 2'!U22</f>
        <v>0</v>
      </c>
    </row>
    <row r="45" spans="1:8" ht="31.2" x14ac:dyDescent="0.25">
      <c r="A45" s="219" t="str">
        <f>Threats!B22</f>
        <v>Threats to Information Leakage</v>
      </c>
      <c r="B45" s="220" t="str">
        <f>Threats!A22</f>
        <v>T22- Communications Threats</v>
      </c>
      <c r="C45" s="105">
        <f>'AHP Likelihood Calculation'!AD55</f>
        <v>0.29315402277471436</v>
      </c>
      <c r="D45" s="218">
        <f>'AHP Severity Calculation'!AE56</f>
        <v>0</v>
      </c>
      <c r="E45" s="221">
        <f t="shared" si="1"/>
        <v>0</v>
      </c>
      <c r="F45" s="222" t="str">
        <f>'LP Optimization 2'!Q23</f>
        <v>P32-Integrity Check</v>
      </c>
      <c r="G45" s="226">
        <f>'LP Optimization 2'!F23</f>
        <v>1.731758220238995E-2</v>
      </c>
      <c r="H45" s="217">
        <f>'LP Optimization 2'!U23</f>
        <v>1000</v>
      </c>
    </row>
    <row r="46" spans="1:8" ht="15.6" x14ac:dyDescent="0.25">
      <c r="A46" s="219" t="str">
        <f>Threats!B1</f>
        <v>Threats to The Level of Service</v>
      </c>
      <c r="B46" s="220" t="str">
        <f>Threats!A1</f>
        <v>T1-Power Loss</v>
      </c>
      <c r="C46" s="105">
        <f>'AHP Likelihood Calculation'!AD34</f>
        <v>0.24294982396184614</v>
      </c>
      <c r="D46" s="218">
        <f>'AHP Severity Calculation'!AE35</f>
        <v>10.613217223638992</v>
      </c>
      <c r="E46" s="221">
        <f>C46*D46</f>
        <v>2.5784792561519265</v>
      </c>
      <c r="F46" s="222" t="str">
        <f>'LP Optimization 2'!Y2</f>
        <v>Non</v>
      </c>
      <c r="G46" s="226">
        <f>'LP Optimization 2'!G2</f>
        <v>0</v>
      </c>
      <c r="H46" s="217">
        <f>'LP Optimization 2'!AC2</f>
        <v>0</v>
      </c>
    </row>
    <row r="47" spans="1:8" ht="15.6" x14ac:dyDescent="0.25">
      <c r="A47" s="219" t="str">
        <f>Threats!B2</f>
        <v>Threats to The Level of Service</v>
      </c>
      <c r="B47" s="220" t="str">
        <f>Threats!A2</f>
        <v>T2-Hardware Failure</v>
      </c>
      <c r="C47" s="105">
        <f>'AHP Likelihood Calculation'!AD35</f>
        <v>2.3492987243136903E-2</v>
      </c>
      <c r="D47" s="218">
        <f>'AHP Severity Calculation'!AE36</f>
        <v>9.4128583764372404</v>
      </c>
      <c r="E47" s="221">
        <f t="shared" ref="E47:E67" si="2">C47*D47</f>
        <v>0.22113616175909442</v>
      </c>
      <c r="F47" s="222" t="str">
        <f>'LP Optimization 2'!Y3</f>
        <v>Non</v>
      </c>
      <c r="G47" s="226">
        <f>'LP Optimization 2'!G3</f>
        <v>0</v>
      </c>
      <c r="H47" s="217">
        <f>'LP Optimization 2'!AC3</f>
        <v>0</v>
      </c>
    </row>
    <row r="48" spans="1:8" ht="15.6" x14ac:dyDescent="0.25">
      <c r="A48" s="219" t="str">
        <f>Threats!B3</f>
        <v>Threats to The Level of Service</v>
      </c>
      <c r="B48" s="220" t="str">
        <f>Threats!A3</f>
        <v>T3-Software Crash</v>
      </c>
      <c r="C48" s="105">
        <f>'AHP Likelihood Calculation'!AD36</f>
        <v>8.9952409245753914E-2</v>
      </c>
      <c r="D48" s="218">
        <f>'AHP Severity Calculation'!AE37</f>
        <v>10.038458252192566</v>
      </c>
      <c r="E48" s="221">
        <f t="shared" si="2"/>
        <v>0.90298350489764123</v>
      </c>
      <c r="F48" s="222" t="str">
        <f>'LP Optimization 2'!Y4</f>
        <v>Non</v>
      </c>
      <c r="G48" s="226">
        <f>'LP Optimization 2'!G4</f>
        <v>0</v>
      </c>
      <c r="H48" s="217">
        <f>'LP Optimization 2'!AC4</f>
        <v>0</v>
      </c>
    </row>
    <row r="49" spans="1:8" ht="15.6" x14ac:dyDescent="0.25">
      <c r="A49" s="219" t="str">
        <f>Threats!B4</f>
        <v>Threats to The Level of Service</v>
      </c>
      <c r="B49" s="220" t="str">
        <f>Threats!A4</f>
        <v>T4-Operator Errors</v>
      </c>
      <c r="C49" s="105">
        <f>'AHP Likelihood Calculation'!AD37</f>
        <v>6.7227326913070706E-2</v>
      </c>
      <c r="D49" s="218">
        <f>'AHP Severity Calculation'!AE38</f>
        <v>11.578031610471333</v>
      </c>
      <c r="E49" s="221">
        <f t="shared" si="2"/>
        <v>0.77836011608702282</v>
      </c>
      <c r="F49" s="222" t="str">
        <f>'LP Optimization 2'!Y5</f>
        <v>Non</v>
      </c>
      <c r="G49" s="226">
        <f>'LP Optimization 2'!G5</f>
        <v>0</v>
      </c>
      <c r="H49" s="217">
        <f>'LP Optimization 2'!AC5</f>
        <v>0</v>
      </c>
    </row>
    <row r="50" spans="1:8" ht="31.2" x14ac:dyDescent="0.25">
      <c r="A50" s="219" t="str">
        <f>Threats!B5</f>
        <v>Threats to The Level of Service</v>
      </c>
      <c r="B50" s="220" t="str">
        <f>Threats!A5</f>
        <v>T5-Malicious Inside Action</v>
      </c>
      <c r="C50" s="105">
        <f>'AHP Likelihood Calculation'!AD38</f>
        <v>4.4492642577803276E-2</v>
      </c>
      <c r="D50" s="218">
        <f>'AHP Severity Calculation'!AE39</f>
        <v>10.892287844474085</v>
      </c>
      <c r="E50" s="221">
        <f t="shared" si="2"/>
        <v>0.48462666991873676</v>
      </c>
      <c r="F50" s="222" t="str">
        <f>'LP Optimization 2'!Y6</f>
        <v>P25-Pre Employment Screening</v>
      </c>
      <c r="G50" s="226">
        <f>'LP Optimization 2'!G6</f>
        <v>1.2001218514414345E-2</v>
      </c>
      <c r="H50" s="217">
        <f>'LP Optimization 2'!AC6</f>
        <v>0</v>
      </c>
    </row>
    <row r="51" spans="1:8" ht="15.6" x14ac:dyDescent="0.25">
      <c r="A51" s="219" t="str">
        <f>Threats!B6</f>
        <v>Threats to The Level of Service</v>
      </c>
      <c r="B51" s="220" t="str">
        <f>Threats!A6</f>
        <v>T6-Trojan and Worms</v>
      </c>
      <c r="C51" s="105">
        <f>'AHP Likelihood Calculation'!AD39</f>
        <v>0.10407757204157696</v>
      </c>
      <c r="D51" s="218">
        <f>'AHP Severity Calculation'!AE40</f>
        <v>12.146807626184986</v>
      </c>
      <c r="E51" s="221">
        <f t="shared" si="2"/>
        <v>1.2642102457894442</v>
      </c>
      <c r="F51" s="222" t="str">
        <f>'LP Optimization 2'!Y7</f>
        <v>Non</v>
      </c>
      <c r="G51" s="226">
        <f>'LP Optimization 2'!G7</f>
        <v>0</v>
      </c>
      <c r="H51" s="217">
        <f>'LP Optimization 2'!AC7</f>
        <v>0</v>
      </c>
    </row>
    <row r="52" spans="1:8" ht="15.6" x14ac:dyDescent="0.25">
      <c r="A52" s="219" t="str">
        <f>Threats!B7</f>
        <v>Threats to The Level of Service</v>
      </c>
      <c r="B52" s="220" t="str">
        <f>Threats!A7</f>
        <v>T7-Fire</v>
      </c>
      <c r="C52" s="105">
        <f>'AHP Likelihood Calculation'!AD40</f>
        <v>1.6665052229327772E-2</v>
      </c>
      <c r="D52" s="218">
        <f>'AHP Severity Calculation'!AE41</f>
        <v>12.191282029056886</v>
      </c>
      <c r="E52" s="221">
        <f t="shared" si="2"/>
        <v>0.20316835175669806</v>
      </c>
      <c r="F52" s="222" t="str">
        <f>'LP Optimization 2'!Y8</f>
        <v>Non</v>
      </c>
      <c r="G52" s="226">
        <f>'LP Optimization 2'!G8</f>
        <v>0</v>
      </c>
      <c r="H52" s="217">
        <f>'LP Optimization 2'!AC8</f>
        <v>0</v>
      </c>
    </row>
    <row r="53" spans="1:8" ht="46.8" x14ac:dyDescent="0.25">
      <c r="A53" s="219" t="str">
        <f>Threats!B8</f>
        <v>Threats to The Level of Service</v>
      </c>
      <c r="B53" s="220" t="str">
        <f>Threats!A8</f>
        <v>T8-Other Enviromental Disasters</v>
      </c>
      <c r="C53" s="105">
        <f>'AHP Likelihood Calculation'!AD41</f>
        <v>1.2039520225759709E-2</v>
      </c>
      <c r="D53" s="218">
        <f>'AHP Severity Calculation'!AE42</f>
        <v>12.129639210147253</v>
      </c>
      <c r="E53" s="221">
        <f t="shared" si="2"/>
        <v>0.14603503660173589</v>
      </c>
      <c r="F53" s="222" t="str">
        <f>'LP Optimization 2'!Y9</f>
        <v>Non</v>
      </c>
      <c r="G53" s="226">
        <f>'LP Optimization 2'!G9</f>
        <v>0</v>
      </c>
      <c r="H53" s="217">
        <f>'LP Optimization 2'!AC9</f>
        <v>0</v>
      </c>
    </row>
    <row r="54" spans="1:8" ht="31.2" x14ac:dyDescent="0.25">
      <c r="A54" s="219" t="str">
        <f>Threats!B9</f>
        <v>Threats to The Level of Service</v>
      </c>
      <c r="B54" s="220" t="str">
        <f>Threats!A9</f>
        <v>T9-Availability Threats(DDOS)</v>
      </c>
      <c r="C54" s="105">
        <f>'AHP Likelihood Calculation'!AD42</f>
        <v>2.3550794265172554E-2</v>
      </c>
      <c r="D54" s="218">
        <f>'AHP Severity Calculation'!AE43</f>
        <v>6.4964999759679465</v>
      </c>
      <c r="E54" s="221">
        <f t="shared" si="2"/>
        <v>0.15299773437771955</v>
      </c>
      <c r="F54" s="222" t="str">
        <f>'LP Optimization 2'!Y10</f>
        <v>P11-Bandwidth Throtting Techniques</v>
      </c>
      <c r="G54" s="226">
        <f>'LP Optimization 2'!G10</f>
        <v>2.1526725486478047E-3</v>
      </c>
      <c r="H54" s="217">
        <f>'LP Optimization 2'!AC10</f>
        <v>6000</v>
      </c>
    </row>
    <row r="55" spans="1:8" ht="15.6" x14ac:dyDescent="0.25">
      <c r="A55" s="219" t="str">
        <f>Threats!B10</f>
        <v>Threats to the Information Base</v>
      </c>
      <c r="B55" s="220" t="str">
        <f>Threats!A10</f>
        <v>T10-Disk Failure</v>
      </c>
      <c r="C55" s="105">
        <f>'AHP Likelihood Calculation'!AD43</f>
        <v>7.291793331983723E-2</v>
      </c>
      <c r="D55" s="218">
        <f>'AHP Severity Calculation'!AE44</f>
        <v>7.5276755814544218</v>
      </c>
      <c r="E55" s="221">
        <f t="shared" si="2"/>
        <v>0.54890254610186051</v>
      </c>
      <c r="F55" s="222" t="str">
        <f>'LP Optimization 2'!Y11</f>
        <v>Non</v>
      </c>
      <c r="G55" s="226">
        <f>'LP Optimization 2'!G11</f>
        <v>0</v>
      </c>
      <c r="H55" s="217">
        <f>'LP Optimization 2'!AC11</f>
        <v>0</v>
      </c>
    </row>
    <row r="56" spans="1:8" ht="15.6" x14ac:dyDescent="0.25">
      <c r="A56" s="219" t="str">
        <f>Threats!B11</f>
        <v>Threats to the Information Base</v>
      </c>
      <c r="B56" s="220" t="str">
        <f>Threats!A11</f>
        <v>T11-Data Corruption</v>
      </c>
      <c r="C56" s="105">
        <f>'AHP Likelihood Calculation'!AD44</f>
        <v>9.3795170093336891E-2</v>
      </c>
      <c r="D56" s="218">
        <f>'AHP Severity Calculation'!AE45</f>
        <v>6.0211041391251729</v>
      </c>
      <c r="E56" s="221">
        <f t="shared" si="2"/>
        <v>0.56475048687894036</v>
      </c>
      <c r="F56" s="222" t="str">
        <f>'LP Optimization 2'!Y12</f>
        <v>Non</v>
      </c>
      <c r="G56" s="226">
        <f>'LP Optimization 2'!G12</f>
        <v>0</v>
      </c>
      <c r="H56" s="217">
        <f>'LP Optimization 2'!AC12</f>
        <v>0</v>
      </c>
    </row>
    <row r="57" spans="1:8" ht="15.6" x14ac:dyDescent="0.25">
      <c r="A57" s="219" t="str">
        <f>Threats!B12</f>
        <v>Threats to the Information Base</v>
      </c>
      <c r="B57" s="220" t="str">
        <f>Threats!A12</f>
        <v>T12-Inaccurrate Data</v>
      </c>
      <c r="C57" s="105">
        <f>'AHP Likelihood Calculation'!AD45</f>
        <v>7.3606513466022649E-2</v>
      </c>
      <c r="D57" s="218">
        <f>'AHP Severity Calculation'!AE46</f>
        <v>6.8689179197053472</v>
      </c>
      <c r="E57" s="221">
        <f t="shared" si="2"/>
        <v>0.50559709935379593</v>
      </c>
      <c r="F57" s="222" t="str">
        <f>'LP Optimization 2'!Y13</f>
        <v>Non</v>
      </c>
      <c r="G57" s="226">
        <f>'LP Optimization 2'!G13</f>
        <v>0</v>
      </c>
      <c r="H57" s="217">
        <f>'LP Optimization 2'!AC13</f>
        <v>0</v>
      </c>
    </row>
    <row r="58" spans="1:8" ht="31.2" x14ac:dyDescent="0.25">
      <c r="A58" s="219" t="str">
        <f>Threats!B13</f>
        <v>Threats to the Information Base</v>
      </c>
      <c r="B58" s="220" t="str">
        <f>Threats!A13</f>
        <v>T13-Un-authorized Access</v>
      </c>
      <c r="C58" s="105">
        <f>'AHP Likelihood Calculation'!AD46</f>
        <v>0.26976623313860026</v>
      </c>
      <c r="D58" s="218">
        <f>'AHP Severity Calculation'!AE47</f>
        <v>6.6001333408927136</v>
      </c>
      <c r="E58" s="221">
        <f t="shared" si="2"/>
        <v>1.7804931095851124</v>
      </c>
      <c r="F58" s="222" t="str">
        <f>'LP Optimization 2'!Y14</f>
        <v>Non</v>
      </c>
      <c r="G58" s="226">
        <f>'LP Optimization 2'!G14</f>
        <v>0</v>
      </c>
      <c r="H58" s="217">
        <f>'LP Optimization 2'!AC14</f>
        <v>0</v>
      </c>
    </row>
    <row r="59" spans="1:8" ht="31.2" x14ac:dyDescent="0.25">
      <c r="A59" s="219" t="str">
        <f>Threats!B14</f>
        <v>Threats to the Information Base</v>
      </c>
      <c r="B59" s="220" t="str">
        <f>Threats!A14</f>
        <v>T14-Virus and Spyware</v>
      </c>
      <c r="C59" s="105">
        <f>'AHP Likelihood Calculation'!AD47</f>
        <v>0.70636436643241918</v>
      </c>
      <c r="D59" s="218">
        <f>'AHP Severity Calculation'!AE48</f>
        <v>8.441538406590734</v>
      </c>
      <c r="E59" s="221">
        <f t="shared" si="2"/>
        <v>5.9628019282863969</v>
      </c>
      <c r="F59" s="222" t="str">
        <f>'LP Optimization 2'!Y15</f>
        <v>Non</v>
      </c>
      <c r="G59" s="226">
        <f>'LP Optimization 2'!G15</f>
        <v>0</v>
      </c>
      <c r="H59" s="217">
        <f>'LP Optimization 2'!AC15</f>
        <v>0</v>
      </c>
    </row>
    <row r="60" spans="1:8" ht="15.6" x14ac:dyDescent="0.25">
      <c r="A60" s="219" t="str">
        <f>Threats!B15</f>
        <v>Threats to Information Leakage</v>
      </c>
      <c r="B60" s="220" t="str">
        <f>Threats!A15</f>
        <v>T15-Hacking</v>
      </c>
      <c r="C60" s="105">
        <f>'AHP Likelihood Calculation'!AD48</f>
        <v>9.5674681970019146E-2</v>
      </c>
      <c r="D60" s="218">
        <f>'AHP Severity Calculation'!AE49</f>
        <v>8.2339380545426568</v>
      </c>
      <c r="E60" s="221">
        <f t="shared" si="2"/>
        <v>0.78777940472920682</v>
      </c>
      <c r="F60" s="222" t="str">
        <f>'LP Optimization 2'!Y16</f>
        <v>Non</v>
      </c>
      <c r="G60" s="226">
        <f>'LP Optimization 2'!G16</f>
        <v>0</v>
      </c>
      <c r="H60" s="217">
        <f>'LP Optimization 2'!AC16</f>
        <v>0</v>
      </c>
    </row>
    <row r="61" spans="1:8" ht="15.6" x14ac:dyDescent="0.25">
      <c r="A61" s="219" t="str">
        <f>Threats!B16</f>
        <v>Threats to Information Leakage</v>
      </c>
      <c r="B61" s="220" t="str">
        <f>Threats!A16</f>
        <v>T16-Media Leakage</v>
      </c>
      <c r="C61" s="105">
        <f>'AHP Likelihood Calculation'!AD49</f>
        <v>5.8604824167280453E-2</v>
      </c>
      <c r="D61" s="218">
        <f>'AHP Severity Calculation'!AE50</f>
        <v>8.3977019664680004</v>
      </c>
      <c r="E61" s="221">
        <f t="shared" si="2"/>
        <v>0.49214584715408244</v>
      </c>
      <c r="F61" s="222" t="str">
        <f>'LP Optimization 2'!Y17</f>
        <v>Non</v>
      </c>
      <c r="G61" s="226">
        <f>'LP Optimization 2'!G17</f>
        <v>0</v>
      </c>
      <c r="H61" s="217">
        <f>'LP Optimization 2'!AC17</f>
        <v>0</v>
      </c>
    </row>
    <row r="62" spans="1:8" ht="46.8" x14ac:dyDescent="0.25">
      <c r="A62" s="219" t="str">
        <f>Threats!B17</f>
        <v>Threats to Information Leakage</v>
      </c>
      <c r="B62" s="220" t="str">
        <f>Threats!A17</f>
        <v>T17-Communication Preventers(Botnet, Dialer)</v>
      </c>
      <c r="C62" s="105">
        <f>'AHP Likelihood Calculation'!AD50</f>
        <v>0.27124323692319202</v>
      </c>
      <c r="D62" s="218">
        <f>'AHP Severity Calculation'!AE51</f>
        <v>8.4413389011697877</v>
      </c>
      <c r="E62" s="221">
        <f t="shared" si="2"/>
        <v>2.2896560875189542</v>
      </c>
      <c r="F62" s="222" t="str">
        <f>'LP Optimization 2'!Y18</f>
        <v>Non</v>
      </c>
      <c r="G62" s="226">
        <f>'LP Optimization 2'!G18</f>
        <v>0</v>
      </c>
      <c r="H62" s="217">
        <f>'LP Optimization 2'!AC18</f>
        <v>0</v>
      </c>
    </row>
    <row r="63" spans="1:8" ht="31.2" x14ac:dyDescent="0.25">
      <c r="A63" s="219" t="str">
        <f>Threats!B18</f>
        <v>Threats to Information Leakage</v>
      </c>
      <c r="B63" s="220" t="str">
        <f>Threats!A18</f>
        <v>T18-Authentication Threats</v>
      </c>
      <c r="C63" s="105">
        <f>'AHP Likelihood Calculation'!AD51</f>
        <v>0.58184563157288882</v>
      </c>
      <c r="D63" s="218">
        <f>'AHP Severity Calculation'!AE52</f>
        <v>8.2991718636394793</v>
      </c>
      <c r="E63" s="221">
        <f t="shared" si="2"/>
        <v>4.8288368945312614</v>
      </c>
      <c r="F63" s="222" t="str">
        <f>'LP Optimization 2'!Y19</f>
        <v>P16-Pretty Good Privacy</v>
      </c>
      <c r="G63" s="226">
        <f>'LP Optimization 2'!G19</f>
        <v>6.0837484844589278E-3</v>
      </c>
      <c r="H63" s="217">
        <f>'LP Optimization 2'!AC19</f>
        <v>15000</v>
      </c>
    </row>
    <row r="64" spans="1:8" ht="31.2" x14ac:dyDescent="0.25">
      <c r="A64" s="219" t="str">
        <f>Threats!B19</f>
        <v>Threats to Information Leakage</v>
      </c>
      <c r="B64" s="220" t="str">
        <f>Threats!A19</f>
        <v>T19-Non Repudiation Threats</v>
      </c>
      <c r="C64" s="105">
        <f>'AHP Likelihood Calculation'!AD52</f>
        <v>0.28643382192337691</v>
      </c>
      <c r="D64" s="218">
        <f>'AHP Severity Calculation'!AE53</f>
        <v>8.0690371763924471</v>
      </c>
      <c r="E64" s="221">
        <f t="shared" si="2"/>
        <v>2.3112451576759021</v>
      </c>
      <c r="F64" s="222" t="str">
        <f>'LP Optimization 2'!Y20</f>
        <v>P20-Turn off AutoRun</v>
      </c>
      <c r="G64" s="226">
        <f>'LP Optimization 2'!G20</f>
        <v>5.4643304358883886E-3</v>
      </c>
      <c r="H64" s="217">
        <f>'LP Optimization 2'!AC20</f>
        <v>0</v>
      </c>
    </row>
    <row r="65" spans="1:8" ht="31.2" x14ac:dyDescent="0.25">
      <c r="A65" s="219" t="str">
        <f>Threats!B20</f>
        <v>Threats to Information Leakage</v>
      </c>
      <c r="B65" s="220" t="str">
        <f>Threats!A20</f>
        <v>T20-Separation of Duties</v>
      </c>
      <c r="C65" s="105">
        <f>'AHP Likelihood Calculation'!AD53</f>
        <v>0.3317214128842092</v>
      </c>
      <c r="D65" s="218">
        <f>'AHP Severity Calculation'!AE54</f>
        <v>8.4836205519710202</v>
      </c>
      <c r="E65" s="221">
        <f t="shared" si="2"/>
        <v>2.8141985958733415</v>
      </c>
      <c r="F65" s="222" t="str">
        <f>'LP Optimization 2'!Y21</f>
        <v>Non</v>
      </c>
      <c r="G65" s="226">
        <f>'LP Optimization 2'!G21</f>
        <v>0</v>
      </c>
      <c r="H65" s="217">
        <f>'LP Optimization 2'!AC21</f>
        <v>0</v>
      </c>
    </row>
    <row r="66" spans="1:8" ht="31.2" x14ac:dyDescent="0.25">
      <c r="A66" s="219" t="str">
        <f>Threats!B21</f>
        <v>Threats to Information Leakage</v>
      </c>
      <c r="B66" s="220" t="str">
        <f>Threats!A21</f>
        <v>T21-Configuration Threats</v>
      </c>
      <c r="C66" s="105">
        <f>'AHP Likelihood Calculation'!AD54</f>
        <v>0.38319826966022075</v>
      </c>
      <c r="D66" s="218">
        <f>'AHP Severity Calculation'!AE55</f>
        <v>8.4535334730043985</v>
      </c>
      <c r="E66" s="221">
        <f t="shared" si="2"/>
        <v>3.2393793993700419</v>
      </c>
      <c r="F66" s="222" t="str">
        <f>'LP Optimization 2'!Y22</f>
        <v>Non</v>
      </c>
      <c r="G66" s="226">
        <f>'LP Optimization 2'!G22</f>
        <v>0</v>
      </c>
      <c r="H66" s="217">
        <f>'LP Optimization 2'!AC22</f>
        <v>0</v>
      </c>
    </row>
    <row r="67" spans="1:8" ht="31.2" x14ac:dyDescent="0.25">
      <c r="A67" s="219" t="str">
        <f>Threats!B22</f>
        <v>Threats to Information Leakage</v>
      </c>
      <c r="B67" s="220" t="str">
        <f>Threats!A22</f>
        <v>T22- Communications Threats</v>
      </c>
      <c r="C67" s="105">
        <f>'AHP Likelihood Calculation'!AD55</f>
        <v>0.29315402277471436</v>
      </c>
      <c r="D67" s="218">
        <f>'AHP Severity Calculation'!AE56</f>
        <v>0</v>
      </c>
      <c r="E67" s="221">
        <f t="shared" si="2"/>
        <v>0</v>
      </c>
      <c r="F67" s="222" t="str">
        <f>'LP Optimization 2'!Y23</f>
        <v>Non</v>
      </c>
      <c r="G67" s="226">
        <f>'LP Optimization 2'!G23</f>
        <v>0</v>
      </c>
      <c r="H67" s="217">
        <f>'LP Optimization 2'!AC23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3"/>
  <sheetViews>
    <sheetView zoomScale="55" zoomScaleNormal="55" workbookViewId="0">
      <selection activeCell="D2" sqref="D2"/>
    </sheetView>
  </sheetViews>
  <sheetFormatPr defaultRowHeight="13.2" x14ac:dyDescent="0.25"/>
  <cols>
    <col min="1" max="1" width="23.6640625" customWidth="1"/>
    <col min="3" max="3" width="11" customWidth="1"/>
    <col min="4" max="4" width="12.88671875" customWidth="1"/>
  </cols>
  <sheetData>
    <row r="1" spans="1:4" ht="37.950000000000003" customHeight="1" x14ac:dyDescent="0.3">
      <c r="A1" s="227" t="s">
        <v>304</v>
      </c>
      <c r="B1" s="227" t="s">
        <v>106</v>
      </c>
      <c r="C1" s="227" t="s">
        <v>308</v>
      </c>
      <c r="D1" s="227" t="s">
        <v>309</v>
      </c>
    </row>
    <row r="2" spans="1:4" ht="26.4" x14ac:dyDescent="0.25">
      <c r="A2" s="228" t="str">
        <f>'Summary 1'!A2</f>
        <v>Threats to The Level of Service</v>
      </c>
      <c r="B2" s="229" t="str">
        <f>'Summary 1'!B2</f>
        <v>T1-Power Loss</v>
      </c>
      <c r="C2" s="229">
        <v>7.73543776845578</v>
      </c>
      <c r="D2" s="229">
        <v>4000</v>
      </c>
    </row>
    <row r="3" spans="1:4" ht="26.4" x14ac:dyDescent="0.25">
      <c r="A3" s="228" t="str">
        <f>'Summary 1'!A3</f>
        <v>Threats to The Level of Service</v>
      </c>
      <c r="B3" s="229" t="str">
        <f>'Summary 1'!B3</f>
        <v>T2-Hardware Failure</v>
      </c>
      <c r="C3" s="229">
        <v>0.66340848527728324</v>
      </c>
      <c r="D3" s="229">
        <v>50000</v>
      </c>
    </row>
    <row r="4" spans="1:4" ht="26.4" x14ac:dyDescent="0.25">
      <c r="A4" s="228" t="str">
        <f>'Summary 1'!A4</f>
        <v>Threats to The Level of Service</v>
      </c>
      <c r="B4" s="229" t="str">
        <f>'Summary 1'!B4</f>
        <v>T3-Software Crash</v>
      </c>
      <c r="C4" s="229">
        <v>2.7089505146929236</v>
      </c>
      <c r="D4" s="229">
        <v>15000</v>
      </c>
    </row>
    <row r="5" spans="1:4" ht="26.4" x14ac:dyDescent="0.25">
      <c r="A5" s="228" t="str">
        <f>'Summary 1'!A5</f>
        <v>Threats to The Level of Service</v>
      </c>
      <c r="B5" s="229" t="str">
        <f>'Summary 1'!B5</f>
        <v>T4-Operator Errors</v>
      </c>
      <c r="C5" s="229">
        <v>2.3350803482610685</v>
      </c>
      <c r="D5" s="229">
        <v>36000</v>
      </c>
    </row>
    <row r="6" spans="1:4" ht="26.4" x14ac:dyDescent="0.25">
      <c r="A6" s="228" t="str">
        <f>'Summary 1'!A6</f>
        <v>Threats to The Level of Service</v>
      </c>
      <c r="B6" s="229" t="str">
        <f>'Summary 1'!B6</f>
        <v>T5-Malicious Inside Action</v>
      </c>
      <c r="C6" s="229">
        <v>1.4538800097562103</v>
      </c>
      <c r="D6" s="229">
        <v>0</v>
      </c>
    </row>
    <row r="7" spans="1:4" ht="26.4" x14ac:dyDescent="0.25">
      <c r="A7" s="228" t="str">
        <f>'Summary 1'!A7</f>
        <v>Threats to The Level of Service</v>
      </c>
      <c r="B7" s="229" t="str">
        <f>'Summary 1'!B7</f>
        <v>T6-Trojan and Worms</v>
      </c>
      <c r="C7" s="229">
        <v>3.7926307373683326</v>
      </c>
      <c r="D7" s="229">
        <v>0</v>
      </c>
    </row>
    <row r="8" spans="1:4" ht="26.4" x14ac:dyDescent="0.25">
      <c r="A8" s="228" t="str">
        <f>'Summary 1'!A8</f>
        <v>Threats to The Level of Service</v>
      </c>
      <c r="B8" s="229" t="str">
        <f>'Summary 1'!B8</f>
        <v>T7-Fire</v>
      </c>
      <c r="C8" s="229">
        <v>0.60950505527009424</v>
      </c>
      <c r="D8" s="229">
        <v>10500</v>
      </c>
    </row>
    <row r="9" spans="1:4" ht="26.4" x14ac:dyDescent="0.25">
      <c r="A9" s="228" t="str">
        <f>'Summary 1'!A9</f>
        <v>Threats to The Level of Service</v>
      </c>
      <c r="B9" s="229" t="str">
        <f>'Summary 1'!B9</f>
        <v>T8-Other Enviromental Disasters</v>
      </c>
      <c r="C9" s="229">
        <v>0.43810510980520767</v>
      </c>
      <c r="D9" s="229">
        <v>10500</v>
      </c>
    </row>
    <row r="10" spans="1:4" ht="26.4" x14ac:dyDescent="0.25">
      <c r="A10" s="228" t="str">
        <f>'Summary 1'!A10</f>
        <v>Threats to The Level of Service</v>
      </c>
      <c r="B10" s="229" t="str">
        <f>'Summary 1'!B10</f>
        <v>T9-Availability Threats(DDOS)</v>
      </c>
      <c r="C10" s="229">
        <v>0.45899320313315861</v>
      </c>
      <c r="D10" s="229">
        <v>17000</v>
      </c>
    </row>
    <row r="11" spans="1:4" ht="26.4" x14ac:dyDescent="0.25">
      <c r="A11" s="228" t="str">
        <f>'Summary 1'!A11</f>
        <v>Threats to the Information Base</v>
      </c>
      <c r="B11" s="229" t="str">
        <f>'Summary 1'!B11</f>
        <v>T10-Disk Failure</v>
      </c>
      <c r="C11" s="229">
        <v>1.6467076383055814</v>
      </c>
      <c r="D11" s="229">
        <v>3000</v>
      </c>
    </row>
    <row r="12" spans="1:4" ht="26.4" x14ac:dyDescent="0.25">
      <c r="A12" s="228" t="str">
        <f>'Summary 1'!A12</f>
        <v>Threats to the Information Base</v>
      </c>
      <c r="B12" s="229" t="str">
        <f>'Summary 1'!B12</f>
        <v>T11-Data Corruption</v>
      </c>
      <c r="C12" s="229">
        <v>1.6942514606368211</v>
      </c>
      <c r="D12" s="229">
        <v>6250</v>
      </c>
    </row>
    <row r="13" spans="1:4" ht="26.4" x14ac:dyDescent="0.25">
      <c r="A13" s="228" t="str">
        <f>'Summary 1'!A13</f>
        <v>Threats to the Information Base</v>
      </c>
      <c r="B13" s="229" t="str">
        <f>'Summary 1'!B13</f>
        <v>T12-Inaccurrate Data</v>
      </c>
      <c r="C13" s="229">
        <v>1.5167912980613878</v>
      </c>
      <c r="D13" s="229">
        <v>3200</v>
      </c>
    </row>
    <row r="14" spans="1:4" ht="26.4" x14ac:dyDescent="0.25">
      <c r="A14" s="228" t="str">
        <f>'Summary 1'!A14</f>
        <v>Threats to the Information Base</v>
      </c>
      <c r="B14" s="229" t="str">
        <f>'Summary 1'!B14</f>
        <v>T13-Un-authorized Access</v>
      </c>
      <c r="C14" s="229">
        <v>5.3414793287553373</v>
      </c>
      <c r="D14" s="229">
        <v>10000</v>
      </c>
    </row>
    <row r="15" spans="1:4" ht="26.4" x14ac:dyDescent="0.25">
      <c r="A15" s="228" t="str">
        <f>'Summary 1'!A15</f>
        <v>Threats to the Information Base</v>
      </c>
      <c r="B15" s="229" t="str">
        <f>'Summary 1'!B15</f>
        <v>T14-Virus and Spyware</v>
      </c>
      <c r="C15" s="229">
        <v>17.888405784859192</v>
      </c>
      <c r="D15" s="229">
        <v>6250</v>
      </c>
    </row>
    <row r="16" spans="1:4" ht="26.4" x14ac:dyDescent="0.25">
      <c r="A16" s="228" t="str">
        <f>'Summary 1'!A16</f>
        <v>Threats to Information Leakage</v>
      </c>
      <c r="B16" s="229" t="str">
        <f>'Summary 1'!B16</f>
        <v>T15-Hacking</v>
      </c>
      <c r="C16" s="229">
        <v>2.3633382141876202</v>
      </c>
      <c r="D16" s="229">
        <v>10000</v>
      </c>
    </row>
    <row r="17" spans="1:4" ht="26.4" x14ac:dyDescent="0.25">
      <c r="A17" s="228" t="str">
        <f>'Summary 1'!A17</f>
        <v>Threats to Information Leakage</v>
      </c>
      <c r="B17" s="229" t="str">
        <f>'Summary 1'!B17</f>
        <v>T16-Media Leakage</v>
      </c>
      <c r="C17" s="229">
        <v>1.4764375414622473</v>
      </c>
      <c r="D17" s="229">
        <v>500</v>
      </c>
    </row>
    <row r="18" spans="1:4" ht="26.4" x14ac:dyDescent="0.25">
      <c r="A18" s="228" t="str">
        <f>'Summary 1'!A18</f>
        <v>Threats to Information Leakage</v>
      </c>
      <c r="B18" s="229" t="str">
        <f>'Summary 1'!B18</f>
        <v>T17-Communication Preventers(Botnet, Dialer)</v>
      </c>
      <c r="C18" s="229">
        <v>6.8689682625568622</v>
      </c>
      <c r="D18" s="229">
        <v>15000</v>
      </c>
    </row>
    <row r="19" spans="1:4" ht="26.4" x14ac:dyDescent="0.25">
      <c r="A19" s="228" t="str">
        <f>'Summary 1'!A19</f>
        <v>Threats to Information Leakage</v>
      </c>
      <c r="B19" s="229" t="str">
        <f>'Summary 1'!B19</f>
        <v>T18-Authentication Threats</v>
      </c>
      <c r="C19" s="229">
        <v>14.486510683593785</v>
      </c>
      <c r="D19" s="229">
        <v>27500</v>
      </c>
    </row>
    <row r="20" spans="1:4" ht="26.4" x14ac:dyDescent="0.25">
      <c r="A20" s="228" t="str">
        <f>'Summary 1'!A20</f>
        <v>Threats to Information Leakage</v>
      </c>
      <c r="B20" s="229" t="str">
        <f>'Summary 1'!B20</f>
        <v>T19-Non Repudiation Threats</v>
      </c>
      <c r="C20" s="229">
        <v>6.9337354730277063</v>
      </c>
      <c r="D20" s="229">
        <v>10000</v>
      </c>
    </row>
    <row r="21" spans="1:4" ht="26.4" x14ac:dyDescent="0.25">
      <c r="A21" s="228" t="str">
        <f>'Summary 1'!A21</f>
        <v>Threats to Information Leakage</v>
      </c>
      <c r="B21" s="229" t="str">
        <f>'Summary 1'!B21</f>
        <v>T20-Separation of Duties</v>
      </c>
      <c r="C21" s="229">
        <v>8.442595787620025</v>
      </c>
      <c r="D21" s="229">
        <v>10000</v>
      </c>
    </row>
    <row r="22" spans="1:4" ht="26.4" x14ac:dyDescent="0.25">
      <c r="A22" s="228" t="str">
        <f>'Summary 1'!A22</f>
        <v>Threats to Information Leakage</v>
      </c>
      <c r="B22" s="229" t="str">
        <f>'Summary 1'!B22</f>
        <v>T21-Configuration Threats</v>
      </c>
      <c r="C22" s="229">
        <v>9.7181381981101254</v>
      </c>
      <c r="D22" s="229">
        <v>10000</v>
      </c>
    </row>
    <row r="23" spans="1:4" ht="26.4" x14ac:dyDescent="0.25">
      <c r="A23" s="228" t="str">
        <f>'Summary 1'!A23</f>
        <v>Threats to Information Leakage</v>
      </c>
      <c r="B23" s="229" t="str">
        <f>'Summary 1'!B23</f>
        <v>T22- Communications Threats</v>
      </c>
      <c r="C23" s="229">
        <v>0</v>
      </c>
      <c r="D23" s="229">
        <v>16000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4"/>
  <sheetViews>
    <sheetView zoomScale="70" zoomScaleNormal="70" workbookViewId="0">
      <selection activeCell="D37" sqref="D37"/>
    </sheetView>
  </sheetViews>
  <sheetFormatPr defaultRowHeight="13.2" x14ac:dyDescent="0.25"/>
  <cols>
    <col min="1" max="1" width="57.5546875" bestFit="1" customWidth="1"/>
    <col min="2" max="2" width="19.33203125" customWidth="1"/>
    <col min="3" max="3" width="23.33203125" customWidth="1"/>
  </cols>
  <sheetData>
    <row r="1" spans="1:3" ht="43.2" x14ac:dyDescent="0.3">
      <c r="A1" s="230" t="s">
        <v>305</v>
      </c>
      <c r="B1" s="227" t="s">
        <v>321</v>
      </c>
      <c r="C1" s="227" t="s">
        <v>309</v>
      </c>
    </row>
    <row r="2" spans="1:3" x14ac:dyDescent="0.25">
      <c r="A2" s="229" t="str">
        <f>Precautions!A1</f>
        <v>P1-Install USB</v>
      </c>
      <c r="B2" s="335">
        <v>1.0681703604114981E-2</v>
      </c>
      <c r="C2" s="229">
        <v>4000</v>
      </c>
    </row>
    <row r="3" spans="1:3" x14ac:dyDescent="0.25">
      <c r="A3" s="229" t="str">
        <f>Precautions!A2</f>
        <v>P2-Replicate Servers</v>
      </c>
      <c r="B3" s="335">
        <v>1.352450237439456E-2</v>
      </c>
      <c r="C3" s="229">
        <v>50000</v>
      </c>
    </row>
    <row r="4" spans="1:3" x14ac:dyDescent="0.25">
      <c r="A4" s="229" t="str">
        <f>Precautions!A3</f>
        <v>P3-Add validation to forms</v>
      </c>
      <c r="B4" s="335">
        <v>0</v>
      </c>
      <c r="C4" s="229">
        <v>0</v>
      </c>
    </row>
    <row r="5" spans="1:3" x14ac:dyDescent="0.25">
      <c r="A5" s="229" t="str">
        <f>Precautions!A4</f>
        <v>P4-Education and Assessment of Security Personal</v>
      </c>
      <c r="B5" s="335">
        <v>6.2378403220160559E-3</v>
      </c>
      <c r="C5" s="229">
        <v>36000</v>
      </c>
    </row>
    <row r="6" spans="1:3" x14ac:dyDescent="0.25">
      <c r="A6" s="229" t="str">
        <f>Precautions!A5</f>
        <v>P5-Functional Isolation</v>
      </c>
      <c r="B6" s="335">
        <v>7.2007311086486068E-3</v>
      </c>
      <c r="C6" s="229">
        <v>0</v>
      </c>
    </row>
    <row r="7" spans="1:3" x14ac:dyDescent="0.25">
      <c r="A7" s="229" t="str">
        <f>Precautions!A6</f>
        <v>P6-AntiVirus</v>
      </c>
      <c r="B7" s="335">
        <v>4.9653878896718781E-2</v>
      </c>
      <c r="C7" s="229">
        <v>7500</v>
      </c>
    </row>
    <row r="8" spans="1:3" x14ac:dyDescent="0.25">
      <c r="A8" s="229" t="str">
        <f>Precautions!A7</f>
        <v>P7-Anti spam</v>
      </c>
      <c r="B8" s="335">
        <v>4.8027633540151521E-2</v>
      </c>
      <c r="C8" s="229">
        <v>5000</v>
      </c>
    </row>
    <row r="9" spans="1:3" x14ac:dyDescent="0.25">
      <c r="A9" s="229" t="str">
        <f>Precautions!A8</f>
        <v>P8-Disaster Recovery on Cloud</v>
      </c>
      <c r="B9" s="335">
        <v>1.1819565836424458E-2</v>
      </c>
      <c r="C9" s="229">
        <v>12000</v>
      </c>
    </row>
    <row r="10" spans="1:3" x14ac:dyDescent="0.25">
      <c r="A10" s="229" t="str">
        <f>Precautions!A9</f>
        <v>P9-FHM System</v>
      </c>
      <c r="B10" s="335">
        <v>1.3374527091264125E-2</v>
      </c>
      <c r="C10" s="229">
        <v>9000</v>
      </c>
    </row>
    <row r="11" spans="1:3" x14ac:dyDescent="0.25">
      <c r="A11" s="229" t="str">
        <f>Precautions!A10</f>
        <v>P10-Increase Bandwidth</v>
      </c>
      <c r="B11" s="335">
        <v>1.7221380389182439E-3</v>
      </c>
      <c r="C11" s="229">
        <v>6000</v>
      </c>
    </row>
    <row r="12" spans="1:3" x14ac:dyDescent="0.25">
      <c r="A12" s="229" t="str">
        <f>Precautions!A11</f>
        <v>P11-Bandwidth throttling techniques</v>
      </c>
      <c r="B12" s="335">
        <v>0</v>
      </c>
      <c r="C12" s="229">
        <v>0</v>
      </c>
    </row>
    <row r="13" spans="1:3" x14ac:dyDescent="0.25">
      <c r="A13" s="229" t="str">
        <f>Precautions!A12</f>
        <v>P12-Traffic Management</v>
      </c>
      <c r="B13" s="335">
        <v>2.1526725486478047E-3</v>
      </c>
      <c r="C13" s="229">
        <v>5000</v>
      </c>
    </row>
    <row r="14" spans="1:3" x14ac:dyDescent="0.25">
      <c r="A14" s="229" t="str">
        <f>Precautions!A13</f>
        <v>P13-Backup Tapes</v>
      </c>
      <c r="B14" s="335">
        <v>8.4769337159762096E-3</v>
      </c>
      <c r="C14" s="229">
        <v>3000</v>
      </c>
    </row>
    <row r="15" spans="1:3" x14ac:dyDescent="0.25">
      <c r="A15" s="229" t="str">
        <f>Precautions!A14</f>
        <v>P14-Firewall</v>
      </c>
      <c r="B15" s="335">
        <v>1.985649073847557E-2</v>
      </c>
      <c r="C15" s="229">
        <v>8000</v>
      </c>
    </row>
    <row r="16" spans="1:3" x14ac:dyDescent="0.25">
      <c r="A16" s="229" t="str">
        <f>Precautions!A15</f>
        <v>P15-Improvement in Data Distribution and Data Governance Policies</v>
      </c>
      <c r="B16" s="335">
        <v>0</v>
      </c>
      <c r="C16" s="229">
        <v>0</v>
      </c>
    </row>
    <row r="17" spans="1:3" x14ac:dyDescent="0.25">
      <c r="A17" s="229" t="str">
        <f>Precautions!A16</f>
        <v>P16-Pretty Good Privacy</v>
      </c>
      <c r="B17" s="335">
        <v>6.0837484844589278E-3</v>
      </c>
      <c r="C17" s="229">
        <v>15000</v>
      </c>
    </row>
    <row r="18" spans="1:3" x14ac:dyDescent="0.25">
      <c r="A18" s="229" t="str">
        <f>Precautions!A17</f>
        <v>P17-Strong passwords</v>
      </c>
      <c r="B18" s="335">
        <v>0</v>
      </c>
      <c r="C18" s="229">
        <v>0</v>
      </c>
    </row>
    <row r="19" spans="1:3" x14ac:dyDescent="0.25">
      <c r="A19" s="229" t="str">
        <f>Precautions!A18</f>
        <v>P18-Regular software patches</v>
      </c>
      <c r="B19" s="335">
        <v>0</v>
      </c>
      <c r="C19" s="229">
        <v>0</v>
      </c>
    </row>
    <row r="20" spans="1:3" x14ac:dyDescent="0.25">
      <c r="A20" s="229" t="str">
        <f>Precautions!A19</f>
        <v>P19-Use of 64 bit OS</v>
      </c>
      <c r="B20" s="335">
        <v>0</v>
      </c>
      <c r="C20" s="229">
        <v>0</v>
      </c>
    </row>
    <row r="21" spans="1:3" x14ac:dyDescent="0.25">
      <c r="A21" s="229" t="str">
        <f>Precautions!A20</f>
        <v>P20-Turnoff Auto-Run</v>
      </c>
      <c r="B21" s="335">
        <v>0</v>
      </c>
      <c r="C21" s="229">
        <v>0</v>
      </c>
    </row>
    <row r="22" spans="1:3" x14ac:dyDescent="0.25">
      <c r="A22" s="229" t="str">
        <f>Precautions!A21</f>
        <v>P21-Load – Un-Load Drivers</v>
      </c>
      <c r="B22" s="335">
        <v>0</v>
      </c>
      <c r="C22" s="229">
        <v>0</v>
      </c>
    </row>
    <row r="23" spans="1:3" x14ac:dyDescent="0.25">
      <c r="A23" s="229" t="str">
        <f>Precautions!A22</f>
        <v>P22-Increase Physical Security</v>
      </c>
      <c r="B23" s="335">
        <v>6.7252599542565279E-3</v>
      </c>
      <c r="C23" s="229">
        <v>500</v>
      </c>
    </row>
    <row r="24" spans="1:3" x14ac:dyDescent="0.25">
      <c r="A24" s="229" t="str">
        <f>Precautions!A23</f>
        <v>P23-Service level software agreement, PAAS</v>
      </c>
      <c r="B24" s="335">
        <v>0</v>
      </c>
      <c r="C24" s="229">
        <v>0</v>
      </c>
    </row>
    <row r="25" spans="1:3" x14ac:dyDescent="0.25">
      <c r="A25" s="229" t="str">
        <f>Precautions!A24</f>
        <v>P24-Auditing</v>
      </c>
      <c r="B25" s="335">
        <v>4.3743790693158049E-2</v>
      </c>
      <c r="C25" s="229">
        <v>20000</v>
      </c>
    </row>
    <row r="26" spans="1:3" x14ac:dyDescent="0.25">
      <c r="A26" s="229" t="str">
        <f>Precautions!A25</f>
        <v>P25-Pre-employment screening</v>
      </c>
      <c r="B26" s="335">
        <v>0</v>
      </c>
      <c r="C26" s="229">
        <v>0</v>
      </c>
    </row>
    <row r="27" spans="1:3" x14ac:dyDescent="0.25">
      <c r="A27" s="229" t="str">
        <f>Precautions!A26</f>
        <v>P26-Mandatory vacations</v>
      </c>
      <c r="B27" s="335">
        <v>4.8004874057657387E-3</v>
      </c>
      <c r="C27" s="229">
        <v>0</v>
      </c>
    </row>
    <row r="28" spans="1:3" x14ac:dyDescent="0.25">
      <c r="A28" s="229" t="str">
        <f>Precautions!A27</f>
        <v>P27-Identity and Access Management (IAM) Systems</v>
      </c>
      <c r="B28" s="335">
        <v>0</v>
      </c>
      <c r="C28" s="229">
        <v>0</v>
      </c>
    </row>
    <row r="29" spans="1:3" x14ac:dyDescent="0.25">
      <c r="A29" s="229" t="str">
        <f>Precautions!A28</f>
        <v>P28-Encryption Solutions</v>
      </c>
      <c r="B29" s="335">
        <v>0</v>
      </c>
      <c r="C29" s="229">
        <v>0</v>
      </c>
    </row>
    <row r="30" spans="1:3" x14ac:dyDescent="0.25">
      <c r="A30" s="229" t="str">
        <f>Precautions!A29</f>
        <v>P29-Intrusion Detection and Prevention Systems</v>
      </c>
      <c r="B30" s="335">
        <v>0</v>
      </c>
      <c r="C30" s="229">
        <v>0</v>
      </c>
    </row>
    <row r="31" spans="1:3" x14ac:dyDescent="0.25">
      <c r="A31" s="229" t="str">
        <f>Precautions!A30</f>
        <v>P30-Digital Signatures</v>
      </c>
      <c r="B31" s="335">
        <v>2.4334993937835739E-2</v>
      </c>
      <c r="C31" s="229">
        <v>7500</v>
      </c>
    </row>
    <row r="32" spans="1:3" x14ac:dyDescent="0.25">
      <c r="A32" s="229" t="str">
        <f>Precautions!A31</f>
        <v>P31-Trusted Communication Channels</v>
      </c>
      <c r="B32" s="335">
        <v>1.3057875172102834E-2</v>
      </c>
      <c r="C32" s="229">
        <v>10000</v>
      </c>
    </row>
    <row r="33" spans="1:3" x14ac:dyDescent="0.25">
      <c r="A33" s="229" t="str">
        <f>Precautions!A32</f>
        <v>P32-Integrity Check</v>
      </c>
      <c r="B33" s="335">
        <v>1.731758220238995E-2</v>
      </c>
      <c r="C33" s="229">
        <v>1000</v>
      </c>
    </row>
    <row r="34" spans="1:3" x14ac:dyDescent="0.25">
      <c r="A34" s="229" t="str">
        <f>Precautions!A33</f>
        <v>P33-Limit Transfer of Executables</v>
      </c>
      <c r="B34" s="335">
        <v>1.0655378999923559E-2</v>
      </c>
      <c r="C34" s="229">
        <v>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K2:N38"/>
  <sheetViews>
    <sheetView topLeftCell="C1" zoomScale="115" zoomScaleNormal="115" workbookViewId="0">
      <selection activeCell="N38" sqref="K2:N38"/>
    </sheetView>
  </sheetViews>
  <sheetFormatPr defaultRowHeight="13.2" x14ac:dyDescent="0.25"/>
  <cols>
    <col min="10" max="10" width="9.5546875" customWidth="1"/>
    <col min="11" max="11" width="26.33203125" customWidth="1"/>
    <col min="12" max="12" width="31.109375" customWidth="1"/>
    <col min="13" max="13" width="25.6640625" customWidth="1"/>
  </cols>
  <sheetData>
    <row r="2" spans="11:14" x14ac:dyDescent="0.25">
      <c r="K2" s="408" t="s">
        <v>107</v>
      </c>
      <c r="L2" s="306" t="s">
        <v>9</v>
      </c>
      <c r="M2" s="306" t="s">
        <v>9</v>
      </c>
      <c r="N2" s="305" t="s">
        <v>10</v>
      </c>
    </row>
    <row r="3" spans="11:14" x14ac:dyDescent="0.25">
      <c r="K3" s="408"/>
      <c r="L3" s="306" t="s">
        <v>12</v>
      </c>
      <c r="M3" s="306" t="s">
        <v>12</v>
      </c>
      <c r="N3" s="305" t="s">
        <v>13</v>
      </c>
    </row>
    <row r="4" spans="11:14" x14ac:dyDescent="0.25">
      <c r="K4" s="408"/>
      <c r="L4" s="306" t="s">
        <v>15</v>
      </c>
      <c r="M4" s="306" t="s">
        <v>15</v>
      </c>
      <c r="N4" s="305" t="s">
        <v>16</v>
      </c>
    </row>
    <row r="5" spans="11:14" x14ac:dyDescent="0.25">
      <c r="K5" s="408"/>
      <c r="L5" s="306" t="s">
        <v>18</v>
      </c>
      <c r="M5" s="408" t="s">
        <v>17</v>
      </c>
      <c r="N5" s="409" t="s">
        <v>19</v>
      </c>
    </row>
    <row r="6" spans="11:14" x14ac:dyDescent="0.25">
      <c r="K6" s="408"/>
      <c r="L6" s="306" t="s">
        <v>21</v>
      </c>
      <c r="M6" s="408"/>
      <c r="N6" s="409"/>
    </row>
    <row r="7" spans="11:14" x14ac:dyDescent="0.25">
      <c r="K7" s="408"/>
      <c r="L7" s="306" t="s">
        <v>23</v>
      </c>
      <c r="M7" s="408"/>
      <c r="N7" s="409"/>
    </row>
    <row r="8" spans="11:14" x14ac:dyDescent="0.25">
      <c r="K8" s="408"/>
      <c r="L8" s="306" t="s">
        <v>327</v>
      </c>
      <c r="M8" s="408"/>
      <c r="N8" s="409"/>
    </row>
    <row r="9" spans="11:14" x14ac:dyDescent="0.25">
      <c r="K9" s="408"/>
      <c r="L9" s="306"/>
      <c r="M9" s="306" t="s">
        <v>25</v>
      </c>
      <c r="N9" s="305" t="s">
        <v>26</v>
      </c>
    </row>
    <row r="10" spans="11:14" x14ac:dyDescent="0.25">
      <c r="K10" s="408"/>
      <c r="L10" s="306" t="s">
        <v>29</v>
      </c>
      <c r="M10" s="408" t="s">
        <v>328</v>
      </c>
      <c r="N10" s="409" t="s">
        <v>30</v>
      </c>
    </row>
    <row r="11" spans="11:14" x14ac:dyDescent="0.25">
      <c r="K11" s="408"/>
      <c r="L11" s="306" t="s">
        <v>32</v>
      </c>
      <c r="M11" s="408"/>
      <c r="N11" s="409"/>
    </row>
    <row r="12" spans="11:14" x14ac:dyDescent="0.25">
      <c r="K12" s="408"/>
      <c r="L12" s="306" t="s">
        <v>33</v>
      </c>
      <c r="M12" s="408"/>
      <c r="N12" s="409"/>
    </row>
    <row r="13" spans="11:14" x14ac:dyDescent="0.25">
      <c r="K13" s="408"/>
      <c r="L13" s="306"/>
      <c r="M13" s="306" t="s">
        <v>34</v>
      </c>
      <c r="N13" s="305" t="s">
        <v>35</v>
      </c>
    </row>
    <row r="14" spans="11:14" ht="16.2" customHeight="1" x14ac:dyDescent="0.25">
      <c r="K14" s="408"/>
      <c r="L14" s="306" t="s">
        <v>333</v>
      </c>
      <c r="M14" s="408" t="s">
        <v>329</v>
      </c>
      <c r="N14" s="409" t="s">
        <v>43</v>
      </c>
    </row>
    <row r="15" spans="11:14" x14ac:dyDescent="0.25">
      <c r="K15" s="408"/>
      <c r="L15" s="306" t="s">
        <v>38</v>
      </c>
      <c r="M15" s="408"/>
      <c r="N15" s="409"/>
    </row>
    <row r="16" spans="11:14" x14ac:dyDescent="0.25">
      <c r="K16" s="408"/>
      <c r="L16" s="306" t="s">
        <v>39</v>
      </c>
      <c r="M16" s="408"/>
      <c r="N16" s="409"/>
    </row>
    <row r="17" spans="11:14" x14ac:dyDescent="0.25">
      <c r="K17" s="408"/>
      <c r="L17" s="306"/>
      <c r="M17" s="306" t="s">
        <v>330</v>
      </c>
      <c r="N17" s="305" t="s">
        <v>46</v>
      </c>
    </row>
    <row r="18" spans="11:14" x14ac:dyDescent="0.25">
      <c r="K18" s="408" t="s">
        <v>44</v>
      </c>
      <c r="L18" s="306"/>
      <c r="M18" s="306" t="s">
        <v>45</v>
      </c>
      <c r="N18" s="305" t="s">
        <v>48</v>
      </c>
    </row>
    <row r="19" spans="11:14" x14ac:dyDescent="0.25">
      <c r="K19" s="408"/>
      <c r="L19" s="306"/>
      <c r="M19" s="306" t="s">
        <v>47</v>
      </c>
      <c r="N19" s="305" t="s">
        <v>50</v>
      </c>
    </row>
    <row r="20" spans="11:14" x14ac:dyDescent="0.25">
      <c r="K20" s="408"/>
      <c r="L20" s="306"/>
      <c r="M20" s="306" t="s">
        <v>331</v>
      </c>
      <c r="N20" s="305" t="s">
        <v>52</v>
      </c>
    </row>
    <row r="21" spans="11:14" x14ac:dyDescent="0.25">
      <c r="K21" s="408"/>
      <c r="L21" s="306" t="s">
        <v>334</v>
      </c>
      <c r="M21" s="408" t="s">
        <v>338</v>
      </c>
      <c r="N21" s="409" t="s">
        <v>54</v>
      </c>
    </row>
    <row r="22" spans="11:14" ht="15.6" customHeight="1" x14ac:dyDescent="0.25">
      <c r="K22" s="408"/>
      <c r="L22" s="305" t="s">
        <v>335</v>
      </c>
      <c r="M22" s="408"/>
      <c r="N22" s="409"/>
    </row>
    <row r="23" spans="11:14" ht="15.6" customHeight="1" x14ac:dyDescent="0.25">
      <c r="K23" s="408"/>
      <c r="L23" s="305" t="s">
        <v>337</v>
      </c>
      <c r="M23" s="408"/>
      <c r="N23" s="409"/>
    </row>
    <row r="24" spans="11:14" ht="15.6" customHeight="1" x14ac:dyDescent="0.25">
      <c r="K24" s="408"/>
      <c r="L24" s="305" t="s">
        <v>336</v>
      </c>
      <c r="M24" s="408"/>
      <c r="N24" s="409"/>
    </row>
    <row r="25" spans="11:14" x14ac:dyDescent="0.25">
      <c r="K25" s="408"/>
      <c r="L25" s="306"/>
      <c r="M25" s="306" t="s">
        <v>332</v>
      </c>
      <c r="N25" s="305" t="s">
        <v>66</v>
      </c>
    </row>
    <row r="26" spans="11:14" x14ac:dyDescent="0.25">
      <c r="K26" s="408" t="s">
        <v>58</v>
      </c>
      <c r="L26" s="306" t="s">
        <v>65</v>
      </c>
      <c r="M26" s="408" t="s">
        <v>65</v>
      </c>
      <c r="N26" s="409" t="s">
        <v>71</v>
      </c>
    </row>
    <row r="27" spans="11:14" x14ac:dyDescent="0.25">
      <c r="K27" s="408"/>
      <c r="L27" s="306" t="s">
        <v>68</v>
      </c>
      <c r="M27" s="408"/>
      <c r="N27" s="409"/>
    </row>
    <row r="28" spans="11:14" x14ac:dyDescent="0.25">
      <c r="K28" s="408"/>
      <c r="L28" s="306" t="s">
        <v>69</v>
      </c>
      <c r="M28" s="408"/>
      <c r="N28" s="409"/>
    </row>
    <row r="29" spans="11:14" x14ac:dyDescent="0.25">
      <c r="K29" s="408"/>
      <c r="L29" s="306" t="s">
        <v>70</v>
      </c>
      <c r="M29" s="408" t="s">
        <v>70</v>
      </c>
      <c r="N29" s="409" t="s">
        <v>73</v>
      </c>
    </row>
    <row r="30" spans="11:14" x14ac:dyDescent="0.25">
      <c r="K30" s="408"/>
      <c r="L30" s="306" t="s">
        <v>72</v>
      </c>
      <c r="M30" s="408"/>
      <c r="N30" s="409"/>
    </row>
    <row r="31" spans="11:14" x14ac:dyDescent="0.25">
      <c r="K31" s="408"/>
      <c r="L31" s="306" t="s">
        <v>75</v>
      </c>
      <c r="M31" s="408"/>
      <c r="N31" s="409"/>
    </row>
    <row r="32" spans="11:14" ht="13.95" customHeight="1" x14ac:dyDescent="0.25">
      <c r="K32" s="408"/>
      <c r="L32" s="306" t="s">
        <v>77</v>
      </c>
      <c r="M32" s="408" t="s">
        <v>339</v>
      </c>
      <c r="N32" s="409" t="s">
        <v>76</v>
      </c>
    </row>
    <row r="33" spans="11:14" x14ac:dyDescent="0.25">
      <c r="K33" s="408"/>
      <c r="L33" s="306" t="s">
        <v>79</v>
      </c>
      <c r="M33" s="408"/>
      <c r="N33" s="409"/>
    </row>
    <row r="34" spans="11:14" x14ac:dyDescent="0.25">
      <c r="K34" s="408"/>
      <c r="L34" s="306"/>
      <c r="M34" s="306" t="s">
        <v>81</v>
      </c>
      <c r="N34" s="305" t="s">
        <v>78</v>
      </c>
    </row>
    <row r="35" spans="11:14" x14ac:dyDescent="0.25">
      <c r="K35" s="408"/>
      <c r="L35" s="306"/>
      <c r="M35" s="306" t="s">
        <v>83</v>
      </c>
      <c r="N35" s="305" t="s">
        <v>82</v>
      </c>
    </row>
    <row r="36" spans="11:14" x14ac:dyDescent="0.25">
      <c r="K36" s="408"/>
      <c r="L36" s="306"/>
      <c r="M36" s="306" t="s">
        <v>340</v>
      </c>
      <c r="N36" s="305" t="s">
        <v>84</v>
      </c>
    </row>
    <row r="37" spans="11:14" x14ac:dyDescent="0.25">
      <c r="K37" s="408"/>
      <c r="L37" s="306"/>
      <c r="M37" s="306" t="s">
        <v>87</v>
      </c>
      <c r="N37" s="305" t="s">
        <v>86</v>
      </c>
    </row>
    <row r="38" spans="11:14" x14ac:dyDescent="0.25">
      <c r="K38" s="408"/>
      <c r="L38" s="306"/>
      <c r="M38" s="306" t="s">
        <v>341</v>
      </c>
      <c r="N38" s="305" t="s">
        <v>88</v>
      </c>
    </row>
  </sheetData>
  <mergeCells count="17">
    <mergeCell ref="N10:N12"/>
    <mergeCell ref="M14:M16"/>
    <mergeCell ref="N14:N16"/>
    <mergeCell ref="M21:M24"/>
    <mergeCell ref="K26:K38"/>
    <mergeCell ref="K18:K25"/>
    <mergeCell ref="K2:K17"/>
    <mergeCell ref="N21:N24"/>
    <mergeCell ref="M26:M28"/>
    <mergeCell ref="N26:N28"/>
    <mergeCell ref="M29:M31"/>
    <mergeCell ref="N29:N31"/>
    <mergeCell ref="M32:M33"/>
    <mergeCell ref="N32:N33"/>
    <mergeCell ref="M5:M8"/>
    <mergeCell ref="N5:N8"/>
    <mergeCell ref="M10:M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4"/>
  <sheetViews>
    <sheetView workbookViewId="0">
      <selection activeCell="I21" sqref="I21"/>
    </sheetView>
  </sheetViews>
  <sheetFormatPr defaultRowHeight="13.2" x14ac:dyDescent="0.25"/>
  <cols>
    <col min="1" max="1" width="6" customWidth="1"/>
    <col min="2" max="2" width="8.6640625" customWidth="1"/>
    <col min="3" max="3" width="9.33203125" customWidth="1"/>
    <col min="4" max="4" width="5" customWidth="1"/>
    <col min="5" max="5" width="4.44140625" customWidth="1"/>
    <col min="6" max="7" width="5.44140625" customWidth="1"/>
    <col min="8" max="8" width="9.5546875" customWidth="1"/>
    <col min="10" max="10" width="5.109375" customWidth="1"/>
    <col min="11" max="11" width="5" customWidth="1"/>
    <col min="12" max="12" width="4.109375" customWidth="1"/>
    <col min="13" max="13" width="4.88671875" customWidth="1"/>
    <col min="14" max="14" width="8.33203125" customWidth="1"/>
    <col min="16" max="16" width="4.6640625" customWidth="1"/>
    <col min="17" max="17" width="4.5546875" customWidth="1"/>
    <col min="18" max="18" width="4.88671875" customWidth="1"/>
    <col min="19" max="19" width="5.5546875" customWidth="1"/>
  </cols>
  <sheetData>
    <row r="1" spans="1:19" x14ac:dyDescent="0.25"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</row>
    <row r="2" spans="1:19" ht="55.2" customHeight="1" x14ac:dyDescent="0.25">
      <c r="A2" s="308"/>
      <c r="B2" s="313" t="s">
        <v>354</v>
      </c>
      <c r="C2" s="313" t="s">
        <v>351</v>
      </c>
      <c r="D2" s="313" t="s">
        <v>358</v>
      </c>
      <c r="E2" s="314" t="s">
        <v>230</v>
      </c>
      <c r="F2" s="314" t="s">
        <v>231</v>
      </c>
      <c r="G2" s="314" t="s">
        <v>232</v>
      </c>
      <c r="H2" s="315" t="s">
        <v>359</v>
      </c>
      <c r="I2" s="313" t="s">
        <v>352</v>
      </c>
      <c r="J2" s="313" t="s">
        <v>353</v>
      </c>
      <c r="K2" s="314" t="s">
        <v>237</v>
      </c>
      <c r="L2" s="314" t="s">
        <v>238</v>
      </c>
      <c r="M2" s="314" t="s">
        <v>239</v>
      </c>
      <c r="N2" s="315" t="s">
        <v>355</v>
      </c>
      <c r="O2" s="313" t="s">
        <v>356</v>
      </c>
      <c r="P2" s="313" t="s">
        <v>357</v>
      </c>
      <c r="Q2" s="314" t="s">
        <v>244</v>
      </c>
      <c r="R2" s="314" t="s">
        <v>245</v>
      </c>
      <c r="S2" s="314" t="s">
        <v>246</v>
      </c>
    </row>
    <row r="3" spans="1:19" x14ac:dyDescent="0.25">
      <c r="A3" s="309" t="s">
        <v>10</v>
      </c>
      <c r="B3" s="309" t="s">
        <v>121</v>
      </c>
      <c r="C3" s="310">
        <v>1</v>
      </c>
      <c r="D3" s="310">
        <v>2000</v>
      </c>
      <c r="E3" s="310">
        <v>1</v>
      </c>
      <c r="F3" s="310">
        <v>1</v>
      </c>
      <c r="G3" s="310"/>
      <c r="H3" s="316" t="s">
        <v>181</v>
      </c>
      <c r="I3" s="310">
        <v>0</v>
      </c>
      <c r="J3" s="310">
        <v>0</v>
      </c>
      <c r="K3" s="310"/>
      <c r="L3" s="310"/>
      <c r="M3" s="310"/>
      <c r="N3" s="316" t="s">
        <v>181</v>
      </c>
      <c r="O3" s="310">
        <v>0</v>
      </c>
      <c r="P3" s="310">
        <v>0</v>
      </c>
      <c r="Q3" s="310"/>
      <c r="R3" s="310"/>
      <c r="S3" s="310"/>
    </row>
    <row r="4" spans="1:19" x14ac:dyDescent="0.25">
      <c r="A4" s="309" t="s">
        <v>13</v>
      </c>
      <c r="B4" s="309" t="s">
        <v>127</v>
      </c>
      <c r="C4" s="310">
        <v>0.4</v>
      </c>
      <c r="D4" s="310">
        <v>4000</v>
      </c>
      <c r="E4" s="310"/>
      <c r="F4" s="310"/>
      <c r="G4" s="310"/>
      <c r="H4" s="317" t="s">
        <v>160</v>
      </c>
      <c r="I4" s="310">
        <v>0.6</v>
      </c>
      <c r="J4" s="310">
        <v>5000</v>
      </c>
      <c r="K4" s="310"/>
      <c r="L4" s="310"/>
      <c r="M4" s="310"/>
      <c r="N4" s="316" t="s">
        <v>181</v>
      </c>
      <c r="O4" s="310">
        <v>0</v>
      </c>
      <c r="P4" s="310">
        <v>0</v>
      </c>
      <c r="Q4" s="310"/>
      <c r="R4" s="310"/>
      <c r="S4" s="310"/>
    </row>
    <row r="5" spans="1:19" x14ac:dyDescent="0.25">
      <c r="A5" s="309" t="s">
        <v>16</v>
      </c>
      <c r="B5" s="309" t="s">
        <v>156</v>
      </c>
      <c r="C5" s="310">
        <v>0.5</v>
      </c>
      <c r="D5" s="310">
        <v>0</v>
      </c>
      <c r="E5" s="310">
        <v>1</v>
      </c>
      <c r="F5" s="310">
        <v>1</v>
      </c>
      <c r="G5" s="310"/>
      <c r="H5" s="317" t="s">
        <v>125</v>
      </c>
      <c r="I5" s="310">
        <v>0.5</v>
      </c>
      <c r="J5" s="310">
        <v>1500</v>
      </c>
      <c r="K5" s="310"/>
      <c r="L5" s="310"/>
      <c r="M5" s="310"/>
      <c r="N5" s="316" t="s">
        <v>181</v>
      </c>
      <c r="O5" s="310">
        <v>0</v>
      </c>
      <c r="P5" s="310">
        <v>0</v>
      </c>
      <c r="Q5" s="310"/>
      <c r="R5" s="310"/>
      <c r="S5" s="310"/>
    </row>
    <row r="6" spans="1:19" x14ac:dyDescent="0.25">
      <c r="A6" s="309" t="s">
        <v>19</v>
      </c>
      <c r="B6" s="309" t="s">
        <v>138</v>
      </c>
      <c r="C6" s="310">
        <v>0.6</v>
      </c>
      <c r="D6" s="310">
        <v>0</v>
      </c>
      <c r="E6" s="310"/>
      <c r="F6" s="310"/>
      <c r="G6" s="310"/>
      <c r="H6" s="317" t="s">
        <v>139</v>
      </c>
      <c r="I6" s="310">
        <v>0.4</v>
      </c>
      <c r="J6" s="310">
        <v>1</v>
      </c>
      <c r="K6" s="310"/>
      <c r="L6" s="310"/>
      <c r="M6" s="310"/>
      <c r="N6" s="316" t="s">
        <v>181</v>
      </c>
      <c r="O6" s="310">
        <v>0</v>
      </c>
      <c r="P6" s="310">
        <v>0</v>
      </c>
      <c r="Q6" s="310"/>
      <c r="R6" s="310"/>
      <c r="S6" s="310"/>
    </row>
    <row r="7" spans="1:19" x14ac:dyDescent="0.25">
      <c r="A7" s="309" t="s">
        <v>26</v>
      </c>
      <c r="B7" s="309" t="s">
        <v>143</v>
      </c>
      <c r="C7" s="310">
        <v>0.3</v>
      </c>
      <c r="D7" s="310">
        <v>0</v>
      </c>
      <c r="E7" s="310"/>
      <c r="F7" s="310"/>
      <c r="G7" s="310"/>
      <c r="H7" s="317" t="s">
        <v>141</v>
      </c>
      <c r="I7" s="310">
        <v>0.2</v>
      </c>
      <c r="J7" s="310">
        <v>0</v>
      </c>
      <c r="K7" s="310"/>
      <c r="L7" s="310"/>
      <c r="M7" s="310"/>
      <c r="N7" s="317" t="s">
        <v>136</v>
      </c>
      <c r="O7" s="310">
        <v>0.5</v>
      </c>
      <c r="P7" s="310">
        <v>0</v>
      </c>
      <c r="Q7" s="310"/>
      <c r="R7" s="310"/>
      <c r="S7" s="310"/>
    </row>
    <row r="8" spans="1:19" x14ac:dyDescent="0.25">
      <c r="A8" s="309" t="s">
        <v>30</v>
      </c>
      <c r="B8" s="309" t="s">
        <v>342</v>
      </c>
      <c r="C8" s="310">
        <v>0.5</v>
      </c>
      <c r="D8" s="310">
        <v>0</v>
      </c>
      <c r="E8" s="310"/>
      <c r="F8" s="310"/>
      <c r="G8" s="310"/>
      <c r="H8" s="317" t="s">
        <v>162</v>
      </c>
      <c r="I8" s="310">
        <v>0.5</v>
      </c>
      <c r="J8" s="310">
        <v>0</v>
      </c>
      <c r="K8" s="310"/>
      <c r="L8" s="310"/>
      <c r="M8" s="310"/>
      <c r="N8" s="316" t="s">
        <v>181</v>
      </c>
      <c r="O8" s="310">
        <v>0</v>
      </c>
      <c r="P8" s="310">
        <v>0</v>
      </c>
      <c r="Q8" s="310"/>
      <c r="R8" s="310"/>
      <c r="S8" s="310"/>
    </row>
    <row r="9" spans="1:19" x14ac:dyDescent="0.25">
      <c r="A9" s="309" t="s">
        <v>35</v>
      </c>
      <c r="B9" s="309" t="s">
        <v>343</v>
      </c>
      <c r="C9" s="310">
        <v>0.7</v>
      </c>
      <c r="D9" s="310">
        <v>4500</v>
      </c>
      <c r="E9" s="310"/>
      <c r="F9" s="310"/>
      <c r="G9" s="310"/>
      <c r="H9" s="317" t="s">
        <v>160</v>
      </c>
      <c r="I9" s="310">
        <v>0.3</v>
      </c>
      <c r="J9" s="310">
        <v>6000</v>
      </c>
      <c r="K9" s="310"/>
      <c r="L9" s="310">
        <v>1</v>
      </c>
      <c r="M9" s="310"/>
      <c r="N9" s="316" t="s">
        <v>181</v>
      </c>
      <c r="O9" s="310">
        <v>0</v>
      </c>
      <c r="P9" s="310">
        <v>0</v>
      </c>
      <c r="Q9" s="310"/>
      <c r="R9" s="310"/>
      <c r="S9" s="310"/>
    </row>
    <row r="10" spans="1:19" x14ac:dyDescent="0.25">
      <c r="A10" s="309" t="s">
        <v>43</v>
      </c>
      <c r="B10" s="309" t="s">
        <v>160</v>
      </c>
      <c r="C10" s="310">
        <v>0.7</v>
      </c>
      <c r="D10" s="310">
        <v>6000</v>
      </c>
      <c r="E10" s="310"/>
      <c r="F10" s="310">
        <v>1</v>
      </c>
      <c r="G10" s="310"/>
      <c r="H10" s="317" t="s">
        <v>343</v>
      </c>
      <c r="I10" s="310">
        <v>0.3</v>
      </c>
      <c r="J10" s="310">
        <v>4500</v>
      </c>
      <c r="K10" s="310"/>
      <c r="L10" s="310"/>
      <c r="M10" s="310"/>
      <c r="N10" s="316" t="s">
        <v>181</v>
      </c>
      <c r="O10" s="310">
        <v>0</v>
      </c>
      <c r="P10" s="310">
        <v>0</v>
      </c>
      <c r="Q10" s="310"/>
      <c r="R10" s="310"/>
      <c r="S10" s="310"/>
    </row>
    <row r="11" spans="1:19" x14ac:dyDescent="0.25">
      <c r="A11" s="309" t="s">
        <v>46</v>
      </c>
      <c r="B11" s="309" t="s">
        <v>344</v>
      </c>
      <c r="C11" s="310">
        <v>0.4</v>
      </c>
      <c r="D11" s="310">
        <v>1000</v>
      </c>
      <c r="E11" s="310"/>
      <c r="F11" s="310"/>
      <c r="G11" s="310"/>
      <c r="H11" s="317" t="s">
        <v>123</v>
      </c>
      <c r="I11" s="310">
        <v>0.3</v>
      </c>
      <c r="J11" s="310">
        <v>5000</v>
      </c>
      <c r="K11" s="310"/>
      <c r="L11" s="310"/>
      <c r="M11" s="310"/>
      <c r="N11" s="317" t="s">
        <v>345</v>
      </c>
      <c r="O11" s="310">
        <v>0.3</v>
      </c>
      <c r="P11" s="310">
        <v>2000</v>
      </c>
      <c r="Q11" s="310"/>
      <c r="R11" s="310"/>
      <c r="S11" s="310"/>
    </row>
    <row r="12" spans="1:19" x14ac:dyDescent="0.25">
      <c r="A12" s="309" t="s">
        <v>48</v>
      </c>
      <c r="B12" s="309" t="s">
        <v>129</v>
      </c>
      <c r="C12" s="310">
        <v>1</v>
      </c>
      <c r="D12" s="310">
        <v>500</v>
      </c>
      <c r="E12" s="310">
        <v>0</v>
      </c>
      <c r="F12" s="310"/>
      <c r="G12" s="310">
        <v>3000</v>
      </c>
      <c r="H12" s="316" t="s">
        <v>181</v>
      </c>
      <c r="I12" s="310">
        <v>0</v>
      </c>
      <c r="J12" s="310">
        <v>0</v>
      </c>
      <c r="K12" s="310"/>
      <c r="L12" s="310"/>
      <c r="M12" s="310"/>
      <c r="N12" s="316" t="s">
        <v>181</v>
      </c>
      <c r="O12" s="310">
        <v>0</v>
      </c>
      <c r="P12" s="310">
        <v>0</v>
      </c>
      <c r="Q12" s="310"/>
      <c r="R12" s="310"/>
      <c r="S12" s="310"/>
    </row>
    <row r="13" spans="1:19" x14ac:dyDescent="0.25">
      <c r="A13" s="309" t="s">
        <v>50</v>
      </c>
      <c r="B13" s="309" t="s">
        <v>148</v>
      </c>
      <c r="C13" s="310">
        <v>0.6</v>
      </c>
      <c r="D13" s="310">
        <v>150</v>
      </c>
      <c r="E13" s="310"/>
      <c r="F13" s="310">
        <v>25</v>
      </c>
      <c r="G13" s="310"/>
      <c r="H13" s="317" t="s">
        <v>154</v>
      </c>
      <c r="I13" s="310">
        <v>0.4</v>
      </c>
      <c r="J13" s="310">
        <v>100</v>
      </c>
      <c r="K13" s="310">
        <v>25</v>
      </c>
      <c r="L13" s="310">
        <v>25</v>
      </c>
      <c r="M13" s="310"/>
      <c r="N13" s="316" t="s">
        <v>181</v>
      </c>
      <c r="O13" s="310">
        <v>0</v>
      </c>
      <c r="P13" s="310">
        <v>0</v>
      </c>
      <c r="Q13" s="310"/>
      <c r="R13" s="310"/>
      <c r="S13" s="310"/>
    </row>
    <row r="14" spans="1:19" x14ac:dyDescent="0.25">
      <c r="A14" s="309" t="s">
        <v>52</v>
      </c>
      <c r="B14" s="309" t="s">
        <v>133</v>
      </c>
      <c r="C14" s="310">
        <v>0.5</v>
      </c>
      <c r="D14" s="310">
        <v>1000</v>
      </c>
      <c r="E14" s="310"/>
      <c r="F14" s="310">
        <v>0</v>
      </c>
      <c r="G14" s="310"/>
      <c r="H14" s="317" t="s">
        <v>139</v>
      </c>
      <c r="I14" s="310">
        <v>0.5</v>
      </c>
      <c r="J14" s="310">
        <v>800</v>
      </c>
      <c r="K14" s="310"/>
      <c r="L14" s="310"/>
      <c r="M14" s="310"/>
      <c r="N14" s="316" t="s">
        <v>181</v>
      </c>
      <c r="O14" s="310"/>
      <c r="P14" s="310">
        <v>0</v>
      </c>
      <c r="Q14" s="310"/>
      <c r="R14" s="310"/>
      <c r="S14" s="310"/>
    </row>
    <row r="15" spans="1:19" x14ac:dyDescent="0.25">
      <c r="A15" s="309" t="s">
        <v>54</v>
      </c>
      <c r="B15" s="309" t="s">
        <v>146</v>
      </c>
      <c r="C15" s="310">
        <v>1</v>
      </c>
      <c r="D15" s="310">
        <v>2000</v>
      </c>
      <c r="E15" s="310"/>
      <c r="F15" s="310"/>
      <c r="G15" s="310"/>
      <c r="H15" s="316" t="s">
        <v>181</v>
      </c>
      <c r="I15" s="310">
        <v>0</v>
      </c>
      <c r="J15" s="310">
        <v>0</v>
      </c>
      <c r="K15" s="310"/>
      <c r="L15" s="310"/>
      <c r="M15" s="310"/>
      <c r="N15" s="316" t="s">
        <v>181</v>
      </c>
      <c r="O15" s="310">
        <v>0</v>
      </c>
      <c r="P15" s="310">
        <v>0</v>
      </c>
      <c r="Q15" s="310"/>
      <c r="R15" s="310"/>
      <c r="S15" s="310"/>
    </row>
    <row r="16" spans="1:19" x14ac:dyDescent="0.25">
      <c r="A16" s="309" t="s">
        <v>66</v>
      </c>
      <c r="B16" s="309" t="s">
        <v>148</v>
      </c>
      <c r="C16" s="310">
        <v>0.5</v>
      </c>
      <c r="D16" s="310">
        <v>150</v>
      </c>
      <c r="E16" s="310"/>
      <c r="F16" s="310">
        <v>25</v>
      </c>
      <c r="G16" s="310"/>
      <c r="H16" s="317" t="s">
        <v>154</v>
      </c>
      <c r="I16" s="310">
        <v>0.5</v>
      </c>
      <c r="J16" s="310">
        <v>100</v>
      </c>
      <c r="K16" s="310">
        <v>25</v>
      </c>
      <c r="L16" s="310">
        <v>25</v>
      </c>
      <c r="M16" s="310"/>
      <c r="N16" s="316" t="s">
        <v>181</v>
      </c>
      <c r="O16" s="310">
        <v>0</v>
      </c>
      <c r="P16" s="310">
        <v>0</v>
      </c>
      <c r="Q16" s="310"/>
      <c r="R16" s="310"/>
      <c r="S16" s="310"/>
    </row>
    <row r="17" spans="1:19" x14ac:dyDescent="0.25">
      <c r="A17" s="309" t="s">
        <v>71</v>
      </c>
      <c r="B17" s="309" t="s">
        <v>150</v>
      </c>
      <c r="C17" s="310">
        <v>0.4</v>
      </c>
      <c r="D17" s="310">
        <v>0</v>
      </c>
      <c r="E17" s="310"/>
      <c r="F17" s="310"/>
      <c r="G17" s="310"/>
      <c r="H17" s="317" t="s">
        <v>135</v>
      </c>
      <c r="I17" s="310">
        <v>0.6</v>
      </c>
      <c r="J17" s="310">
        <v>1000</v>
      </c>
      <c r="K17" s="310"/>
      <c r="L17" s="310"/>
      <c r="M17" s="310"/>
      <c r="N17" s="316" t="s">
        <v>181</v>
      </c>
      <c r="O17" s="310">
        <v>0</v>
      </c>
      <c r="P17" s="310">
        <v>0</v>
      </c>
      <c r="Q17" s="310"/>
      <c r="R17" s="310"/>
      <c r="S17" s="310"/>
    </row>
    <row r="18" spans="1:19" x14ac:dyDescent="0.25">
      <c r="A18" s="309" t="s">
        <v>73</v>
      </c>
      <c r="B18" s="309" t="s">
        <v>347</v>
      </c>
      <c r="C18" s="310">
        <v>0.5</v>
      </c>
      <c r="D18" s="310">
        <v>500</v>
      </c>
      <c r="E18" s="310"/>
      <c r="F18" s="310"/>
      <c r="G18" s="310"/>
      <c r="H18" s="317" t="s">
        <v>342</v>
      </c>
      <c r="I18" s="310">
        <v>0.5</v>
      </c>
      <c r="J18" s="310">
        <v>0</v>
      </c>
      <c r="K18" s="310"/>
      <c r="L18" s="310"/>
      <c r="M18" s="310"/>
      <c r="N18" s="316" t="s">
        <v>181</v>
      </c>
      <c r="O18" s="310">
        <v>0</v>
      </c>
      <c r="P18" s="310">
        <v>0</v>
      </c>
      <c r="Q18" s="310"/>
      <c r="R18" s="310"/>
      <c r="S18" s="310"/>
    </row>
    <row r="19" spans="1:19" x14ac:dyDescent="0.25">
      <c r="A19" s="309" t="s">
        <v>76</v>
      </c>
      <c r="B19" s="309" t="s">
        <v>158</v>
      </c>
      <c r="C19" s="310">
        <v>0.5</v>
      </c>
      <c r="D19" s="310">
        <v>2000</v>
      </c>
      <c r="E19" s="310"/>
      <c r="F19" s="310"/>
      <c r="G19" s="310"/>
      <c r="H19" s="317" t="s">
        <v>348</v>
      </c>
      <c r="I19" s="310">
        <v>0.5</v>
      </c>
      <c r="J19" s="310">
        <v>2000</v>
      </c>
      <c r="K19" s="310"/>
      <c r="L19" s="310"/>
      <c r="M19" s="310"/>
      <c r="N19" s="316" t="s">
        <v>181</v>
      </c>
      <c r="O19" s="310">
        <v>0</v>
      </c>
      <c r="P19" s="310">
        <v>0</v>
      </c>
      <c r="Q19" s="310"/>
      <c r="R19" s="310"/>
      <c r="S19" s="310"/>
    </row>
    <row r="20" spans="1:19" x14ac:dyDescent="0.25">
      <c r="A20" s="309" t="s">
        <v>78</v>
      </c>
      <c r="B20" s="309" t="s">
        <v>164</v>
      </c>
      <c r="C20" s="310">
        <v>0.2</v>
      </c>
      <c r="D20" s="310">
        <v>1000</v>
      </c>
      <c r="E20" s="310"/>
      <c r="F20" s="310"/>
      <c r="G20" s="310"/>
      <c r="H20" s="317" t="s">
        <v>146</v>
      </c>
      <c r="I20" s="310">
        <v>0.5</v>
      </c>
      <c r="J20" s="310">
        <v>2000</v>
      </c>
      <c r="K20" s="310"/>
      <c r="L20" s="310"/>
      <c r="M20" s="310"/>
      <c r="N20" s="317" t="s">
        <v>144</v>
      </c>
      <c r="O20" s="310">
        <v>0.3</v>
      </c>
      <c r="P20" s="310">
        <v>5000</v>
      </c>
      <c r="Q20" s="310"/>
      <c r="R20" s="310"/>
      <c r="S20" s="310"/>
    </row>
    <row r="21" spans="1:19" x14ac:dyDescent="0.25">
      <c r="A21" s="309" t="s">
        <v>82</v>
      </c>
      <c r="B21" s="309" t="s">
        <v>152</v>
      </c>
      <c r="C21" s="310">
        <v>0.5</v>
      </c>
      <c r="D21" s="310">
        <v>1000</v>
      </c>
      <c r="E21" s="310"/>
      <c r="F21" s="310"/>
      <c r="G21" s="310"/>
      <c r="H21" s="317" t="s">
        <v>349</v>
      </c>
      <c r="I21" s="310">
        <v>0.3</v>
      </c>
      <c r="J21" s="310">
        <v>0</v>
      </c>
      <c r="K21" s="310"/>
      <c r="L21" s="310"/>
      <c r="M21" s="310"/>
      <c r="N21" s="317" t="s">
        <v>346</v>
      </c>
      <c r="O21" s="310">
        <v>0.2</v>
      </c>
      <c r="P21" s="310">
        <v>0</v>
      </c>
      <c r="Q21" s="310"/>
      <c r="R21" s="310"/>
      <c r="S21" s="310"/>
    </row>
    <row r="22" spans="1:19" x14ac:dyDescent="0.25">
      <c r="A22" s="309" t="s">
        <v>84</v>
      </c>
      <c r="B22" s="309" t="s">
        <v>131</v>
      </c>
      <c r="C22" s="310">
        <v>0.6</v>
      </c>
      <c r="D22" s="310">
        <v>2000</v>
      </c>
      <c r="E22" s="310"/>
      <c r="F22" s="310"/>
      <c r="G22" s="310"/>
      <c r="H22" s="317" t="s">
        <v>347</v>
      </c>
      <c r="I22" s="310">
        <v>0.4</v>
      </c>
      <c r="J22" s="310">
        <v>0</v>
      </c>
      <c r="K22" s="310"/>
      <c r="L22" s="310"/>
      <c r="M22" s="310"/>
      <c r="N22" s="316" t="s">
        <v>181</v>
      </c>
      <c r="O22" s="310">
        <v>0</v>
      </c>
      <c r="P22" s="310">
        <v>0</v>
      </c>
      <c r="Q22" s="310"/>
      <c r="R22" s="310"/>
      <c r="S22" s="310"/>
    </row>
    <row r="23" spans="1:19" x14ac:dyDescent="0.25">
      <c r="A23" s="309" t="s">
        <v>86</v>
      </c>
      <c r="B23" s="309" t="s">
        <v>131</v>
      </c>
      <c r="C23" s="310">
        <v>1</v>
      </c>
      <c r="D23" s="310">
        <v>2000</v>
      </c>
      <c r="E23" s="310"/>
      <c r="F23" s="310"/>
      <c r="G23" s="310"/>
      <c r="H23" s="316" t="s">
        <v>181</v>
      </c>
      <c r="I23" s="310">
        <v>0</v>
      </c>
      <c r="J23" s="310">
        <v>0</v>
      </c>
      <c r="K23" s="310"/>
      <c r="L23" s="310"/>
      <c r="M23" s="310"/>
      <c r="N23" s="316" t="s">
        <v>181</v>
      </c>
      <c r="O23" s="310">
        <v>0</v>
      </c>
      <c r="P23" s="310">
        <v>0</v>
      </c>
      <c r="Q23" s="310"/>
      <c r="R23" s="310"/>
      <c r="S23" s="310"/>
    </row>
    <row r="24" spans="1:19" x14ac:dyDescent="0.25">
      <c r="A24" s="311" t="s">
        <v>88</v>
      </c>
      <c r="B24" s="311" t="s">
        <v>152</v>
      </c>
      <c r="C24" s="312">
        <v>0.5</v>
      </c>
      <c r="D24" s="312">
        <v>1000</v>
      </c>
      <c r="E24" s="312"/>
      <c r="F24" s="312"/>
      <c r="G24" s="312"/>
      <c r="H24" s="318" t="s">
        <v>350</v>
      </c>
      <c r="I24" s="312">
        <v>0.5</v>
      </c>
      <c r="J24" s="312">
        <v>1000</v>
      </c>
      <c r="K24" s="312"/>
      <c r="L24" s="312"/>
      <c r="M24" s="312"/>
      <c r="N24" s="319" t="s">
        <v>181</v>
      </c>
      <c r="O24" s="312">
        <v>1</v>
      </c>
      <c r="P24" s="312">
        <v>0</v>
      </c>
      <c r="Q24" s="312"/>
      <c r="R24" s="312"/>
      <c r="S24" s="3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25" zoomScaleNormal="25" workbookViewId="0">
      <selection activeCell="AS60" sqref="AS60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opLeftCell="A25" workbookViewId="0">
      <selection activeCell="B2" sqref="B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00"/>
  <sheetViews>
    <sheetView topLeftCell="A4" zoomScale="70" zoomScaleNormal="70" workbookViewId="0">
      <selection activeCell="E21" sqref="E21"/>
    </sheetView>
  </sheetViews>
  <sheetFormatPr defaultColWidth="17.33203125" defaultRowHeight="15" customHeight="1" x14ac:dyDescent="0.25"/>
  <cols>
    <col min="1" max="1" width="33.88671875" customWidth="1"/>
    <col min="2" max="2" width="41" customWidth="1"/>
    <col min="3" max="3" width="36" customWidth="1"/>
    <col min="4" max="4" width="33.88671875" customWidth="1"/>
    <col min="5" max="5" width="20.5546875" customWidth="1"/>
    <col min="6" max="6" width="12.109375" customWidth="1"/>
    <col min="7" max="7" width="9.109375" customWidth="1"/>
    <col min="8" max="8" width="16.6640625" customWidth="1"/>
    <col min="9" max="9" width="64" bestFit="1" customWidth="1"/>
    <col min="10" max="10" width="22.44140625" customWidth="1"/>
    <col min="11" max="11" width="6.5546875" customWidth="1"/>
    <col min="12" max="12" width="19.6640625" customWidth="1"/>
    <col min="13" max="26" width="14.44140625" customWidth="1"/>
  </cols>
  <sheetData>
    <row r="1" spans="1:15" ht="15.75" customHeight="1" x14ac:dyDescent="0.25">
      <c r="A1" s="1" t="s">
        <v>0</v>
      </c>
      <c r="B1" s="2">
        <v>100000</v>
      </c>
      <c r="C1" s="2"/>
      <c r="D1" s="2"/>
      <c r="E1" s="2"/>
      <c r="F1" s="1"/>
      <c r="G1" s="1"/>
      <c r="H1" s="1"/>
      <c r="I1" s="1"/>
      <c r="J1" s="1"/>
      <c r="K1" s="3"/>
      <c r="L1" s="3"/>
      <c r="M1" s="3"/>
      <c r="N1" s="3"/>
      <c r="O1" s="3"/>
    </row>
    <row r="2" spans="1:15" ht="15.75" customHeight="1" x14ac:dyDescent="0.25">
      <c r="A2" s="4" t="s">
        <v>1</v>
      </c>
      <c r="B2" s="24" t="s">
        <v>106</v>
      </c>
      <c r="C2" s="5"/>
      <c r="D2" s="5"/>
      <c r="E2" s="5"/>
      <c r="F2" s="4" t="s">
        <v>2</v>
      </c>
      <c r="G2" s="4" t="s">
        <v>3</v>
      </c>
      <c r="H2" s="4" t="s">
        <v>4</v>
      </c>
      <c r="I2" s="24" t="s">
        <v>108</v>
      </c>
      <c r="J2" s="24" t="s">
        <v>109</v>
      </c>
      <c r="K2" s="6" t="s">
        <v>5</v>
      </c>
      <c r="L2" s="27" t="s">
        <v>110</v>
      </c>
      <c r="M2" s="6" t="s">
        <v>6</v>
      </c>
      <c r="N2" s="6" t="s">
        <v>7</v>
      </c>
      <c r="O2" s="6" t="s">
        <v>8</v>
      </c>
    </row>
    <row r="3" spans="1:15" ht="15.75" customHeight="1" x14ac:dyDescent="0.25">
      <c r="A3" s="5"/>
      <c r="B3" s="7" t="s">
        <v>9</v>
      </c>
      <c r="C3" s="7"/>
      <c r="D3" s="7"/>
      <c r="E3" s="7" t="s">
        <v>10</v>
      </c>
      <c r="F3" s="7"/>
      <c r="G3" s="7"/>
      <c r="H3" s="8">
        <f t="shared" ref="H3:H18" si="0">F3*G3</f>
        <v>0</v>
      </c>
      <c r="I3" s="7" t="s">
        <v>11</v>
      </c>
      <c r="J3" s="7"/>
      <c r="K3" s="9"/>
      <c r="L3" s="10">
        <f t="shared" ref="L3:L18" si="1">J3*K3</f>
        <v>0</v>
      </c>
      <c r="M3" s="9"/>
      <c r="N3" s="9"/>
      <c r="O3" s="9"/>
    </row>
    <row r="4" spans="1:15" ht="15.75" customHeight="1" x14ac:dyDescent="0.25">
      <c r="A4" s="5"/>
      <c r="B4" s="7" t="s">
        <v>12</v>
      </c>
      <c r="C4" s="7"/>
      <c r="D4" s="7"/>
      <c r="E4" s="7" t="s">
        <v>13</v>
      </c>
      <c r="F4" s="7"/>
      <c r="G4" s="7"/>
      <c r="H4" s="8">
        <f t="shared" si="0"/>
        <v>0</v>
      </c>
      <c r="I4" s="7" t="s">
        <v>14</v>
      </c>
      <c r="J4" s="7"/>
      <c r="K4" s="9"/>
      <c r="L4" s="10">
        <f t="shared" si="1"/>
        <v>0</v>
      </c>
      <c r="M4" s="9"/>
      <c r="N4" s="9"/>
      <c r="O4" s="9"/>
    </row>
    <row r="5" spans="1:15" ht="15.75" customHeight="1" x14ac:dyDescent="0.25">
      <c r="A5" s="5"/>
      <c r="B5" s="7" t="s">
        <v>15</v>
      </c>
      <c r="C5" s="7"/>
      <c r="D5" s="7"/>
      <c r="E5" s="7" t="s">
        <v>16</v>
      </c>
      <c r="F5" s="7"/>
      <c r="G5" s="7"/>
      <c r="H5" s="8">
        <f t="shared" si="0"/>
        <v>0</v>
      </c>
      <c r="I5" s="7"/>
      <c r="J5" s="7"/>
      <c r="K5" s="9"/>
      <c r="L5" s="10">
        <f t="shared" si="1"/>
        <v>0</v>
      </c>
      <c r="M5" s="9"/>
      <c r="N5" s="9"/>
      <c r="O5" s="9"/>
    </row>
    <row r="6" spans="1:15" ht="15.75" customHeight="1" x14ac:dyDescent="0.25">
      <c r="A6" s="5"/>
      <c r="B6" s="410" t="s">
        <v>17</v>
      </c>
      <c r="C6" s="7" t="s">
        <v>18</v>
      </c>
      <c r="D6" s="7"/>
      <c r="E6" s="410" t="s">
        <v>19</v>
      </c>
      <c r="F6" s="7"/>
      <c r="G6" s="7"/>
      <c r="H6" s="8">
        <f t="shared" si="0"/>
        <v>0</v>
      </c>
      <c r="I6" s="7" t="s">
        <v>20</v>
      </c>
      <c r="J6" s="7"/>
      <c r="K6" s="9"/>
      <c r="L6" s="10">
        <f t="shared" si="1"/>
        <v>0</v>
      </c>
      <c r="M6" s="9"/>
      <c r="N6" s="9"/>
      <c r="O6" s="9"/>
    </row>
    <row r="7" spans="1:15" ht="15.75" customHeight="1" x14ac:dyDescent="0.25">
      <c r="A7" s="5"/>
      <c r="B7" s="411"/>
      <c r="C7" s="7" t="s">
        <v>21</v>
      </c>
      <c r="D7" s="7"/>
      <c r="E7" s="411"/>
      <c r="F7" s="7"/>
      <c r="G7" s="7"/>
      <c r="H7" s="8">
        <f t="shared" si="0"/>
        <v>0</v>
      </c>
      <c r="I7" s="7" t="s">
        <v>22</v>
      </c>
      <c r="J7" s="7"/>
      <c r="K7" s="9"/>
      <c r="L7" s="10">
        <f t="shared" si="1"/>
        <v>0</v>
      </c>
      <c r="M7" s="9"/>
      <c r="N7" s="9"/>
      <c r="O7" s="9"/>
    </row>
    <row r="8" spans="1:15" ht="15.75" customHeight="1" x14ac:dyDescent="0.25">
      <c r="A8" s="5"/>
      <c r="B8" s="411"/>
      <c r="C8" s="7" t="s">
        <v>23</v>
      </c>
      <c r="D8" s="7"/>
      <c r="E8" s="411"/>
      <c r="F8" s="7"/>
      <c r="G8" s="7"/>
      <c r="H8" s="8">
        <f t="shared" si="0"/>
        <v>0</v>
      </c>
      <c r="I8" s="7" t="s">
        <v>22</v>
      </c>
      <c r="J8" s="7"/>
      <c r="K8" s="9"/>
      <c r="L8" s="10">
        <f t="shared" si="1"/>
        <v>0</v>
      </c>
      <c r="M8" s="9"/>
      <c r="N8" s="9"/>
      <c r="O8" s="9"/>
    </row>
    <row r="9" spans="1:15" ht="15.75" customHeight="1" x14ac:dyDescent="0.25">
      <c r="A9" s="5"/>
      <c r="B9" s="412"/>
      <c r="C9" s="7" t="s">
        <v>24</v>
      </c>
      <c r="D9" s="7"/>
      <c r="E9" s="412"/>
      <c r="F9" s="7"/>
      <c r="G9" s="7"/>
      <c r="H9" s="8">
        <f t="shared" si="0"/>
        <v>0</v>
      </c>
      <c r="I9" s="7" t="s">
        <v>22</v>
      </c>
      <c r="J9" s="7"/>
      <c r="K9" s="9"/>
      <c r="L9" s="10">
        <f t="shared" si="1"/>
        <v>0</v>
      </c>
      <c r="M9" s="9"/>
      <c r="N9" s="9"/>
      <c r="O9" s="9"/>
    </row>
    <row r="10" spans="1:15" ht="15.75" customHeight="1" x14ac:dyDescent="0.25">
      <c r="A10" s="5"/>
      <c r="B10" s="7" t="s">
        <v>25</v>
      </c>
      <c r="C10" s="7"/>
      <c r="D10" s="7"/>
      <c r="E10" s="7" t="s">
        <v>26</v>
      </c>
      <c r="F10" s="7"/>
      <c r="G10" s="7"/>
      <c r="H10" s="8">
        <f t="shared" si="0"/>
        <v>0</v>
      </c>
      <c r="I10" s="7" t="s">
        <v>27</v>
      </c>
      <c r="J10" s="7"/>
      <c r="K10" s="9"/>
      <c r="L10" s="10">
        <f t="shared" si="1"/>
        <v>0</v>
      </c>
      <c r="M10" s="9"/>
      <c r="N10" s="9"/>
      <c r="O10" s="9"/>
    </row>
    <row r="11" spans="1:15" ht="15.75" customHeight="1" x14ac:dyDescent="0.25">
      <c r="A11" s="5"/>
      <c r="B11" s="7" t="s">
        <v>28</v>
      </c>
      <c r="C11" s="7" t="s">
        <v>29</v>
      </c>
      <c r="D11" s="7"/>
      <c r="E11" s="7" t="s">
        <v>30</v>
      </c>
      <c r="F11" s="7"/>
      <c r="G11" s="7"/>
      <c r="H11" s="8">
        <f t="shared" si="0"/>
        <v>0</v>
      </c>
      <c r="I11" s="25" t="s">
        <v>31</v>
      </c>
      <c r="J11" s="7"/>
      <c r="K11" s="9"/>
      <c r="L11" s="10">
        <f t="shared" si="1"/>
        <v>0</v>
      </c>
      <c r="M11" s="9"/>
      <c r="N11" s="9"/>
      <c r="O11" s="9"/>
    </row>
    <row r="12" spans="1:15" ht="15.75" customHeight="1" x14ac:dyDescent="0.25">
      <c r="A12" s="5"/>
      <c r="B12" s="7"/>
      <c r="C12" s="7" t="s">
        <v>32</v>
      </c>
      <c r="D12" s="7"/>
      <c r="E12" s="5"/>
      <c r="F12" s="7"/>
      <c r="G12" s="7"/>
      <c r="H12" s="8">
        <f t="shared" si="0"/>
        <v>0</v>
      </c>
      <c r="I12" s="7" t="s">
        <v>31</v>
      </c>
      <c r="J12" s="7"/>
      <c r="K12" s="9"/>
      <c r="L12" s="10">
        <f t="shared" si="1"/>
        <v>0</v>
      </c>
      <c r="M12" s="9"/>
      <c r="N12" s="9"/>
      <c r="O12" s="9"/>
    </row>
    <row r="13" spans="1:15" ht="15.75" customHeight="1" x14ac:dyDescent="0.25">
      <c r="A13" s="5"/>
      <c r="B13" s="7"/>
      <c r="C13" s="7" t="s">
        <v>33</v>
      </c>
      <c r="D13" s="7"/>
      <c r="E13" s="5"/>
      <c r="F13" s="7"/>
      <c r="G13" s="7"/>
      <c r="H13" s="8">
        <f t="shared" si="0"/>
        <v>0</v>
      </c>
      <c r="I13" s="7" t="s">
        <v>31</v>
      </c>
      <c r="J13" s="7"/>
      <c r="K13" s="9"/>
      <c r="L13" s="10">
        <f t="shared" si="1"/>
        <v>0</v>
      </c>
      <c r="M13" s="9"/>
      <c r="N13" s="9"/>
      <c r="O13" s="9"/>
    </row>
    <row r="14" spans="1:15" ht="15.75" customHeight="1" x14ac:dyDescent="0.25">
      <c r="A14" s="5"/>
      <c r="B14" s="7" t="s">
        <v>34</v>
      </c>
      <c r="D14" s="7"/>
      <c r="E14" s="12" t="s">
        <v>35</v>
      </c>
      <c r="F14" s="7"/>
      <c r="G14" s="7"/>
      <c r="H14" s="8">
        <f t="shared" si="0"/>
        <v>0</v>
      </c>
      <c r="I14" s="7" t="s">
        <v>36</v>
      </c>
      <c r="J14" s="7"/>
      <c r="K14" s="9"/>
      <c r="L14" s="10">
        <f t="shared" si="1"/>
        <v>0</v>
      </c>
      <c r="M14" s="9"/>
      <c r="N14" s="9"/>
      <c r="O14" s="9"/>
    </row>
    <row r="15" spans="1:15" ht="15.75" customHeight="1" x14ac:dyDescent="0.25">
      <c r="A15" s="5"/>
      <c r="B15" s="7" t="s">
        <v>37</v>
      </c>
      <c r="C15" s="11" t="s">
        <v>104</v>
      </c>
      <c r="D15" s="7"/>
      <c r="E15" s="23" t="s">
        <v>43</v>
      </c>
      <c r="F15" s="7"/>
      <c r="G15" s="7"/>
      <c r="H15" s="8">
        <f t="shared" si="0"/>
        <v>0</v>
      </c>
      <c r="I15" s="7" t="s">
        <v>36</v>
      </c>
      <c r="J15" s="7"/>
      <c r="K15" s="9"/>
      <c r="L15" s="10">
        <f t="shared" si="1"/>
        <v>0</v>
      </c>
      <c r="M15" s="9"/>
      <c r="N15" s="9"/>
      <c r="O15" s="9"/>
    </row>
    <row r="16" spans="1:15" ht="15.75" customHeight="1" x14ac:dyDescent="0.25">
      <c r="A16" s="5"/>
      <c r="B16" s="7" t="s">
        <v>38</v>
      </c>
      <c r="C16" s="21"/>
      <c r="D16" s="7"/>
      <c r="E16" s="19"/>
      <c r="F16" s="7"/>
      <c r="G16" s="7"/>
      <c r="H16" s="8">
        <f t="shared" si="0"/>
        <v>0</v>
      </c>
      <c r="I16" s="25" t="s">
        <v>36</v>
      </c>
      <c r="J16" s="7"/>
      <c r="K16" s="9"/>
      <c r="L16" s="10">
        <f t="shared" si="1"/>
        <v>0</v>
      </c>
      <c r="M16" s="9"/>
      <c r="N16" s="9"/>
      <c r="O16" s="9"/>
    </row>
    <row r="17" spans="1:15" ht="15.75" customHeight="1" x14ac:dyDescent="0.25">
      <c r="A17" s="5"/>
      <c r="B17" s="7" t="s">
        <v>39</v>
      </c>
      <c r="C17" s="21"/>
      <c r="D17" s="7"/>
      <c r="E17" s="19"/>
      <c r="F17" s="7"/>
      <c r="G17" s="7"/>
      <c r="H17" s="8">
        <f t="shared" si="0"/>
        <v>0</v>
      </c>
      <c r="I17" s="7" t="s">
        <v>36</v>
      </c>
      <c r="J17" s="7"/>
      <c r="K17" s="9"/>
      <c r="L17" s="10">
        <f t="shared" si="1"/>
        <v>0</v>
      </c>
      <c r="M17" s="9"/>
      <c r="N17" s="9"/>
      <c r="O17" s="9"/>
    </row>
    <row r="18" spans="1:15" ht="15.75" customHeight="1" x14ac:dyDescent="0.25">
      <c r="A18" s="5"/>
      <c r="B18" s="7" t="s">
        <v>40</v>
      </c>
      <c r="C18" s="22"/>
      <c r="D18" s="7"/>
      <c r="E18" s="20"/>
      <c r="F18" s="7"/>
      <c r="G18" s="7"/>
      <c r="H18" s="8">
        <f t="shared" si="0"/>
        <v>0</v>
      </c>
      <c r="I18" s="7" t="s">
        <v>36</v>
      </c>
      <c r="J18" s="7"/>
      <c r="K18" s="9"/>
      <c r="L18" s="10">
        <f t="shared" si="1"/>
        <v>0</v>
      </c>
      <c r="M18" s="9"/>
      <c r="N18" s="9"/>
      <c r="O18" s="9"/>
    </row>
    <row r="19" spans="1:15" ht="15.75" customHeight="1" x14ac:dyDescent="0.25">
      <c r="A19" s="5"/>
      <c r="B19" s="5" t="s">
        <v>41</v>
      </c>
      <c r="C19" s="7"/>
      <c r="D19" s="7" t="s">
        <v>42</v>
      </c>
      <c r="E19" s="7" t="s">
        <v>46</v>
      </c>
      <c r="F19" s="7"/>
      <c r="G19" s="7"/>
      <c r="H19" s="7"/>
      <c r="I19" s="25" t="s">
        <v>116</v>
      </c>
      <c r="J19" s="7"/>
      <c r="K19" s="9"/>
      <c r="L19" s="9"/>
      <c r="M19" s="9"/>
      <c r="N19" s="9"/>
      <c r="O19" s="9"/>
    </row>
    <row r="20" spans="1:15" ht="15.75" customHeight="1" x14ac:dyDescent="0.25">
      <c r="A20" s="4" t="s">
        <v>44</v>
      </c>
      <c r="B20" s="7" t="s">
        <v>45</v>
      </c>
      <c r="C20" s="7"/>
      <c r="D20" s="7"/>
      <c r="E20" s="5" t="s">
        <v>48</v>
      </c>
      <c r="F20" s="7"/>
      <c r="G20" s="7"/>
      <c r="H20" s="8">
        <f t="shared" ref="H20:H53" si="2">F20*G20</f>
        <v>0</v>
      </c>
      <c r="I20" s="25" t="s">
        <v>111</v>
      </c>
      <c r="J20" s="7"/>
      <c r="K20" s="9"/>
      <c r="L20" s="10">
        <f t="shared" ref="L20:L53" si="3">J20*K20</f>
        <v>0</v>
      </c>
      <c r="M20" s="9"/>
      <c r="N20" s="9"/>
      <c r="O20" s="9"/>
    </row>
    <row r="21" spans="1:15" ht="15.75" customHeight="1" x14ac:dyDescent="0.25">
      <c r="A21" s="5"/>
      <c r="B21" s="7" t="s">
        <v>47</v>
      </c>
      <c r="C21" s="7"/>
      <c r="D21" s="7"/>
      <c r="E21" s="5" t="s">
        <v>50</v>
      </c>
      <c r="F21" s="7"/>
      <c r="G21" s="7"/>
      <c r="H21" s="8">
        <f t="shared" si="2"/>
        <v>0</v>
      </c>
      <c r="I21" s="25" t="s">
        <v>111</v>
      </c>
      <c r="J21" s="7"/>
      <c r="K21" s="9"/>
      <c r="L21" s="10">
        <f t="shared" si="3"/>
        <v>0</v>
      </c>
      <c r="M21" s="9"/>
      <c r="N21" s="9"/>
      <c r="O21" s="9"/>
    </row>
    <row r="22" spans="1:15" ht="15.75" customHeight="1" x14ac:dyDescent="0.25">
      <c r="A22" s="5"/>
      <c r="B22" s="7" t="s">
        <v>49</v>
      </c>
      <c r="C22" s="7"/>
      <c r="D22" s="7"/>
      <c r="E22" s="5" t="s">
        <v>52</v>
      </c>
      <c r="F22" s="7"/>
      <c r="G22" s="7"/>
      <c r="H22" s="8">
        <f t="shared" si="2"/>
        <v>0</v>
      </c>
      <c r="I22" s="25" t="s">
        <v>112</v>
      </c>
      <c r="J22" s="7"/>
      <c r="K22" s="9"/>
      <c r="L22" s="10">
        <f t="shared" si="3"/>
        <v>0</v>
      </c>
      <c r="M22" s="9"/>
      <c r="N22" s="9"/>
      <c r="O22" s="9"/>
    </row>
    <row r="23" spans="1:15" ht="15.75" customHeight="1" x14ac:dyDescent="0.25">
      <c r="A23" s="5"/>
      <c r="B23" s="7" t="s">
        <v>51</v>
      </c>
      <c r="C23" s="7"/>
      <c r="D23" s="7"/>
      <c r="E23" s="5" t="s">
        <v>54</v>
      </c>
      <c r="F23" s="7"/>
      <c r="G23" s="7"/>
      <c r="H23" s="8">
        <f t="shared" si="2"/>
        <v>0</v>
      </c>
      <c r="I23" s="7" t="s">
        <v>53</v>
      </c>
      <c r="J23" s="7"/>
      <c r="K23" s="9"/>
      <c r="L23" s="10">
        <f t="shared" si="3"/>
        <v>0</v>
      </c>
      <c r="M23" s="9"/>
      <c r="N23" s="9"/>
      <c r="O23" s="9"/>
    </row>
    <row r="24" spans="1:15" ht="15.75" customHeight="1" x14ac:dyDescent="0.25">
      <c r="A24" s="5"/>
      <c r="B24" s="7" t="s">
        <v>29</v>
      </c>
      <c r="C24" s="7" t="s">
        <v>29</v>
      </c>
      <c r="D24" s="7"/>
      <c r="E24" s="5" t="s">
        <v>66</v>
      </c>
      <c r="F24" s="7"/>
      <c r="G24" s="7"/>
      <c r="H24" s="8">
        <f t="shared" si="2"/>
        <v>0</v>
      </c>
      <c r="I24" s="7" t="s">
        <v>55</v>
      </c>
      <c r="J24" s="7"/>
      <c r="K24" s="9"/>
      <c r="L24" s="10">
        <f t="shared" si="3"/>
        <v>0</v>
      </c>
      <c r="M24" s="9"/>
      <c r="N24" s="9"/>
      <c r="O24" s="9"/>
    </row>
    <row r="25" spans="1:15" ht="12.75" customHeight="1" x14ac:dyDescent="0.25">
      <c r="A25" s="5"/>
      <c r="B25" s="7"/>
      <c r="C25" s="7" t="s">
        <v>56</v>
      </c>
      <c r="D25" s="7"/>
      <c r="E25" s="5"/>
      <c r="F25" s="7"/>
      <c r="G25" s="7"/>
      <c r="H25" s="8">
        <f t="shared" si="2"/>
        <v>0</v>
      </c>
      <c r="I25" s="7" t="s">
        <v>57</v>
      </c>
      <c r="J25" s="7"/>
      <c r="K25" s="9"/>
      <c r="L25" s="10">
        <f t="shared" si="3"/>
        <v>0</v>
      </c>
      <c r="M25" s="9"/>
      <c r="N25" s="9"/>
      <c r="O25" s="9"/>
    </row>
    <row r="26" spans="1:15" ht="12.75" customHeight="1" x14ac:dyDescent="0.25">
      <c r="A26" s="4" t="s">
        <v>58</v>
      </c>
      <c r="B26" s="7" t="s">
        <v>59</v>
      </c>
      <c r="C26" s="7"/>
      <c r="D26" s="7"/>
      <c r="E26" s="7" t="s">
        <v>54</v>
      </c>
      <c r="F26" s="7"/>
      <c r="G26" s="7"/>
      <c r="H26" s="8">
        <f t="shared" si="2"/>
        <v>0</v>
      </c>
      <c r="I26" s="25" t="s">
        <v>113</v>
      </c>
      <c r="J26" s="7"/>
      <c r="K26" s="9"/>
      <c r="L26" s="10">
        <f t="shared" si="3"/>
        <v>0</v>
      </c>
      <c r="M26" s="9"/>
      <c r="N26" s="9"/>
      <c r="O26" s="9"/>
    </row>
    <row r="27" spans="1:15" ht="12.75" customHeight="1" x14ac:dyDescent="0.25">
      <c r="A27" s="5"/>
      <c r="B27" s="7"/>
      <c r="C27" s="7" t="s">
        <v>60</v>
      </c>
      <c r="D27" s="7"/>
      <c r="E27" s="7"/>
      <c r="F27" s="7"/>
      <c r="G27" s="7"/>
      <c r="H27" s="8">
        <f t="shared" si="2"/>
        <v>0</v>
      </c>
      <c r="I27" s="7"/>
      <c r="J27" s="7"/>
      <c r="K27" s="9"/>
      <c r="L27" s="10">
        <f t="shared" si="3"/>
        <v>0</v>
      </c>
      <c r="M27" s="9"/>
      <c r="N27" s="9"/>
      <c r="O27" s="9"/>
    </row>
    <row r="28" spans="1:15" ht="12.75" customHeight="1" x14ac:dyDescent="0.25">
      <c r="A28" s="5"/>
      <c r="B28" s="7"/>
      <c r="C28" s="7" t="s">
        <v>61</v>
      </c>
      <c r="D28" s="7"/>
      <c r="E28" s="7"/>
      <c r="F28" s="7"/>
      <c r="G28" s="7"/>
      <c r="H28" s="8">
        <f t="shared" si="2"/>
        <v>0</v>
      </c>
      <c r="I28" s="7"/>
      <c r="J28" s="7"/>
      <c r="K28" s="9"/>
      <c r="L28" s="10">
        <f t="shared" si="3"/>
        <v>0</v>
      </c>
      <c r="M28" s="9"/>
      <c r="N28" s="9"/>
      <c r="O28" s="9"/>
    </row>
    <row r="29" spans="1:15" ht="12.75" customHeight="1" x14ac:dyDescent="0.25">
      <c r="A29" s="5"/>
      <c r="B29" s="7"/>
      <c r="C29" s="7" t="s">
        <v>62</v>
      </c>
      <c r="D29" s="7"/>
      <c r="E29" s="7"/>
      <c r="F29" s="7"/>
      <c r="G29" s="7"/>
      <c r="H29" s="8">
        <f t="shared" si="2"/>
        <v>0</v>
      </c>
      <c r="I29" s="7"/>
      <c r="J29" s="7"/>
      <c r="K29" s="9"/>
      <c r="L29" s="10">
        <f t="shared" si="3"/>
        <v>0</v>
      </c>
      <c r="M29" s="9"/>
      <c r="N29" s="9"/>
      <c r="O29" s="9"/>
    </row>
    <row r="30" spans="1:15" ht="12.75" customHeight="1" x14ac:dyDescent="0.25">
      <c r="A30" s="5"/>
      <c r="B30" s="7"/>
      <c r="C30" s="7" t="s">
        <v>63</v>
      </c>
      <c r="D30" s="7"/>
      <c r="E30" s="7"/>
      <c r="F30" s="7"/>
      <c r="G30" s="7"/>
      <c r="H30" s="8">
        <f t="shared" si="2"/>
        <v>0</v>
      </c>
      <c r="I30" s="7"/>
      <c r="J30" s="7"/>
      <c r="K30" s="9"/>
      <c r="L30" s="10">
        <f t="shared" si="3"/>
        <v>0</v>
      </c>
      <c r="M30" s="9"/>
      <c r="N30" s="9"/>
      <c r="O30" s="9"/>
    </row>
    <row r="31" spans="1:15" ht="12.75" customHeight="1" x14ac:dyDescent="0.25">
      <c r="A31" s="5"/>
      <c r="B31" s="7"/>
      <c r="C31" s="7" t="s">
        <v>64</v>
      </c>
      <c r="D31" s="7"/>
      <c r="E31" s="7"/>
      <c r="F31" s="7"/>
      <c r="G31" s="7"/>
      <c r="H31" s="8">
        <f t="shared" si="2"/>
        <v>0</v>
      </c>
      <c r="I31" s="7"/>
      <c r="J31" s="7"/>
      <c r="K31" s="9"/>
      <c r="L31" s="10">
        <f t="shared" si="3"/>
        <v>0</v>
      </c>
      <c r="M31" s="9"/>
      <c r="N31" s="9"/>
      <c r="O31" s="9"/>
    </row>
    <row r="32" spans="1:15" ht="12.75" customHeight="1" x14ac:dyDescent="0.25">
      <c r="A32" s="5"/>
      <c r="B32" s="7" t="s">
        <v>65</v>
      </c>
      <c r="C32" s="7" t="s">
        <v>65</v>
      </c>
      <c r="D32" s="7"/>
      <c r="E32" s="7" t="s">
        <v>71</v>
      </c>
      <c r="F32" s="7"/>
      <c r="G32" s="7"/>
      <c r="H32" s="8">
        <f t="shared" si="2"/>
        <v>0</v>
      </c>
      <c r="I32" s="7" t="s">
        <v>67</v>
      </c>
      <c r="J32" s="7"/>
      <c r="K32" s="9"/>
      <c r="L32" s="10">
        <f t="shared" si="3"/>
        <v>0</v>
      </c>
      <c r="M32" s="9"/>
      <c r="N32" s="9"/>
      <c r="O32" s="9"/>
    </row>
    <row r="33" spans="1:15" ht="12.75" customHeight="1" x14ac:dyDescent="0.25">
      <c r="A33" s="5"/>
      <c r="B33" s="7"/>
      <c r="C33" s="7" t="s">
        <v>68</v>
      </c>
      <c r="D33" s="7"/>
      <c r="E33" s="7"/>
      <c r="F33" s="7"/>
      <c r="G33" s="7"/>
      <c r="H33" s="8">
        <f t="shared" si="2"/>
        <v>0</v>
      </c>
      <c r="I33" s="7"/>
      <c r="J33" s="7"/>
      <c r="K33" s="9"/>
      <c r="L33" s="10">
        <f t="shared" si="3"/>
        <v>0</v>
      </c>
      <c r="M33" s="9"/>
      <c r="N33" s="9"/>
      <c r="O33" s="9"/>
    </row>
    <row r="34" spans="1:15" ht="12.75" customHeight="1" x14ac:dyDescent="0.25">
      <c r="A34" s="5"/>
      <c r="B34" s="7"/>
      <c r="C34" s="7" t="s">
        <v>69</v>
      </c>
      <c r="D34" s="7"/>
      <c r="E34" s="7"/>
      <c r="F34" s="7"/>
      <c r="G34" s="7"/>
      <c r="H34" s="8">
        <f t="shared" si="2"/>
        <v>0</v>
      </c>
      <c r="I34" s="7"/>
      <c r="J34" s="7"/>
      <c r="K34" s="9"/>
      <c r="L34" s="10">
        <f t="shared" si="3"/>
        <v>0</v>
      </c>
      <c r="M34" s="9"/>
      <c r="N34" s="9"/>
      <c r="O34" s="9"/>
    </row>
    <row r="35" spans="1:15" ht="12.75" customHeight="1" x14ac:dyDescent="0.25">
      <c r="A35" s="5"/>
      <c r="B35" s="7" t="s">
        <v>70</v>
      </c>
      <c r="C35" s="7"/>
      <c r="D35" s="7"/>
      <c r="E35" s="7" t="s">
        <v>73</v>
      </c>
      <c r="F35" s="7"/>
      <c r="G35" s="7"/>
      <c r="H35" s="8">
        <f t="shared" si="2"/>
        <v>0</v>
      </c>
      <c r="I35" s="16" t="s">
        <v>74</v>
      </c>
      <c r="J35" s="7"/>
      <c r="K35" s="9"/>
      <c r="L35" s="10">
        <f t="shared" si="3"/>
        <v>0</v>
      </c>
      <c r="M35" s="9"/>
      <c r="N35" s="9"/>
      <c r="O35" s="9"/>
    </row>
    <row r="36" spans="1:15" ht="12.75" customHeight="1" x14ac:dyDescent="0.25">
      <c r="A36" s="5"/>
      <c r="C36" s="7" t="s">
        <v>72</v>
      </c>
      <c r="D36" s="7"/>
      <c r="F36" s="7"/>
      <c r="G36" s="7"/>
      <c r="H36" s="8">
        <f t="shared" si="2"/>
        <v>0</v>
      </c>
      <c r="I36" s="7"/>
      <c r="J36" s="7"/>
      <c r="K36" s="9"/>
      <c r="L36" s="10">
        <f t="shared" si="3"/>
        <v>0</v>
      </c>
      <c r="M36" s="9"/>
      <c r="N36" s="9"/>
      <c r="O36" s="9"/>
    </row>
    <row r="37" spans="1:15" ht="12.75" customHeight="1" x14ac:dyDescent="0.25">
      <c r="A37" s="5"/>
      <c r="C37" s="7" t="s">
        <v>75</v>
      </c>
      <c r="D37" s="7"/>
      <c r="E37" s="7"/>
      <c r="F37" s="7"/>
      <c r="G37" s="7"/>
      <c r="H37" s="8">
        <f t="shared" si="2"/>
        <v>0</v>
      </c>
      <c r="I37" s="7"/>
      <c r="J37" s="7"/>
      <c r="K37" s="9"/>
      <c r="L37" s="10">
        <f t="shared" si="3"/>
        <v>0</v>
      </c>
      <c r="M37" s="9"/>
      <c r="N37" s="9"/>
      <c r="O37" s="9"/>
    </row>
    <row r="38" spans="1:15" ht="12.75" customHeight="1" x14ac:dyDescent="0.25">
      <c r="A38" s="5"/>
      <c r="B38" s="7" t="s">
        <v>105</v>
      </c>
      <c r="C38" s="7" t="s">
        <v>77</v>
      </c>
      <c r="D38" s="7"/>
      <c r="E38" s="7" t="s">
        <v>76</v>
      </c>
      <c r="F38" s="7"/>
      <c r="G38" s="7"/>
      <c r="H38" s="8">
        <f t="shared" si="2"/>
        <v>0</v>
      </c>
      <c r="I38" s="7" t="s">
        <v>115</v>
      </c>
      <c r="J38" s="7"/>
      <c r="K38" s="9"/>
      <c r="L38" s="10">
        <f t="shared" si="3"/>
        <v>0</v>
      </c>
      <c r="M38" s="9"/>
      <c r="N38" s="9"/>
      <c r="O38" s="9"/>
    </row>
    <row r="39" spans="1:15" ht="12.75" customHeight="1" x14ac:dyDescent="0.25">
      <c r="A39" s="5"/>
      <c r="B39" s="7"/>
      <c r="C39" s="7" t="s">
        <v>79</v>
      </c>
      <c r="D39" s="7"/>
      <c r="E39" s="7"/>
      <c r="F39" s="7"/>
      <c r="G39" s="7"/>
      <c r="H39" s="8">
        <f t="shared" si="2"/>
        <v>0</v>
      </c>
      <c r="I39" s="7"/>
      <c r="J39" s="7"/>
      <c r="K39" s="9"/>
      <c r="L39" s="10">
        <f t="shared" si="3"/>
        <v>0</v>
      </c>
      <c r="M39" s="9"/>
      <c r="N39" s="9"/>
      <c r="O39" s="9"/>
    </row>
    <row r="40" spans="1:15" ht="12.75" customHeight="1" x14ac:dyDescent="0.25">
      <c r="A40" s="9"/>
      <c r="B40" s="5" t="s">
        <v>80</v>
      </c>
      <c r="C40" s="7" t="s">
        <v>81</v>
      </c>
      <c r="D40" s="7"/>
      <c r="E40" s="7" t="s">
        <v>78</v>
      </c>
      <c r="F40" s="7"/>
      <c r="G40" s="7"/>
      <c r="H40" s="8">
        <f t="shared" si="2"/>
        <v>0</v>
      </c>
      <c r="I40" s="7"/>
      <c r="J40" s="7"/>
      <c r="K40" s="9"/>
      <c r="L40" s="10">
        <f t="shared" si="3"/>
        <v>0</v>
      </c>
      <c r="M40" s="9"/>
      <c r="N40" s="9"/>
      <c r="O40" s="9"/>
    </row>
    <row r="41" spans="1:15" ht="12.75" customHeight="1" x14ac:dyDescent="0.25">
      <c r="A41" s="9"/>
      <c r="B41" s="5"/>
      <c r="C41" s="7" t="s">
        <v>83</v>
      </c>
      <c r="D41" s="7"/>
      <c r="E41" s="7" t="s">
        <v>82</v>
      </c>
      <c r="F41" s="7"/>
      <c r="G41" s="7"/>
      <c r="H41" s="8">
        <f t="shared" si="2"/>
        <v>0</v>
      </c>
      <c r="I41" s="7"/>
      <c r="J41" s="7"/>
      <c r="K41" s="9"/>
      <c r="L41" s="10">
        <f t="shared" si="3"/>
        <v>0</v>
      </c>
      <c r="M41" s="9"/>
      <c r="N41" s="9"/>
      <c r="O41" s="9"/>
    </row>
    <row r="42" spans="1:15" ht="12.75" customHeight="1" x14ac:dyDescent="0.25">
      <c r="A42" s="9"/>
      <c r="B42" s="5"/>
      <c r="C42" s="7" t="s">
        <v>85</v>
      </c>
      <c r="D42" s="7"/>
      <c r="E42" s="7" t="s">
        <v>84</v>
      </c>
      <c r="F42" s="7"/>
      <c r="G42" s="7"/>
      <c r="H42" s="8">
        <f t="shared" si="2"/>
        <v>0</v>
      </c>
      <c r="I42" s="7"/>
      <c r="J42" s="7"/>
      <c r="K42" s="9"/>
      <c r="L42" s="10">
        <f t="shared" si="3"/>
        <v>0</v>
      </c>
      <c r="M42" s="9"/>
      <c r="N42" s="9"/>
      <c r="O42" s="9"/>
    </row>
    <row r="43" spans="1:15" ht="12.75" customHeight="1" x14ac:dyDescent="0.25">
      <c r="A43" s="9"/>
      <c r="B43" s="5"/>
      <c r="C43" s="7" t="s">
        <v>87</v>
      </c>
      <c r="D43" s="13"/>
      <c r="E43" s="7" t="s">
        <v>86</v>
      </c>
      <c r="F43" s="7"/>
      <c r="G43" s="7"/>
      <c r="H43" s="8">
        <f t="shared" si="2"/>
        <v>0</v>
      </c>
      <c r="I43" s="7"/>
      <c r="J43" s="7"/>
      <c r="K43" s="9"/>
      <c r="L43" s="10">
        <f t="shared" si="3"/>
        <v>0</v>
      </c>
      <c r="M43" s="9"/>
      <c r="N43" s="9"/>
      <c r="O43" s="9"/>
    </row>
    <row r="44" spans="1:15" ht="12.75" customHeight="1" x14ac:dyDescent="0.25">
      <c r="A44" s="9"/>
      <c r="B44" s="5"/>
      <c r="C44" s="7"/>
      <c r="D44" s="7" t="s">
        <v>89</v>
      </c>
      <c r="E44" s="7"/>
      <c r="F44" s="7"/>
      <c r="G44" s="7"/>
      <c r="H44" s="8">
        <f t="shared" si="2"/>
        <v>0</v>
      </c>
      <c r="I44" s="7"/>
      <c r="J44" s="7"/>
      <c r="K44" s="9"/>
      <c r="L44" s="10">
        <f t="shared" si="3"/>
        <v>0</v>
      </c>
      <c r="M44" s="9"/>
      <c r="N44" s="9"/>
      <c r="O44" s="9"/>
    </row>
    <row r="45" spans="1:15" ht="12.75" customHeight="1" x14ac:dyDescent="0.25">
      <c r="A45" s="9"/>
      <c r="B45" s="5"/>
      <c r="C45" s="7"/>
      <c r="D45" s="7" t="s">
        <v>90</v>
      </c>
      <c r="E45" s="7"/>
      <c r="F45" s="7"/>
      <c r="G45" s="7"/>
      <c r="H45" s="8">
        <f t="shared" si="2"/>
        <v>0</v>
      </c>
      <c r="I45" s="7"/>
      <c r="J45" s="7"/>
      <c r="K45" s="9"/>
      <c r="L45" s="10">
        <f t="shared" si="3"/>
        <v>0</v>
      </c>
      <c r="M45" s="9"/>
      <c r="N45" s="9"/>
      <c r="O45" s="9"/>
    </row>
    <row r="46" spans="1:15" ht="12.75" customHeight="1" x14ac:dyDescent="0.25">
      <c r="A46" s="9"/>
      <c r="B46" s="5"/>
      <c r="C46" s="7"/>
      <c r="D46" s="7" t="s">
        <v>91</v>
      </c>
      <c r="E46" s="7"/>
      <c r="F46" s="7"/>
      <c r="G46" s="7"/>
      <c r="H46" s="8">
        <f t="shared" si="2"/>
        <v>0</v>
      </c>
      <c r="I46" s="7"/>
      <c r="J46" s="7"/>
      <c r="K46" s="9"/>
      <c r="L46" s="10">
        <f t="shared" si="3"/>
        <v>0</v>
      </c>
      <c r="M46" s="9"/>
      <c r="N46" s="9"/>
      <c r="O46" s="9"/>
    </row>
    <row r="47" spans="1:15" ht="12.75" customHeight="1" x14ac:dyDescent="0.25">
      <c r="A47" s="9"/>
      <c r="B47" s="5"/>
      <c r="C47" s="7"/>
      <c r="D47" s="7" t="s">
        <v>92</v>
      </c>
      <c r="E47" s="7"/>
      <c r="F47" s="7"/>
      <c r="G47" s="7"/>
      <c r="H47" s="8">
        <f t="shared" si="2"/>
        <v>0</v>
      </c>
      <c r="I47" s="7"/>
      <c r="J47" s="7"/>
      <c r="K47" s="9"/>
      <c r="L47" s="10">
        <f t="shared" si="3"/>
        <v>0</v>
      </c>
      <c r="M47" s="9"/>
      <c r="N47" s="9"/>
      <c r="O47" s="9"/>
    </row>
    <row r="48" spans="1:15" ht="12.75" customHeight="1" x14ac:dyDescent="0.25">
      <c r="A48" s="9"/>
      <c r="B48" s="5"/>
      <c r="C48" s="7"/>
      <c r="D48" s="7" t="s">
        <v>93</v>
      </c>
      <c r="E48" s="7"/>
      <c r="F48" s="7"/>
      <c r="G48" s="7"/>
      <c r="H48" s="8">
        <f t="shared" si="2"/>
        <v>0</v>
      </c>
      <c r="I48" s="7"/>
      <c r="J48" s="7"/>
      <c r="K48" s="9"/>
      <c r="L48" s="10">
        <f t="shared" si="3"/>
        <v>0</v>
      </c>
      <c r="M48" s="9"/>
      <c r="N48" s="9"/>
      <c r="O48" s="9"/>
    </row>
    <row r="49" spans="1:15" ht="12.75" customHeight="1" x14ac:dyDescent="0.25">
      <c r="A49" s="9"/>
      <c r="B49" s="5" t="s">
        <v>94</v>
      </c>
      <c r="C49" s="7" t="s">
        <v>95</v>
      </c>
      <c r="D49" s="7"/>
      <c r="E49" s="7" t="s">
        <v>88</v>
      </c>
      <c r="F49" s="7"/>
      <c r="G49" s="7"/>
      <c r="H49" s="8">
        <f t="shared" si="2"/>
        <v>0</v>
      </c>
      <c r="I49" s="7"/>
      <c r="J49" s="7"/>
      <c r="K49" s="9"/>
      <c r="L49" s="10">
        <f t="shared" si="3"/>
        <v>0</v>
      </c>
      <c r="M49" s="9"/>
      <c r="N49" s="9"/>
      <c r="O49" s="9"/>
    </row>
    <row r="50" spans="1:15" ht="12.75" customHeight="1" x14ac:dyDescent="0.25">
      <c r="A50" s="9"/>
      <c r="B50" s="5"/>
      <c r="C50" s="7" t="s">
        <v>97</v>
      </c>
      <c r="D50" s="7"/>
      <c r="E50" s="7"/>
      <c r="F50" s="7"/>
      <c r="G50" s="7"/>
      <c r="H50" s="8">
        <f t="shared" si="2"/>
        <v>0</v>
      </c>
      <c r="I50" s="7"/>
      <c r="J50" s="7"/>
      <c r="K50" s="9"/>
      <c r="L50" s="10">
        <f t="shared" si="3"/>
        <v>0</v>
      </c>
      <c r="M50" s="9"/>
      <c r="N50" s="9"/>
      <c r="O50" s="9"/>
    </row>
    <row r="51" spans="1:15" ht="12.75" customHeight="1" x14ac:dyDescent="0.25">
      <c r="A51" s="9"/>
      <c r="B51" s="5"/>
      <c r="C51" s="7" t="s">
        <v>98</v>
      </c>
      <c r="D51" s="7"/>
      <c r="E51" s="7"/>
      <c r="F51" s="7"/>
      <c r="G51" s="7"/>
      <c r="H51" s="8">
        <f t="shared" si="2"/>
        <v>0</v>
      </c>
      <c r="I51" s="25" t="s">
        <v>114</v>
      </c>
      <c r="J51" s="7"/>
      <c r="K51" s="9"/>
      <c r="L51" s="10">
        <f t="shared" si="3"/>
        <v>0</v>
      </c>
      <c r="M51" s="9"/>
      <c r="N51" s="9"/>
      <c r="O51" s="9"/>
    </row>
    <row r="52" spans="1:15" ht="12.75" customHeight="1" x14ac:dyDescent="0.25">
      <c r="A52" s="9"/>
      <c r="B52" s="5" t="s">
        <v>99</v>
      </c>
      <c r="C52" s="7"/>
      <c r="D52" s="7"/>
      <c r="E52" s="7" t="s">
        <v>96</v>
      </c>
      <c r="F52" s="7"/>
      <c r="G52" s="7"/>
      <c r="H52" s="8">
        <f t="shared" si="2"/>
        <v>0</v>
      </c>
      <c r="I52" s="7"/>
      <c r="J52" s="7"/>
      <c r="K52" s="9"/>
      <c r="L52" s="10">
        <f t="shared" si="3"/>
        <v>0</v>
      </c>
      <c r="M52" s="9"/>
      <c r="N52" s="9"/>
      <c r="O52" s="9"/>
    </row>
    <row r="53" spans="1:15" ht="12.75" customHeight="1" x14ac:dyDescent="0.25">
      <c r="A53" s="9"/>
      <c r="B53" s="13"/>
      <c r="C53" s="13"/>
      <c r="D53" s="13"/>
      <c r="E53" s="13"/>
      <c r="F53" s="7"/>
      <c r="G53" s="7"/>
      <c r="H53" s="8">
        <f t="shared" si="2"/>
        <v>0</v>
      </c>
      <c r="I53" s="7"/>
      <c r="J53" s="7"/>
      <c r="K53" s="9"/>
      <c r="L53" s="10">
        <f t="shared" si="3"/>
        <v>0</v>
      </c>
      <c r="M53" s="9"/>
      <c r="N53" s="9"/>
      <c r="O53" s="9"/>
    </row>
    <row r="54" spans="1:15" ht="15.75" customHeigh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</row>
    <row r="55" spans="1:15" ht="15.75" customHeight="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</row>
    <row r="56" spans="1:15" ht="15.75" customHeight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</row>
    <row r="57" spans="1:15" ht="15.75" customHeight="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</row>
    <row r="58" spans="1:15" ht="15.75" customHeight="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</row>
    <row r="59" spans="1:15" ht="15.75" customHeight="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</row>
    <row r="60" spans="1:15" ht="15.75" customHeight="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</row>
    <row r="61" spans="1:15" ht="15.75" customHeight="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</row>
    <row r="62" spans="1:15" ht="15.75" customHeigh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</row>
    <row r="63" spans="1:15" ht="15.75" customHeight="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</row>
    <row r="64" spans="1:15" ht="15.75" customHeigh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</row>
    <row r="65" spans="1:12" ht="15.75" customHeight="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</row>
    <row r="66" spans="1:12" ht="15.75" customHeigh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</row>
    <row r="67" spans="1:12" ht="15.75" customHeight="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</row>
    <row r="68" spans="1:12" ht="15.75" customHeight="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</row>
    <row r="69" spans="1:12" ht="15.75" customHeight="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</row>
    <row r="70" spans="1:12" ht="15.75" customHeight="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</row>
    <row r="71" spans="1:12" ht="15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</row>
    <row r="72" spans="1:12" ht="15.75" customHeigh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</row>
    <row r="73" spans="1:12" ht="15.7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</row>
    <row r="74" spans="1:12" ht="15.75" customHeight="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</row>
    <row r="75" spans="1:12" ht="15.75" customHeight="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</row>
    <row r="76" spans="1:12" ht="15.75" customHeight="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</row>
    <row r="77" spans="1:12" ht="15.75" customHeight="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</row>
    <row r="78" spans="1:12" ht="15.75" customHeight="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</row>
    <row r="79" spans="1:12" ht="15.75" customHeight="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</row>
    <row r="80" spans="1:12" ht="15.75" customHeight="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</row>
    <row r="81" spans="1:12" ht="15.75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</row>
    <row r="82" spans="1:12" ht="15.75" customHeight="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</row>
    <row r="83" spans="1:12" ht="15.75" customHeight="1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</row>
    <row r="84" spans="1:12" ht="15.75" customHeight="1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</row>
    <row r="85" spans="1:12" ht="15.75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</row>
    <row r="86" spans="1:12" ht="15.75" customHeight="1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</row>
    <row r="87" spans="1:12" ht="15.75" customHeight="1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</row>
    <row r="88" spans="1:12" ht="15.75" customHeight="1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</row>
    <row r="89" spans="1:12" ht="15.75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</row>
    <row r="90" spans="1:12" ht="15.75" customHeight="1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</row>
    <row r="91" spans="1:12" ht="15.75" customHeight="1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</row>
    <row r="92" spans="1:12" ht="15.75" customHeight="1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</row>
    <row r="93" spans="1:12" ht="15.75" customHeight="1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</row>
    <row r="94" spans="1:12" ht="15.75" customHeight="1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</row>
    <row r="95" spans="1:12" ht="15.75" customHeight="1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</row>
    <row r="96" spans="1:12" ht="15.75" customHeight="1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</row>
    <row r="97" spans="1:12" ht="15.75" customHeight="1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</row>
    <row r="98" spans="1:12" ht="15.75" customHeight="1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</row>
    <row r="99" spans="1:12" ht="15.75" customHeight="1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</row>
    <row r="100" spans="1:12" ht="15.75" customHeight="1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</row>
    <row r="101" spans="1:12" ht="15.75" customHeight="1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</row>
    <row r="102" spans="1:12" ht="15.75" customHeight="1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</row>
    <row r="103" spans="1:12" ht="15.75" customHeight="1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</row>
    <row r="104" spans="1:12" ht="15.75" customHeight="1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</row>
    <row r="105" spans="1:12" ht="15.75" customHeight="1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</row>
    <row r="106" spans="1:12" ht="15.75" customHeight="1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</row>
    <row r="107" spans="1:12" ht="15.75" customHeight="1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</row>
    <row r="108" spans="1:12" ht="15.75" customHeight="1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</row>
    <row r="109" spans="1:12" ht="15.75" customHeight="1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</row>
    <row r="110" spans="1:12" ht="15.75" customHeight="1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</row>
    <row r="111" spans="1:12" ht="15.75" customHeight="1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</row>
    <row r="112" spans="1:12" ht="15.75" customHeight="1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</row>
    <row r="113" spans="1:12" ht="15.75" customHeight="1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</row>
    <row r="114" spans="1:12" ht="15.75" customHeight="1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</row>
    <row r="115" spans="1:12" ht="15.7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</row>
    <row r="116" spans="1:12" ht="15.7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</row>
    <row r="117" spans="1:12" ht="15.7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</row>
    <row r="118" spans="1:12" ht="15.75" customHeight="1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</row>
    <row r="119" spans="1:12" ht="15.75" customHeight="1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</row>
    <row r="120" spans="1:12" ht="15.75" customHeight="1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</row>
    <row r="121" spans="1:12" ht="15.75" customHeight="1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</row>
    <row r="122" spans="1:12" ht="15.75" customHeight="1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</row>
    <row r="123" spans="1:12" ht="15.75" customHeight="1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</row>
    <row r="124" spans="1:12" ht="15.75" customHeight="1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</row>
    <row r="125" spans="1:12" ht="15.75" customHeight="1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</row>
    <row r="126" spans="1:12" ht="15.75" customHeight="1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</row>
    <row r="127" spans="1:12" ht="15.75" customHeight="1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</row>
    <row r="128" spans="1:12" ht="15.75" customHeight="1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</row>
    <row r="129" spans="1:12" ht="15.75" customHeight="1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</row>
    <row r="130" spans="1:12" ht="15.75" customHeight="1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</row>
    <row r="131" spans="1:12" ht="15.75" customHeight="1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</row>
    <row r="132" spans="1:12" ht="15.75" customHeight="1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</row>
    <row r="133" spans="1:12" ht="15.75" customHeight="1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</row>
    <row r="134" spans="1:12" ht="15.75" customHeight="1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</row>
    <row r="135" spans="1:12" ht="15.75" customHeight="1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</row>
    <row r="136" spans="1:12" ht="15.75" customHeight="1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</row>
    <row r="137" spans="1:12" ht="15.75" customHeight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</row>
    <row r="138" spans="1:12" ht="15.75" customHeight="1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</row>
    <row r="139" spans="1:12" ht="15.75" customHeight="1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</row>
    <row r="140" spans="1:12" ht="15.75" customHeight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</row>
    <row r="141" spans="1:12" ht="15.7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</row>
    <row r="142" spans="1:12" ht="15.7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</row>
    <row r="143" spans="1:12" ht="15.75" customHeight="1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</row>
    <row r="144" spans="1:12" ht="15.75" customHeight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</row>
    <row r="145" spans="1:12" ht="15.7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</row>
    <row r="146" spans="1:12" ht="15.75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</row>
    <row r="147" spans="1:12" ht="15.75" customHeight="1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</row>
    <row r="148" spans="1:12" ht="15.75" customHeight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</row>
    <row r="149" spans="1:12" ht="15.7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 ht="15.7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</row>
    <row r="151" spans="1:12" ht="15.75" customHeight="1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</row>
    <row r="152" spans="1:12" ht="15.75" customHeight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</row>
    <row r="153" spans="1:12" ht="15.7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</row>
    <row r="154" spans="1:12" ht="15.75" customHeight="1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</row>
    <row r="155" spans="1:12" ht="15.75" customHeight="1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</row>
    <row r="156" spans="1:12" ht="15.75" customHeight="1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</row>
    <row r="157" spans="1:12" ht="15.75" customHeight="1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</row>
    <row r="158" spans="1:12" ht="15.75" customHeight="1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</row>
    <row r="159" spans="1:12" ht="15.75" customHeight="1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</row>
    <row r="160" spans="1:12" ht="15.75" customHeight="1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</row>
    <row r="161" spans="1:12" ht="15.75" customHeight="1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</row>
    <row r="162" spans="1:12" ht="15.75" customHeight="1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</row>
    <row r="163" spans="1:12" ht="15.75" customHeight="1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</row>
    <row r="164" spans="1:12" ht="15.75" customHeight="1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</row>
    <row r="165" spans="1:12" ht="15.75" customHeight="1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</row>
    <row r="166" spans="1:12" ht="15.75" customHeight="1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</row>
    <row r="167" spans="1:12" ht="15.75" customHeight="1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</row>
    <row r="168" spans="1:12" ht="15.75" customHeight="1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</row>
    <row r="169" spans="1:12" ht="15.75" customHeight="1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</row>
    <row r="170" spans="1:12" ht="15.75" customHeight="1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</row>
    <row r="171" spans="1:12" ht="15.75" customHeight="1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</row>
    <row r="172" spans="1:12" ht="15.75" customHeight="1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</row>
    <row r="173" spans="1:12" ht="15.75" customHeight="1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</row>
    <row r="174" spans="1:12" ht="15.75" customHeight="1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</row>
    <row r="175" spans="1:12" ht="15.75" customHeight="1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</row>
    <row r="176" spans="1:12" ht="15.75" customHeight="1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</row>
    <row r="177" spans="1:12" ht="15.75" customHeight="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</row>
    <row r="178" spans="1:12" ht="15.75" customHeight="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</row>
    <row r="179" spans="1:12" ht="15.75" customHeight="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</row>
    <row r="180" spans="1:12" ht="15.75" customHeight="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</row>
    <row r="181" spans="1:12" ht="15.75" customHeight="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</row>
    <row r="182" spans="1:12" ht="15.75" customHeight="1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</row>
    <row r="183" spans="1:12" ht="15.75" customHeight="1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</row>
    <row r="184" spans="1:12" ht="15.75" customHeight="1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</row>
    <row r="185" spans="1:12" ht="15.75" customHeight="1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</row>
    <row r="186" spans="1:12" ht="15.75" customHeight="1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</row>
    <row r="187" spans="1:12" ht="15.75" customHeight="1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</row>
    <row r="188" spans="1:12" ht="15.75" customHeight="1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</row>
    <row r="189" spans="1:12" ht="15.75" customHeight="1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</row>
    <row r="190" spans="1:12" ht="15.75" customHeight="1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</row>
    <row r="191" spans="1:12" ht="15.75" customHeight="1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</row>
    <row r="192" spans="1:12" ht="15.75" customHeight="1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</row>
    <row r="193" spans="1:12" ht="15.75" customHeight="1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</row>
    <row r="194" spans="1:12" ht="15.75" customHeight="1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</row>
    <row r="195" spans="1:12" ht="15.75" customHeight="1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</row>
    <row r="196" spans="1:12" ht="15.75" customHeight="1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</row>
    <row r="197" spans="1:12" ht="15.75" customHeight="1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</row>
    <row r="198" spans="1:12" ht="15.75" customHeight="1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</row>
    <row r="199" spans="1:12" ht="15.75" customHeight="1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</row>
    <row r="200" spans="1:12" ht="15.75" customHeight="1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</row>
    <row r="201" spans="1:12" ht="15.75" customHeight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</row>
    <row r="202" spans="1:12" ht="15.75" customHeight="1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</row>
    <row r="203" spans="1:12" ht="15.75" customHeight="1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</row>
    <row r="204" spans="1:12" ht="15.75" customHeight="1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</row>
    <row r="205" spans="1:12" ht="15.75" customHeight="1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</row>
    <row r="206" spans="1:12" ht="15.75" customHeight="1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</row>
    <row r="207" spans="1:12" ht="15.75" customHeight="1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</row>
    <row r="208" spans="1:12" ht="15.75" customHeight="1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</row>
    <row r="209" spans="1:12" ht="15.75" customHeight="1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</row>
    <row r="210" spans="1:12" ht="15.75" customHeight="1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</row>
    <row r="211" spans="1:12" ht="15.75" customHeight="1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</row>
    <row r="212" spans="1:12" ht="15.75" customHeight="1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</row>
    <row r="213" spans="1:12" ht="15.75" customHeight="1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</row>
    <row r="214" spans="1:12" ht="15.75" customHeight="1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</row>
    <row r="215" spans="1:12" ht="15.75" customHeight="1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</row>
    <row r="216" spans="1:12" ht="15.75" customHeight="1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</row>
    <row r="217" spans="1:12" ht="15.75" customHeight="1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</row>
    <row r="218" spans="1:12" ht="15.75" customHeight="1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</row>
    <row r="219" spans="1:12" ht="15.75" customHeight="1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</row>
    <row r="220" spans="1:12" ht="15.75" customHeight="1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</row>
    <row r="221" spans="1:12" ht="15.75" customHeight="1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</row>
    <row r="222" spans="1:12" ht="15.75" customHeight="1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</row>
    <row r="223" spans="1:12" ht="15.75" customHeight="1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</row>
    <row r="224" spans="1:12" ht="15.75" customHeight="1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</row>
    <row r="225" spans="1:12" ht="15.75" customHeight="1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</row>
    <row r="226" spans="1:12" ht="15.75" customHeight="1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</row>
    <row r="227" spans="1:12" ht="15.75" customHeight="1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</row>
    <row r="228" spans="1:12" ht="15.75" customHeight="1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</row>
    <row r="229" spans="1:12" ht="15.75" customHeight="1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</row>
    <row r="230" spans="1:12" ht="15.75" customHeight="1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</row>
    <row r="231" spans="1:12" ht="15.75" customHeight="1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</row>
    <row r="232" spans="1:12" ht="15.75" customHeight="1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</row>
    <row r="233" spans="1:12" ht="15.75" customHeight="1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</row>
    <row r="234" spans="1:12" ht="15.75" customHeight="1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</row>
    <row r="235" spans="1:12" ht="15.75" customHeight="1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</row>
    <row r="236" spans="1:12" ht="15.75" customHeight="1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</row>
    <row r="237" spans="1:12" ht="15.75" customHeight="1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</row>
    <row r="238" spans="1:12" ht="15.75" customHeight="1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</row>
    <row r="239" spans="1:12" ht="15.75" customHeight="1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</row>
    <row r="240" spans="1:12" ht="15.75" customHeight="1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</row>
    <row r="241" spans="1:12" ht="15.75" customHeight="1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</row>
    <row r="242" spans="1:12" ht="15.75" customHeight="1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</row>
    <row r="243" spans="1:12" ht="15.75" customHeight="1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</row>
    <row r="244" spans="1:12" ht="15.75" customHeight="1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</row>
    <row r="245" spans="1:12" ht="15.75" customHeight="1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</row>
    <row r="246" spans="1:12" ht="15.75" customHeight="1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</row>
    <row r="247" spans="1:12" ht="15.75" customHeight="1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</row>
    <row r="248" spans="1:12" ht="15.75" customHeight="1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</row>
    <row r="249" spans="1:12" ht="15.75" customHeight="1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</row>
    <row r="250" spans="1:12" ht="15.75" customHeight="1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</row>
    <row r="251" spans="1:12" ht="15.75" customHeight="1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</row>
    <row r="252" spans="1:12" ht="15.75" customHeight="1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</row>
    <row r="253" spans="1:12" ht="15.75" customHeight="1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</row>
    <row r="254" spans="1:12" ht="15.75" customHeight="1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</row>
    <row r="255" spans="1:12" ht="15.75" customHeight="1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</row>
    <row r="256" spans="1:12" ht="15.75" customHeight="1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</row>
    <row r="257" spans="1:12" ht="15.75" customHeight="1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</row>
    <row r="258" spans="1:12" ht="15.75" customHeight="1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</row>
    <row r="259" spans="1:12" ht="15.75" customHeight="1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</row>
    <row r="260" spans="1:12" ht="15.75" customHeight="1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</row>
    <row r="261" spans="1:12" ht="15.75" customHeight="1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</row>
    <row r="262" spans="1:12" ht="15.75" customHeight="1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</row>
    <row r="263" spans="1:12" ht="15.75" customHeight="1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</row>
    <row r="264" spans="1:12" ht="15.75" customHeight="1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</row>
    <row r="265" spans="1:12" ht="15.75" customHeight="1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</row>
    <row r="266" spans="1:12" ht="15.75" customHeight="1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</row>
    <row r="267" spans="1:12" ht="15.75" customHeight="1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</row>
    <row r="268" spans="1:12" ht="15.75" customHeight="1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</row>
    <row r="269" spans="1:12" ht="15.75" customHeight="1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</row>
    <row r="270" spans="1:12" ht="15.75" customHeight="1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</row>
    <row r="271" spans="1:12" ht="15.75" customHeight="1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</row>
    <row r="272" spans="1:12" ht="15.75" customHeight="1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</row>
    <row r="273" spans="1:12" ht="15.75" customHeight="1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</row>
    <row r="274" spans="1:12" ht="15.75" customHeight="1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</row>
    <row r="275" spans="1:12" ht="15.75" customHeight="1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</row>
    <row r="276" spans="1:12" ht="15.75" customHeight="1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</row>
    <row r="277" spans="1:12" ht="15.75" customHeight="1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</row>
    <row r="278" spans="1:12" ht="15.75" customHeight="1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</row>
    <row r="279" spans="1:12" ht="15.75" customHeight="1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</row>
    <row r="280" spans="1:12" ht="15.75" customHeight="1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</row>
    <row r="281" spans="1:12" ht="15.75" customHeight="1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</row>
    <row r="282" spans="1:12" ht="15.75" customHeight="1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</row>
    <row r="283" spans="1:12" ht="15.75" customHeight="1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</row>
    <row r="284" spans="1:12" ht="15.75" customHeight="1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</row>
    <row r="285" spans="1:12" ht="15.75" customHeight="1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</row>
    <row r="286" spans="1:12" ht="15.75" customHeight="1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</row>
    <row r="287" spans="1:12" ht="15.75" customHeight="1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</row>
    <row r="288" spans="1:12" ht="15.75" customHeight="1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</row>
    <row r="289" spans="1:12" ht="15.75" customHeight="1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</row>
    <row r="290" spans="1:12" ht="15.75" customHeight="1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</row>
    <row r="291" spans="1:12" ht="15.75" customHeight="1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</row>
    <row r="292" spans="1:12" ht="15.75" customHeight="1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</row>
    <row r="293" spans="1:12" ht="15.75" customHeight="1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</row>
    <row r="294" spans="1:12" ht="15.75" customHeight="1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</row>
    <row r="295" spans="1:12" ht="15.75" customHeight="1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</row>
    <row r="296" spans="1:12" ht="15.75" customHeight="1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</row>
    <row r="297" spans="1:12" ht="15.75" customHeight="1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</row>
    <row r="298" spans="1:12" ht="15.75" customHeight="1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</row>
    <row r="299" spans="1:12" ht="15.75" customHeight="1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</row>
    <row r="300" spans="1:12" ht="15.75" customHeight="1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</row>
    <row r="301" spans="1:12" ht="15.75" customHeight="1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</row>
    <row r="302" spans="1:12" ht="15.75" customHeight="1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</row>
    <row r="303" spans="1:12" ht="15.75" customHeight="1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</row>
    <row r="304" spans="1:12" ht="15.75" customHeight="1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</row>
    <row r="305" spans="1:12" ht="15.75" customHeight="1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</row>
    <row r="306" spans="1:12" ht="15.75" customHeight="1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</row>
    <row r="307" spans="1:12" ht="15.75" customHeight="1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</row>
    <row r="308" spans="1:12" ht="15.75" customHeight="1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</row>
    <row r="309" spans="1:12" ht="15.75" customHeight="1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</row>
    <row r="310" spans="1:12" ht="15.75" customHeight="1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</row>
    <row r="311" spans="1:12" ht="15.75" customHeight="1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</row>
    <row r="312" spans="1:12" ht="15.75" customHeight="1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</row>
    <row r="313" spans="1:12" ht="15.75" customHeight="1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</row>
    <row r="314" spans="1:12" ht="15.75" customHeight="1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</row>
    <row r="315" spans="1:12" ht="15.75" customHeight="1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</row>
    <row r="316" spans="1:12" ht="15.75" customHeight="1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</row>
    <row r="317" spans="1:12" ht="15.75" customHeight="1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</row>
    <row r="318" spans="1:12" ht="15.75" customHeight="1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</row>
    <row r="319" spans="1:12" ht="15.75" customHeight="1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</row>
    <row r="320" spans="1:12" ht="15.75" customHeight="1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</row>
    <row r="321" spans="1:12" ht="15.75" customHeight="1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</row>
    <row r="322" spans="1:12" ht="15.75" customHeight="1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</row>
    <row r="323" spans="1:12" ht="15.75" customHeight="1" x14ac:dyDescent="0.25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</row>
    <row r="324" spans="1:12" ht="15.75" customHeight="1" x14ac:dyDescent="0.2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</row>
    <row r="325" spans="1:12" ht="15.75" customHeight="1" x14ac:dyDescent="0.2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</row>
    <row r="326" spans="1:12" ht="15.75" customHeight="1" x14ac:dyDescent="0.2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</row>
    <row r="327" spans="1:12" ht="15.75" customHeight="1" x14ac:dyDescent="0.2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</row>
    <row r="328" spans="1:12" ht="15.75" customHeight="1" x14ac:dyDescent="0.2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</row>
    <row r="329" spans="1:12" ht="15.75" customHeight="1" x14ac:dyDescent="0.2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</row>
    <row r="330" spans="1:12" ht="15.75" customHeight="1" x14ac:dyDescent="0.25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</row>
    <row r="331" spans="1:12" ht="15.75" customHeight="1" x14ac:dyDescent="0.25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</row>
    <row r="332" spans="1:12" ht="15.75" customHeight="1" x14ac:dyDescent="0.25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</row>
    <row r="333" spans="1:12" ht="15.75" customHeight="1" x14ac:dyDescent="0.25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</row>
    <row r="334" spans="1:12" ht="15.75" customHeight="1" x14ac:dyDescent="0.25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</row>
    <row r="335" spans="1:12" ht="15.75" customHeight="1" x14ac:dyDescent="0.25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</row>
    <row r="336" spans="1:12" ht="15.75" customHeight="1" x14ac:dyDescent="0.2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</row>
    <row r="337" spans="1:12" ht="15.75" customHeight="1" x14ac:dyDescent="0.2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</row>
    <row r="338" spans="1:12" ht="15.75" customHeight="1" x14ac:dyDescent="0.2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</row>
    <row r="339" spans="1:12" ht="15.75" customHeight="1" x14ac:dyDescent="0.25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</row>
    <row r="340" spans="1:12" ht="15.75" customHeight="1" x14ac:dyDescent="0.25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</row>
    <row r="341" spans="1:12" ht="15.75" customHeight="1" x14ac:dyDescent="0.25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</row>
    <row r="342" spans="1:12" ht="15.75" customHeight="1" x14ac:dyDescent="0.2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</row>
    <row r="343" spans="1:12" ht="15.75" customHeight="1" x14ac:dyDescent="0.2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</row>
    <row r="344" spans="1:12" ht="15.75" customHeight="1" x14ac:dyDescent="0.2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</row>
    <row r="345" spans="1:12" ht="15.75" customHeight="1" x14ac:dyDescent="0.25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</row>
    <row r="346" spans="1:12" ht="15.75" customHeight="1" x14ac:dyDescent="0.25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</row>
    <row r="347" spans="1:12" ht="15.75" customHeight="1" x14ac:dyDescent="0.25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</row>
    <row r="348" spans="1:12" ht="15.75" customHeight="1" x14ac:dyDescent="0.2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</row>
    <row r="349" spans="1:12" ht="15.75" customHeight="1" x14ac:dyDescent="0.2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</row>
    <row r="350" spans="1:12" ht="15.75" customHeight="1" x14ac:dyDescent="0.2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</row>
    <row r="351" spans="1:12" ht="15.75" customHeight="1" x14ac:dyDescent="0.2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</row>
    <row r="352" spans="1:12" ht="15.75" customHeight="1" x14ac:dyDescent="0.2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</row>
    <row r="353" spans="1:12" ht="15.75" customHeight="1" x14ac:dyDescent="0.2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</row>
    <row r="354" spans="1:12" ht="15.75" customHeight="1" x14ac:dyDescent="0.25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</row>
    <row r="355" spans="1:12" ht="15.75" customHeight="1" x14ac:dyDescent="0.25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</row>
    <row r="356" spans="1:12" ht="15.75" customHeight="1" x14ac:dyDescent="0.25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</row>
    <row r="357" spans="1:12" ht="15.75" customHeight="1" x14ac:dyDescent="0.2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</row>
    <row r="358" spans="1:12" ht="15.75" customHeight="1" x14ac:dyDescent="0.2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</row>
    <row r="359" spans="1:12" ht="15.75" customHeight="1" x14ac:dyDescent="0.2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</row>
    <row r="360" spans="1:12" ht="15.75" customHeight="1" x14ac:dyDescent="0.2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</row>
    <row r="361" spans="1:12" ht="15.75" customHeight="1" x14ac:dyDescent="0.2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</row>
    <row r="362" spans="1:12" ht="15.75" customHeight="1" x14ac:dyDescent="0.2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</row>
    <row r="363" spans="1:12" ht="15.75" customHeight="1" x14ac:dyDescent="0.2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</row>
    <row r="364" spans="1:12" ht="15.75" customHeight="1" x14ac:dyDescent="0.2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</row>
    <row r="365" spans="1:12" ht="15.75" customHeight="1" x14ac:dyDescent="0.2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</row>
    <row r="366" spans="1:12" ht="15.75" customHeight="1" x14ac:dyDescent="0.2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</row>
    <row r="367" spans="1:12" ht="15.75" customHeight="1" x14ac:dyDescent="0.2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</row>
    <row r="368" spans="1:12" ht="15.75" customHeight="1" x14ac:dyDescent="0.2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</row>
    <row r="369" spans="1:12" ht="15.75" customHeight="1" x14ac:dyDescent="0.2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</row>
    <row r="370" spans="1:12" ht="15.75" customHeight="1" x14ac:dyDescent="0.2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</row>
    <row r="371" spans="1:12" ht="15.75" customHeight="1" x14ac:dyDescent="0.2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</row>
    <row r="372" spans="1:12" ht="15.75" customHeight="1" x14ac:dyDescent="0.2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</row>
    <row r="373" spans="1:12" ht="15.75" customHeight="1" x14ac:dyDescent="0.25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</row>
    <row r="374" spans="1:12" ht="15.75" customHeight="1" x14ac:dyDescent="0.25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</row>
    <row r="375" spans="1:12" ht="15.75" customHeight="1" x14ac:dyDescent="0.25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</row>
    <row r="376" spans="1:12" ht="15.75" customHeight="1" x14ac:dyDescent="0.25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</row>
    <row r="377" spans="1:12" ht="15.75" customHeight="1" x14ac:dyDescent="0.25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</row>
    <row r="378" spans="1:12" ht="15.75" customHeight="1" x14ac:dyDescent="0.25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</row>
    <row r="379" spans="1:12" ht="15.75" customHeight="1" x14ac:dyDescent="0.25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</row>
    <row r="380" spans="1:12" ht="15.75" customHeight="1" x14ac:dyDescent="0.25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</row>
    <row r="381" spans="1:12" ht="15.75" customHeight="1" x14ac:dyDescent="0.25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</row>
    <row r="382" spans="1:12" ht="15.75" customHeight="1" x14ac:dyDescent="0.25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</row>
    <row r="383" spans="1:12" ht="15.75" customHeight="1" x14ac:dyDescent="0.25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</row>
    <row r="384" spans="1:12" ht="15.75" customHeight="1" x14ac:dyDescent="0.25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</row>
    <row r="385" spans="1:12" ht="15.75" customHeight="1" x14ac:dyDescent="0.25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</row>
    <row r="386" spans="1:12" ht="15.75" customHeight="1" x14ac:dyDescent="0.25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</row>
    <row r="387" spans="1:12" ht="15.75" customHeight="1" x14ac:dyDescent="0.25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</row>
    <row r="388" spans="1:12" ht="15.75" customHeight="1" x14ac:dyDescent="0.25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</row>
    <row r="389" spans="1:12" ht="15.75" customHeight="1" x14ac:dyDescent="0.25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</row>
    <row r="390" spans="1:12" ht="15.75" customHeight="1" x14ac:dyDescent="0.25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</row>
    <row r="391" spans="1:12" ht="15.75" customHeight="1" x14ac:dyDescent="0.25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</row>
    <row r="392" spans="1:12" ht="15.75" customHeight="1" x14ac:dyDescent="0.25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</row>
    <row r="393" spans="1:12" ht="15.75" customHeight="1" x14ac:dyDescent="0.25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</row>
    <row r="394" spans="1:12" ht="15.75" customHeight="1" x14ac:dyDescent="0.25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</row>
    <row r="395" spans="1:12" ht="15.75" customHeight="1" x14ac:dyDescent="0.25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</row>
    <row r="396" spans="1:12" ht="15.75" customHeight="1" x14ac:dyDescent="0.25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</row>
    <row r="397" spans="1:12" ht="15.75" customHeight="1" x14ac:dyDescent="0.25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</row>
    <row r="398" spans="1:12" ht="15.75" customHeight="1" x14ac:dyDescent="0.25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</row>
    <row r="399" spans="1:12" ht="15.75" customHeight="1" x14ac:dyDescent="0.25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</row>
    <row r="400" spans="1:12" ht="15.75" customHeight="1" x14ac:dyDescent="0.25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</row>
    <row r="401" spans="1:12" ht="15.75" customHeight="1" x14ac:dyDescent="0.25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</row>
    <row r="402" spans="1:12" ht="15.75" customHeight="1" x14ac:dyDescent="0.25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</row>
    <row r="403" spans="1:12" ht="15.75" customHeight="1" x14ac:dyDescent="0.25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</row>
    <row r="404" spans="1:12" ht="15.75" customHeight="1" x14ac:dyDescent="0.25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</row>
    <row r="405" spans="1:12" ht="15.75" customHeight="1" x14ac:dyDescent="0.25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</row>
    <row r="406" spans="1:12" ht="15.75" customHeight="1" x14ac:dyDescent="0.25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</row>
    <row r="407" spans="1:12" ht="15.75" customHeight="1" x14ac:dyDescent="0.25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</row>
    <row r="408" spans="1:12" ht="15.75" customHeight="1" x14ac:dyDescent="0.25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</row>
    <row r="409" spans="1:12" ht="15.75" customHeight="1" x14ac:dyDescent="0.25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</row>
    <row r="410" spans="1:12" ht="15.75" customHeight="1" x14ac:dyDescent="0.25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</row>
    <row r="411" spans="1:12" ht="15.75" customHeight="1" x14ac:dyDescent="0.25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</row>
    <row r="412" spans="1:12" ht="15.75" customHeight="1" x14ac:dyDescent="0.25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</row>
    <row r="413" spans="1:12" ht="15.75" customHeight="1" x14ac:dyDescent="0.25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</row>
    <row r="414" spans="1:12" ht="15.75" customHeight="1" x14ac:dyDescent="0.25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</row>
    <row r="415" spans="1:12" ht="15.75" customHeight="1" x14ac:dyDescent="0.25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</row>
    <row r="416" spans="1:12" ht="15.75" customHeight="1" x14ac:dyDescent="0.25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</row>
    <row r="417" spans="1:12" ht="15.75" customHeight="1" x14ac:dyDescent="0.25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</row>
    <row r="418" spans="1:12" ht="15.75" customHeight="1" x14ac:dyDescent="0.25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</row>
    <row r="419" spans="1:12" ht="15.75" customHeight="1" x14ac:dyDescent="0.25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</row>
    <row r="420" spans="1:12" ht="15.75" customHeight="1" x14ac:dyDescent="0.25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</row>
    <row r="421" spans="1:12" ht="15.75" customHeight="1" x14ac:dyDescent="0.25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</row>
    <row r="422" spans="1:12" ht="15.75" customHeight="1" x14ac:dyDescent="0.25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</row>
    <row r="423" spans="1:12" ht="15.75" customHeight="1" x14ac:dyDescent="0.25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</row>
    <row r="424" spans="1:12" ht="15.75" customHeight="1" x14ac:dyDescent="0.25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</row>
    <row r="425" spans="1:12" ht="15.75" customHeight="1" x14ac:dyDescent="0.25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</row>
    <row r="426" spans="1:12" ht="15.75" customHeight="1" x14ac:dyDescent="0.25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</row>
    <row r="427" spans="1:12" ht="15.75" customHeight="1" x14ac:dyDescent="0.25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</row>
    <row r="428" spans="1:12" ht="15.75" customHeight="1" x14ac:dyDescent="0.25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</row>
    <row r="429" spans="1:12" ht="15.75" customHeight="1" x14ac:dyDescent="0.25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</row>
    <row r="430" spans="1:12" ht="15.75" customHeight="1" x14ac:dyDescent="0.25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</row>
    <row r="431" spans="1:12" ht="15.75" customHeight="1" x14ac:dyDescent="0.25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</row>
    <row r="432" spans="1:12" ht="15.75" customHeight="1" x14ac:dyDescent="0.25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</row>
    <row r="433" spans="1:12" ht="15.75" customHeight="1" x14ac:dyDescent="0.25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</row>
    <row r="434" spans="1:12" ht="15.75" customHeight="1" x14ac:dyDescent="0.25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</row>
    <row r="435" spans="1:12" ht="15.75" customHeight="1" x14ac:dyDescent="0.25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</row>
    <row r="436" spans="1:12" ht="15.75" customHeight="1" x14ac:dyDescent="0.25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</row>
    <row r="437" spans="1:12" ht="15.75" customHeight="1" x14ac:dyDescent="0.25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</row>
    <row r="438" spans="1:12" ht="15.75" customHeight="1" x14ac:dyDescent="0.25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</row>
    <row r="439" spans="1:12" ht="15.75" customHeight="1" x14ac:dyDescent="0.25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</row>
    <row r="440" spans="1:12" ht="15.75" customHeight="1" x14ac:dyDescent="0.25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</row>
    <row r="441" spans="1:12" ht="15.75" customHeight="1" x14ac:dyDescent="0.25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</row>
    <row r="442" spans="1:12" ht="15.75" customHeight="1" x14ac:dyDescent="0.25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</row>
    <row r="443" spans="1:12" ht="15.75" customHeight="1" x14ac:dyDescent="0.25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</row>
    <row r="444" spans="1:12" ht="15.75" customHeight="1" x14ac:dyDescent="0.25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</row>
    <row r="445" spans="1:12" ht="15.75" customHeight="1" x14ac:dyDescent="0.25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</row>
    <row r="446" spans="1:12" ht="15.75" customHeight="1" x14ac:dyDescent="0.25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</row>
    <row r="447" spans="1:12" ht="15.75" customHeight="1" x14ac:dyDescent="0.25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</row>
    <row r="448" spans="1:12" ht="15.75" customHeight="1" x14ac:dyDescent="0.25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</row>
    <row r="449" spans="1:12" ht="15.75" customHeight="1" x14ac:dyDescent="0.25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</row>
    <row r="450" spans="1:12" ht="15.75" customHeight="1" x14ac:dyDescent="0.25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</row>
    <row r="451" spans="1:12" ht="15.75" customHeight="1" x14ac:dyDescent="0.25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</row>
    <row r="452" spans="1:12" ht="15.75" customHeight="1" x14ac:dyDescent="0.25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</row>
    <row r="453" spans="1:12" ht="15.75" customHeight="1" x14ac:dyDescent="0.25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</row>
    <row r="454" spans="1:12" ht="15.75" customHeight="1" x14ac:dyDescent="0.25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</row>
    <row r="455" spans="1:12" ht="15.75" customHeight="1" x14ac:dyDescent="0.25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</row>
    <row r="456" spans="1:12" ht="15.75" customHeight="1" x14ac:dyDescent="0.25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</row>
    <row r="457" spans="1:12" ht="15.75" customHeight="1" x14ac:dyDescent="0.25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</row>
    <row r="458" spans="1:12" ht="15.75" customHeight="1" x14ac:dyDescent="0.25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</row>
    <row r="459" spans="1:12" ht="15.75" customHeight="1" x14ac:dyDescent="0.25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</row>
    <row r="460" spans="1:12" ht="15.75" customHeight="1" x14ac:dyDescent="0.25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</row>
    <row r="461" spans="1:12" ht="15.75" customHeight="1" x14ac:dyDescent="0.25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</row>
    <row r="462" spans="1:12" ht="15.75" customHeight="1" x14ac:dyDescent="0.25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</row>
    <row r="463" spans="1:12" ht="15.75" customHeight="1" x14ac:dyDescent="0.25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</row>
    <row r="464" spans="1:12" ht="15.75" customHeight="1" x14ac:dyDescent="0.25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</row>
    <row r="465" spans="1:12" ht="15.75" customHeight="1" x14ac:dyDescent="0.25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</row>
    <row r="466" spans="1:12" ht="15.75" customHeight="1" x14ac:dyDescent="0.25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</row>
    <row r="467" spans="1:12" ht="15.75" customHeight="1" x14ac:dyDescent="0.25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</row>
    <row r="468" spans="1:12" ht="15.75" customHeight="1" x14ac:dyDescent="0.25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</row>
    <row r="469" spans="1:12" ht="15.75" customHeight="1" x14ac:dyDescent="0.25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</row>
    <row r="470" spans="1:12" ht="15.75" customHeight="1" x14ac:dyDescent="0.25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</row>
    <row r="471" spans="1:12" ht="15.75" customHeight="1" x14ac:dyDescent="0.25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</row>
    <row r="472" spans="1:12" ht="15.75" customHeight="1" x14ac:dyDescent="0.25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</row>
    <row r="473" spans="1:12" ht="15.75" customHeight="1" x14ac:dyDescent="0.25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</row>
    <row r="474" spans="1:12" ht="15.75" customHeight="1" x14ac:dyDescent="0.25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</row>
    <row r="475" spans="1:12" ht="15.75" customHeight="1" x14ac:dyDescent="0.25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</row>
    <row r="476" spans="1:12" ht="15.75" customHeight="1" x14ac:dyDescent="0.25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</row>
    <row r="477" spans="1:12" ht="15.75" customHeight="1" x14ac:dyDescent="0.25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</row>
    <row r="478" spans="1:12" ht="15.75" customHeight="1" x14ac:dyDescent="0.25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</row>
    <row r="479" spans="1:12" ht="15.75" customHeight="1" x14ac:dyDescent="0.25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</row>
    <row r="480" spans="1:12" ht="15.75" customHeight="1" x14ac:dyDescent="0.25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</row>
    <row r="481" spans="1:12" ht="15.75" customHeight="1" x14ac:dyDescent="0.25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</row>
    <row r="482" spans="1:12" ht="15.75" customHeight="1" x14ac:dyDescent="0.25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</row>
    <row r="483" spans="1:12" ht="15.75" customHeight="1" x14ac:dyDescent="0.25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</row>
    <row r="484" spans="1:12" ht="15.75" customHeight="1" x14ac:dyDescent="0.25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</row>
    <row r="485" spans="1:12" ht="15.75" customHeight="1" x14ac:dyDescent="0.25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</row>
    <row r="486" spans="1:12" ht="15.75" customHeight="1" x14ac:dyDescent="0.25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</row>
    <row r="487" spans="1:12" ht="15.75" customHeight="1" x14ac:dyDescent="0.25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</row>
    <row r="488" spans="1:12" ht="15.75" customHeight="1" x14ac:dyDescent="0.25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</row>
    <row r="489" spans="1:12" ht="15.75" customHeight="1" x14ac:dyDescent="0.25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</row>
    <row r="490" spans="1:12" ht="15.75" customHeight="1" x14ac:dyDescent="0.25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</row>
    <row r="491" spans="1:12" ht="15.75" customHeight="1" x14ac:dyDescent="0.25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</row>
    <row r="492" spans="1:12" ht="15.75" customHeight="1" x14ac:dyDescent="0.25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</row>
    <row r="493" spans="1:12" ht="15.75" customHeight="1" x14ac:dyDescent="0.25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</row>
    <row r="494" spans="1:12" ht="15.75" customHeight="1" x14ac:dyDescent="0.25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</row>
    <row r="495" spans="1:12" ht="15.75" customHeight="1" x14ac:dyDescent="0.25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</row>
    <row r="496" spans="1:12" ht="15.75" customHeight="1" x14ac:dyDescent="0.25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</row>
    <row r="497" spans="1:12" ht="15.75" customHeight="1" x14ac:dyDescent="0.25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</row>
    <row r="498" spans="1:12" ht="15.75" customHeight="1" x14ac:dyDescent="0.25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</row>
    <row r="499" spans="1:12" ht="15.75" customHeight="1" x14ac:dyDescent="0.25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</row>
    <row r="500" spans="1:12" ht="15.75" customHeight="1" x14ac:dyDescent="0.25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</row>
    <row r="501" spans="1:12" ht="15.75" customHeight="1" x14ac:dyDescent="0.25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</row>
    <row r="502" spans="1:12" ht="15.75" customHeight="1" x14ac:dyDescent="0.25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</row>
    <row r="503" spans="1:12" ht="15.75" customHeight="1" x14ac:dyDescent="0.25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</row>
    <row r="504" spans="1:12" ht="15.75" customHeight="1" x14ac:dyDescent="0.25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</row>
    <row r="505" spans="1:12" ht="15.75" customHeight="1" x14ac:dyDescent="0.25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</row>
    <row r="506" spans="1:12" ht="15.75" customHeight="1" x14ac:dyDescent="0.25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</row>
    <row r="507" spans="1:12" ht="15.75" customHeight="1" x14ac:dyDescent="0.25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</row>
    <row r="508" spans="1:12" ht="15.75" customHeight="1" x14ac:dyDescent="0.25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</row>
    <row r="509" spans="1:12" ht="15.75" customHeight="1" x14ac:dyDescent="0.25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</row>
    <row r="510" spans="1:12" ht="15.75" customHeight="1" x14ac:dyDescent="0.25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</row>
    <row r="511" spans="1:12" ht="15.75" customHeight="1" x14ac:dyDescent="0.25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</row>
    <row r="512" spans="1:12" ht="15.75" customHeight="1" x14ac:dyDescent="0.25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</row>
    <row r="513" spans="1:12" ht="15.75" customHeight="1" x14ac:dyDescent="0.25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</row>
    <row r="514" spans="1:12" ht="15.75" customHeight="1" x14ac:dyDescent="0.25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</row>
    <row r="515" spans="1:12" ht="15.75" customHeight="1" x14ac:dyDescent="0.25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</row>
    <row r="516" spans="1:12" ht="15.75" customHeight="1" x14ac:dyDescent="0.25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</row>
    <row r="517" spans="1:12" ht="15.75" customHeight="1" x14ac:dyDescent="0.25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</row>
    <row r="518" spans="1:12" ht="15.75" customHeight="1" x14ac:dyDescent="0.25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</row>
    <row r="519" spans="1:12" ht="15.75" customHeight="1" x14ac:dyDescent="0.25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</row>
    <row r="520" spans="1:12" ht="15.75" customHeight="1" x14ac:dyDescent="0.25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</row>
    <row r="521" spans="1:12" ht="15.75" customHeight="1" x14ac:dyDescent="0.25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</row>
    <row r="522" spans="1:12" ht="15.75" customHeight="1" x14ac:dyDescent="0.25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</row>
    <row r="523" spans="1:12" ht="15.75" customHeight="1" x14ac:dyDescent="0.25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</row>
    <row r="524" spans="1:12" ht="15.75" customHeight="1" x14ac:dyDescent="0.25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</row>
    <row r="525" spans="1:12" ht="15.75" customHeight="1" x14ac:dyDescent="0.25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</row>
    <row r="526" spans="1:12" ht="15.75" customHeight="1" x14ac:dyDescent="0.25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</row>
    <row r="527" spans="1:12" ht="15.75" customHeight="1" x14ac:dyDescent="0.25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</row>
    <row r="528" spans="1:12" ht="15.75" customHeight="1" x14ac:dyDescent="0.25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</row>
    <row r="529" spans="1:12" ht="15.75" customHeight="1" x14ac:dyDescent="0.25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</row>
    <row r="530" spans="1:12" ht="15.75" customHeight="1" x14ac:dyDescent="0.25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</row>
    <row r="531" spans="1:12" ht="15.75" customHeight="1" x14ac:dyDescent="0.25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</row>
    <row r="532" spans="1:12" ht="15.75" customHeight="1" x14ac:dyDescent="0.25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</row>
    <row r="533" spans="1:12" ht="15.75" customHeight="1" x14ac:dyDescent="0.25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</row>
    <row r="534" spans="1:12" ht="15.75" customHeight="1" x14ac:dyDescent="0.25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</row>
    <row r="535" spans="1:12" ht="15.75" customHeight="1" x14ac:dyDescent="0.25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</row>
    <row r="536" spans="1:12" ht="15.75" customHeight="1" x14ac:dyDescent="0.25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</row>
    <row r="537" spans="1:12" ht="15.75" customHeight="1" x14ac:dyDescent="0.25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</row>
    <row r="538" spans="1:12" ht="15.75" customHeight="1" x14ac:dyDescent="0.25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</row>
    <row r="539" spans="1:12" ht="15.75" customHeight="1" x14ac:dyDescent="0.25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</row>
    <row r="540" spans="1:12" ht="15.75" customHeight="1" x14ac:dyDescent="0.25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</row>
    <row r="541" spans="1:12" ht="15.75" customHeight="1" x14ac:dyDescent="0.25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</row>
    <row r="542" spans="1:12" ht="15.75" customHeight="1" x14ac:dyDescent="0.25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</row>
    <row r="543" spans="1:12" ht="15.75" customHeight="1" x14ac:dyDescent="0.25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</row>
    <row r="544" spans="1:12" ht="15.75" customHeight="1" x14ac:dyDescent="0.25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</row>
    <row r="545" spans="1:12" ht="15.75" customHeight="1" x14ac:dyDescent="0.25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</row>
    <row r="546" spans="1:12" ht="15.75" customHeight="1" x14ac:dyDescent="0.25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</row>
    <row r="547" spans="1:12" ht="15.75" customHeight="1" x14ac:dyDescent="0.25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</row>
    <row r="548" spans="1:12" ht="15.75" customHeight="1" x14ac:dyDescent="0.25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</row>
    <row r="549" spans="1:12" ht="15.75" customHeight="1" x14ac:dyDescent="0.25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</row>
    <row r="550" spans="1:12" ht="15.75" customHeight="1" x14ac:dyDescent="0.25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</row>
    <row r="551" spans="1:12" ht="15.75" customHeight="1" x14ac:dyDescent="0.25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</row>
    <row r="552" spans="1:12" ht="15.75" customHeight="1" x14ac:dyDescent="0.25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</row>
    <row r="553" spans="1:12" ht="15.75" customHeight="1" x14ac:dyDescent="0.25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</row>
    <row r="554" spans="1:12" ht="15.75" customHeight="1" x14ac:dyDescent="0.25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</row>
    <row r="555" spans="1:12" ht="15.75" customHeight="1" x14ac:dyDescent="0.25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</row>
    <row r="556" spans="1:12" ht="15.75" customHeight="1" x14ac:dyDescent="0.25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</row>
    <row r="557" spans="1:12" ht="15.75" customHeight="1" x14ac:dyDescent="0.25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</row>
    <row r="558" spans="1:12" ht="15.75" customHeight="1" x14ac:dyDescent="0.25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</row>
    <row r="559" spans="1:12" ht="15.75" customHeight="1" x14ac:dyDescent="0.25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</row>
    <row r="560" spans="1:12" ht="15.75" customHeight="1" x14ac:dyDescent="0.25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</row>
    <row r="561" spans="1:12" ht="15.75" customHeight="1" x14ac:dyDescent="0.25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</row>
    <row r="562" spans="1:12" ht="15.75" customHeight="1" x14ac:dyDescent="0.25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</row>
    <row r="563" spans="1:12" ht="15.75" customHeight="1" x14ac:dyDescent="0.25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</row>
    <row r="564" spans="1:12" ht="15.75" customHeight="1" x14ac:dyDescent="0.25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</row>
    <row r="565" spans="1:12" ht="15.75" customHeight="1" x14ac:dyDescent="0.25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</row>
    <row r="566" spans="1:12" ht="15.75" customHeight="1" x14ac:dyDescent="0.25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</row>
    <row r="567" spans="1:12" ht="15.75" customHeight="1" x14ac:dyDescent="0.25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</row>
    <row r="568" spans="1:12" ht="15.75" customHeight="1" x14ac:dyDescent="0.25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</row>
    <row r="569" spans="1:12" ht="15.75" customHeight="1" x14ac:dyDescent="0.25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</row>
    <row r="570" spans="1:12" ht="15.75" customHeight="1" x14ac:dyDescent="0.25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</row>
    <row r="571" spans="1:12" ht="15.75" customHeight="1" x14ac:dyDescent="0.25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</row>
    <row r="572" spans="1:12" ht="15.75" customHeight="1" x14ac:dyDescent="0.25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</row>
    <row r="573" spans="1:12" ht="15.75" customHeight="1" x14ac:dyDescent="0.25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</row>
    <row r="574" spans="1:12" ht="15.75" customHeight="1" x14ac:dyDescent="0.25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</row>
    <row r="575" spans="1:12" ht="15.75" customHeight="1" x14ac:dyDescent="0.25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</row>
    <row r="576" spans="1:12" ht="15.75" customHeight="1" x14ac:dyDescent="0.25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</row>
    <row r="577" spans="1:12" ht="15.75" customHeight="1" x14ac:dyDescent="0.25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</row>
    <row r="578" spans="1:12" ht="15.75" customHeight="1" x14ac:dyDescent="0.25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</row>
    <row r="579" spans="1:12" ht="15.75" customHeight="1" x14ac:dyDescent="0.25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</row>
    <row r="580" spans="1:12" ht="15.75" customHeight="1" x14ac:dyDescent="0.25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</row>
    <row r="581" spans="1:12" ht="15.75" customHeight="1" x14ac:dyDescent="0.25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</row>
    <row r="582" spans="1:12" ht="15.75" customHeight="1" x14ac:dyDescent="0.25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</row>
    <row r="583" spans="1:12" ht="15.75" customHeight="1" x14ac:dyDescent="0.25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</row>
    <row r="584" spans="1:12" ht="15.75" customHeight="1" x14ac:dyDescent="0.25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</row>
    <row r="585" spans="1:12" ht="15.75" customHeight="1" x14ac:dyDescent="0.25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</row>
    <row r="586" spans="1:12" ht="15.75" customHeight="1" x14ac:dyDescent="0.25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</row>
    <row r="587" spans="1:12" ht="15.75" customHeight="1" x14ac:dyDescent="0.25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</row>
    <row r="588" spans="1:12" ht="15.75" customHeight="1" x14ac:dyDescent="0.25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</row>
    <row r="589" spans="1:12" ht="15.75" customHeight="1" x14ac:dyDescent="0.25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</row>
    <row r="590" spans="1:12" ht="15.75" customHeight="1" x14ac:dyDescent="0.25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</row>
    <row r="591" spans="1:12" ht="15.75" customHeight="1" x14ac:dyDescent="0.25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</row>
    <row r="592" spans="1:12" ht="15.75" customHeight="1" x14ac:dyDescent="0.25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</row>
    <row r="593" spans="1:12" ht="15.75" customHeight="1" x14ac:dyDescent="0.25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</row>
    <row r="594" spans="1:12" ht="15.75" customHeight="1" x14ac:dyDescent="0.25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</row>
    <row r="595" spans="1:12" ht="15.75" customHeight="1" x14ac:dyDescent="0.25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</row>
    <row r="596" spans="1:12" ht="15.75" customHeight="1" x14ac:dyDescent="0.25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</row>
    <row r="597" spans="1:12" ht="15.75" customHeight="1" x14ac:dyDescent="0.25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</row>
    <row r="598" spans="1:12" ht="15.75" customHeight="1" x14ac:dyDescent="0.25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</row>
    <row r="599" spans="1:12" ht="15.75" customHeight="1" x14ac:dyDescent="0.25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</row>
    <row r="600" spans="1:12" ht="15.75" customHeight="1" x14ac:dyDescent="0.25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</row>
    <row r="601" spans="1:12" ht="15.75" customHeight="1" x14ac:dyDescent="0.25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</row>
    <row r="602" spans="1:12" ht="15.75" customHeight="1" x14ac:dyDescent="0.25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</row>
    <row r="603" spans="1:12" ht="15.75" customHeight="1" x14ac:dyDescent="0.25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</row>
    <row r="604" spans="1:12" ht="15.75" customHeight="1" x14ac:dyDescent="0.25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</row>
    <row r="605" spans="1:12" ht="15.75" customHeight="1" x14ac:dyDescent="0.25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</row>
    <row r="606" spans="1:12" ht="15.75" customHeight="1" x14ac:dyDescent="0.25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</row>
    <row r="607" spans="1:12" ht="15.75" customHeight="1" x14ac:dyDescent="0.25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</row>
    <row r="608" spans="1:12" ht="15.75" customHeight="1" x14ac:dyDescent="0.25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</row>
    <row r="609" spans="1:12" ht="15.75" customHeight="1" x14ac:dyDescent="0.25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</row>
    <row r="610" spans="1:12" ht="15.75" customHeight="1" x14ac:dyDescent="0.25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</row>
    <row r="611" spans="1:12" ht="15.75" customHeight="1" x14ac:dyDescent="0.25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</row>
    <row r="612" spans="1:12" ht="15.75" customHeight="1" x14ac:dyDescent="0.25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</row>
    <row r="613" spans="1:12" ht="15.75" customHeight="1" x14ac:dyDescent="0.25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</row>
    <row r="614" spans="1:12" ht="15.75" customHeight="1" x14ac:dyDescent="0.25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</row>
    <row r="615" spans="1:12" ht="15.75" customHeight="1" x14ac:dyDescent="0.25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</row>
    <row r="616" spans="1:12" ht="15.75" customHeight="1" x14ac:dyDescent="0.25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</row>
    <row r="617" spans="1:12" ht="15.75" customHeight="1" x14ac:dyDescent="0.25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</row>
    <row r="618" spans="1:12" ht="15.75" customHeight="1" x14ac:dyDescent="0.25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</row>
    <row r="619" spans="1:12" ht="15.75" customHeight="1" x14ac:dyDescent="0.25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</row>
    <row r="620" spans="1:12" ht="15.75" customHeight="1" x14ac:dyDescent="0.25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</row>
    <row r="621" spans="1:12" ht="15.75" customHeight="1" x14ac:dyDescent="0.25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</row>
    <row r="622" spans="1:12" ht="15.75" customHeight="1" x14ac:dyDescent="0.25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</row>
    <row r="623" spans="1:12" ht="15.75" customHeight="1" x14ac:dyDescent="0.25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</row>
    <row r="624" spans="1:12" ht="15.75" customHeight="1" x14ac:dyDescent="0.25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</row>
    <row r="625" spans="1:12" ht="15.75" customHeight="1" x14ac:dyDescent="0.25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</row>
    <row r="626" spans="1:12" ht="15.75" customHeight="1" x14ac:dyDescent="0.25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</row>
    <row r="627" spans="1:12" ht="15.75" customHeight="1" x14ac:dyDescent="0.25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</row>
    <row r="628" spans="1:12" ht="15.75" customHeight="1" x14ac:dyDescent="0.25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</row>
    <row r="629" spans="1:12" ht="15.75" customHeight="1" x14ac:dyDescent="0.25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</row>
    <row r="630" spans="1:12" ht="15.75" customHeight="1" x14ac:dyDescent="0.25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</row>
    <row r="631" spans="1:12" ht="15.75" customHeight="1" x14ac:dyDescent="0.25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</row>
    <row r="632" spans="1:12" ht="15.75" customHeight="1" x14ac:dyDescent="0.25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</row>
    <row r="633" spans="1:12" ht="15.75" customHeight="1" x14ac:dyDescent="0.25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</row>
    <row r="634" spans="1:12" ht="15.75" customHeight="1" x14ac:dyDescent="0.25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</row>
    <row r="635" spans="1:12" ht="15.75" customHeight="1" x14ac:dyDescent="0.25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</row>
    <row r="636" spans="1:12" ht="15.75" customHeight="1" x14ac:dyDescent="0.25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</row>
    <row r="637" spans="1:12" ht="15.75" customHeight="1" x14ac:dyDescent="0.25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</row>
    <row r="638" spans="1:12" ht="15.75" customHeight="1" x14ac:dyDescent="0.25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</row>
    <row r="639" spans="1:12" ht="15.75" customHeight="1" x14ac:dyDescent="0.25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</row>
    <row r="640" spans="1:12" ht="15.75" customHeight="1" x14ac:dyDescent="0.25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</row>
    <row r="641" spans="1:12" ht="15.75" customHeight="1" x14ac:dyDescent="0.25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</row>
    <row r="642" spans="1:12" ht="15.75" customHeight="1" x14ac:dyDescent="0.25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</row>
    <row r="643" spans="1:12" ht="15.75" customHeight="1" x14ac:dyDescent="0.25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</row>
    <row r="644" spans="1:12" ht="15.75" customHeight="1" x14ac:dyDescent="0.25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</row>
    <row r="645" spans="1:12" ht="15.75" customHeight="1" x14ac:dyDescent="0.25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</row>
    <row r="646" spans="1:12" ht="15.75" customHeight="1" x14ac:dyDescent="0.25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</row>
    <row r="647" spans="1:12" ht="15.75" customHeight="1" x14ac:dyDescent="0.25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</row>
    <row r="648" spans="1:12" ht="15.75" customHeight="1" x14ac:dyDescent="0.25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</row>
    <row r="649" spans="1:12" ht="15.75" customHeight="1" x14ac:dyDescent="0.25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</row>
    <row r="650" spans="1:12" ht="15.75" customHeight="1" x14ac:dyDescent="0.25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</row>
    <row r="651" spans="1:12" ht="15.75" customHeight="1" x14ac:dyDescent="0.25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</row>
    <row r="652" spans="1:12" ht="15.75" customHeight="1" x14ac:dyDescent="0.25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</row>
    <row r="653" spans="1:12" ht="15.75" customHeight="1" x14ac:dyDescent="0.25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</row>
    <row r="654" spans="1:12" ht="15.75" customHeight="1" x14ac:dyDescent="0.25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</row>
    <row r="655" spans="1:12" ht="15.75" customHeight="1" x14ac:dyDescent="0.25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</row>
    <row r="656" spans="1:12" ht="15.75" customHeight="1" x14ac:dyDescent="0.25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</row>
    <row r="657" spans="1:12" ht="15.75" customHeight="1" x14ac:dyDescent="0.25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</row>
    <row r="658" spans="1:12" ht="15.75" customHeight="1" x14ac:dyDescent="0.25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</row>
    <row r="659" spans="1:12" ht="15.75" customHeight="1" x14ac:dyDescent="0.25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</row>
    <row r="660" spans="1:12" ht="15.75" customHeight="1" x14ac:dyDescent="0.25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</row>
    <row r="661" spans="1:12" ht="15.75" customHeight="1" x14ac:dyDescent="0.25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</row>
    <row r="662" spans="1:12" ht="15.75" customHeight="1" x14ac:dyDescent="0.25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</row>
    <row r="663" spans="1:12" ht="15.75" customHeight="1" x14ac:dyDescent="0.25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</row>
    <row r="664" spans="1:12" ht="15.75" customHeight="1" x14ac:dyDescent="0.25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</row>
    <row r="665" spans="1:12" ht="15.75" customHeight="1" x14ac:dyDescent="0.25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</row>
    <row r="666" spans="1:12" ht="15.75" customHeight="1" x14ac:dyDescent="0.25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</row>
    <row r="667" spans="1:12" ht="15.75" customHeight="1" x14ac:dyDescent="0.25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</row>
    <row r="668" spans="1:12" ht="15.75" customHeight="1" x14ac:dyDescent="0.25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</row>
    <row r="669" spans="1:12" ht="15.75" customHeight="1" x14ac:dyDescent="0.25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</row>
    <row r="670" spans="1:12" ht="15.75" customHeight="1" x14ac:dyDescent="0.25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</row>
    <row r="671" spans="1:12" ht="15.75" customHeight="1" x14ac:dyDescent="0.25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</row>
    <row r="672" spans="1:12" ht="15.75" customHeight="1" x14ac:dyDescent="0.25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</row>
    <row r="673" spans="1:12" ht="15.75" customHeight="1" x14ac:dyDescent="0.25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</row>
    <row r="674" spans="1:12" ht="15.75" customHeight="1" x14ac:dyDescent="0.25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</row>
    <row r="675" spans="1:12" ht="15.75" customHeight="1" x14ac:dyDescent="0.25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</row>
    <row r="676" spans="1:12" ht="15.75" customHeight="1" x14ac:dyDescent="0.25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</row>
    <row r="677" spans="1:12" ht="15.75" customHeight="1" x14ac:dyDescent="0.25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</row>
    <row r="678" spans="1:12" ht="15.75" customHeight="1" x14ac:dyDescent="0.25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</row>
    <row r="679" spans="1:12" ht="15.75" customHeight="1" x14ac:dyDescent="0.25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</row>
    <row r="680" spans="1:12" ht="15.75" customHeight="1" x14ac:dyDescent="0.25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</row>
    <row r="681" spans="1:12" ht="15.75" customHeight="1" x14ac:dyDescent="0.25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</row>
    <row r="682" spans="1:12" ht="15.75" customHeight="1" x14ac:dyDescent="0.25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</row>
    <row r="683" spans="1:12" ht="15.75" customHeight="1" x14ac:dyDescent="0.25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</row>
    <row r="684" spans="1:12" ht="15.75" customHeight="1" x14ac:dyDescent="0.25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</row>
    <row r="685" spans="1:12" ht="15.75" customHeight="1" x14ac:dyDescent="0.25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</row>
    <row r="686" spans="1:12" ht="15.75" customHeight="1" x14ac:dyDescent="0.25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</row>
    <row r="687" spans="1:12" ht="15.75" customHeight="1" x14ac:dyDescent="0.25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</row>
    <row r="688" spans="1:12" ht="15.75" customHeight="1" x14ac:dyDescent="0.25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</row>
    <row r="689" spans="1:12" ht="15.75" customHeight="1" x14ac:dyDescent="0.25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</row>
    <row r="690" spans="1:12" ht="15.75" customHeight="1" x14ac:dyDescent="0.25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</row>
    <row r="691" spans="1:12" ht="15.75" customHeight="1" x14ac:dyDescent="0.25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</row>
    <row r="692" spans="1:12" ht="15.75" customHeight="1" x14ac:dyDescent="0.25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</row>
    <row r="693" spans="1:12" ht="15.75" customHeight="1" x14ac:dyDescent="0.25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</row>
    <row r="694" spans="1:12" ht="15.75" customHeight="1" x14ac:dyDescent="0.25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</row>
    <row r="695" spans="1:12" ht="15.75" customHeight="1" x14ac:dyDescent="0.25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</row>
    <row r="696" spans="1:12" ht="15.75" customHeight="1" x14ac:dyDescent="0.25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</row>
    <row r="697" spans="1:12" ht="15.75" customHeight="1" x14ac:dyDescent="0.25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</row>
    <row r="698" spans="1:12" ht="15.75" customHeight="1" x14ac:dyDescent="0.25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</row>
    <row r="699" spans="1:12" ht="15.75" customHeight="1" x14ac:dyDescent="0.25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</row>
    <row r="700" spans="1:12" ht="15.75" customHeight="1" x14ac:dyDescent="0.25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</row>
    <row r="701" spans="1:12" ht="15.75" customHeight="1" x14ac:dyDescent="0.25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</row>
    <row r="702" spans="1:12" ht="15.75" customHeight="1" x14ac:dyDescent="0.25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</row>
    <row r="703" spans="1:12" ht="15.75" customHeight="1" x14ac:dyDescent="0.25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</row>
    <row r="704" spans="1:12" ht="15.75" customHeight="1" x14ac:dyDescent="0.25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</row>
    <row r="705" spans="1:12" ht="15.75" customHeight="1" x14ac:dyDescent="0.25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</row>
    <row r="706" spans="1:12" ht="15.75" customHeight="1" x14ac:dyDescent="0.25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</row>
    <row r="707" spans="1:12" ht="15.75" customHeight="1" x14ac:dyDescent="0.25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</row>
    <row r="708" spans="1:12" ht="15.75" customHeight="1" x14ac:dyDescent="0.25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</row>
    <row r="709" spans="1:12" ht="15.75" customHeight="1" x14ac:dyDescent="0.25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</row>
    <row r="710" spans="1:12" ht="15.75" customHeight="1" x14ac:dyDescent="0.25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</row>
    <row r="711" spans="1:12" ht="15.75" customHeight="1" x14ac:dyDescent="0.25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</row>
    <row r="712" spans="1:12" ht="15.75" customHeight="1" x14ac:dyDescent="0.25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</row>
    <row r="713" spans="1:12" ht="15.75" customHeight="1" x14ac:dyDescent="0.25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</row>
    <row r="714" spans="1:12" ht="15.75" customHeight="1" x14ac:dyDescent="0.25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</row>
    <row r="715" spans="1:12" ht="15.75" customHeight="1" x14ac:dyDescent="0.25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</row>
    <row r="716" spans="1:12" ht="15.75" customHeight="1" x14ac:dyDescent="0.25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</row>
    <row r="717" spans="1:12" ht="15.75" customHeight="1" x14ac:dyDescent="0.25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</row>
    <row r="718" spans="1:12" ht="15.75" customHeight="1" x14ac:dyDescent="0.25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</row>
    <row r="719" spans="1:12" ht="15.75" customHeight="1" x14ac:dyDescent="0.25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</row>
    <row r="720" spans="1:12" ht="15.75" customHeight="1" x14ac:dyDescent="0.25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</row>
    <row r="721" spans="1:12" ht="15.75" customHeight="1" x14ac:dyDescent="0.25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</row>
    <row r="722" spans="1:12" ht="15.75" customHeight="1" x14ac:dyDescent="0.25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</row>
    <row r="723" spans="1:12" ht="15.75" customHeight="1" x14ac:dyDescent="0.25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</row>
    <row r="724" spans="1:12" ht="15.75" customHeight="1" x14ac:dyDescent="0.25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</row>
    <row r="725" spans="1:12" ht="15.75" customHeight="1" x14ac:dyDescent="0.25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</row>
    <row r="726" spans="1:12" ht="15.75" customHeight="1" x14ac:dyDescent="0.25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</row>
    <row r="727" spans="1:12" ht="15.75" customHeight="1" x14ac:dyDescent="0.25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</row>
    <row r="728" spans="1:12" ht="15.75" customHeight="1" x14ac:dyDescent="0.25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</row>
    <row r="729" spans="1:12" ht="15.75" customHeight="1" x14ac:dyDescent="0.25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</row>
    <row r="730" spans="1:12" ht="15.75" customHeight="1" x14ac:dyDescent="0.25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</row>
    <row r="731" spans="1:12" ht="15.75" customHeight="1" x14ac:dyDescent="0.25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</row>
    <row r="732" spans="1:12" ht="15.75" customHeight="1" x14ac:dyDescent="0.25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</row>
    <row r="733" spans="1:12" ht="15.75" customHeight="1" x14ac:dyDescent="0.25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</row>
    <row r="734" spans="1:12" ht="15.75" customHeight="1" x14ac:dyDescent="0.25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</row>
    <row r="735" spans="1:12" ht="15.75" customHeight="1" x14ac:dyDescent="0.25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</row>
    <row r="736" spans="1:12" ht="15.75" customHeight="1" x14ac:dyDescent="0.25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</row>
    <row r="737" spans="1:12" ht="15.75" customHeight="1" x14ac:dyDescent="0.25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</row>
    <row r="738" spans="1:12" ht="15.75" customHeight="1" x14ac:dyDescent="0.25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</row>
    <row r="739" spans="1:12" ht="15.75" customHeight="1" x14ac:dyDescent="0.25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</row>
    <row r="740" spans="1:12" ht="15.75" customHeight="1" x14ac:dyDescent="0.25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</row>
    <row r="741" spans="1:12" ht="15.75" customHeight="1" x14ac:dyDescent="0.25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</row>
    <row r="742" spans="1:12" ht="15.75" customHeight="1" x14ac:dyDescent="0.25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</row>
    <row r="743" spans="1:12" ht="15.75" customHeight="1" x14ac:dyDescent="0.25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</row>
    <row r="744" spans="1:12" ht="15.75" customHeight="1" x14ac:dyDescent="0.25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</row>
    <row r="745" spans="1:12" ht="15.75" customHeight="1" x14ac:dyDescent="0.25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</row>
    <row r="746" spans="1:12" ht="15.75" customHeight="1" x14ac:dyDescent="0.25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</row>
    <row r="747" spans="1:12" ht="15.75" customHeight="1" x14ac:dyDescent="0.25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</row>
    <row r="748" spans="1:12" ht="15.75" customHeight="1" x14ac:dyDescent="0.25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</row>
    <row r="749" spans="1:12" ht="15.75" customHeight="1" x14ac:dyDescent="0.25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</row>
    <row r="750" spans="1:12" ht="15.75" customHeight="1" x14ac:dyDescent="0.25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</row>
    <row r="751" spans="1:12" ht="15.75" customHeight="1" x14ac:dyDescent="0.25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</row>
    <row r="752" spans="1:12" ht="15.75" customHeight="1" x14ac:dyDescent="0.25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</row>
    <row r="753" spans="1:12" ht="15.75" customHeight="1" x14ac:dyDescent="0.25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</row>
    <row r="754" spans="1:12" ht="15.75" customHeight="1" x14ac:dyDescent="0.25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</row>
    <row r="755" spans="1:12" ht="15.75" customHeight="1" x14ac:dyDescent="0.25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</row>
    <row r="756" spans="1:12" ht="15.75" customHeight="1" x14ac:dyDescent="0.25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</row>
    <row r="757" spans="1:12" ht="15.75" customHeight="1" x14ac:dyDescent="0.25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</row>
    <row r="758" spans="1:12" ht="15.75" customHeight="1" x14ac:dyDescent="0.25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</row>
    <row r="759" spans="1:12" ht="15.75" customHeight="1" x14ac:dyDescent="0.25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</row>
    <row r="760" spans="1:12" ht="15.75" customHeight="1" x14ac:dyDescent="0.25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</row>
    <row r="761" spans="1:12" ht="15.75" customHeight="1" x14ac:dyDescent="0.25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</row>
    <row r="762" spans="1:12" ht="15.75" customHeight="1" x14ac:dyDescent="0.25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</row>
    <row r="763" spans="1:12" ht="15.75" customHeight="1" x14ac:dyDescent="0.25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</row>
    <row r="764" spans="1:12" ht="15.75" customHeight="1" x14ac:dyDescent="0.25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</row>
    <row r="765" spans="1:12" ht="15.75" customHeight="1" x14ac:dyDescent="0.25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</row>
    <row r="766" spans="1:12" ht="15.75" customHeight="1" x14ac:dyDescent="0.25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</row>
    <row r="767" spans="1:12" ht="15.75" customHeight="1" x14ac:dyDescent="0.25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</row>
    <row r="768" spans="1:12" ht="15.75" customHeight="1" x14ac:dyDescent="0.25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</row>
    <row r="769" spans="1:12" ht="15.75" customHeight="1" x14ac:dyDescent="0.25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</row>
    <row r="770" spans="1:12" ht="15.75" customHeight="1" x14ac:dyDescent="0.25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</row>
    <row r="771" spans="1:12" ht="15.75" customHeight="1" x14ac:dyDescent="0.25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</row>
    <row r="772" spans="1:12" ht="15.75" customHeight="1" x14ac:dyDescent="0.25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</row>
    <row r="773" spans="1:12" ht="15.75" customHeight="1" x14ac:dyDescent="0.25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</row>
    <row r="774" spans="1:12" ht="15.75" customHeight="1" x14ac:dyDescent="0.25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</row>
    <row r="775" spans="1:12" ht="15.75" customHeight="1" x14ac:dyDescent="0.25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</row>
    <row r="776" spans="1:12" ht="15.75" customHeight="1" x14ac:dyDescent="0.25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</row>
    <row r="777" spans="1:12" ht="15.75" customHeight="1" x14ac:dyDescent="0.25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</row>
    <row r="778" spans="1:12" ht="15.75" customHeight="1" x14ac:dyDescent="0.25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</row>
    <row r="779" spans="1:12" ht="15.75" customHeight="1" x14ac:dyDescent="0.25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</row>
    <row r="780" spans="1:12" ht="15.75" customHeight="1" x14ac:dyDescent="0.25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</row>
    <row r="781" spans="1:12" ht="15.75" customHeight="1" x14ac:dyDescent="0.25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</row>
    <row r="782" spans="1:12" ht="15.75" customHeight="1" x14ac:dyDescent="0.25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</row>
    <row r="783" spans="1:12" ht="15.75" customHeight="1" x14ac:dyDescent="0.25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</row>
    <row r="784" spans="1:12" ht="15.75" customHeight="1" x14ac:dyDescent="0.25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</row>
    <row r="785" spans="1:12" ht="15.75" customHeight="1" x14ac:dyDescent="0.25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</row>
    <row r="786" spans="1:12" ht="15.75" customHeight="1" x14ac:dyDescent="0.25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</row>
    <row r="787" spans="1:12" ht="15.75" customHeight="1" x14ac:dyDescent="0.25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</row>
    <row r="788" spans="1:12" ht="15.75" customHeight="1" x14ac:dyDescent="0.25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</row>
    <row r="789" spans="1:12" ht="15.75" customHeight="1" x14ac:dyDescent="0.25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</row>
    <row r="790" spans="1:12" ht="15.75" customHeight="1" x14ac:dyDescent="0.25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</row>
    <row r="791" spans="1:12" ht="15.75" customHeight="1" x14ac:dyDescent="0.25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</row>
    <row r="792" spans="1:12" ht="15.75" customHeight="1" x14ac:dyDescent="0.25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</row>
    <row r="793" spans="1:12" ht="15.75" customHeight="1" x14ac:dyDescent="0.25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</row>
    <row r="794" spans="1:12" ht="15.75" customHeight="1" x14ac:dyDescent="0.25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</row>
    <row r="795" spans="1:12" ht="15.75" customHeight="1" x14ac:dyDescent="0.25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</row>
    <row r="796" spans="1:12" ht="15.75" customHeight="1" x14ac:dyDescent="0.25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</row>
    <row r="797" spans="1:12" ht="15.75" customHeight="1" x14ac:dyDescent="0.25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</row>
    <row r="798" spans="1:12" ht="15.75" customHeight="1" x14ac:dyDescent="0.25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</row>
    <row r="799" spans="1:12" ht="15.75" customHeight="1" x14ac:dyDescent="0.25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</row>
    <row r="800" spans="1:12" ht="15.75" customHeight="1" x14ac:dyDescent="0.25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</row>
    <row r="801" spans="1:12" ht="15.75" customHeight="1" x14ac:dyDescent="0.25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</row>
    <row r="802" spans="1:12" ht="15.75" customHeight="1" x14ac:dyDescent="0.25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</row>
    <row r="803" spans="1:12" ht="15.75" customHeight="1" x14ac:dyDescent="0.25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</row>
    <row r="804" spans="1:12" ht="15.75" customHeight="1" x14ac:dyDescent="0.25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</row>
    <row r="805" spans="1:12" ht="15.75" customHeight="1" x14ac:dyDescent="0.25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</row>
    <row r="806" spans="1:12" ht="15.75" customHeight="1" x14ac:dyDescent="0.25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</row>
    <row r="807" spans="1:12" ht="15.75" customHeight="1" x14ac:dyDescent="0.25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</row>
    <row r="808" spans="1:12" ht="15.75" customHeight="1" x14ac:dyDescent="0.25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</row>
    <row r="809" spans="1:12" ht="15.75" customHeight="1" x14ac:dyDescent="0.25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</row>
    <row r="810" spans="1:12" ht="15.75" customHeight="1" x14ac:dyDescent="0.25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</row>
    <row r="811" spans="1:12" ht="15.75" customHeight="1" x14ac:dyDescent="0.25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</row>
    <row r="812" spans="1:12" ht="15.75" customHeight="1" x14ac:dyDescent="0.25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</row>
    <row r="813" spans="1:12" ht="15.75" customHeight="1" x14ac:dyDescent="0.25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</row>
    <row r="814" spans="1:12" ht="15.75" customHeight="1" x14ac:dyDescent="0.25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</row>
    <row r="815" spans="1:12" ht="15.75" customHeight="1" x14ac:dyDescent="0.25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</row>
    <row r="816" spans="1:12" ht="15.75" customHeight="1" x14ac:dyDescent="0.25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</row>
    <row r="817" spans="1:12" ht="15.75" customHeight="1" x14ac:dyDescent="0.25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</row>
    <row r="818" spans="1:12" ht="15.75" customHeight="1" x14ac:dyDescent="0.25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</row>
    <row r="819" spans="1:12" ht="15.75" customHeight="1" x14ac:dyDescent="0.25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</row>
    <row r="820" spans="1:12" ht="15.75" customHeight="1" x14ac:dyDescent="0.25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</row>
    <row r="821" spans="1:12" ht="15.75" customHeight="1" x14ac:dyDescent="0.25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</row>
    <row r="822" spans="1:12" ht="15.75" customHeight="1" x14ac:dyDescent="0.25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</row>
    <row r="823" spans="1:12" ht="15.75" customHeight="1" x14ac:dyDescent="0.25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</row>
    <row r="824" spans="1:12" ht="15.75" customHeight="1" x14ac:dyDescent="0.25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</row>
    <row r="825" spans="1:12" ht="15.75" customHeight="1" x14ac:dyDescent="0.25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</row>
    <row r="826" spans="1:12" ht="15.75" customHeight="1" x14ac:dyDescent="0.25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</row>
    <row r="827" spans="1:12" ht="15.75" customHeight="1" x14ac:dyDescent="0.25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</row>
    <row r="828" spans="1:12" ht="15.75" customHeight="1" x14ac:dyDescent="0.25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</row>
    <row r="829" spans="1:12" ht="15.75" customHeight="1" x14ac:dyDescent="0.25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</row>
    <row r="830" spans="1:12" ht="15.75" customHeight="1" x14ac:dyDescent="0.25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</row>
    <row r="831" spans="1:12" ht="15.75" customHeight="1" x14ac:dyDescent="0.25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</row>
    <row r="832" spans="1:12" ht="15.75" customHeight="1" x14ac:dyDescent="0.25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</row>
    <row r="833" spans="1:12" ht="15.75" customHeight="1" x14ac:dyDescent="0.25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</row>
    <row r="834" spans="1:12" ht="15.75" customHeight="1" x14ac:dyDescent="0.25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</row>
    <row r="835" spans="1:12" ht="15.75" customHeight="1" x14ac:dyDescent="0.25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</row>
    <row r="836" spans="1:12" ht="15.75" customHeight="1" x14ac:dyDescent="0.25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</row>
    <row r="837" spans="1:12" ht="15.75" customHeight="1" x14ac:dyDescent="0.25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</row>
    <row r="838" spans="1:12" ht="15.75" customHeight="1" x14ac:dyDescent="0.25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</row>
    <row r="839" spans="1:12" ht="15.75" customHeight="1" x14ac:dyDescent="0.25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</row>
    <row r="840" spans="1:12" ht="15.75" customHeight="1" x14ac:dyDescent="0.25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</row>
    <row r="841" spans="1:12" ht="15.75" customHeight="1" x14ac:dyDescent="0.25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</row>
    <row r="842" spans="1:12" ht="15.75" customHeight="1" x14ac:dyDescent="0.25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</row>
    <row r="843" spans="1:12" ht="15.75" customHeight="1" x14ac:dyDescent="0.25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</row>
    <row r="844" spans="1:12" ht="15.75" customHeight="1" x14ac:dyDescent="0.25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</row>
    <row r="845" spans="1:12" ht="15.75" customHeight="1" x14ac:dyDescent="0.25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</row>
    <row r="846" spans="1:12" ht="15.75" customHeight="1" x14ac:dyDescent="0.25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</row>
    <row r="847" spans="1:12" ht="15.75" customHeight="1" x14ac:dyDescent="0.25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</row>
    <row r="848" spans="1:12" ht="15.75" customHeight="1" x14ac:dyDescent="0.25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</row>
    <row r="849" spans="1:12" ht="15.75" customHeight="1" x14ac:dyDescent="0.25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</row>
    <row r="850" spans="1:12" ht="15.75" customHeight="1" x14ac:dyDescent="0.25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</row>
    <row r="851" spans="1:12" ht="15.75" customHeight="1" x14ac:dyDescent="0.25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</row>
    <row r="852" spans="1:12" ht="15.75" customHeight="1" x14ac:dyDescent="0.25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</row>
    <row r="853" spans="1:12" ht="15.75" customHeight="1" x14ac:dyDescent="0.25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</row>
    <row r="854" spans="1:12" ht="15.75" customHeight="1" x14ac:dyDescent="0.25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</row>
    <row r="855" spans="1:12" ht="15.75" customHeight="1" x14ac:dyDescent="0.25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</row>
    <row r="856" spans="1:12" ht="15.75" customHeight="1" x14ac:dyDescent="0.25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</row>
    <row r="857" spans="1:12" ht="15.75" customHeight="1" x14ac:dyDescent="0.25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</row>
    <row r="858" spans="1:12" ht="15.75" customHeight="1" x14ac:dyDescent="0.25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</row>
    <row r="859" spans="1:12" ht="15.75" customHeight="1" x14ac:dyDescent="0.25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</row>
    <row r="860" spans="1:12" ht="15.75" customHeight="1" x14ac:dyDescent="0.25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</row>
    <row r="861" spans="1:12" ht="15.75" customHeight="1" x14ac:dyDescent="0.25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</row>
    <row r="862" spans="1:12" ht="15.75" customHeight="1" x14ac:dyDescent="0.25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</row>
    <row r="863" spans="1:12" ht="15.75" customHeight="1" x14ac:dyDescent="0.25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</row>
    <row r="864" spans="1:12" ht="15.75" customHeight="1" x14ac:dyDescent="0.25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</row>
    <row r="865" spans="1:12" ht="15.75" customHeight="1" x14ac:dyDescent="0.25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</row>
    <row r="866" spans="1:12" ht="15.75" customHeight="1" x14ac:dyDescent="0.25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</row>
    <row r="867" spans="1:12" ht="15.75" customHeight="1" x14ac:dyDescent="0.25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</row>
    <row r="868" spans="1:12" ht="15.75" customHeight="1" x14ac:dyDescent="0.25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</row>
    <row r="869" spans="1:12" ht="15.75" customHeight="1" x14ac:dyDescent="0.25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</row>
    <row r="870" spans="1:12" ht="15.75" customHeight="1" x14ac:dyDescent="0.25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</row>
    <row r="871" spans="1:12" ht="15.75" customHeight="1" x14ac:dyDescent="0.25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</row>
    <row r="872" spans="1:12" ht="15.75" customHeight="1" x14ac:dyDescent="0.25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</row>
    <row r="873" spans="1:12" ht="15.75" customHeight="1" x14ac:dyDescent="0.25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</row>
    <row r="874" spans="1:12" ht="15.75" customHeight="1" x14ac:dyDescent="0.25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</row>
    <row r="875" spans="1:12" ht="15.75" customHeight="1" x14ac:dyDescent="0.25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</row>
    <row r="876" spans="1:12" ht="15.75" customHeight="1" x14ac:dyDescent="0.25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</row>
    <row r="877" spans="1:12" ht="15.75" customHeight="1" x14ac:dyDescent="0.25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</row>
    <row r="878" spans="1:12" ht="15.75" customHeight="1" x14ac:dyDescent="0.25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</row>
    <row r="879" spans="1:12" ht="15.75" customHeight="1" x14ac:dyDescent="0.25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</row>
    <row r="880" spans="1:12" ht="15.75" customHeight="1" x14ac:dyDescent="0.25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</row>
    <row r="881" spans="1:12" ht="15.75" customHeight="1" x14ac:dyDescent="0.25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</row>
    <row r="882" spans="1:12" ht="15.75" customHeight="1" x14ac:dyDescent="0.25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</row>
    <row r="883" spans="1:12" ht="15.75" customHeight="1" x14ac:dyDescent="0.25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</row>
    <row r="884" spans="1:12" ht="15.75" customHeight="1" x14ac:dyDescent="0.25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</row>
    <row r="885" spans="1:12" ht="15.75" customHeight="1" x14ac:dyDescent="0.25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</row>
    <row r="886" spans="1:12" ht="15.75" customHeight="1" x14ac:dyDescent="0.25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</row>
    <row r="887" spans="1:12" ht="15.75" customHeight="1" x14ac:dyDescent="0.25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</row>
    <row r="888" spans="1:12" ht="15.75" customHeight="1" x14ac:dyDescent="0.25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</row>
    <row r="889" spans="1:12" ht="15.75" customHeight="1" x14ac:dyDescent="0.25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</row>
    <row r="890" spans="1:12" ht="15.75" customHeight="1" x14ac:dyDescent="0.25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</row>
    <row r="891" spans="1:12" ht="15.75" customHeight="1" x14ac:dyDescent="0.25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</row>
    <row r="892" spans="1:12" ht="15.75" customHeight="1" x14ac:dyDescent="0.25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</row>
    <row r="893" spans="1:12" ht="15.75" customHeight="1" x14ac:dyDescent="0.25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</row>
    <row r="894" spans="1:12" ht="15.75" customHeight="1" x14ac:dyDescent="0.25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</row>
    <row r="895" spans="1:12" ht="15.75" customHeight="1" x14ac:dyDescent="0.25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</row>
    <row r="896" spans="1:12" ht="15.75" customHeight="1" x14ac:dyDescent="0.25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</row>
    <row r="897" spans="1:12" ht="15.75" customHeight="1" x14ac:dyDescent="0.25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</row>
    <row r="898" spans="1:12" ht="15.75" customHeight="1" x14ac:dyDescent="0.25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</row>
    <row r="899" spans="1:12" ht="15.75" customHeight="1" x14ac:dyDescent="0.25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</row>
    <row r="900" spans="1:12" ht="15.75" customHeight="1" x14ac:dyDescent="0.25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</row>
    <row r="901" spans="1:12" ht="15.75" customHeight="1" x14ac:dyDescent="0.25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</row>
    <row r="902" spans="1:12" ht="15.75" customHeight="1" x14ac:dyDescent="0.25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</row>
    <row r="903" spans="1:12" ht="15.75" customHeight="1" x14ac:dyDescent="0.25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</row>
    <row r="904" spans="1:12" ht="15.75" customHeight="1" x14ac:dyDescent="0.25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</row>
    <row r="905" spans="1:12" ht="15.75" customHeight="1" x14ac:dyDescent="0.25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</row>
    <row r="906" spans="1:12" ht="15.75" customHeight="1" x14ac:dyDescent="0.25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</row>
    <row r="907" spans="1:12" ht="15.75" customHeight="1" x14ac:dyDescent="0.25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</row>
    <row r="908" spans="1:12" ht="15.75" customHeight="1" x14ac:dyDescent="0.25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</row>
    <row r="909" spans="1:12" ht="15.75" customHeight="1" x14ac:dyDescent="0.25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</row>
    <row r="910" spans="1:12" ht="15.75" customHeight="1" x14ac:dyDescent="0.25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</row>
    <row r="911" spans="1:12" ht="15.75" customHeight="1" x14ac:dyDescent="0.25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</row>
    <row r="912" spans="1:12" ht="15.75" customHeight="1" x14ac:dyDescent="0.25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</row>
    <row r="913" spans="1:12" ht="15.75" customHeight="1" x14ac:dyDescent="0.25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</row>
    <row r="914" spans="1:12" ht="15.75" customHeight="1" x14ac:dyDescent="0.25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</row>
    <row r="915" spans="1:12" ht="15.75" customHeight="1" x14ac:dyDescent="0.25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</row>
    <row r="916" spans="1:12" ht="15.75" customHeight="1" x14ac:dyDescent="0.25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</row>
    <row r="917" spans="1:12" ht="15.75" customHeight="1" x14ac:dyDescent="0.25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</row>
    <row r="918" spans="1:12" ht="15.75" customHeight="1" x14ac:dyDescent="0.25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</row>
    <row r="919" spans="1:12" ht="15.75" customHeight="1" x14ac:dyDescent="0.25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</row>
    <row r="920" spans="1:12" ht="15.75" customHeight="1" x14ac:dyDescent="0.25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</row>
    <row r="921" spans="1:12" ht="15.75" customHeight="1" x14ac:dyDescent="0.25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</row>
    <row r="922" spans="1:12" ht="15.75" customHeight="1" x14ac:dyDescent="0.25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</row>
    <row r="923" spans="1:12" ht="15.75" customHeight="1" x14ac:dyDescent="0.25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</row>
    <row r="924" spans="1:12" ht="15.75" customHeight="1" x14ac:dyDescent="0.25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</row>
    <row r="925" spans="1:12" ht="15.75" customHeight="1" x14ac:dyDescent="0.25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</row>
    <row r="926" spans="1:12" ht="15.75" customHeight="1" x14ac:dyDescent="0.25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</row>
    <row r="927" spans="1:12" ht="15.75" customHeight="1" x14ac:dyDescent="0.25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</row>
    <row r="928" spans="1:12" ht="15.75" customHeight="1" x14ac:dyDescent="0.25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</row>
    <row r="929" spans="1:12" ht="15.75" customHeight="1" x14ac:dyDescent="0.25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</row>
    <row r="930" spans="1:12" ht="15.75" customHeight="1" x14ac:dyDescent="0.25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</row>
    <row r="931" spans="1:12" ht="15.75" customHeight="1" x14ac:dyDescent="0.25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</row>
    <row r="932" spans="1:12" ht="15.75" customHeight="1" x14ac:dyDescent="0.25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</row>
    <row r="933" spans="1:12" ht="15.75" customHeight="1" x14ac:dyDescent="0.25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</row>
    <row r="934" spans="1:12" ht="15.75" customHeight="1" x14ac:dyDescent="0.25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</row>
    <row r="935" spans="1:12" ht="15.75" customHeight="1" x14ac:dyDescent="0.25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</row>
    <row r="936" spans="1:12" ht="15.75" customHeight="1" x14ac:dyDescent="0.25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</row>
    <row r="937" spans="1:12" ht="15.75" customHeight="1" x14ac:dyDescent="0.25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</row>
    <row r="938" spans="1:12" ht="15.75" customHeight="1" x14ac:dyDescent="0.25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</row>
    <row r="939" spans="1:12" ht="15.75" customHeight="1" x14ac:dyDescent="0.25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</row>
    <row r="940" spans="1:12" ht="15.75" customHeight="1" x14ac:dyDescent="0.25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</row>
    <row r="941" spans="1:12" ht="15.75" customHeight="1" x14ac:dyDescent="0.25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</row>
    <row r="942" spans="1:12" ht="15.75" customHeight="1" x14ac:dyDescent="0.25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</row>
    <row r="943" spans="1:12" ht="15.75" customHeight="1" x14ac:dyDescent="0.25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</row>
    <row r="944" spans="1:12" ht="15.75" customHeight="1" x14ac:dyDescent="0.25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</row>
    <row r="945" spans="1:12" ht="15.75" customHeight="1" x14ac:dyDescent="0.25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</row>
    <row r="946" spans="1:12" ht="15.75" customHeight="1" x14ac:dyDescent="0.25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</row>
    <row r="947" spans="1:12" ht="15.75" customHeight="1" x14ac:dyDescent="0.25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</row>
    <row r="948" spans="1:12" ht="15.75" customHeight="1" x14ac:dyDescent="0.25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</row>
    <row r="949" spans="1:12" ht="15.75" customHeight="1" x14ac:dyDescent="0.25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</row>
    <row r="950" spans="1:12" ht="15.75" customHeight="1" x14ac:dyDescent="0.25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</row>
    <row r="951" spans="1:12" ht="15.75" customHeight="1" x14ac:dyDescent="0.25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</row>
    <row r="952" spans="1:12" ht="15.75" customHeight="1" x14ac:dyDescent="0.25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</row>
    <row r="953" spans="1:12" ht="15.75" customHeight="1" x14ac:dyDescent="0.25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</row>
    <row r="954" spans="1:12" ht="15.75" customHeight="1" x14ac:dyDescent="0.25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</row>
    <row r="955" spans="1:12" ht="15.75" customHeight="1" x14ac:dyDescent="0.25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</row>
    <row r="956" spans="1:12" ht="15.75" customHeight="1" x14ac:dyDescent="0.25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</row>
    <row r="957" spans="1:12" ht="15.75" customHeight="1" x14ac:dyDescent="0.25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</row>
    <row r="958" spans="1:12" ht="15.75" customHeight="1" x14ac:dyDescent="0.25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</row>
    <row r="959" spans="1:12" ht="15.75" customHeight="1" x14ac:dyDescent="0.25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</row>
    <row r="960" spans="1:12" ht="15.75" customHeight="1" x14ac:dyDescent="0.25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</row>
    <row r="961" spans="1:12" ht="15.75" customHeight="1" x14ac:dyDescent="0.25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</row>
    <row r="962" spans="1:12" ht="15.75" customHeight="1" x14ac:dyDescent="0.25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</row>
    <row r="963" spans="1:12" ht="15.75" customHeight="1" x14ac:dyDescent="0.25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</row>
    <row r="964" spans="1:12" ht="15.75" customHeight="1" x14ac:dyDescent="0.25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</row>
    <row r="965" spans="1:12" ht="15.75" customHeight="1" x14ac:dyDescent="0.25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</row>
    <row r="966" spans="1:12" ht="15.75" customHeight="1" x14ac:dyDescent="0.25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</row>
    <row r="967" spans="1:12" ht="15.75" customHeight="1" x14ac:dyDescent="0.25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</row>
    <row r="968" spans="1:12" ht="15.75" customHeight="1" x14ac:dyDescent="0.25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</row>
    <row r="969" spans="1:12" ht="15.75" customHeight="1" x14ac:dyDescent="0.25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</row>
    <row r="970" spans="1:12" ht="15.75" customHeight="1" x14ac:dyDescent="0.25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</row>
    <row r="971" spans="1:12" ht="15.75" customHeight="1" x14ac:dyDescent="0.25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</row>
    <row r="972" spans="1:12" ht="15.75" customHeight="1" x14ac:dyDescent="0.25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</row>
    <row r="973" spans="1:12" ht="15.75" customHeight="1" x14ac:dyDescent="0.25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</row>
    <row r="974" spans="1:12" ht="15.75" customHeight="1" x14ac:dyDescent="0.25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</row>
    <row r="975" spans="1:12" ht="15.75" customHeight="1" x14ac:dyDescent="0.25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</row>
    <row r="976" spans="1:12" ht="15.75" customHeight="1" x14ac:dyDescent="0.25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</row>
    <row r="977" spans="1:12" ht="15.75" customHeight="1" x14ac:dyDescent="0.25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</row>
    <row r="978" spans="1:12" ht="15.75" customHeight="1" x14ac:dyDescent="0.25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</row>
    <row r="979" spans="1:12" ht="15.75" customHeight="1" x14ac:dyDescent="0.25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</row>
    <row r="980" spans="1:12" ht="15.75" customHeight="1" x14ac:dyDescent="0.25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</row>
    <row r="981" spans="1:12" ht="15.75" customHeight="1" x14ac:dyDescent="0.25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</row>
    <row r="982" spans="1:12" ht="15.75" customHeight="1" x14ac:dyDescent="0.25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</row>
    <row r="983" spans="1:12" ht="15.75" customHeight="1" x14ac:dyDescent="0.25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</row>
    <row r="984" spans="1:12" ht="15.75" customHeight="1" x14ac:dyDescent="0.25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</row>
    <row r="985" spans="1:12" ht="15.75" customHeight="1" x14ac:dyDescent="0.25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</row>
    <row r="986" spans="1:12" ht="15.75" customHeight="1" x14ac:dyDescent="0.25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</row>
    <row r="987" spans="1:12" ht="15.75" customHeight="1" x14ac:dyDescent="0.25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</row>
    <row r="988" spans="1:12" ht="15.75" customHeight="1" x14ac:dyDescent="0.25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</row>
    <row r="989" spans="1:12" ht="15.75" customHeight="1" x14ac:dyDescent="0.25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</row>
    <row r="990" spans="1:12" ht="15.75" customHeight="1" x14ac:dyDescent="0.25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</row>
    <row r="991" spans="1:12" ht="15.75" customHeight="1" x14ac:dyDescent="0.25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</row>
    <row r="992" spans="1:12" ht="15.75" customHeight="1" x14ac:dyDescent="0.25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</row>
    <row r="993" spans="1:12" ht="15.75" customHeight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</row>
    <row r="994" spans="1:12" ht="15.75" customHeight="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</row>
    <row r="995" spans="1:12" ht="15.75" customHeight="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</row>
    <row r="996" spans="1:12" ht="15.75" customHeight="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</row>
    <row r="997" spans="1:12" ht="15.75" customHeight="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</row>
    <row r="998" spans="1:12" ht="15.75" customHeight="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</row>
    <row r="999" spans="1:12" ht="15.75" customHeight="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</row>
    <row r="1000" spans="1:12" ht="15.75" customHeight="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</row>
  </sheetData>
  <mergeCells count="2">
    <mergeCell ref="B6:B9"/>
    <mergeCell ref="E6:E9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"/>
  <sheetViews>
    <sheetView topLeftCell="A3" workbookViewId="0">
      <selection sqref="A1:B9"/>
    </sheetView>
  </sheetViews>
  <sheetFormatPr defaultRowHeight="13.2" x14ac:dyDescent="0.25"/>
  <sheetData>
    <row r="1" spans="1:6" ht="13.8" thickBot="1" x14ac:dyDescent="0.3">
      <c r="A1" s="28" t="s">
        <v>119</v>
      </c>
      <c r="B1" s="29" t="s">
        <v>120</v>
      </c>
      <c r="C1" s="29" t="s">
        <v>119</v>
      </c>
      <c r="D1" s="29" t="s">
        <v>120</v>
      </c>
      <c r="E1" s="29" t="s">
        <v>119</v>
      </c>
      <c r="F1" s="29" t="s">
        <v>120</v>
      </c>
    </row>
    <row r="2" spans="1:6" ht="60.6" thickBot="1" x14ac:dyDescent="0.3">
      <c r="A2" s="30" t="s">
        <v>121</v>
      </c>
      <c r="B2" s="31" t="s">
        <v>122</v>
      </c>
      <c r="C2" s="32" t="s">
        <v>123</v>
      </c>
      <c r="D2" s="31" t="s">
        <v>124</v>
      </c>
      <c r="E2" s="31" t="s">
        <v>125</v>
      </c>
      <c r="F2" s="31" t="s">
        <v>126</v>
      </c>
    </row>
    <row r="3" spans="1:6" ht="48.6" thickBot="1" x14ac:dyDescent="0.3">
      <c r="A3" s="30" t="s">
        <v>127</v>
      </c>
      <c r="B3" s="31" t="s">
        <v>128</v>
      </c>
      <c r="C3" s="32" t="s">
        <v>129</v>
      </c>
      <c r="D3" s="31" t="s">
        <v>130</v>
      </c>
      <c r="E3" s="31" t="s">
        <v>131</v>
      </c>
      <c r="F3" s="31" t="s">
        <v>132</v>
      </c>
    </row>
    <row r="4" spans="1:6" ht="60.6" thickBot="1" x14ac:dyDescent="0.3">
      <c r="A4" s="30" t="s">
        <v>133</v>
      </c>
      <c r="B4" s="31" t="s">
        <v>134</v>
      </c>
      <c r="C4" s="32" t="s">
        <v>135</v>
      </c>
      <c r="D4" s="31" t="s">
        <v>53</v>
      </c>
      <c r="E4" s="31" t="s">
        <v>136</v>
      </c>
      <c r="F4" s="31" t="s">
        <v>137</v>
      </c>
    </row>
    <row r="5" spans="1:6" ht="72.599999999999994" thickBot="1" x14ac:dyDescent="0.3">
      <c r="A5" s="30" t="s">
        <v>138</v>
      </c>
      <c r="B5" s="31" t="s">
        <v>20</v>
      </c>
      <c r="C5" s="32" t="s">
        <v>139</v>
      </c>
      <c r="D5" s="31" t="s">
        <v>140</v>
      </c>
      <c r="E5" s="31" t="s">
        <v>141</v>
      </c>
      <c r="F5" s="31" t="s">
        <v>142</v>
      </c>
    </row>
    <row r="6" spans="1:6" ht="60.6" thickBot="1" x14ac:dyDescent="0.3">
      <c r="A6" s="30" t="s">
        <v>143</v>
      </c>
      <c r="B6" s="31" t="s">
        <v>27</v>
      </c>
      <c r="C6" s="32" t="s">
        <v>144</v>
      </c>
      <c r="D6" s="31" t="s">
        <v>145</v>
      </c>
      <c r="E6" s="31" t="s">
        <v>146</v>
      </c>
      <c r="F6" s="31" t="s">
        <v>147</v>
      </c>
    </row>
    <row r="7" spans="1:6" ht="24.6" thickBot="1" x14ac:dyDescent="0.3">
      <c r="A7" s="30" t="s">
        <v>148</v>
      </c>
      <c r="B7" s="31" t="s">
        <v>149</v>
      </c>
      <c r="C7" s="32" t="s">
        <v>150</v>
      </c>
      <c r="D7" s="31" t="s">
        <v>151</v>
      </c>
      <c r="E7" s="31" t="s">
        <v>152</v>
      </c>
      <c r="F7" s="31" t="s">
        <v>153</v>
      </c>
    </row>
    <row r="8" spans="1:6" ht="60.6" thickBot="1" x14ac:dyDescent="0.3">
      <c r="A8" s="30" t="s">
        <v>154</v>
      </c>
      <c r="B8" s="31" t="s">
        <v>155</v>
      </c>
      <c r="C8" s="32" t="s">
        <v>156</v>
      </c>
      <c r="D8" s="31" t="s">
        <v>157</v>
      </c>
      <c r="E8" s="31" t="s">
        <v>158</v>
      </c>
      <c r="F8" s="31" t="s">
        <v>159</v>
      </c>
    </row>
    <row r="9" spans="1:6" ht="60.6" thickBot="1" x14ac:dyDescent="0.3">
      <c r="A9" s="30" t="s">
        <v>160</v>
      </c>
      <c r="B9" s="31" t="s">
        <v>161</v>
      </c>
      <c r="C9" s="32" t="s">
        <v>162</v>
      </c>
      <c r="D9" s="31" t="s">
        <v>163</v>
      </c>
      <c r="E9" s="31" t="s">
        <v>164</v>
      </c>
      <c r="F9" s="31" t="s">
        <v>95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"/>
  <sheetViews>
    <sheetView workbookViewId="0"/>
  </sheetViews>
  <sheetFormatPr defaultColWidth="17.33203125" defaultRowHeight="15" customHeight="1" x14ac:dyDescent="0.25"/>
  <sheetData>
    <row r="1" spans="1:10" ht="15" customHeight="1" x14ac:dyDescent="0.25">
      <c r="A1" s="17" t="s">
        <v>101</v>
      </c>
      <c r="D1" s="17" t="s">
        <v>102</v>
      </c>
      <c r="J1" s="18">
        <v>1</v>
      </c>
    </row>
    <row r="4" spans="1:10" ht="15" customHeight="1" x14ac:dyDescent="0.25">
      <c r="A4" s="17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Start &amp; About-HowTo</vt:lpstr>
      <vt:lpstr>Threats</vt:lpstr>
      <vt:lpstr>AHP Settings</vt:lpstr>
      <vt:lpstr>AHP Likelihood Calculation</vt:lpstr>
      <vt:lpstr>AHP Severity Calculation</vt:lpstr>
      <vt:lpstr>Precautions</vt:lpstr>
      <vt:lpstr>LP Optimization 1</vt:lpstr>
      <vt:lpstr>Summary 1</vt:lpstr>
      <vt:lpstr>Threats Visualizations 1</vt:lpstr>
      <vt:lpstr>Precaution Visualizations 1</vt:lpstr>
      <vt:lpstr>LP Optimization 2</vt:lpstr>
      <vt:lpstr>Summary 2</vt:lpstr>
      <vt:lpstr>Threats Visualizations 2</vt:lpstr>
      <vt:lpstr>Precaution Visualizations 2</vt:lpstr>
      <vt:lpstr>Sheet2</vt:lpstr>
      <vt:lpstr>Constraints for Sample Case</vt:lpstr>
      <vt:lpstr>Visualization 1</vt:lpstr>
      <vt:lpstr>Visualization 2</vt:lpstr>
      <vt:lpstr>Threat-Model-For-Case-Study</vt:lpstr>
      <vt:lpstr>Precautions for the Case Study</vt:lpstr>
      <vt:lpstr>__Solver__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Ferda</dc:creator>
  <cp:lastModifiedBy>Windows User</cp:lastModifiedBy>
  <dcterms:created xsi:type="dcterms:W3CDTF">2017-11-11T20:17:20Z</dcterms:created>
  <dcterms:modified xsi:type="dcterms:W3CDTF">2018-02-06T19:23:34Z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WorkbookGuid">
    <vt:lpwstr>caccbc80-39fa-44a1-bcb0-f3c67a5dbb76</vt:lpwstr>
  </property>
</Properties>
</file>